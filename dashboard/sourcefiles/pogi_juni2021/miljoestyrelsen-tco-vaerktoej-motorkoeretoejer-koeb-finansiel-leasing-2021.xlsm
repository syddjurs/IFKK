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filterPrivacy="1" codeName="ThisWorkbook" autoCompressPictures="0" defaultThemeVersion="124226"/>
  <xr:revisionPtr revIDLastSave="4793" documentId="8_{B01BE05D-1FD4-4F06-8589-AC5D8774E3DF}" xr6:coauthVersionLast="47" xr6:coauthVersionMax="47" xr10:uidLastSave="{3A41613B-D1BB-4A6A-96BB-F2EF95EE4515}"/>
  <bookViews>
    <workbookView xWindow="-103" yWindow="-103" windowWidth="22149" windowHeight="12103" tabRatio="670" activeTab="3" xr2:uid="{00000000-000D-0000-FFFF-FFFF00000000}"/>
  </bookViews>
  <sheets>
    <sheet name="Introduktion" sheetId="10" r:id="rId1"/>
    <sheet name="Benzin - diesel - hybrid" sheetId="6" r:id="rId2"/>
    <sheet name="IB - B&amp;D&amp;H" sheetId="11" state="hidden" r:id="rId3"/>
    <sheet name="El og plugin hybrid" sheetId="23" r:id="rId4"/>
    <sheet name="IB - E&amp;PH" sheetId="24" state="hidden" r:id="rId5"/>
    <sheet name="Sammenligning på tværs" sheetId="22" r:id="rId6"/>
    <sheet name="Beregningsmetode" sheetId="19" r:id="rId7"/>
    <sheet name="Fremskrivninger" sheetId="17" r:id="rId8"/>
    <sheet name="ENS udvikling i elpris" sheetId="20" state="hidden" r:id="rId9"/>
    <sheet name="ENS udvikling i brændstofspris" sheetId="21" state="hidden" r:id="rId10"/>
  </sheets>
  <externalReferences>
    <externalReference r:id="rId11"/>
    <externalReference r:id="rId12"/>
    <externalReference r:id="rId13"/>
    <externalReference r:id="rId14"/>
    <externalReference r:id="rId15"/>
  </externalReferences>
  <definedNames>
    <definedName name="BF_Fastprisår">'[1]Info og Centrale forudsætninger'!$B$8</definedName>
    <definedName name="BFår" localSheetId="6">#REF!</definedName>
    <definedName name="BFår" localSheetId="9">#REF!</definedName>
    <definedName name="BFår" localSheetId="5">#REF!</definedName>
    <definedName name="BFår">#REF!</definedName>
    <definedName name="BFårBVT" localSheetId="6">#REF!</definedName>
    <definedName name="BFårBVT" localSheetId="9">#REF!</definedName>
    <definedName name="BFårBVT" localSheetId="5">#REF!</definedName>
    <definedName name="BFårBVT">#REF!</definedName>
    <definedName name="Brændværdi">'[2]Koefficienter brændsler (imp)'!$A$2:$C$16</definedName>
    <definedName name="chosencurrency" localSheetId="6">#REF!</definedName>
    <definedName name="chosencurrency" localSheetId="9">#REF!</definedName>
    <definedName name="chosencurrency" localSheetId="5">#REF!</definedName>
    <definedName name="chosencurrency">#REF!</definedName>
    <definedName name="DE_Prisår" localSheetId="6">#REF!</definedName>
    <definedName name="DE_Prisår" localSheetId="9">#REF!</definedName>
    <definedName name="DE_Prisår" localSheetId="5">#REF!</definedName>
    <definedName name="DE_Prisår">#REF!</definedName>
    <definedName name="Deflator">[3]Deflator!$A$5:$B$55</definedName>
    <definedName name="Deflator_og_Valutakurser" localSheetId="6">#REF!</definedName>
    <definedName name="Deflator_og_Valutakurser" localSheetId="9">#REF!</definedName>
    <definedName name="Deflator_og_Valutakurser" localSheetId="5">#REF!</definedName>
    <definedName name="Deflator_og_Valutakurser">#REF!</definedName>
    <definedName name="ElprodOmk_Prisår" localSheetId="6">#REF!</definedName>
    <definedName name="ElprodOmk_Prisår" localSheetId="9">#REF!</definedName>
    <definedName name="ElprodOmk_Prisår" localSheetId="5">#REF!</definedName>
    <definedName name="ElprodOmk_Prisår">#REF!</definedName>
    <definedName name="Fastprisår" localSheetId="6">#REF!</definedName>
    <definedName name="Fastprisår" localSheetId="9">#REF!</definedName>
    <definedName name="Fastprisår" localSheetId="5">#REF!</definedName>
    <definedName name="Fastprisår">#REF!</definedName>
    <definedName name="FastprisårBVT" localSheetId="9">#REF!</definedName>
    <definedName name="FastprisårBVT">#REF!</definedName>
    <definedName name="FilnavnRamsesElprismodel" localSheetId="9">#REF!</definedName>
    <definedName name="FilnavnRamsesElprismodel">#REF!</definedName>
    <definedName name="FilnavnRamsesResultater" localSheetId="9">#REF!</definedName>
    <definedName name="FilnavnRamsesResultater">#REF!</definedName>
    <definedName name="GridCostView" localSheetId="9">#REF!</definedName>
    <definedName name="GridCostView">#REF!</definedName>
    <definedName name="hh" localSheetId="9">#REF!</definedName>
    <definedName name="hh">#REF!</definedName>
    <definedName name="IEA_Prisår" localSheetId="9">#REF!</definedName>
    <definedName name="IEA_Prisår">#REF!</definedName>
    <definedName name="Imp_fossile">'[2]Fossile priser (imp)'!$A$3:$F$33</definedName>
    <definedName name="Konsulent_Prisår" localSheetId="6">#REF!</definedName>
    <definedName name="Konsulent_Prisår" localSheetId="9">#REF!</definedName>
    <definedName name="Konsulent_Prisår" localSheetId="5">#REF!</definedName>
    <definedName name="Konsulent_Prisår">#REF!</definedName>
    <definedName name="NaturgasAvance_Prisår" localSheetId="6">#REF!</definedName>
    <definedName name="NaturgasAvance_Prisår" localSheetId="9">#REF!</definedName>
    <definedName name="NaturgasAvance_Prisår" localSheetId="5">#REF!</definedName>
    <definedName name="NaturgasAvance_Prisår">#REF!</definedName>
    <definedName name="Omr_biomasse">'[2]Biomasse priser (omr)'!$A$4:$F$34</definedName>
    <definedName name="Omr_elemissioner">'[2]El-emissioner (omr)'!$A$5:$K$35</definedName>
    <definedName name="Omr_elpriser">'[2]Elpriser (omr)'!$A$4:$I$26</definedName>
    <definedName name="Omr_fossile">'[2]Fossile priser (omr)'!$A$4:$J$34</definedName>
    <definedName name="Omr_FV_omkostninger">'[2]Fjernvarmepriser (omr)'!$A$29:$P$51</definedName>
    <definedName name="Omr_FVemissioner">'[2]Fjernvarme-emissioner (omr)'!$A$5:$K$35</definedName>
    <definedName name="ooo">#REF!</definedName>
    <definedName name="PriceYear" localSheetId="6">#REF!</definedName>
    <definedName name="PriceYear" localSheetId="9">#REF!</definedName>
    <definedName name="PriceYear" localSheetId="5">#REF!</definedName>
    <definedName name="PriceYear">#REF!</definedName>
    <definedName name="_xlnm.Print_Area" localSheetId="5">'Sammenligning på tværs'!$B$2:$P$41</definedName>
    <definedName name="Prisår_Til_Ramses" localSheetId="6">#REF!</definedName>
    <definedName name="Prisår_Til_Ramses" localSheetId="9">#REF!</definedName>
    <definedName name="Prisår_Til_Ramses" localSheetId="5">#REF!</definedName>
    <definedName name="Prisår_Til_Ramses">#REF!</definedName>
    <definedName name="Ramses_Prisår" localSheetId="6">#REF!</definedName>
    <definedName name="Ramses_Prisår" localSheetId="9">#REF!</definedName>
    <definedName name="Ramses_Prisår" localSheetId="5">#REF!</definedName>
    <definedName name="Ramses_Prisår">#REF!</definedName>
    <definedName name="Startår">[2]Forside!$B$3</definedName>
    <definedName name="Svovl_NOx_Prisår" localSheetId="6">#REF!</definedName>
    <definedName name="Svovl_NOx_Prisår" localSheetId="9">#REF!</definedName>
    <definedName name="Svovl_NOx_Prisår" localSheetId="5">#REF!</definedName>
    <definedName name="Svovl_NOx_Prisår">#REF!</definedName>
    <definedName name="TechYear" localSheetId="6">#REF!</definedName>
    <definedName name="TechYear" localSheetId="9">#REF!</definedName>
    <definedName name="TechYear" localSheetId="5">#REF!</definedName>
    <definedName name="TechYear">#REF!</definedName>
    <definedName name="Vælg_produkt" localSheetId="6">'[4]Benzin - diesel - hybrid'!#REF!</definedName>
    <definedName name="Vælg_produkt" localSheetId="5">'[4]Benzin - diesel - hybrid'!#REF!</definedName>
    <definedName name="Vælg_produkt">#REF!</definedName>
    <definedName name="Vælg_produkt2" localSheetId="5">'Sammenligning på tværs'!#REF!</definedName>
    <definedName name="XX">[5]Elpris!$I$3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W106" i="23" l="1"/>
  <c r="U106" i="23"/>
  <c r="S106" i="23"/>
  <c r="Q106" i="23"/>
  <c r="O106" i="23"/>
  <c r="M106" i="23"/>
  <c r="K106" i="23"/>
  <c r="I106" i="23"/>
  <c r="G106" i="23"/>
  <c r="E106" i="23"/>
  <c r="W84" i="6"/>
  <c r="U84" i="6"/>
  <c r="S84" i="6"/>
  <c r="Q84" i="6"/>
  <c r="O84" i="6"/>
  <c r="M84" i="6"/>
  <c r="K84" i="6"/>
  <c r="I84" i="6"/>
  <c r="G84" i="6"/>
  <c r="E84" i="6"/>
  <c r="G54" i="6"/>
  <c r="C86" i="6"/>
  <c r="C108" i="23"/>
  <c r="D9" i="17"/>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E85" i="23" l="1"/>
  <c r="E79" i="23"/>
  <c r="M92" i="17"/>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48" i="17"/>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W118" i="24"/>
  <c r="X118" i="24" s="1"/>
  <c r="U118" i="24"/>
  <c r="V118" i="24"/>
  <c r="T118" i="24"/>
  <c r="R118" i="24"/>
  <c r="P118" i="24"/>
  <c r="N118" i="24"/>
  <c r="L118" i="24"/>
  <c r="J118" i="24"/>
  <c r="H118" i="24"/>
  <c r="F118" i="24"/>
  <c r="F119" i="24"/>
  <c r="E119" i="24" s="1"/>
  <c r="F120" i="24"/>
  <c r="E120" i="24" s="1"/>
  <c r="F121" i="24"/>
  <c r="E121" i="24" s="1"/>
  <c r="F122" i="24"/>
  <c r="E122" i="24" s="1"/>
  <c r="F123" i="24"/>
  <c r="E123" i="24" s="1"/>
  <c r="F124" i="24"/>
  <c r="E124" i="24" s="1"/>
  <c r="F125" i="24"/>
  <c r="E125" i="24" s="1"/>
  <c r="F126" i="24"/>
  <c r="E126" i="24" s="1"/>
  <c r="F127" i="24"/>
  <c r="E127" i="24" s="1"/>
  <c r="F128" i="24"/>
  <c r="E128" i="24" s="1"/>
  <c r="F129" i="24"/>
  <c r="E129" i="24" s="1"/>
  <c r="F130" i="24"/>
  <c r="E130" i="24" s="1"/>
  <c r="F131" i="24"/>
  <c r="E131" i="24" s="1"/>
  <c r="F132" i="24"/>
  <c r="E132" i="24" s="1"/>
  <c r="F133" i="24"/>
  <c r="E133" i="24" s="1"/>
  <c r="F134" i="24"/>
  <c r="E134" i="24" s="1"/>
  <c r="F135" i="24"/>
  <c r="E135" i="24" s="1"/>
  <c r="F136" i="24"/>
  <c r="E136" i="24" s="1"/>
  <c r="F137" i="24"/>
  <c r="E137" i="24" s="1"/>
  <c r="F138" i="24"/>
  <c r="E138" i="24" s="1"/>
  <c r="G64" i="23"/>
  <c r="I64" i="23"/>
  <c r="O66" i="24"/>
  <c r="E50" i="24"/>
  <c r="E51" i="24"/>
  <c r="E52" i="24"/>
  <c r="E53" i="24"/>
  <c r="E54" i="24"/>
  <c r="E55" i="24"/>
  <c r="E56" i="24"/>
  <c r="E57" i="24"/>
  <c r="E58" i="24"/>
  <c r="E59" i="24"/>
  <c r="E60" i="24"/>
  <c r="E61" i="24"/>
  <c r="E62" i="24"/>
  <c r="E63" i="24"/>
  <c r="E64" i="24"/>
  <c r="E65" i="24"/>
  <c r="E66" i="24"/>
  <c r="E67" i="24"/>
  <c r="E68" i="24"/>
  <c r="E49" i="24"/>
  <c r="E2" i="24"/>
  <c r="E10" i="24"/>
  <c r="E11" i="24"/>
  <c r="E12" i="24"/>
  <c r="E13" i="24"/>
  <c r="E14" i="24"/>
  <c r="E15" i="24"/>
  <c r="E16" i="24"/>
  <c r="E17" i="24"/>
  <c r="E18" i="24"/>
  <c r="E19" i="24"/>
  <c r="E20" i="24"/>
  <c r="E21" i="24"/>
  <c r="E22" i="24"/>
  <c r="E23" i="24"/>
  <c r="W64" i="23"/>
  <c r="U64" i="23"/>
  <c r="S64" i="23"/>
  <c r="Q64" i="23"/>
  <c r="O64" i="23"/>
  <c r="M64" i="23"/>
  <c r="K64" i="23"/>
  <c r="W65" i="23"/>
  <c r="U65" i="23"/>
  <c r="S65" i="23"/>
  <c r="Q65" i="23"/>
  <c r="O65" i="23"/>
  <c r="M65" i="23"/>
  <c r="K65" i="23"/>
  <c r="I65" i="23"/>
  <c r="G65" i="23"/>
  <c r="G70" i="23"/>
  <c r="I70" i="23"/>
  <c r="O70" i="23"/>
  <c r="W70" i="23"/>
  <c r="C206" i="24"/>
  <c r="C205" i="24"/>
  <c r="C204" i="24"/>
  <c r="C203" i="24"/>
  <c r="C202" i="24"/>
  <c r="C201" i="24"/>
  <c r="C200" i="24"/>
  <c r="C199" i="24"/>
  <c r="C198" i="24"/>
  <c r="C197" i="24"/>
  <c r="C196" i="24"/>
  <c r="C195" i="24"/>
  <c r="C194" i="24"/>
  <c r="C193" i="24"/>
  <c r="C192" i="24"/>
  <c r="C191" i="24"/>
  <c r="C190" i="24"/>
  <c r="C189" i="24"/>
  <c r="C188" i="24"/>
  <c r="C187" i="24"/>
  <c r="F184" i="24"/>
  <c r="C184" i="24"/>
  <c r="F183" i="24"/>
  <c r="C183" i="24"/>
  <c r="F182" i="24"/>
  <c r="C182" i="24"/>
  <c r="F181" i="24"/>
  <c r="C181" i="24"/>
  <c r="F180" i="24"/>
  <c r="C180" i="24"/>
  <c r="F179" i="24"/>
  <c r="C179" i="24"/>
  <c r="F178" i="24"/>
  <c r="C178" i="24"/>
  <c r="F177" i="24"/>
  <c r="C177" i="24"/>
  <c r="F176" i="24"/>
  <c r="C176" i="24"/>
  <c r="F175" i="24"/>
  <c r="C175" i="24"/>
  <c r="F174" i="24"/>
  <c r="C174" i="24"/>
  <c r="F173" i="24"/>
  <c r="C173" i="24"/>
  <c r="F172" i="24"/>
  <c r="C172" i="24"/>
  <c r="F171" i="24"/>
  <c r="C171" i="24"/>
  <c r="F170" i="24"/>
  <c r="C170" i="24"/>
  <c r="F169" i="24"/>
  <c r="C169" i="24"/>
  <c r="F168" i="24"/>
  <c r="C168" i="24"/>
  <c r="F167" i="24"/>
  <c r="C167" i="24"/>
  <c r="F166" i="24"/>
  <c r="C166" i="24"/>
  <c r="F165" i="24"/>
  <c r="C165" i="24"/>
  <c r="F161" i="24"/>
  <c r="C161" i="24"/>
  <c r="F160" i="24"/>
  <c r="E183" i="24" s="1"/>
  <c r="C160" i="24"/>
  <c r="F159" i="24"/>
  <c r="E182" i="24" s="1"/>
  <c r="C159" i="24"/>
  <c r="F158" i="24"/>
  <c r="C158" i="24"/>
  <c r="F157" i="24"/>
  <c r="C157" i="24"/>
  <c r="F156" i="24"/>
  <c r="E179" i="24" s="1"/>
  <c r="C156" i="24"/>
  <c r="F155" i="24"/>
  <c r="E178" i="24" s="1"/>
  <c r="C155" i="24"/>
  <c r="F154" i="24"/>
  <c r="E177" i="24" s="1"/>
  <c r="C154" i="24"/>
  <c r="F153" i="24"/>
  <c r="C153" i="24"/>
  <c r="F152" i="24"/>
  <c r="E175" i="24" s="1"/>
  <c r="C152" i="24"/>
  <c r="F151" i="24"/>
  <c r="E151" i="24" s="1"/>
  <c r="C151" i="24"/>
  <c r="F150" i="24"/>
  <c r="E173" i="24" s="1"/>
  <c r="C150" i="24"/>
  <c r="F149" i="24"/>
  <c r="C149" i="24"/>
  <c r="F148" i="24"/>
  <c r="E171" i="24" s="1"/>
  <c r="C148" i="24"/>
  <c r="F147" i="24"/>
  <c r="E147" i="24" s="1"/>
  <c r="F192" i="24" s="1"/>
  <c r="C147" i="24"/>
  <c r="F146" i="24"/>
  <c r="E146" i="24" s="1"/>
  <c r="C146" i="24"/>
  <c r="F145" i="24"/>
  <c r="C145" i="24"/>
  <c r="F144" i="24"/>
  <c r="E167" i="24" s="1"/>
  <c r="C144" i="24"/>
  <c r="F143" i="24"/>
  <c r="E143" i="24" s="1"/>
  <c r="C143" i="24"/>
  <c r="F142" i="24"/>
  <c r="E165" i="24" s="1"/>
  <c r="C142" i="24"/>
  <c r="S141" i="24"/>
  <c r="T141" i="24" s="1"/>
  <c r="Q141" i="24"/>
  <c r="O141" i="24"/>
  <c r="P186" i="24" s="1"/>
  <c r="M141" i="24"/>
  <c r="K141" i="24"/>
  <c r="L141" i="24" s="1"/>
  <c r="I141" i="24"/>
  <c r="G141" i="24"/>
  <c r="G186" i="24" s="1"/>
  <c r="E141" i="24"/>
  <c r="C138" i="24"/>
  <c r="C137" i="24"/>
  <c r="C136" i="24"/>
  <c r="C135" i="24"/>
  <c r="C134" i="24"/>
  <c r="C133" i="24"/>
  <c r="C132" i="24"/>
  <c r="C131" i="24"/>
  <c r="C130" i="24"/>
  <c r="C129" i="24"/>
  <c r="C128" i="24"/>
  <c r="C127" i="24"/>
  <c r="C126" i="24"/>
  <c r="C125" i="24"/>
  <c r="C124" i="24"/>
  <c r="C123" i="24"/>
  <c r="C122" i="24"/>
  <c r="C121" i="24"/>
  <c r="C120" i="24"/>
  <c r="C119" i="24"/>
  <c r="S118" i="24"/>
  <c r="Q118" i="24"/>
  <c r="O118" i="24"/>
  <c r="M118" i="24"/>
  <c r="K118" i="24"/>
  <c r="I118" i="24"/>
  <c r="G118" i="24"/>
  <c r="E118" i="24"/>
  <c r="C115" i="24"/>
  <c r="C114" i="24"/>
  <c r="C113" i="24"/>
  <c r="C112" i="24"/>
  <c r="C111" i="24"/>
  <c r="C110" i="24"/>
  <c r="C109" i="24"/>
  <c r="C108" i="24"/>
  <c r="C107" i="24"/>
  <c r="C106" i="24"/>
  <c r="C105" i="24"/>
  <c r="C104" i="24"/>
  <c r="C103" i="24"/>
  <c r="C102" i="24"/>
  <c r="C101" i="24"/>
  <c r="C100" i="24"/>
  <c r="C99" i="24"/>
  <c r="C98" i="24"/>
  <c r="C97" i="24"/>
  <c r="C96" i="24"/>
  <c r="W92" i="24"/>
  <c r="U92" i="24"/>
  <c r="E92" i="24"/>
  <c r="C92" i="24"/>
  <c r="W91" i="24"/>
  <c r="U91" i="24"/>
  <c r="E91" i="24"/>
  <c r="C91" i="24"/>
  <c r="W90" i="24"/>
  <c r="U90" i="24"/>
  <c r="E90" i="24"/>
  <c r="C90" i="24"/>
  <c r="W89" i="24"/>
  <c r="U89" i="24"/>
  <c r="E89" i="24"/>
  <c r="C89" i="24"/>
  <c r="W88" i="24"/>
  <c r="U88" i="24"/>
  <c r="E88" i="24"/>
  <c r="C88" i="24"/>
  <c r="W87" i="24"/>
  <c r="U87" i="24"/>
  <c r="E87" i="24"/>
  <c r="C87" i="24"/>
  <c r="W86" i="24"/>
  <c r="U86" i="24"/>
  <c r="E86" i="24"/>
  <c r="C86" i="24"/>
  <c r="W85" i="24"/>
  <c r="U85" i="24"/>
  <c r="E85" i="24"/>
  <c r="C85" i="24"/>
  <c r="W84" i="24"/>
  <c r="U84" i="24"/>
  <c r="E84" i="24"/>
  <c r="C84" i="24"/>
  <c r="W83" i="24"/>
  <c r="U83" i="24"/>
  <c r="E83" i="24"/>
  <c r="C83" i="24"/>
  <c r="W82" i="24"/>
  <c r="U82" i="24"/>
  <c r="E82" i="24"/>
  <c r="C82" i="24"/>
  <c r="W81" i="24"/>
  <c r="U81" i="24"/>
  <c r="E81" i="24"/>
  <c r="C81" i="24"/>
  <c r="W80" i="24"/>
  <c r="U80" i="24"/>
  <c r="E80" i="24"/>
  <c r="C80" i="24"/>
  <c r="W79" i="24"/>
  <c r="U79" i="24"/>
  <c r="E79" i="24"/>
  <c r="C79" i="24"/>
  <c r="W78" i="24"/>
  <c r="U78" i="24"/>
  <c r="E78" i="24"/>
  <c r="C78" i="24"/>
  <c r="W77" i="24"/>
  <c r="U77" i="24"/>
  <c r="E77" i="24"/>
  <c r="C77" i="24"/>
  <c r="W76" i="24"/>
  <c r="U76" i="24"/>
  <c r="E76" i="24"/>
  <c r="C76" i="24"/>
  <c r="W75" i="24"/>
  <c r="U75" i="24"/>
  <c r="E75" i="24"/>
  <c r="C75" i="24"/>
  <c r="W74" i="24"/>
  <c r="U74" i="24"/>
  <c r="E74" i="24"/>
  <c r="C74" i="24"/>
  <c r="W73" i="24"/>
  <c r="U73" i="24"/>
  <c r="E73" i="24"/>
  <c r="C73" i="24"/>
  <c r="C68" i="24"/>
  <c r="C67" i="24"/>
  <c r="C66" i="24"/>
  <c r="C65" i="24"/>
  <c r="C64" i="24"/>
  <c r="C63" i="24"/>
  <c r="C62" i="24"/>
  <c r="C61" i="24"/>
  <c r="C60" i="24"/>
  <c r="C59" i="24"/>
  <c r="C58" i="24"/>
  <c r="C57" i="24"/>
  <c r="C56" i="24"/>
  <c r="C55" i="24"/>
  <c r="C54" i="24"/>
  <c r="C53" i="24"/>
  <c r="C52" i="24"/>
  <c r="C51" i="24"/>
  <c r="C50" i="24"/>
  <c r="C49" i="24"/>
  <c r="Z46" i="24"/>
  <c r="Z45" i="24"/>
  <c r="Z44" i="24"/>
  <c r="Z43" i="24"/>
  <c r="Z42" i="24"/>
  <c r="Z41" i="24"/>
  <c r="Z40" i="24"/>
  <c r="Z39" i="24"/>
  <c r="Z38" i="24"/>
  <c r="Z37" i="24"/>
  <c r="Z36" i="24"/>
  <c r="Z35" i="24"/>
  <c r="Z34" i="24"/>
  <c r="Z33" i="24"/>
  <c r="Z32" i="24"/>
  <c r="Z31" i="24"/>
  <c r="Z30" i="24"/>
  <c r="Z29" i="24"/>
  <c r="Z28" i="24"/>
  <c r="W25" i="24"/>
  <c r="W141" i="24" s="1"/>
  <c r="W186" i="24" s="1"/>
  <c r="U25" i="24"/>
  <c r="U95" i="24" s="1"/>
  <c r="U173" i="23" s="1"/>
  <c r="S25" i="24"/>
  <c r="S95" i="24" s="1"/>
  <c r="S173" i="23" s="1"/>
  <c r="Q25" i="24"/>
  <c r="O25" i="24"/>
  <c r="O48" i="24" s="1"/>
  <c r="M25" i="24"/>
  <c r="M151" i="23" s="1"/>
  <c r="K25" i="24"/>
  <c r="K48" i="24" s="1"/>
  <c r="I25" i="24"/>
  <c r="I48" i="24" s="1"/>
  <c r="G25" i="24"/>
  <c r="G95" i="24" s="1"/>
  <c r="G173" i="23" s="1"/>
  <c r="E25" i="24"/>
  <c r="E151" i="23" s="1"/>
  <c r="A5" i="24"/>
  <c r="C173" i="23"/>
  <c r="O151" i="23"/>
  <c r="C151" i="23"/>
  <c r="D108" i="23"/>
  <c r="D103" i="23"/>
  <c r="C103" i="23"/>
  <c r="E102" i="23"/>
  <c r="C102" i="23"/>
  <c r="D102" i="23" s="1"/>
  <c r="E98" i="23"/>
  <c r="E99" i="23" s="1"/>
  <c r="W76" i="23"/>
  <c r="U76" i="23"/>
  <c r="S76" i="23"/>
  <c r="Q76" i="23"/>
  <c r="O76" i="23"/>
  <c r="M76" i="23"/>
  <c r="K76" i="23"/>
  <c r="I76" i="23"/>
  <c r="G76" i="23"/>
  <c r="W75" i="23"/>
  <c r="U75" i="23"/>
  <c r="S75" i="23"/>
  <c r="Q75" i="23"/>
  <c r="O75" i="23"/>
  <c r="M75" i="23"/>
  <c r="K75" i="23"/>
  <c r="I75" i="23"/>
  <c r="G75" i="23"/>
  <c r="W74" i="23"/>
  <c r="U74" i="23"/>
  <c r="S74" i="23"/>
  <c r="Q74" i="23"/>
  <c r="O74" i="23"/>
  <c r="M74" i="23"/>
  <c r="K74" i="23"/>
  <c r="I74" i="23"/>
  <c r="G74" i="23"/>
  <c r="W72" i="23"/>
  <c r="U72" i="23"/>
  <c r="S72" i="23"/>
  <c r="Q72" i="23"/>
  <c r="O72" i="23"/>
  <c r="M72" i="23"/>
  <c r="K72" i="23"/>
  <c r="I72" i="23"/>
  <c r="G72" i="23"/>
  <c r="U70" i="23"/>
  <c r="S70" i="23"/>
  <c r="Q70" i="23"/>
  <c r="M70" i="23"/>
  <c r="K70" i="23"/>
  <c r="W61" i="23"/>
  <c r="U61" i="23"/>
  <c r="S61" i="23"/>
  <c r="Q61" i="23"/>
  <c r="O61" i="23"/>
  <c r="M61" i="23"/>
  <c r="K61" i="23"/>
  <c r="I61" i="23"/>
  <c r="G61" i="23"/>
  <c r="W60" i="23"/>
  <c r="W66" i="24" s="1"/>
  <c r="U60" i="23"/>
  <c r="U62" i="24" s="1"/>
  <c r="S60" i="23"/>
  <c r="S50" i="24" s="1"/>
  <c r="Q60" i="23"/>
  <c r="Q62" i="24" s="1"/>
  <c r="O60" i="23"/>
  <c r="O58" i="24" s="1"/>
  <c r="M60" i="23"/>
  <c r="M54" i="24" s="1"/>
  <c r="K60" i="23"/>
  <c r="K66" i="24" s="1"/>
  <c r="I60" i="23"/>
  <c r="G60" i="23"/>
  <c r="G58" i="24" s="1"/>
  <c r="W54" i="23"/>
  <c r="X134" i="24" s="1"/>
  <c r="U54" i="23"/>
  <c r="V135" i="24" s="1"/>
  <c r="S54" i="23"/>
  <c r="T131" i="24" s="1"/>
  <c r="Q54" i="23"/>
  <c r="R127" i="24" s="1"/>
  <c r="O54" i="23"/>
  <c r="M54" i="23"/>
  <c r="N130" i="24" s="1"/>
  <c r="K54" i="23"/>
  <c r="L126" i="24" s="1"/>
  <c r="I54" i="23"/>
  <c r="J126" i="24" s="1"/>
  <c r="G54" i="23"/>
  <c r="H122" i="24" s="1"/>
  <c r="W53" i="23"/>
  <c r="W98" i="23" s="1"/>
  <c r="W99" i="23" s="1"/>
  <c r="U53" i="23"/>
  <c r="S53" i="23"/>
  <c r="S77" i="24" s="1"/>
  <c r="Q53" i="23"/>
  <c r="Q23" i="24" s="1"/>
  <c r="O53" i="23"/>
  <c r="O82" i="24" s="1"/>
  <c r="M53" i="23"/>
  <c r="K53" i="23"/>
  <c r="I53" i="23"/>
  <c r="I23" i="24" s="1"/>
  <c r="G53" i="23"/>
  <c r="G90" i="24" s="1"/>
  <c r="W48" i="23"/>
  <c r="U48" i="23"/>
  <c r="S48" i="23"/>
  <c r="Q48" i="23"/>
  <c r="O48" i="23"/>
  <c r="M48" i="23"/>
  <c r="K48" i="23"/>
  <c r="I48" i="23"/>
  <c r="G48" i="23"/>
  <c r="W47" i="23"/>
  <c r="U47" i="23"/>
  <c r="S47" i="23"/>
  <c r="Q47" i="23"/>
  <c r="O47" i="23"/>
  <c r="M47" i="23"/>
  <c r="K47" i="23"/>
  <c r="I47" i="23"/>
  <c r="G47" i="23"/>
  <c r="W46" i="23"/>
  <c r="U46" i="23"/>
  <c r="S46" i="23"/>
  <c r="Q46" i="23"/>
  <c r="O46" i="23"/>
  <c r="M46" i="23"/>
  <c r="K46" i="23"/>
  <c r="I46" i="23"/>
  <c r="G46" i="23"/>
  <c r="W44" i="23"/>
  <c r="U44" i="23"/>
  <c r="S44" i="23"/>
  <c r="Q44" i="23"/>
  <c r="O44" i="23"/>
  <c r="M44" i="23"/>
  <c r="K44" i="23"/>
  <c r="I44" i="23"/>
  <c r="G44" i="23"/>
  <c r="W43" i="23"/>
  <c r="U43" i="23"/>
  <c r="S43" i="23"/>
  <c r="Q43" i="23"/>
  <c r="O43" i="23"/>
  <c r="M43" i="23"/>
  <c r="K43" i="23"/>
  <c r="I43" i="23"/>
  <c r="G43" i="23"/>
  <c r="E42" i="23"/>
  <c r="W42" i="23" s="1"/>
  <c r="E41" i="23"/>
  <c r="U41" i="23" s="1"/>
  <c r="W40" i="23"/>
  <c r="U40" i="23"/>
  <c r="S40" i="23"/>
  <c r="Q40" i="23"/>
  <c r="O40" i="23"/>
  <c r="M40" i="23"/>
  <c r="K40" i="23"/>
  <c r="I40" i="23"/>
  <c r="G40" i="23"/>
  <c r="W38" i="23"/>
  <c r="U38" i="23"/>
  <c r="S38" i="23"/>
  <c r="Q38" i="23"/>
  <c r="O38" i="23"/>
  <c r="M38" i="23"/>
  <c r="K38" i="23"/>
  <c r="I38" i="23"/>
  <c r="G38" i="23"/>
  <c r="E37" i="23"/>
  <c r="U37" i="23" s="1"/>
  <c r="W36" i="23"/>
  <c r="U36" i="23"/>
  <c r="S36" i="23"/>
  <c r="Q36" i="23"/>
  <c r="O36" i="23"/>
  <c r="M36" i="23"/>
  <c r="K36" i="23"/>
  <c r="I36" i="23"/>
  <c r="G36" i="23"/>
  <c r="W34" i="23"/>
  <c r="U34" i="23"/>
  <c r="S34" i="23"/>
  <c r="Q34" i="23"/>
  <c r="O34" i="23"/>
  <c r="M34" i="23"/>
  <c r="K34" i="23"/>
  <c r="I34" i="23"/>
  <c r="G34" i="23"/>
  <c r="W95" i="11"/>
  <c r="W151" i="6" s="1"/>
  <c r="F184" i="11"/>
  <c r="F183" i="11"/>
  <c r="F182" i="11"/>
  <c r="F181" i="11"/>
  <c r="F180" i="11"/>
  <c r="F179" i="11"/>
  <c r="F178" i="11"/>
  <c r="F177" i="11"/>
  <c r="F176" i="11"/>
  <c r="F175" i="11"/>
  <c r="F174" i="11"/>
  <c r="F173" i="11"/>
  <c r="F172" i="11"/>
  <c r="F171" i="11"/>
  <c r="F170" i="11"/>
  <c r="F169" i="11"/>
  <c r="F168" i="11"/>
  <c r="F167" i="11"/>
  <c r="F166" i="11"/>
  <c r="F165" i="11"/>
  <c r="F142" i="11"/>
  <c r="E165" i="11" s="1"/>
  <c r="F143" i="11"/>
  <c r="E143" i="11" s="1"/>
  <c r="F188" i="11" s="1"/>
  <c r="E188" i="11" s="1"/>
  <c r="F144" i="11"/>
  <c r="F145" i="11"/>
  <c r="E168" i="11" s="1"/>
  <c r="F146" i="11"/>
  <c r="F147" i="11"/>
  <c r="E147" i="11" s="1"/>
  <c r="F192" i="11" s="1"/>
  <c r="E192" i="11" s="1"/>
  <c r="F148" i="11"/>
  <c r="F149" i="11"/>
  <c r="E172" i="11" s="1"/>
  <c r="F150" i="11"/>
  <c r="F151" i="11"/>
  <c r="E151" i="11" s="1"/>
  <c r="F196" i="11" s="1"/>
  <c r="E196" i="11" s="1"/>
  <c r="F152" i="11"/>
  <c r="F153" i="11"/>
  <c r="E176" i="11" s="1"/>
  <c r="F154" i="11"/>
  <c r="F155" i="11"/>
  <c r="E155" i="11" s="1"/>
  <c r="F200" i="11" s="1"/>
  <c r="E200" i="11" s="1"/>
  <c r="F156" i="11"/>
  <c r="F157" i="11"/>
  <c r="E180" i="11" s="1"/>
  <c r="F158" i="11"/>
  <c r="F159" i="11"/>
  <c r="E159" i="11" s="1"/>
  <c r="F204" i="11" s="1"/>
  <c r="E204" i="11" s="1"/>
  <c r="F160" i="11"/>
  <c r="F161" i="11"/>
  <c r="E184" i="11" s="1"/>
  <c r="E50" i="11"/>
  <c r="E51" i="11"/>
  <c r="E52" i="11"/>
  <c r="E53" i="11"/>
  <c r="E54" i="11"/>
  <c r="E55" i="11"/>
  <c r="E56" i="11"/>
  <c r="E57" i="11"/>
  <c r="E58" i="11"/>
  <c r="E59" i="11"/>
  <c r="E60" i="11"/>
  <c r="E61" i="11"/>
  <c r="E62" i="11"/>
  <c r="E63" i="11"/>
  <c r="E64" i="11"/>
  <c r="E65" i="11"/>
  <c r="E66" i="11"/>
  <c r="E67" i="11"/>
  <c r="E68" i="11"/>
  <c r="E49" i="11"/>
  <c r="U48" i="11"/>
  <c r="A5" i="11"/>
  <c r="A6" i="11" s="1"/>
  <c r="A7" i="11" s="1"/>
  <c r="A8" i="11" s="1"/>
  <c r="A9" i="11" s="1"/>
  <c r="A10" i="11" s="1"/>
  <c r="A11" i="11" s="1"/>
  <c r="A12" i="11" s="1"/>
  <c r="A13" i="11" s="1"/>
  <c r="A14" i="11" s="1"/>
  <c r="A15" i="11" s="1"/>
  <c r="A16" i="11" s="1"/>
  <c r="A17" i="11" s="1"/>
  <c r="A18" i="11" s="1"/>
  <c r="A19" i="11" s="1"/>
  <c r="A20" i="11" s="1"/>
  <c r="A21" i="11" s="1"/>
  <c r="A22" i="11" s="1"/>
  <c r="A23" i="11" s="1"/>
  <c r="U25" i="11"/>
  <c r="U2" i="11" s="1"/>
  <c r="W25" i="11"/>
  <c r="W2" i="11" s="1"/>
  <c r="S65" i="24" l="1"/>
  <c r="K23" i="24"/>
  <c r="W50" i="24"/>
  <c r="K65" i="24"/>
  <c r="S58" i="24"/>
  <c r="G66" i="24"/>
  <c r="M61" i="24"/>
  <c r="U61" i="24"/>
  <c r="K50" i="24"/>
  <c r="M62" i="24"/>
  <c r="Q54" i="24"/>
  <c r="S66" i="24"/>
  <c r="W58" i="24"/>
  <c r="M23" i="24"/>
  <c r="U23" i="24"/>
  <c r="G65" i="24"/>
  <c r="O65" i="24"/>
  <c r="W65" i="24"/>
  <c r="G50" i="24"/>
  <c r="K58" i="24"/>
  <c r="O50" i="24"/>
  <c r="U54" i="24"/>
  <c r="I61" i="24"/>
  <c r="Q61" i="24"/>
  <c r="G51" i="24"/>
  <c r="G59" i="24"/>
  <c r="G67" i="24"/>
  <c r="I55" i="24"/>
  <c r="I63" i="24"/>
  <c r="K51" i="24"/>
  <c r="K59" i="24"/>
  <c r="K67" i="24"/>
  <c r="M55" i="24"/>
  <c r="M63" i="24"/>
  <c r="O51" i="24"/>
  <c r="O59" i="24"/>
  <c r="O67" i="24"/>
  <c r="Q55" i="24"/>
  <c r="Q63" i="24"/>
  <c r="S51" i="24"/>
  <c r="S59" i="24"/>
  <c r="S67" i="24"/>
  <c r="U55" i="24"/>
  <c r="U63" i="24"/>
  <c r="W51" i="24"/>
  <c r="W59" i="24"/>
  <c r="W67" i="24"/>
  <c r="G52" i="24"/>
  <c r="G60" i="24"/>
  <c r="G68" i="24"/>
  <c r="I56" i="24"/>
  <c r="I64" i="24"/>
  <c r="K52" i="24"/>
  <c r="K60" i="24"/>
  <c r="K68" i="24"/>
  <c r="M56" i="24"/>
  <c r="M64" i="24"/>
  <c r="O52" i="24"/>
  <c r="O60" i="24"/>
  <c r="O68" i="24"/>
  <c r="Q56" i="24"/>
  <c r="Q64" i="24"/>
  <c r="S52" i="24"/>
  <c r="S60" i="24"/>
  <c r="S68" i="24"/>
  <c r="U56" i="24"/>
  <c r="U64" i="24"/>
  <c r="W52" i="24"/>
  <c r="W60" i="24"/>
  <c r="W68" i="24"/>
  <c r="G53" i="24"/>
  <c r="G61" i="24"/>
  <c r="I49" i="24"/>
  <c r="I57" i="24"/>
  <c r="I65" i="24"/>
  <c r="K53" i="24"/>
  <c r="K61" i="24"/>
  <c r="M49" i="24"/>
  <c r="M57" i="24"/>
  <c r="M65" i="24"/>
  <c r="O53" i="24"/>
  <c r="O61" i="24"/>
  <c r="Q49" i="24"/>
  <c r="Q57" i="24"/>
  <c r="Q65" i="24"/>
  <c r="S53" i="24"/>
  <c r="S61" i="24"/>
  <c r="U49" i="24"/>
  <c r="U57" i="24"/>
  <c r="U65" i="24"/>
  <c r="W53" i="24"/>
  <c r="W61" i="24"/>
  <c r="G54" i="24"/>
  <c r="G62" i="24"/>
  <c r="I50" i="24"/>
  <c r="I58" i="24"/>
  <c r="I66" i="24"/>
  <c r="K54" i="24"/>
  <c r="K62" i="24"/>
  <c r="M50" i="24"/>
  <c r="M58" i="24"/>
  <c r="M66" i="24"/>
  <c r="O54" i="24"/>
  <c r="O62" i="24"/>
  <c r="Q50" i="24"/>
  <c r="Q58" i="24"/>
  <c r="Q66" i="24"/>
  <c r="S54" i="24"/>
  <c r="S62" i="24"/>
  <c r="U50" i="24"/>
  <c r="U58" i="24"/>
  <c r="U66" i="24"/>
  <c r="W54" i="24"/>
  <c r="W62" i="24"/>
  <c r="I54" i="24"/>
  <c r="G55" i="24"/>
  <c r="G63" i="24"/>
  <c r="I51" i="24"/>
  <c r="I59" i="24"/>
  <c r="I67" i="24"/>
  <c r="K55" i="24"/>
  <c r="K63" i="24"/>
  <c r="M51" i="24"/>
  <c r="M59" i="24"/>
  <c r="M67" i="24"/>
  <c r="O55" i="24"/>
  <c r="O63" i="24"/>
  <c r="Q51" i="24"/>
  <c r="Q59" i="24"/>
  <c r="Q67" i="24"/>
  <c r="S55" i="24"/>
  <c r="S63" i="24"/>
  <c r="U51" i="24"/>
  <c r="U59" i="24"/>
  <c r="U67" i="24"/>
  <c r="W55" i="24"/>
  <c r="W63" i="24"/>
  <c r="I62" i="24"/>
  <c r="G56" i="24"/>
  <c r="G64" i="24"/>
  <c r="I52" i="24"/>
  <c r="I60" i="24"/>
  <c r="I68" i="24"/>
  <c r="K56" i="24"/>
  <c r="K64" i="24"/>
  <c r="M52" i="24"/>
  <c r="M60" i="24"/>
  <c r="M68" i="24"/>
  <c r="O56" i="24"/>
  <c r="O64" i="24"/>
  <c r="Q52" i="24"/>
  <c r="Q60" i="24"/>
  <c r="Q68" i="24"/>
  <c r="S56" i="24"/>
  <c r="S64" i="24"/>
  <c r="U52" i="24"/>
  <c r="U60" i="24"/>
  <c r="U68" i="24"/>
  <c r="W56" i="24"/>
  <c r="W64" i="24"/>
  <c r="G49" i="24"/>
  <c r="G57" i="24"/>
  <c r="I53" i="24"/>
  <c r="K49" i="24"/>
  <c r="K57" i="24"/>
  <c r="M53" i="24"/>
  <c r="O49" i="24"/>
  <c r="O57" i="24"/>
  <c r="Q53" i="24"/>
  <c r="S49" i="24"/>
  <c r="S57" i="24"/>
  <c r="U53" i="24"/>
  <c r="W49" i="24"/>
  <c r="W57" i="24"/>
  <c r="N165" i="24"/>
  <c r="R202" i="24"/>
  <c r="Q202" i="24" s="1"/>
  <c r="R199" i="24"/>
  <c r="Q199" i="24" s="1"/>
  <c r="R194" i="24"/>
  <c r="Q194" i="24" s="1"/>
  <c r="R191" i="24"/>
  <c r="Q191" i="24" s="1"/>
  <c r="R197" i="24"/>
  <c r="Q197" i="24" s="1"/>
  <c r="R204" i="24"/>
  <c r="Q204" i="24" s="1"/>
  <c r="R201" i="24"/>
  <c r="Q201" i="24" s="1"/>
  <c r="R196" i="24"/>
  <c r="Q196" i="24" s="1"/>
  <c r="R193" i="24"/>
  <c r="Q193" i="24" s="1"/>
  <c r="R188" i="24"/>
  <c r="Q188" i="24" s="1"/>
  <c r="R205" i="24"/>
  <c r="Q205" i="24" s="1"/>
  <c r="R200" i="24"/>
  <c r="Q200" i="24" s="1"/>
  <c r="R192" i="24"/>
  <c r="Q192" i="24" s="1"/>
  <c r="R206" i="24"/>
  <c r="Q206" i="24" s="1"/>
  <c r="R203" i="24"/>
  <c r="Q203" i="24" s="1"/>
  <c r="R198" i="24"/>
  <c r="Q198" i="24" s="1"/>
  <c r="R195" i="24"/>
  <c r="Q195" i="24" s="1"/>
  <c r="R190" i="24"/>
  <c r="Q190" i="24" s="1"/>
  <c r="R187" i="24"/>
  <c r="Q187" i="24" s="1"/>
  <c r="R189" i="24"/>
  <c r="Q189" i="24" s="1"/>
  <c r="P206" i="24"/>
  <c r="O206" i="24" s="1"/>
  <c r="P203" i="24"/>
  <c r="O203" i="24" s="1"/>
  <c r="P198" i="24"/>
  <c r="O198" i="24" s="1"/>
  <c r="P195" i="24"/>
  <c r="O195" i="24" s="1"/>
  <c r="P190" i="24"/>
  <c r="O190" i="24" s="1"/>
  <c r="P187" i="24"/>
  <c r="P193" i="24"/>
  <c r="O193" i="24" s="1"/>
  <c r="P205" i="24"/>
  <c r="O205" i="24" s="1"/>
  <c r="P200" i="24"/>
  <c r="O200" i="24" s="1"/>
  <c r="P197" i="24"/>
  <c r="O197" i="24" s="1"/>
  <c r="P192" i="24"/>
  <c r="O192" i="24" s="1"/>
  <c r="P189" i="24"/>
  <c r="O189" i="24" s="1"/>
  <c r="P204" i="24"/>
  <c r="O204" i="24" s="1"/>
  <c r="P202" i="24"/>
  <c r="O202" i="24" s="1"/>
  <c r="P199" i="24"/>
  <c r="O199" i="24" s="1"/>
  <c r="P194" i="24"/>
  <c r="O194" i="24" s="1"/>
  <c r="P191" i="24"/>
  <c r="O191" i="24" s="1"/>
  <c r="P201" i="24"/>
  <c r="O201" i="24" s="1"/>
  <c r="P196" i="24"/>
  <c r="O196" i="24" s="1"/>
  <c r="P188" i="24"/>
  <c r="O188" i="24" s="1"/>
  <c r="T206" i="24"/>
  <c r="S206" i="24" s="1"/>
  <c r="T203" i="24"/>
  <c r="S203" i="24" s="1"/>
  <c r="T198" i="24"/>
  <c r="S198" i="24" s="1"/>
  <c r="T195" i="24"/>
  <c r="S195" i="24" s="1"/>
  <c r="T190" i="24"/>
  <c r="S190" i="24" s="1"/>
  <c r="T187" i="24"/>
  <c r="S187" i="24" s="1"/>
  <c r="T204" i="24"/>
  <c r="S204" i="24" s="1"/>
  <c r="T196" i="24"/>
  <c r="S196" i="24" s="1"/>
  <c r="T188" i="24"/>
  <c r="S188" i="24" s="1"/>
  <c r="T205" i="24"/>
  <c r="S205" i="24" s="1"/>
  <c r="T200" i="24"/>
  <c r="S200" i="24" s="1"/>
  <c r="T197" i="24"/>
  <c r="S197" i="24" s="1"/>
  <c r="T192" i="24"/>
  <c r="S192" i="24" s="1"/>
  <c r="T189" i="24"/>
  <c r="S189" i="24" s="1"/>
  <c r="T201" i="24"/>
  <c r="S201" i="24" s="1"/>
  <c r="T202" i="24"/>
  <c r="S202" i="24" s="1"/>
  <c r="T199" i="24"/>
  <c r="S199" i="24" s="1"/>
  <c r="T194" i="24"/>
  <c r="S194" i="24" s="1"/>
  <c r="T191" i="24"/>
  <c r="S191" i="24" s="1"/>
  <c r="T193" i="24"/>
  <c r="S193" i="24" s="1"/>
  <c r="J202" i="24"/>
  <c r="I202" i="24" s="1"/>
  <c r="J199" i="24"/>
  <c r="I199" i="24" s="1"/>
  <c r="J194" i="24"/>
  <c r="I194" i="24" s="1"/>
  <c r="J191" i="24"/>
  <c r="I191" i="24" s="1"/>
  <c r="J204" i="24"/>
  <c r="I204" i="24" s="1"/>
  <c r="J201" i="24"/>
  <c r="I201" i="24" s="1"/>
  <c r="J196" i="24"/>
  <c r="I196" i="24" s="1"/>
  <c r="J193" i="24"/>
  <c r="I193" i="24" s="1"/>
  <c r="J188" i="24"/>
  <c r="I188" i="24" s="1"/>
  <c r="J206" i="24"/>
  <c r="I206" i="24" s="1"/>
  <c r="J203" i="24"/>
  <c r="I203" i="24" s="1"/>
  <c r="J198" i="24"/>
  <c r="I198" i="24" s="1"/>
  <c r="J195" i="24"/>
  <c r="I195" i="24" s="1"/>
  <c r="J190" i="24"/>
  <c r="I190" i="24" s="1"/>
  <c r="J187" i="24"/>
  <c r="J200" i="24"/>
  <c r="I200" i="24" s="1"/>
  <c r="J189" i="24"/>
  <c r="I189" i="24" s="1"/>
  <c r="J197" i="24"/>
  <c r="I197" i="24" s="1"/>
  <c r="J205" i="24"/>
  <c r="I205" i="24" s="1"/>
  <c r="J192" i="24"/>
  <c r="I192" i="24" s="1"/>
  <c r="L206" i="24"/>
  <c r="K206" i="24" s="1"/>
  <c r="L203" i="24"/>
  <c r="K203" i="24" s="1"/>
  <c r="L198" i="24"/>
  <c r="K198" i="24" s="1"/>
  <c r="L195" i="24"/>
  <c r="K195" i="24" s="1"/>
  <c r="L190" i="24"/>
  <c r="K190" i="24" s="1"/>
  <c r="L187" i="24"/>
  <c r="L204" i="24"/>
  <c r="K204" i="24" s="1"/>
  <c r="L196" i="24"/>
  <c r="K196" i="24" s="1"/>
  <c r="L205" i="24"/>
  <c r="K205" i="24" s="1"/>
  <c r="L200" i="24"/>
  <c r="K200" i="24" s="1"/>
  <c r="L197" i="24"/>
  <c r="K197" i="24" s="1"/>
  <c r="L192" i="24"/>
  <c r="K192" i="24" s="1"/>
  <c r="L189" i="24"/>
  <c r="K189" i="24" s="1"/>
  <c r="L193" i="24"/>
  <c r="K193" i="24" s="1"/>
  <c r="L202" i="24"/>
  <c r="K202" i="24" s="1"/>
  <c r="L199" i="24"/>
  <c r="K199" i="24" s="1"/>
  <c r="L194" i="24"/>
  <c r="K194" i="24" s="1"/>
  <c r="L191" i="24"/>
  <c r="K191" i="24" s="1"/>
  <c r="L201" i="24"/>
  <c r="K201" i="24" s="1"/>
  <c r="L188" i="24"/>
  <c r="K188" i="24" s="1"/>
  <c r="V202" i="24"/>
  <c r="U202" i="24" s="1"/>
  <c r="V199" i="24"/>
  <c r="U199" i="24" s="1"/>
  <c r="V194" i="24"/>
  <c r="U194" i="24" s="1"/>
  <c r="V191" i="24"/>
  <c r="U191" i="24" s="1"/>
  <c r="V205" i="24"/>
  <c r="U205" i="24" s="1"/>
  <c r="V192" i="24"/>
  <c r="U192" i="24" s="1"/>
  <c r="V204" i="24"/>
  <c r="U204" i="24" s="1"/>
  <c r="V201" i="24"/>
  <c r="U201" i="24" s="1"/>
  <c r="V196" i="24"/>
  <c r="U196" i="24" s="1"/>
  <c r="V193" i="24"/>
  <c r="U193" i="24" s="1"/>
  <c r="V188" i="24"/>
  <c r="U188" i="24" s="1"/>
  <c r="V197" i="24"/>
  <c r="U197" i="24" s="1"/>
  <c r="V189" i="24"/>
  <c r="U189" i="24" s="1"/>
  <c r="V206" i="24"/>
  <c r="U206" i="24" s="1"/>
  <c r="V203" i="24"/>
  <c r="U203" i="24" s="1"/>
  <c r="V198" i="24"/>
  <c r="U198" i="24" s="1"/>
  <c r="V195" i="24"/>
  <c r="U195" i="24" s="1"/>
  <c r="V190" i="24"/>
  <c r="U190" i="24" s="1"/>
  <c r="V187" i="24"/>
  <c r="U187" i="24" s="1"/>
  <c r="V200" i="24"/>
  <c r="U200" i="24" s="1"/>
  <c r="H206" i="24"/>
  <c r="G206" i="24" s="1"/>
  <c r="H202" i="24"/>
  <c r="G202" i="24" s="1"/>
  <c r="H198" i="24"/>
  <c r="G198" i="24" s="1"/>
  <c r="H194" i="24"/>
  <c r="G194" i="24" s="1"/>
  <c r="H190" i="24"/>
  <c r="G190" i="24" s="1"/>
  <c r="H205" i="24"/>
  <c r="G205" i="24" s="1"/>
  <c r="H201" i="24"/>
  <c r="G201" i="24" s="1"/>
  <c r="H197" i="24"/>
  <c r="G197" i="24" s="1"/>
  <c r="H193" i="24"/>
  <c r="G193" i="24" s="1"/>
  <c r="H189" i="24"/>
  <c r="G189" i="24" s="1"/>
  <c r="H204" i="24"/>
  <c r="G204" i="24" s="1"/>
  <c r="H200" i="24"/>
  <c r="G200" i="24" s="1"/>
  <c r="H196" i="24"/>
  <c r="G196" i="24" s="1"/>
  <c r="H192" i="24"/>
  <c r="G192" i="24" s="1"/>
  <c r="H188" i="24"/>
  <c r="G188" i="24" s="1"/>
  <c r="H195" i="24"/>
  <c r="G195" i="24" s="1"/>
  <c r="H203" i="24"/>
  <c r="G203" i="24" s="1"/>
  <c r="H191" i="24"/>
  <c r="G191" i="24" s="1"/>
  <c r="H187" i="24"/>
  <c r="H199" i="24"/>
  <c r="G199" i="24" s="1"/>
  <c r="N202" i="24"/>
  <c r="M202" i="24" s="1"/>
  <c r="N199" i="24"/>
  <c r="M199" i="24" s="1"/>
  <c r="N194" i="24"/>
  <c r="M194" i="24" s="1"/>
  <c r="N191" i="24"/>
  <c r="M191" i="24" s="1"/>
  <c r="N197" i="24"/>
  <c r="M197" i="24" s="1"/>
  <c r="N204" i="24"/>
  <c r="M204" i="24" s="1"/>
  <c r="N201" i="24"/>
  <c r="M201" i="24" s="1"/>
  <c r="N196" i="24"/>
  <c r="M196" i="24" s="1"/>
  <c r="N193" i="24"/>
  <c r="M193" i="24" s="1"/>
  <c r="N188" i="24"/>
  <c r="M188" i="24" s="1"/>
  <c r="N189" i="24"/>
  <c r="M189" i="24" s="1"/>
  <c r="N206" i="24"/>
  <c r="M206" i="24" s="1"/>
  <c r="N203" i="24"/>
  <c r="M203" i="24" s="1"/>
  <c r="N198" i="24"/>
  <c r="M198" i="24" s="1"/>
  <c r="N195" i="24"/>
  <c r="M195" i="24" s="1"/>
  <c r="N190" i="24"/>
  <c r="M190" i="24" s="1"/>
  <c r="N187" i="24"/>
  <c r="N205" i="24"/>
  <c r="M205" i="24" s="1"/>
  <c r="N200" i="24"/>
  <c r="M200" i="24" s="1"/>
  <c r="N192" i="24"/>
  <c r="M192" i="24" s="1"/>
  <c r="X206" i="24"/>
  <c r="W206" i="24" s="1"/>
  <c r="X203" i="24"/>
  <c r="W203" i="24" s="1"/>
  <c r="X198" i="24"/>
  <c r="W198" i="24" s="1"/>
  <c r="X195" i="24"/>
  <c r="W195" i="24" s="1"/>
  <c r="X190" i="24"/>
  <c r="W190" i="24" s="1"/>
  <c r="X187" i="24"/>
  <c r="W187" i="24" s="1"/>
  <c r="X201" i="24"/>
  <c r="W201" i="24" s="1"/>
  <c r="X205" i="24"/>
  <c r="W205" i="24" s="1"/>
  <c r="X200" i="24"/>
  <c r="W200" i="24" s="1"/>
  <c r="X197" i="24"/>
  <c r="W197" i="24" s="1"/>
  <c r="X192" i="24"/>
  <c r="W192" i="24" s="1"/>
  <c r="X189" i="24"/>
  <c r="W189" i="24" s="1"/>
  <c r="X204" i="24"/>
  <c r="W204" i="24" s="1"/>
  <c r="X193" i="24"/>
  <c r="W193" i="24" s="1"/>
  <c r="X188" i="24"/>
  <c r="W188" i="24" s="1"/>
  <c r="X202" i="24"/>
  <c r="W202" i="24" s="1"/>
  <c r="X199" i="24"/>
  <c r="W199" i="24" s="1"/>
  <c r="X194" i="24"/>
  <c r="W194" i="24" s="1"/>
  <c r="X191" i="24"/>
  <c r="W191" i="24" s="1"/>
  <c r="X196" i="24"/>
  <c r="W196" i="24" s="1"/>
  <c r="L123" i="24"/>
  <c r="R138" i="24"/>
  <c r="J134" i="24"/>
  <c r="I134" i="24" s="1"/>
  <c r="L134" i="24"/>
  <c r="K134" i="24" s="1"/>
  <c r="V119" i="24"/>
  <c r="N135" i="24"/>
  <c r="V130" i="24"/>
  <c r="U130" i="24" s="1"/>
  <c r="M130" i="24"/>
  <c r="U135" i="24"/>
  <c r="M82" i="24"/>
  <c r="K22" i="24"/>
  <c r="S22" i="24"/>
  <c r="S74" i="24"/>
  <c r="M77" i="24"/>
  <c r="O79" i="24"/>
  <c r="M83" i="24"/>
  <c r="M86" i="24"/>
  <c r="O88" i="24"/>
  <c r="M90" i="24"/>
  <c r="I11" i="24"/>
  <c r="K11" i="24"/>
  <c r="M11" i="24"/>
  <c r="Q11" i="24"/>
  <c r="S11" i="24"/>
  <c r="U11" i="24"/>
  <c r="K123" i="24"/>
  <c r="Q138" i="24"/>
  <c r="G122" i="24"/>
  <c r="W134" i="24"/>
  <c r="M22" i="24"/>
  <c r="U22" i="24"/>
  <c r="M73" i="24"/>
  <c r="G75" i="24"/>
  <c r="G78" i="24"/>
  <c r="S81" i="24"/>
  <c r="G84" i="24"/>
  <c r="G87" i="24"/>
  <c r="K89" i="24"/>
  <c r="G91" i="24"/>
  <c r="I15" i="24"/>
  <c r="K15" i="24"/>
  <c r="M15" i="24"/>
  <c r="Q15" i="24"/>
  <c r="S15" i="24"/>
  <c r="U15" i="24"/>
  <c r="U119" i="24"/>
  <c r="G22" i="24"/>
  <c r="O98" i="23"/>
  <c r="O99" i="23" s="1"/>
  <c r="G74" i="24"/>
  <c r="O75" i="24"/>
  <c r="S78" i="24"/>
  <c r="S84" i="24"/>
  <c r="M87" i="24"/>
  <c r="M89" i="24"/>
  <c r="O92" i="24"/>
  <c r="I19" i="24"/>
  <c r="K19" i="24"/>
  <c r="M19" i="24"/>
  <c r="Q19" i="24"/>
  <c r="S19" i="24"/>
  <c r="U19" i="24"/>
  <c r="I126" i="24"/>
  <c r="M135" i="24"/>
  <c r="K126" i="24"/>
  <c r="S131" i="24"/>
  <c r="I22" i="24"/>
  <c r="Q22" i="24"/>
  <c r="S98" i="23"/>
  <c r="S99" i="23" s="1"/>
  <c r="M74" i="24"/>
  <c r="O76" i="24"/>
  <c r="M79" i="24"/>
  <c r="M85" i="24"/>
  <c r="G88" i="24"/>
  <c r="S23" i="24"/>
  <c r="Q127" i="24"/>
  <c r="P136" i="24"/>
  <c r="O136" i="24" s="1"/>
  <c r="P133" i="24"/>
  <c r="O133" i="24" s="1"/>
  <c r="P128" i="24"/>
  <c r="O128" i="24" s="1"/>
  <c r="P125" i="24"/>
  <c r="O125" i="24" s="1"/>
  <c r="P120" i="24"/>
  <c r="O120" i="24" s="1"/>
  <c r="P138" i="24"/>
  <c r="O138" i="24" s="1"/>
  <c r="P135" i="24"/>
  <c r="O135" i="24" s="1"/>
  <c r="P130" i="24"/>
  <c r="O130" i="24" s="1"/>
  <c r="P127" i="24"/>
  <c r="O127" i="24" s="1"/>
  <c r="P122" i="24"/>
  <c r="O122" i="24" s="1"/>
  <c r="P119" i="24"/>
  <c r="O119" i="24" s="1"/>
  <c r="P137" i="24"/>
  <c r="O137" i="24" s="1"/>
  <c r="P132" i="24"/>
  <c r="O132" i="24" s="1"/>
  <c r="P129" i="24"/>
  <c r="O129" i="24" s="1"/>
  <c r="P124" i="24"/>
  <c r="O124" i="24" s="1"/>
  <c r="P121" i="24"/>
  <c r="O121" i="24" s="1"/>
  <c r="H127" i="24"/>
  <c r="G127" i="24" s="1"/>
  <c r="P126" i="24"/>
  <c r="O126" i="24" s="1"/>
  <c r="J165" i="24"/>
  <c r="J137" i="24"/>
  <c r="I137" i="24" s="1"/>
  <c r="J135" i="24"/>
  <c r="I135" i="24" s="1"/>
  <c r="J133" i="24"/>
  <c r="I133" i="24" s="1"/>
  <c r="J131" i="24"/>
  <c r="I131" i="24" s="1"/>
  <c r="J129" i="24"/>
  <c r="I129" i="24" s="1"/>
  <c r="J127" i="24"/>
  <c r="I127" i="24" s="1"/>
  <c r="J125" i="24"/>
  <c r="I125" i="24" s="1"/>
  <c r="J123" i="24"/>
  <c r="I123" i="24" s="1"/>
  <c r="J121" i="24"/>
  <c r="I121" i="24" s="1"/>
  <c r="J119" i="24"/>
  <c r="I119" i="24" s="1"/>
  <c r="R149" i="24"/>
  <c r="Q172" i="24" s="1"/>
  <c r="R137" i="24"/>
  <c r="Q137" i="24" s="1"/>
  <c r="R132" i="24"/>
  <c r="Q132" i="24" s="1"/>
  <c r="R129" i="24"/>
  <c r="Q129" i="24" s="1"/>
  <c r="R124" i="24"/>
  <c r="Q124" i="24" s="1"/>
  <c r="R121" i="24"/>
  <c r="Q121" i="24" s="1"/>
  <c r="R134" i="24"/>
  <c r="Q134" i="24" s="1"/>
  <c r="R131" i="24"/>
  <c r="Q131" i="24" s="1"/>
  <c r="R126" i="24"/>
  <c r="Q126" i="24" s="1"/>
  <c r="R123" i="24"/>
  <c r="Q123" i="24" s="1"/>
  <c r="R136" i="24"/>
  <c r="Q136" i="24" s="1"/>
  <c r="R133" i="24"/>
  <c r="Q133" i="24" s="1"/>
  <c r="R128" i="24"/>
  <c r="Q128" i="24" s="1"/>
  <c r="R125" i="24"/>
  <c r="Q125" i="24" s="1"/>
  <c r="R120" i="24"/>
  <c r="Q120" i="24" s="1"/>
  <c r="R145" i="24"/>
  <c r="V161" i="24"/>
  <c r="U184" i="24" s="1"/>
  <c r="H119" i="24"/>
  <c r="G119" i="24" s="1"/>
  <c r="H130" i="24"/>
  <c r="G130" i="24" s="1"/>
  <c r="J120" i="24"/>
  <c r="I120" i="24" s="1"/>
  <c r="J128" i="24"/>
  <c r="I128" i="24" s="1"/>
  <c r="J136" i="24"/>
  <c r="I136" i="24" s="1"/>
  <c r="N127" i="24"/>
  <c r="M127" i="24" s="1"/>
  <c r="N138" i="24"/>
  <c r="M138" i="24" s="1"/>
  <c r="R119" i="24"/>
  <c r="Q119" i="24" s="1"/>
  <c r="R130" i="24"/>
  <c r="Q130" i="24" s="1"/>
  <c r="V122" i="24"/>
  <c r="U122" i="24" s="1"/>
  <c r="X123" i="24"/>
  <c r="W123" i="24" s="1"/>
  <c r="X136" i="24"/>
  <c r="W136" i="24" s="1"/>
  <c r="X133" i="24"/>
  <c r="W133" i="24" s="1"/>
  <c r="X128" i="24"/>
  <c r="W128" i="24" s="1"/>
  <c r="X125" i="24"/>
  <c r="W125" i="24" s="1"/>
  <c r="X120" i="24"/>
  <c r="W120" i="24" s="1"/>
  <c r="X180" i="24"/>
  <c r="X138" i="24"/>
  <c r="W138" i="24" s="1"/>
  <c r="X135" i="24"/>
  <c r="W135" i="24" s="1"/>
  <c r="X130" i="24"/>
  <c r="W130" i="24" s="1"/>
  <c r="X127" i="24"/>
  <c r="W127" i="24" s="1"/>
  <c r="X122" i="24"/>
  <c r="W122" i="24" s="1"/>
  <c r="X119" i="24"/>
  <c r="W119" i="24" s="1"/>
  <c r="X137" i="24"/>
  <c r="W137" i="24" s="1"/>
  <c r="X132" i="24"/>
  <c r="W132" i="24" s="1"/>
  <c r="X129" i="24"/>
  <c r="W129" i="24" s="1"/>
  <c r="X124" i="24"/>
  <c r="W124" i="24" s="1"/>
  <c r="X121" i="24"/>
  <c r="W121" i="24" s="1"/>
  <c r="X131" i="24"/>
  <c r="W131" i="24" s="1"/>
  <c r="L136" i="24"/>
  <c r="K136" i="24" s="1"/>
  <c r="L133" i="24"/>
  <c r="K133" i="24" s="1"/>
  <c r="L128" i="24"/>
  <c r="K128" i="24" s="1"/>
  <c r="L125" i="24"/>
  <c r="K125" i="24" s="1"/>
  <c r="L120" i="24"/>
  <c r="K120" i="24" s="1"/>
  <c r="L148" i="24"/>
  <c r="L145" i="24"/>
  <c r="K145" i="24" s="1"/>
  <c r="L144" i="24"/>
  <c r="K144" i="24" s="1"/>
  <c r="L138" i="24"/>
  <c r="K138" i="24" s="1"/>
  <c r="L135" i="24"/>
  <c r="K135" i="24" s="1"/>
  <c r="L130" i="24"/>
  <c r="K130" i="24" s="1"/>
  <c r="L127" i="24"/>
  <c r="K127" i="24" s="1"/>
  <c r="L122" i="24"/>
  <c r="K122" i="24" s="1"/>
  <c r="L119" i="24"/>
  <c r="K119" i="24" s="1"/>
  <c r="L170" i="24"/>
  <c r="L149" i="24"/>
  <c r="K149" i="24" s="1"/>
  <c r="L147" i="24"/>
  <c r="K170" i="24" s="1"/>
  <c r="L137" i="24"/>
  <c r="K137" i="24" s="1"/>
  <c r="L132" i="24"/>
  <c r="K132" i="24" s="1"/>
  <c r="L129" i="24"/>
  <c r="K129" i="24" s="1"/>
  <c r="L124" i="24"/>
  <c r="K124" i="24" s="1"/>
  <c r="L121" i="24"/>
  <c r="K121" i="24" s="1"/>
  <c r="L160" i="24"/>
  <c r="K160" i="24" s="1"/>
  <c r="T136" i="24"/>
  <c r="S136" i="24" s="1"/>
  <c r="T133" i="24"/>
  <c r="S133" i="24" s="1"/>
  <c r="T128" i="24"/>
  <c r="S128" i="24" s="1"/>
  <c r="T125" i="24"/>
  <c r="S125" i="24" s="1"/>
  <c r="T120" i="24"/>
  <c r="S120" i="24" s="1"/>
  <c r="T170" i="24"/>
  <c r="T138" i="24"/>
  <c r="S138" i="24" s="1"/>
  <c r="T135" i="24"/>
  <c r="S135" i="24" s="1"/>
  <c r="T130" i="24"/>
  <c r="S130" i="24" s="1"/>
  <c r="T127" i="24"/>
  <c r="S127" i="24" s="1"/>
  <c r="T122" i="24"/>
  <c r="S122" i="24" s="1"/>
  <c r="T119" i="24"/>
  <c r="S119" i="24" s="1"/>
  <c r="T183" i="24"/>
  <c r="T171" i="24"/>
  <c r="T159" i="24"/>
  <c r="T156" i="24"/>
  <c r="S179" i="24" s="1"/>
  <c r="T137" i="24"/>
  <c r="S137" i="24" s="1"/>
  <c r="T132" i="24"/>
  <c r="S132" i="24" s="1"/>
  <c r="T129" i="24"/>
  <c r="S129" i="24" s="1"/>
  <c r="T124" i="24"/>
  <c r="S124" i="24" s="1"/>
  <c r="T121" i="24"/>
  <c r="S121" i="24" s="1"/>
  <c r="T174" i="24"/>
  <c r="T166" i="24"/>
  <c r="T152" i="24"/>
  <c r="S152" i="24" s="1"/>
  <c r="T151" i="24"/>
  <c r="T142" i="24"/>
  <c r="S165" i="24" s="1"/>
  <c r="N143" i="24"/>
  <c r="T144" i="24"/>
  <c r="S144" i="24" s="1"/>
  <c r="V147" i="24"/>
  <c r="U147" i="24" s="1"/>
  <c r="L152" i="24"/>
  <c r="K175" i="24" s="1"/>
  <c r="T167" i="24"/>
  <c r="J122" i="24"/>
  <c r="I122" i="24" s="1"/>
  <c r="J130" i="24"/>
  <c r="I130" i="24" s="1"/>
  <c r="J138" i="24"/>
  <c r="I138" i="24" s="1"/>
  <c r="N119" i="24"/>
  <c r="M119" i="24" s="1"/>
  <c r="P131" i="24"/>
  <c r="O131" i="24" s="1"/>
  <c r="R122" i="24"/>
  <c r="Q122" i="24" s="1"/>
  <c r="T123" i="24"/>
  <c r="S123" i="24" s="1"/>
  <c r="T134" i="24"/>
  <c r="S134" i="24" s="1"/>
  <c r="X126" i="24"/>
  <c r="W126" i="24" s="1"/>
  <c r="H137" i="24"/>
  <c r="G137" i="24" s="1"/>
  <c r="H132" i="24"/>
  <c r="G132" i="24" s="1"/>
  <c r="H129" i="24"/>
  <c r="G129" i="24" s="1"/>
  <c r="H124" i="24"/>
  <c r="G124" i="24" s="1"/>
  <c r="H121" i="24"/>
  <c r="G121" i="24" s="1"/>
  <c r="H134" i="24"/>
  <c r="G134" i="24" s="1"/>
  <c r="H131" i="24"/>
  <c r="G131" i="24" s="1"/>
  <c r="H126" i="24"/>
  <c r="G126" i="24" s="1"/>
  <c r="H123" i="24"/>
  <c r="G123" i="24" s="1"/>
  <c r="H136" i="24"/>
  <c r="G136" i="24" s="1"/>
  <c r="H133" i="24"/>
  <c r="G133" i="24" s="1"/>
  <c r="H128" i="24"/>
  <c r="G128" i="24" s="1"/>
  <c r="H125" i="24"/>
  <c r="G125" i="24" s="1"/>
  <c r="H120" i="24"/>
  <c r="G120" i="24" s="1"/>
  <c r="H138" i="24"/>
  <c r="G138" i="24" s="1"/>
  <c r="N137" i="24"/>
  <c r="M137" i="24" s="1"/>
  <c r="N132" i="24"/>
  <c r="M132" i="24" s="1"/>
  <c r="N129" i="24"/>
  <c r="M129" i="24" s="1"/>
  <c r="N124" i="24"/>
  <c r="M124" i="24" s="1"/>
  <c r="N121" i="24"/>
  <c r="M121" i="24" s="1"/>
  <c r="N168" i="24"/>
  <c r="N147" i="24"/>
  <c r="M170" i="24" s="1"/>
  <c r="N134" i="24"/>
  <c r="M134" i="24" s="1"/>
  <c r="N131" i="24"/>
  <c r="M131" i="24" s="1"/>
  <c r="N126" i="24"/>
  <c r="M126" i="24" s="1"/>
  <c r="N123" i="24"/>
  <c r="M123" i="24" s="1"/>
  <c r="N169" i="24"/>
  <c r="N136" i="24"/>
  <c r="M136" i="24" s="1"/>
  <c r="N133" i="24"/>
  <c r="M133" i="24" s="1"/>
  <c r="N128" i="24"/>
  <c r="M128" i="24" s="1"/>
  <c r="N125" i="24"/>
  <c r="M125" i="24" s="1"/>
  <c r="N120" i="24"/>
  <c r="M120" i="24" s="1"/>
  <c r="V137" i="24"/>
  <c r="U137" i="24" s="1"/>
  <c r="V132" i="24"/>
  <c r="U132" i="24" s="1"/>
  <c r="V129" i="24"/>
  <c r="U129" i="24" s="1"/>
  <c r="V124" i="24"/>
  <c r="U124" i="24" s="1"/>
  <c r="V121" i="24"/>
  <c r="U121" i="24" s="1"/>
  <c r="V169" i="24"/>
  <c r="V146" i="24"/>
  <c r="V134" i="24"/>
  <c r="U134" i="24" s="1"/>
  <c r="V131" i="24"/>
  <c r="U131" i="24" s="1"/>
  <c r="V126" i="24"/>
  <c r="U126" i="24" s="1"/>
  <c r="V123" i="24"/>
  <c r="U123" i="24" s="1"/>
  <c r="V136" i="24"/>
  <c r="U136" i="24" s="1"/>
  <c r="V133" i="24"/>
  <c r="U133" i="24" s="1"/>
  <c r="V128" i="24"/>
  <c r="U128" i="24" s="1"/>
  <c r="V125" i="24"/>
  <c r="U125" i="24" s="1"/>
  <c r="V120" i="24"/>
  <c r="U120" i="24" s="1"/>
  <c r="V165" i="24"/>
  <c r="V157" i="24"/>
  <c r="U157" i="24" s="1"/>
  <c r="V150" i="24"/>
  <c r="X142" i="24"/>
  <c r="W165" i="24" s="1"/>
  <c r="T143" i="24"/>
  <c r="L151" i="24"/>
  <c r="K174" i="24" s="1"/>
  <c r="L166" i="24"/>
  <c r="L175" i="24"/>
  <c r="H135" i="24"/>
  <c r="G135" i="24" s="1"/>
  <c r="J124" i="24"/>
  <c r="I124" i="24" s="1"/>
  <c r="J132" i="24"/>
  <c r="I132" i="24" s="1"/>
  <c r="L131" i="24"/>
  <c r="K131" i="24" s="1"/>
  <c r="N122" i="24"/>
  <c r="M122" i="24" s="1"/>
  <c r="P123" i="24"/>
  <c r="O123" i="24" s="1"/>
  <c r="P134" i="24"/>
  <c r="O134" i="24" s="1"/>
  <c r="R135" i="24"/>
  <c r="Q135" i="24" s="1"/>
  <c r="T126" i="24"/>
  <c r="S126" i="24" s="1"/>
  <c r="V127" i="24"/>
  <c r="U127" i="24" s="1"/>
  <c r="V138" i="24"/>
  <c r="U138" i="24" s="1"/>
  <c r="F191" i="24"/>
  <c r="E191" i="24" s="1"/>
  <c r="F196" i="24"/>
  <c r="E196" i="24" s="1"/>
  <c r="F188" i="24"/>
  <c r="E188" i="24" s="1"/>
  <c r="E192" i="24"/>
  <c r="G102" i="23"/>
  <c r="G12" i="24"/>
  <c r="G16" i="24"/>
  <c r="G20" i="24"/>
  <c r="I12" i="24"/>
  <c r="I16" i="24"/>
  <c r="I20" i="24"/>
  <c r="K12" i="24"/>
  <c r="K16" i="24"/>
  <c r="K20" i="24"/>
  <c r="M12" i="24"/>
  <c r="M16" i="24"/>
  <c r="M20" i="24"/>
  <c r="O12" i="24"/>
  <c r="O16" i="24"/>
  <c r="O20" i="24"/>
  <c r="Q12" i="24"/>
  <c r="Q16" i="24"/>
  <c r="Q20" i="24"/>
  <c r="S12" i="24"/>
  <c r="S16" i="24"/>
  <c r="S20" i="24"/>
  <c r="U12" i="24"/>
  <c r="U16" i="24"/>
  <c r="U20" i="24"/>
  <c r="W12" i="24"/>
  <c r="W16" i="24"/>
  <c r="W20" i="24"/>
  <c r="G11" i="24"/>
  <c r="O11" i="24"/>
  <c r="O23" i="24"/>
  <c r="W15" i="24"/>
  <c r="W19" i="24"/>
  <c r="W23" i="24"/>
  <c r="I102" i="23"/>
  <c r="G13" i="24"/>
  <c r="G17" i="24"/>
  <c r="G21" i="24"/>
  <c r="I13" i="24"/>
  <c r="I17" i="24"/>
  <c r="I21" i="24"/>
  <c r="K13" i="24"/>
  <c r="K17" i="24"/>
  <c r="K21" i="24"/>
  <c r="M13" i="24"/>
  <c r="M17" i="24"/>
  <c r="M21" i="24"/>
  <c r="O13" i="24"/>
  <c r="O17" i="24"/>
  <c r="O21" i="24"/>
  <c r="Q13" i="24"/>
  <c r="Q17" i="24"/>
  <c r="Q21" i="24"/>
  <c r="S13" i="24"/>
  <c r="S17" i="24"/>
  <c r="S21" i="24"/>
  <c r="U13" i="24"/>
  <c r="U17" i="24"/>
  <c r="U21" i="24"/>
  <c r="W13" i="24"/>
  <c r="W17" i="24"/>
  <c r="W21" i="24"/>
  <c r="G15" i="24"/>
  <c r="G19" i="24"/>
  <c r="G23" i="24"/>
  <c r="O15" i="24"/>
  <c r="O19" i="24"/>
  <c r="W11" i="24"/>
  <c r="G10" i="24"/>
  <c r="G14" i="24"/>
  <c r="G18" i="24"/>
  <c r="I10" i="24"/>
  <c r="I14" i="24"/>
  <c r="I18" i="24"/>
  <c r="K10" i="24"/>
  <c r="K14" i="24"/>
  <c r="K18" i="24"/>
  <c r="M10" i="24"/>
  <c r="M14" i="24"/>
  <c r="M18" i="24"/>
  <c r="O10" i="24"/>
  <c r="O14" i="24"/>
  <c r="O18" i="24"/>
  <c r="O22" i="24"/>
  <c r="Q10" i="24"/>
  <c r="Q14" i="24"/>
  <c r="Q18" i="24"/>
  <c r="S10" i="24"/>
  <c r="S14" i="24"/>
  <c r="S18" i="24"/>
  <c r="U10" i="24"/>
  <c r="U14" i="24"/>
  <c r="U18" i="24"/>
  <c r="W10" i="24"/>
  <c r="W14" i="24"/>
  <c r="W18" i="24"/>
  <c r="W22" i="24"/>
  <c r="U141" i="11"/>
  <c r="U164" i="11" s="1"/>
  <c r="V164" i="11" s="1"/>
  <c r="W48" i="11"/>
  <c r="E166" i="11"/>
  <c r="V141" i="11"/>
  <c r="W141" i="11"/>
  <c r="U95" i="11"/>
  <c r="U151" i="6" s="1"/>
  <c r="S151" i="23"/>
  <c r="E155" i="24"/>
  <c r="O2" i="24"/>
  <c r="E101" i="23"/>
  <c r="Q41" i="23"/>
  <c r="W37" i="23"/>
  <c r="G41" i="23"/>
  <c r="W2" i="24"/>
  <c r="O95" i="24"/>
  <c r="O173" i="23" s="1"/>
  <c r="G151" i="23"/>
  <c r="G2" i="24"/>
  <c r="E159" i="24"/>
  <c r="I41" i="23"/>
  <c r="K42" i="23"/>
  <c r="W95" i="24"/>
  <c r="W173" i="23" s="1"/>
  <c r="E152" i="24"/>
  <c r="E156" i="24"/>
  <c r="M42" i="23"/>
  <c r="E142" i="24"/>
  <c r="K37" i="23"/>
  <c r="S41" i="23"/>
  <c r="E148" i="24"/>
  <c r="W164" i="24"/>
  <c r="X164" i="24" s="1"/>
  <c r="O164" i="24"/>
  <c r="P164" i="24" s="1"/>
  <c r="O37" i="23"/>
  <c r="K151" i="23"/>
  <c r="S2" i="24"/>
  <c r="S48" i="24"/>
  <c r="P141" i="24"/>
  <c r="G37" i="23"/>
  <c r="Q37" i="23"/>
  <c r="K41" i="23"/>
  <c r="W41" i="23"/>
  <c r="U42" i="23"/>
  <c r="U2" i="24"/>
  <c r="W48" i="24"/>
  <c r="E169" i="24"/>
  <c r="O186" i="24"/>
  <c r="K95" i="24"/>
  <c r="K173" i="23" s="1"/>
  <c r="E174" i="24"/>
  <c r="I37" i="23"/>
  <c r="S37" i="23"/>
  <c r="O41" i="23"/>
  <c r="K2" i="24"/>
  <c r="H141" i="24"/>
  <c r="E144" i="24"/>
  <c r="E150" i="24"/>
  <c r="E154" i="24"/>
  <c r="G164" i="24"/>
  <c r="H164" i="24" s="1"/>
  <c r="E170" i="24"/>
  <c r="U170" i="24"/>
  <c r="X186" i="24"/>
  <c r="N186" i="24"/>
  <c r="M186" i="24"/>
  <c r="M164" i="24"/>
  <c r="N164" i="24" s="1"/>
  <c r="N141" i="24"/>
  <c r="I90" i="24"/>
  <c r="I86" i="24"/>
  <c r="I82" i="24"/>
  <c r="I78" i="24"/>
  <c r="I74" i="24"/>
  <c r="I92" i="24"/>
  <c r="I89" i="24"/>
  <c r="I79" i="24"/>
  <c r="I76" i="24"/>
  <c r="I73" i="24"/>
  <c r="I91" i="24"/>
  <c r="I88" i="24"/>
  <c r="I85" i="24"/>
  <c r="I75" i="24"/>
  <c r="I83" i="24"/>
  <c r="I80" i="24"/>
  <c r="I87" i="24"/>
  <c r="I84" i="24"/>
  <c r="I81" i="24"/>
  <c r="I77" i="24"/>
  <c r="Q90" i="24"/>
  <c r="Q86" i="24"/>
  <c r="Q82" i="24"/>
  <c r="Q78" i="24"/>
  <c r="Q74" i="24"/>
  <c r="Q83" i="24"/>
  <c r="Q80" i="24"/>
  <c r="Q77" i="24"/>
  <c r="Q92" i="24"/>
  <c r="Q89" i="24"/>
  <c r="Q79" i="24"/>
  <c r="Q76" i="24"/>
  <c r="Q73" i="24"/>
  <c r="Q88" i="24"/>
  <c r="Q84" i="24"/>
  <c r="Q81" i="24"/>
  <c r="Q75" i="24"/>
  <c r="Q98" i="23"/>
  <c r="Q99" i="23" s="1"/>
  <c r="Q85" i="24"/>
  <c r="H182" i="24"/>
  <c r="H181" i="24"/>
  <c r="H184" i="24"/>
  <c r="H183" i="24"/>
  <c r="H177" i="24"/>
  <c r="H173" i="24"/>
  <c r="H180" i="24"/>
  <c r="H176" i="24"/>
  <c r="H172" i="24"/>
  <c r="H175" i="24"/>
  <c r="H174" i="24"/>
  <c r="H169" i="24"/>
  <c r="H165" i="24"/>
  <c r="H158" i="24"/>
  <c r="H154" i="24"/>
  <c r="H150" i="24"/>
  <c r="H146" i="24"/>
  <c r="H168" i="24"/>
  <c r="H161" i="24"/>
  <c r="H157" i="24"/>
  <c r="H153" i="24"/>
  <c r="H179" i="24"/>
  <c r="H178" i="24"/>
  <c r="H152" i="24"/>
  <c r="H155" i="24"/>
  <c r="H149" i="24"/>
  <c r="H144" i="24"/>
  <c r="H171" i="24"/>
  <c r="H160" i="24"/>
  <c r="H156" i="24"/>
  <c r="H148" i="24"/>
  <c r="H159" i="24"/>
  <c r="H151" i="24"/>
  <c r="H143" i="24"/>
  <c r="H142" i="24"/>
  <c r="H170" i="24"/>
  <c r="H166" i="24"/>
  <c r="H147" i="24"/>
  <c r="P182" i="24"/>
  <c r="P181" i="24"/>
  <c r="P184" i="24"/>
  <c r="P183" i="24"/>
  <c r="P177" i="24"/>
  <c r="P173" i="24"/>
  <c r="P180" i="24"/>
  <c r="P176" i="24"/>
  <c r="P172" i="24"/>
  <c r="P175" i="24"/>
  <c r="P174" i="24"/>
  <c r="P169" i="24"/>
  <c r="P165" i="24"/>
  <c r="P158" i="24"/>
  <c r="P154" i="24"/>
  <c r="P150" i="24"/>
  <c r="P146" i="24"/>
  <c r="P168" i="24"/>
  <c r="P161" i="24"/>
  <c r="P157" i="24"/>
  <c r="P153" i="24"/>
  <c r="P152" i="24"/>
  <c r="P147" i="24"/>
  <c r="P145" i="24"/>
  <c r="P144" i="24"/>
  <c r="P178" i="24"/>
  <c r="P170" i="24"/>
  <c r="P166" i="24"/>
  <c r="P149" i="24"/>
  <c r="P155" i="24"/>
  <c r="P148" i="24"/>
  <c r="P143" i="24"/>
  <c r="P142" i="24"/>
  <c r="P160" i="24"/>
  <c r="P171" i="24"/>
  <c r="P167" i="24"/>
  <c r="P156" i="24"/>
  <c r="P151" i="24"/>
  <c r="X182" i="24"/>
  <c r="X181" i="24"/>
  <c r="X184" i="24"/>
  <c r="X183" i="24"/>
  <c r="X177" i="24"/>
  <c r="X173" i="24"/>
  <c r="X176" i="24"/>
  <c r="X172" i="24"/>
  <c r="X175" i="24"/>
  <c r="X174" i="24"/>
  <c r="X169" i="24"/>
  <c r="X165" i="24"/>
  <c r="X158" i="24"/>
  <c r="X154" i="24"/>
  <c r="X150" i="24"/>
  <c r="X146" i="24"/>
  <c r="X168" i="24"/>
  <c r="X161" i="24"/>
  <c r="X157" i="24"/>
  <c r="X153" i="24"/>
  <c r="X179" i="24"/>
  <c r="X178" i="24"/>
  <c r="X152" i="24"/>
  <c r="X171" i="24"/>
  <c r="X167" i="24"/>
  <c r="X159" i="24"/>
  <c r="X151" i="24"/>
  <c r="X148" i="24"/>
  <c r="X170" i="24"/>
  <c r="X166" i="24"/>
  <c r="X143" i="24"/>
  <c r="X160" i="24"/>
  <c r="X156" i="24"/>
  <c r="X155" i="24"/>
  <c r="X147" i="24"/>
  <c r="X149" i="24"/>
  <c r="X145" i="24"/>
  <c r="X144" i="24"/>
  <c r="I98" i="23"/>
  <c r="I99" i="23" s="1"/>
  <c r="Q102" i="23"/>
  <c r="Q87" i="24"/>
  <c r="Q91" i="24"/>
  <c r="K171" i="24"/>
  <c r="K148" i="24"/>
  <c r="H167" i="24"/>
  <c r="P179" i="24"/>
  <c r="U180" i="24"/>
  <c r="Q168" i="24"/>
  <c r="Q145" i="24"/>
  <c r="K91" i="24"/>
  <c r="K87" i="24"/>
  <c r="K83" i="24"/>
  <c r="K79" i="24"/>
  <c r="K75" i="24"/>
  <c r="K88" i="24"/>
  <c r="K85" i="24"/>
  <c r="K82" i="24"/>
  <c r="K84" i="24"/>
  <c r="K81" i="24"/>
  <c r="K78" i="24"/>
  <c r="K90" i="24"/>
  <c r="K86" i="24"/>
  <c r="K77" i="24"/>
  <c r="K73" i="24"/>
  <c r="K74" i="24"/>
  <c r="K102" i="23"/>
  <c r="K92" i="24"/>
  <c r="S91" i="24"/>
  <c r="S87" i="24"/>
  <c r="S83" i="24"/>
  <c r="S79" i="24"/>
  <c r="S75" i="24"/>
  <c r="S92" i="24"/>
  <c r="S89" i="24"/>
  <c r="S86" i="24"/>
  <c r="S76" i="24"/>
  <c r="S73" i="24"/>
  <c r="S88" i="24"/>
  <c r="S85" i="24"/>
  <c r="S82" i="24"/>
  <c r="S90" i="24"/>
  <c r="S80" i="24"/>
  <c r="J184" i="24"/>
  <c r="J183" i="24"/>
  <c r="J179" i="24"/>
  <c r="J175" i="24"/>
  <c r="J178" i="24"/>
  <c r="J174" i="24"/>
  <c r="J182" i="24"/>
  <c r="J177" i="24"/>
  <c r="J176" i="24"/>
  <c r="J171" i="24"/>
  <c r="J167" i="24"/>
  <c r="J160" i="24"/>
  <c r="J156" i="24"/>
  <c r="J152" i="24"/>
  <c r="J148" i="24"/>
  <c r="J144" i="24"/>
  <c r="J170" i="24"/>
  <c r="J166" i="24"/>
  <c r="J159" i="24"/>
  <c r="J155" i="24"/>
  <c r="J151" i="24"/>
  <c r="J180" i="24"/>
  <c r="J154" i="24"/>
  <c r="J153" i="24"/>
  <c r="J149" i="24"/>
  <c r="J147" i="24"/>
  <c r="J146" i="24"/>
  <c r="J142" i="24"/>
  <c r="J181" i="24"/>
  <c r="J172" i="24"/>
  <c r="J169" i="24"/>
  <c r="J161" i="24"/>
  <c r="J168" i="24"/>
  <c r="J150" i="24"/>
  <c r="J157" i="24"/>
  <c r="J158" i="24"/>
  <c r="J145" i="24"/>
  <c r="J173" i="24"/>
  <c r="R184" i="24"/>
  <c r="R183" i="24"/>
  <c r="R179" i="24"/>
  <c r="R175" i="24"/>
  <c r="R178" i="24"/>
  <c r="R174" i="24"/>
  <c r="R177" i="24"/>
  <c r="R176" i="24"/>
  <c r="R171" i="24"/>
  <c r="R167" i="24"/>
  <c r="R160" i="24"/>
  <c r="R156" i="24"/>
  <c r="R152" i="24"/>
  <c r="R148" i="24"/>
  <c r="R144" i="24"/>
  <c r="R181" i="24"/>
  <c r="R170" i="24"/>
  <c r="R166" i="24"/>
  <c r="R159" i="24"/>
  <c r="R155" i="24"/>
  <c r="R151" i="24"/>
  <c r="R172" i="24"/>
  <c r="R154" i="24"/>
  <c r="R153" i="24"/>
  <c r="R142" i="24"/>
  <c r="R180" i="24"/>
  <c r="R165" i="24"/>
  <c r="R157" i="24"/>
  <c r="R143" i="24"/>
  <c r="R173" i="24"/>
  <c r="R169" i="24"/>
  <c r="R161" i="24"/>
  <c r="R150" i="24"/>
  <c r="R147" i="24"/>
  <c r="R146" i="24"/>
  <c r="R168" i="24"/>
  <c r="R182" i="24"/>
  <c r="R158" i="24"/>
  <c r="W102" i="23"/>
  <c r="K98" i="23"/>
  <c r="K99" i="23" s="1"/>
  <c r="S102" i="23"/>
  <c r="A6" i="24"/>
  <c r="E48" i="24"/>
  <c r="E95" i="24"/>
  <c r="E173" i="23" s="1"/>
  <c r="M48" i="24"/>
  <c r="M95" i="24"/>
  <c r="M173" i="23" s="1"/>
  <c r="M2" i="24"/>
  <c r="U48" i="24"/>
  <c r="U141" i="24"/>
  <c r="K76" i="24"/>
  <c r="K80" i="24"/>
  <c r="J143" i="24"/>
  <c r="H145" i="24"/>
  <c r="P159" i="24"/>
  <c r="K167" i="24"/>
  <c r="U146" i="24"/>
  <c r="U169" i="24"/>
  <c r="E149" i="24"/>
  <c r="E172" i="24"/>
  <c r="Q42" i="23"/>
  <c r="I42" i="23"/>
  <c r="U102" i="23"/>
  <c r="I95" i="24"/>
  <c r="I173" i="23" s="1"/>
  <c r="I2" i="24"/>
  <c r="J186" i="24"/>
  <c r="I186" i="24"/>
  <c r="I164" i="24"/>
  <c r="J164" i="24" s="1"/>
  <c r="J141" i="24"/>
  <c r="M166" i="24"/>
  <c r="M143" i="24"/>
  <c r="O42" i="23"/>
  <c r="Q95" i="24"/>
  <c r="Q173" i="23" s="1"/>
  <c r="Q48" i="24"/>
  <c r="Q2" i="24"/>
  <c r="F186" i="24"/>
  <c r="E186" i="24"/>
  <c r="E164" i="24"/>
  <c r="F164" i="24" s="1"/>
  <c r="F141" i="24"/>
  <c r="U173" i="24"/>
  <c r="U150" i="24"/>
  <c r="S174" i="24"/>
  <c r="S151" i="24"/>
  <c r="G42" i="23"/>
  <c r="S42" i="23"/>
  <c r="G89" i="24"/>
  <c r="G85" i="24"/>
  <c r="G81" i="24"/>
  <c r="G77" i="24"/>
  <c r="G73" i="24"/>
  <c r="G86" i="24"/>
  <c r="G83" i="24"/>
  <c r="G80" i="24"/>
  <c r="G92" i="24"/>
  <c r="G82" i="24"/>
  <c r="G79" i="24"/>
  <c r="G76" i="24"/>
  <c r="O89" i="24"/>
  <c r="O85" i="24"/>
  <c r="O81" i="24"/>
  <c r="O77" i="24"/>
  <c r="O73" i="24"/>
  <c r="O90" i="24"/>
  <c r="O87" i="24"/>
  <c r="O84" i="24"/>
  <c r="O74" i="24"/>
  <c r="O86" i="24"/>
  <c r="O83" i="24"/>
  <c r="O80" i="24"/>
  <c r="N184" i="24"/>
  <c r="N183" i="24"/>
  <c r="N182" i="24"/>
  <c r="N181" i="24"/>
  <c r="N179" i="24"/>
  <c r="N175" i="24"/>
  <c r="N178" i="24"/>
  <c r="N174" i="24"/>
  <c r="N180" i="24"/>
  <c r="N173" i="24"/>
  <c r="N172" i="24"/>
  <c r="N171" i="24"/>
  <c r="N167" i="24"/>
  <c r="N160" i="24"/>
  <c r="N156" i="24"/>
  <c r="N152" i="24"/>
  <c r="N148" i="24"/>
  <c r="N144" i="24"/>
  <c r="N170" i="24"/>
  <c r="N166" i="24"/>
  <c r="N159" i="24"/>
  <c r="N155" i="24"/>
  <c r="N151" i="24"/>
  <c r="N176" i="24"/>
  <c r="N150" i="24"/>
  <c r="N142" i="24"/>
  <c r="N145" i="24"/>
  <c r="N177" i="24"/>
  <c r="N158" i="24"/>
  <c r="N153" i="24"/>
  <c r="N149" i="24"/>
  <c r="V184" i="24"/>
  <c r="V180" i="24"/>
  <c r="V183" i="24"/>
  <c r="V182" i="24"/>
  <c r="V181" i="24"/>
  <c r="V179" i="24"/>
  <c r="V175" i="24"/>
  <c r="V178" i="24"/>
  <c r="V174" i="24"/>
  <c r="V173" i="24"/>
  <c r="V172" i="24"/>
  <c r="V167" i="24"/>
  <c r="V160" i="24"/>
  <c r="V156" i="24"/>
  <c r="V152" i="24"/>
  <c r="V148" i="24"/>
  <c r="V144" i="24"/>
  <c r="V171" i="24"/>
  <c r="V170" i="24"/>
  <c r="V166" i="24"/>
  <c r="V159" i="24"/>
  <c r="V155" i="24"/>
  <c r="V151" i="24"/>
  <c r="V145" i="24"/>
  <c r="V143" i="24"/>
  <c r="V142" i="24"/>
  <c r="V177" i="24"/>
  <c r="V168" i="24"/>
  <c r="V154" i="24"/>
  <c r="V176" i="24"/>
  <c r="V149" i="24"/>
  <c r="G98" i="23"/>
  <c r="G99" i="23" s="1"/>
  <c r="O102" i="23"/>
  <c r="I151" i="23"/>
  <c r="Q151" i="23"/>
  <c r="O78" i="24"/>
  <c r="O91" i="24"/>
  <c r="R186" i="24"/>
  <c r="Q186" i="24"/>
  <c r="Q164" i="24"/>
  <c r="R164" i="24" s="1"/>
  <c r="R141" i="24"/>
  <c r="S166" i="24"/>
  <c r="S143" i="24"/>
  <c r="N146" i="24"/>
  <c r="K172" i="24"/>
  <c r="V153" i="24"/>
  <c r="N154" i="24"/>
  <c r="N157" i="24"/>
  <c r="V158" i="24"/>
  <c r="N161" i="24"/>
  <c r="E180" i="24"/>
  <c r="E157" i="24"/>
  <c r="S182" i="24"/>
  <c r="S159" i="24"/>
  <c r="E184" i="24"/>
  <c r="E161" i="24"/>
  <c r="E166" i="24"/>
  <c r="M37" i="23"/>
  <c r="M41" i="23"/>
  <c r="M92" i="24"/>
  <c r="M88" i="24"/>
  <c r="M84" i="24"/>
  <c r="M80" i="24"/>
  <c r="M76" i="24"/>
  <c r="L182" i="24"/>
  <c r="L181" i="24"/>
  <c r="L177" i="24"/>
  <c r="L173" i="24"/>
  <c r="L180" i="24"/>
  <c r="L176" i="24"/>
  <c r="L172" i="24"/>
  <c r="L179" i="24"/>
  <c r="L178" i="24"/>
  <c r="L169" i="24"/>
  <c r="L165" i="24"/>
  <c r="L158" i="24"/>
  <c r="L154" i="24"/>
  <c r="L150" i="24"/>
  <c r="L146" i="24"/>
  <c r="L183" i="24"/>
  <c r="L168" i="24"/>
  <c r="L161" i="24"/>
  <c r="L157" i="24"/>
  <c r="L153" i="24"/>
  <c r="L174" i="24"/>
  <c r="L155" i="24"/>
  <c r="T182" i="24"/>
  <c r="T181" i="24"/>
  <c r="T177" i="24"/>
  <c r="T173" i="24"/>
  <c r="T180" i="24"/>
  <c r="T176" i="24"/>
  <c r="T172" i="24"/>
  <c r="T179" i="24"/>
  <c r="T178" i="24"/>
  <c r="T169" i="24"/>
  <c r="T165" i="24"/>
  <c r="T158" i="24"/>
  <c r="T154" i="24"/>
  <c r="T150" i="24"/>
  <c r="T146" i="24"/>
  <c r="T184" i="24"/>
  <c r="T168" i="24"/>
  <c r="T161" i="24"/>
  <c r="T157" i="24"/>
  <c r="T153" i="24"/>
  <c r="T175" i="24"/>
  <c r="T155" i="24"/>
  <c r="T149" i="24"/>
  <c r="T148" i="24"/>
  <c r="M98" i="23"/>
  <c r="M99" i="23" s="1"/>
  <c r="U98" i="23"/>
  <c r="U99" i="23" s="1"/>
  <c r="M102" i="23"/>
  <c r="G48" i="24"/>
  <c r="M75" i="24"/>
  <c r="M78" i="24"/>
  <c r="M81" i="24"/>
  <c r="M91" i="24"/>
  <c r="X141" i="24"/>
  <c r="L142" i="24"/>
  <c r="L143" i="24"/>
  <c r="T145" i="24"/>
  <c r="T147" i="24"/>
  <c r="E176" i="24"/>
  <c r="E153" i="24"/>
  <c r="L156" i="24"/>
  <c r="E181" i="24"/>
  <c r="E158" i="24"/>
  <c r="L159" i="24"/>
  <c r="T160" i="24"/>
  <c r="L167" i="24"/>
  <c r="L171" i="24"/>
  <c r="L184" i="24"/>
  <c r="L186" i="24"/>
  <c r="K186" i="24"/>
  <c r="T186" i="24"/>
  <c r="S186" i="24"/>
  <c r="E168" i="24"/>
  <c r="E145" i="24"/>
  <c r="K164" i="24"/>
  <c r="L164" i="24" s="1"/>
  <c r="S164" i="24"/>
  <c r="T164" i="24" s="1"/>
  <c r="H186" i="24"/>
  <c r="E160" i="24"/>
  <c r="E142" i="11"/>
  <c r="F187" i="11" s="1"/>
  <c r="E145" i="11"/>
  <c r="F190" i="11" s="1"/>
  <c r="E190" i="11" s="1"/>
  <c r="E161" i="11"/>
  <c r="F206" i="11" s="1"/>
  <c r="E206" i="11" s="1"/>
  <c r="E182" i="11"/>
  <c r="E150" i="11"/>
  <c r="F195" i="11" s="1"/>
  <c r="E195" i="11" s="1"/>
  <c r="E173" i="11"/>
  <c r="E157" i="11"/>
  <c r="F202" i="11" s="1"/>
  <c r="E202" i="11" s="1"/>
  <c r="E178" i="11"/>
  <c r="E154" i="11"/>
  <c r="F199" i="11" s="1"/>
  <c r="E199" i="11" s="1"/>
  <c r="E177" i="11"/>
  <c r="E146" i="11"/>
  <c r="F191" i="11" s="1"/>
  <c r="E191" i="11" s="1"/>
  <c r="E169" i="11"/>
  <c r="E183" i="11"/>
  <c r="E160" i="11"/>
  <c r="F205" i="11" s="1"/>
  <c r="E205" i="11" s="1"/>
  <c r="E179" i="11"/>
  <c r="E156" i="11"/>
  <c r="F201" i="11" s="1"/>
  <c r="E201" i="11" s="1"/>
  <c r="E175" i="11"/>
  <c r="E152" i="11"/>
  <c r="F197" i="11" s="1"/>
  <c r="E197" i="11" s="1"/>
  <c r="E171" i="11"/>
  <c r="E148" i="11"/>
  <c r="F193" i="11" s="1"/>
  <c r="E193" i="11" s="1"/>
  <c r="E167" i="11"/>
  <c r="E144" i="11"/>
  <c r="F189" i="11" s="1"/>
  <c r="E189" i="11" s="1"/>
  <c r="E153" i="11"/>
  <c r="F198" i="11" s="1"/>
  <c r="E198" i="11" s="1"/>
  <c r="E174" i="11"/>
  <c r="E158" i="11"/>
  <c r="F203" i="11" s="1"/>
  <c r="E203" i="11" s="1"/>
  <c r="E181" i="11"/>
  <c r="E149" i="11"/>
  <c r="F194" i="11" s="1"/>
  <c r="E194" i="11" s="1"/>
  <c r="E170" i="11"/>
  <c r="E187" i="11"/>
  <c r="Q149" i="24" l="1"/>
  <c r="S156" i="24"/>
  <c r="K183" i="24"/>
  <c r="G187" i="24"/>
  <c r="G103" i="23" s="1"/>
  <c r="G108" i="23"/>
  <c r="I108" i="23"/>
  <c r="I187" i="24"/>
  <c r="I103" i="23" s="1"/>
  <c r="K187" i="24"/>
  <c r="K108" i="23"/>
  <c r="O108" i="23"/>
  <c r="O187" i="24"/>
  <c r="M187" i="24"/>
  <c r="M108" i="23"/>
  <c r="S167" i="24"/>
  <c r="U161" i="24"/>
  <c r="K168" i="24"/>
  <c r="S175" i="24"/>
  <c r="W142" i="24"/>
  <c r="M147" i="24"/>
  <c r="K151" i="24"/>
  <c r="S142" i="24"/>
  <c r="K152" i="24"/>
  <c r="K147" i="24"/>
  <c r="F198" i="24"/>
  <c r="E198" i="24" s="1"/>
  <c r="F201" i="24"/>
  <c r="E201" i="24" s="1"/>
  <c r="F193" i="24"/>
  <c r="E193" i="24" s="1"/>
  <c r="F205" i="24"/>
  <c r="E205" i="24" s="1"/>
  <c r="F190" i="24"/>
  <c r="E190" i="24" s="1"/>
  <c r="F203" i="24"/>
  <c r="E203" i="24" s="1"/>
  <c r="F206" i="24"/>
  <c r="E206" i="24" s="1"/>
  <c r="F202" i="24"/>
  <c r="E202" i="24" s="1"/>
  <c r="F199" i="24"/>
  <c r="E199" i="24" s="1"/>
  <c r="F197" i="24"/>
  <c r="E197" i="24" s="1"/>
  <c r="F204" i="24"/>
  <c r="E204" i="24" s="1"/>
  <c r="F189" i="24"/>
  <c r="E189" i="24" s="1"/>
  <c r="F200" i="24"/>
  <c r="E200" i="24" s="1"/>
  <c r="F194" i="24"/>
  <c r="E194" i="24" s="1"/>
  <c r="F195" i="24"/>
  <c r="E195" i="24" s="1"/>
  <c r="F187" i="24"/>
  <c r="E187" i="24" s="1"/>
  <c r="X141" i="11"/>
  <c r="W164" i="11"/>
  <c r="X164" i="11" s="1"/>
  <c r="S101" i="23"/>
  <c r="I101" i="23"/>
  <c r="U101" i="23"/>
  <c r="Q101" i="23"/>
  <c r="U181" i="24"/>
  <c r="U158" i="24"/>
  <c r="Q143" i="24"/>
  <c r="Q166" i="24"/>
  <c r="I165" i="24"/>
  <c r="I142" i="24"/>
  <c r="I167" i="24"/>
  <c r="I144" i="24"/>
  <c r="I160" i="24"/>
  <c r="I183" i="24"/>
  <c r="S177" i="24"/>
  <c r="S154" i="24"/>
  <c r="K176" i="24"/>
  <c r="K153" i="24"/>
  <c r="K181" i="24"/>
  <c r="K158" i="24"/>
  <c r="M101" i="23"/>
  <c r="I176" i="24"/>
  <c r="I153" i="24"/>
  <c r="S170" i="24"/>
  <c r="S147" i="24"/>
  <c r="G101" i="23"/>
  <c r="W178" i="24"/>
  <c r="W155" i="24"/>
  <c r="W182" i="24"/>
  <c r="W159" i="24"/>
  <c r="W184" i="24"/>
  <c r="W161" i="24"/>
  <c r="W177" i="24"/>
  <c r="W154" i="24"/>
  <c r="Q173" i="24"/>
  <c r="Q150" i="24"/>
  <c r="Q171" i="24"/>
  <c r="Q148" i="24"/>
  <c r="I178" i="24"/>
  <c r="I155" i="24"/>
  <c r="O178" i="24"/>
  <c r="O155" i="24"/>
  <c r="O149" i="24"/>
  <c r="O172" i="24"/>
  <c r="O175" i="24"/>
  <c r="O152" i="24"/>
  <c r="O158" i="24"/>
  <c r="O181" i="24"/>
  <c r="G170" i="24"/>
  <c r="G147" i="24"/>
  <c r="K182" i="24"/>
  <c r="K159" i="24"/>
  <c r="K166" i="24"/>
  <c r="K143" i="24"/>
  <c r="S172" i="24"/>
  <c r="S149" i="24"/>
  <c r="S180" i="24"/>
  <c r="S157" i="24"/>
  <c r="S169" i="24"/>
  <c r="S146" i="24"/>
  <c r="K178" i="24"/>
  <c r="K155" i="24"/>
  <c r="K184" i="24"/>
  <c r="K161" i="24"/>
  <c r="K173" i="24"/>
  <c r="K150" i="24"/>
  <c r="U165" i="24"/>
  <c r="U142" i="24"/>
  <c r="U155" i="24"/>
  <c r="U178" i="24"/>
  <c r="U179" i="24"/>
  <c r="U156" i="24"/>
  <c r="M173" i="24"/>
  <c r="M150" i="24"/>
  <c r="M182" i="24"/>
  <c r="M159" i="24"/>
  <c r="M171" i="24"/>
  <c r="M148" i="24"/>
  <c r="G168" i="24"/>
  <c r="G145" i="24"/>
  <c r="G171" i="24"/>
  <c r="G148" i="24"/>
  <c r="G167" i="24"/>
  <c r="G144" i="24"/>
  <c r="G175" i="24"/>
  <c r="G152" i="24"/>
  <c r="G157" i="24"/>
  <c r="G180" i="24"/>
  <c r="G173" i="24"/>
  <c r="G150" i="24"/>
  <c r="K165" i="24"/>
  <c r="K142" i="24"/>
  <c r="S171" i="24"/>
  <c r="S148" i="24"/>
  <c r="S176" i="24"/>
  <c r="S153" i="24"/>
  <c r="S181" i="24"/>
  <c r="S158" i="24"/>
  <c r="K180" i="24"/>
  <c r="K157" i="24"/>
  <c r="K169" i="24"/>
  <c r="K146" i="24"/>
  <c r="M180" i="24"/>
  <c r="M157" i="24"/>
  <c r="U177" i="24"/>
  <c r="U154" i="24"/>
  <c r="U166" i="24"/>
  <c r="U143" i="24"/>
  <c r="U182" i="24"/>
  <c r="U159" i="24"/>
  <c r="U167" i="24"/>
  <c r="U144" i="24"/>
  <c r="U183" i="24"/>
  <c r="U160" i="24"/>
  <c r="M172" i="24"/>
  <c r="M149" i="24"/>
  <c r="M168" i="24"/>
  <c r="M145" i="24"/>
  <c r="M175" i="24"/>
  <c r="M152" i="24"/>
  <c r="I143" i="24"/>
  <c r="I166" i="24"/>
  <c r="Q184" i="24"/>
  <c r="Q161" i="24"/>
  <c r="Q180" i="24"/>
  <c r="Q157" i="24"/>
  <c r="Q142" i="24"/>
  <c r="Q165" i="24"/>
  <c r="Q151" i="24"/>
  <c r="Q174" i="24"/>
  <c r="Q175" i="24"/>
  <c r="Q152" i="24"/>
  <c r="I168" i="24"/>
  <c r="I145" i="24"/>
  <c r="I180" i="24"/>
  <c r="I157" i="24"/>
  <c r="I169" i="24"/>
  <c r="I146" i="24"/>
  <c r="I177" i="24"/>
  <c r="I154" i="24"/>
  <c r="I182" i="24"/>
  <c r="I159" i="24"/>
  <c r="I171" i="24"/>
  <c r="I148" i="24"/>
  <c r="W167" i="24"/>
  <c r="W144" i="24"/>
  <c r="W168" i="24"/>
  <c r="W145" i="24"/>
  <c r="W156" i="24"/>
  <c r="W179" i="24"/>
  <c r="W181" i="24"/>
  <c r="W158" i="24"/>
  <c r="O183" i="24"/>
  <c r="O160" i="24"/>
  <c r="O165" i="24"/>
  <c r="O142" i="24"/>
  <c r="O167" i="24"/>
  <c r="O144" i="24"/>
  <c r="O176" i="24"/>
  <c r="O153" i="24"/>
  <c r="O169" i="24"/>
  <c r="O146" i="24"/>
  <c r="G166" i="24"/>
  <c r="G143" i="24"/>
  <c r="G179" i="24"/>
  <c r="G156" i="24"/>
  <c r="G172" i="24"/>
  <c r="G149" i="24"/>
  <c r="G184" i="24"/>
  <c r="G161" i="24"/>
  <c r="G177" i="24"/>
  <c r="G154" i="24"/>
  <c r="M146" i="24"/>
  <c r="M169" i="24"/>
  <c r="M176" i="24"/>
  <c r="M153" i="24"/>
  <c r="M174" i="24"/>
  <c r="M151" i="24"/>
  <c r="K101" i="23"/>
  <c r="W101" i="23"/>
  <c r="O101" i="23"/>
  <c r="Q169" i="24"/>
  <c r="Q146" i="24"/>
  <c r="Q176" i="24"/>
  <c r="Q153" i="24"/>
  <c r="Q178" i="24"/>
  <c r="Q155" i="24"/>
  <c r="Q179" i="24"/>
  <c r="Q156" i="24"/>
  <c r="I181" i="24"/>
  <c r="I158" i="24"/>
  <c r="I173" i="24"/>
  <c r="I150" i="24"/>
  <c r="I170" i="24"/>
  <c r="I147" i="24"/>
  <c r="I175" i="24"/>
  <c r="I152" i="24"/>
  <c r="W149" i="24"/>
  <c r="W172" i="24"/>
  <c r="W183" i="24"/>
  <c r="W160" i="24"/>
  <c r="W171" i="24"/>
  <c r="W148" i="24"/>
  <c r="W176" i="24"/>
  <c r="W153" i="24"/>
  <c r="W169" i="24"/>
  <c r="W146" i="24"/>
  <c r="O174" i="24"/>
  <c r="O151" i="24"/>
  <c r="O179" i="24"/>
  <c r="O156" i="24"/>
  <c r="O166" i="24"/>
  <c r="O143" i="24"/>
  <c r="O168" i="24"/>
  <c r="O145" i="24"/>
  <c r="O180" i="24"/>
  <c r="O157" i="24"/>
  <c r="O173" i="24"/>
  <c r="O150" i="24"/>
  <c r="G174" i="24"/>
  <c r="G151" i="24"/>
  <c r="G183" i="24"/>
  <c r="G160" i="24"/>
  <c r="G178" i="24"/>
  <c r="G155" i="24"/>
  <c r="G181" i="24"/>
  <c r="G158" i="24"/>
  <c r="M154" i="24"/>
  <c r="M177" i="24"/>
  <c r="U168" i="24"/>
  <c r="U145" i="24"/>
  <c r="U171" i="24"/>
  <c r="U148" i="24"/>
  <c r="M179" i="24"/>
  <c r="M156" i="24"/>
  <c r="S183" i="24"/>
  <c r="S160" i="24"/>
  <c r="K179" i="24"/>
  <c r="K156" i="24"/>
  <c r="S168" i="24"/>
  <c r="S145" i="24"/>
  <c r="S178" i="24"/>
  <c r="S155" i="24"/>
  <c r="S161" i="24"/>
  <c r="S184" i="24"/>
  <c r="S173" i="24"/>
  <c r="S150" i="24"/>
  <c r="K177" i="24"/>
  <c r="K154" i="24"/>
  <c r="M184" i="24"/>
  <c r="M161" i="24"/>
  <c r="U176" i="24"/>
  <c r="U153" i="24"/>
  <c r="U172" i="24"/>
  <c r="U149" i="24"/>
  <c r="U174" i="24"/>
  <c r="U151" i="24"/>
  <c r="U175" i="24"/>
  <c r="U152" i="24"/>
  <c r="M181" i="24"/>
  <c r="M158" i="24"/>
  <c r="M165" i="24"/>
  <c r="M142" i="24"/>
  <c r="M178" i="24"/>
  <c r="M155" i="24"/>
  <c r="M167" i="24"/>
  <c r="M144" i="24"/>
  <c r="M183" i="24"/>
  <c r="M160" i="24"/>
  <c r="O182" i="24"/>
  <c r="O159" i="24"/>
  <c r="V186" i="24"/>
  <c r="U186" i="24"/>
  <c r="U164" i="24"/>
  <c r="V164" i="24" s="1"/>
  <c r="V141" i="24"/>
  <c r="A7" i="24"/>
  <c r="Q181" i="24"/>
  <c r="Q158" i="24"/>
  <c r="Q170" i="24"/>
  <c r="Q147" i="24"/>
  <c r="Q177" i="24"/>
  <c r="Q154" i="24"/>
  <c r="Q182" i="24"/>
  <c r="Q159" i="24"/>
  <c r="Q167" i="24"/>
  <c r="Q144" i="24"/>
  <c r="Q183" i="24"/>
  <c r="Q160" i="24"/>
  <c r="I184" i="24"/>
  <c r="I161" i="24"/>
  <c r="I172" i="24"/>
  <c r="I149" i="24"/>
  <c r="I151" i="24"/>
  <c r="I174" i="24"/>
  <c r="I179" i="24"/>
  <c r="I156" i="24"/>
  <c r="W170" i="24"/>
  <c r="W147" i="24"/>
  <c r="W166" i="24"/>
  <c r="W143" i="24"/>
  <c r="W174" i="24"/>
  <c r="W151" i="24"/>
  <c r="W175" i="24"/>
  <c r="W152" i="24"/>
  <c r="W180" i="24"/>
  <c r="W157" i="24"/>
  <c r="W173" i="24"/>
  <c r="W150" i="24"/>
  <c r="O148" i="24"/>
  <c r="O171" i="24"/>
  <c r="O170" i="24"/>
  <c r="O147" i="24"/>
  <c r="O184" i="24"/>
  <c r="O161" i="24"/>
  <c r="O177" i="24"/>
  <c r="O154" i="24"/>
  <c r="G165" i="24"/>
  <c r="G142" i="24"/>
  <c r="G182" i="24"/>
  <c r="G159" i="24"/>
  <c r="G176" i="24"/>
  <c r="G153" i="24"/>
  <c r="G169" i="24"/>
  <c r="G146" i="24"/>
  <c r="E86" i="6"/>
  <c r="E108" i="23" l="1"/>
  <c r="E103" i="23"/>
  <c r="W103" i="23"/>
  <c r="Q108" i="23"/>
  <c r="U108" i="23"/>
  <c r="S108" i="23"/>
  <c r="A8" i="24"/>
  <c r="W108" i="23"/>
  <c r="S103" i="23"/>
  <c r="U103" i="23" l="1"/>
  <c r="O103" i="23"/>
  <c r="Q103" i="23"/>
  <c r="M103" i="23"/>
  <c r="K103" i="23"/>
  <c r="A9" i="24"/>
  <c r="A10" i="24" l="1"/>
  <c r="A11" i="24" l="1"/>
  <c r="A12" i="24" l="1"/>
  <c r="A13" i="24" l="1"/>
  <c r="A14" i="24" l="1"/>
  <c r="A15" i="24" l="1"/>
  <c r="A16" i="24" l="1"/>
  <c r="A17" i="24" l="1"/>
  <c r="A18" i="24" l="1"/>
  <c r="A19" i="24" l="1"/>
  <c r="A20" i="24" l="1"/>
  <c r="A21" i="24" l="1"/>
  <c r="A22" i="24" l="1"/>
  <c r="A23" i="24" l="1"/>
  <c r="E33" i="6" l="1"/>
  <c r="W33" i="6" s="1"/>
  <c r="E32" i="6"/>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C48" i="17" s="1"/>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N121" i="17"/>
  <c r="N120" i="17"/>
  <c r="N119" i="17"/>
  <c r="N118" i="17"/>
  <c r="N117" i="17"/>
  <c r="N116" i="17"/>
  <c r="N115" i="17"/>
  <c r="N114" i="17"/>
  <c r="N113" i="17"/>
  <c r="N112" i="17"/>
  <c r="N111" i="17"/>
  <c r="N110" i="17"/>
  <c r="N109" i="17"/>
  <c r="N108" i="17"/>
  <c r="N107" i="17"/>
  <c r="N106" i="17"/>
  <c r="N105" i="17"/>
  <c r="N104" i="17"/>
  <c r="N103" i="17"/>
  <c r="N102" i="17"/>
  <c r="N101" i="17"/>
  <c r="N100" i="17"/>
  <c r="N99" i="17"/>
  <c r="N98" i="17"/>
  <c r="N97" i="17"/>
  <c r="N96" i="17"/>
  <c r="N95" i="17"/>
  <c r="N94" i="17"/>
  <c r="N93" i="17"/>
  <c r="N92"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74" i="17"/>
  <c r="N75" i="17"/>
  <c r="N76" i="17"/>
  <c r="N77" i="17"/>
  <c r="N48" i="17"/>
  <c r="W54" i="6"/>
  <c r="U54" i="6"/>
  <c r="S54" i="6"/>
  <c r="Q54" i="6"/>
  <c r="O54" i="6"/>
  <c r="M54" i="6"/>
  <c r="K54" i="6"/>
  <c r="I54" i="6"/>
  <c r="E80" i="6"/>
  <c r="E76" i="6"/>
  <c r="C184" i="11"/>
  <c r="C183" i="11"/>
  <c r="C182" i="11"/>
  <c r="C181" i="11"/>
  <c r="C180" i="11"/>
  <c r="C179" i="11"/>
  <c r="C178" i="11"/>
  <c r="C177" i="11"/>
  <c r="C176" i="11"/>
  <c r="C175" i="11"/>
  <c r="C174" i="11"/>
  <c r="C173" i="11"/>
  <c r="C172" i="11"/>
  <c r="C171" i="11"/>
  <c r="C170" i="11"/>
  <c r="C169" i="11"/>
  <c r="C168" i="11"/>
  <c r="C167" i="11"/>
  <c r="C166" i="11"/>
  <c r="C165" i="11"/>
  <c r="M86" i="17"/>
  <c r="D86" i="17"/>
  <c r="M42" i="17"/>
  <c r="D42" i="17"/>
  <c r="D92" i="17"/>
  <c r="D48" i="17"/>
  <c r="D49" i="17" s="1"/>
  <c r="L92" i="17"/>
  <c r="L93" i="17" s="1"/>
  <c r="L94" i="17" s="1"/>
  <c r="W52" i="6"/>
  <c r="U52" i="6"/>
  <c r="S52" i="6"/>
  <c r="Q52" i="6"/>
  <c r="O52" i="6"/>
  <c r="M52" i="6"/>
  <c r="K52" i="6"/>
  <c r="I52" i="6"/>
  <c r="G52" i="6"/>
  <c r="G35" i="6"/>
  <c r="I35" i="6"/>
  <c r="K35" i="6"/>
  <c r="M35" i="6"/>
  <c r="O35" i="6"/>
  <c r="Q35" i="6"/>
  <c r="S35" i="6"/>
  <c r="U35" i="6"/>
  <c r="W35" i="6"/>
  <c r="W51" i="6"/>
  <c r="U51" i="6"/>
  <c r="W45" i="6"/>
  <c r="W44" i="6"/>
  <c r="U45" i="6"/>
  <c r="U44" i="6"/>
  <c r="W39" i="6"/>
  <c r="W38" i="6"/>
  <c r="W37" i="6"/>
  <c r="W34" i="6"/>
  <c r="W31" i="6"/>
  <c r="W29" i="6"/>
  <c r="U39" i="6"/>
  <c r="U38" i="6"/>
  <c r="U37" i="6"/>
  <c r="U34" i="6"/>
  <c r="U31" i="6"/>
  <c r="U29" i="6"/>
  <c r="X186" i="11"/>
  <c r="X138" i="11"/>
  <c r="W138" i="11" s="1"/>
  <c r="X137" i="11"/>
  <c r="W137" i="11" s="1"/>
  <c r="X136" i="11"/>
  <c r="W136" i="11" s="1"/>
  <c r="X135" i="11"/>
  <c r="W135" i="11" s="1"/>
  <c r="X134" i="11"/>
  <c r="W134" i="11" s="1"/>
  <c r="X133" i="11"/>
  <c r="W133" i="11" s="1"/>
  <c r="X132" i="11"/>
  <c r="W132" i="11" s="1"/>
  <c r="X131" i="11"/>
  <c r="W131" i="11" s="1"/>
  <c r="X130" i="11"/>
  <c r="W130" i="11" s="1"/>
  <c r="X129" i="11"/>
  <c r="W129" i="11" s="1"/>
  <c r="X128" i="11"/>
  <c r="W128" i="11" s="1"/>
  <c r="X127" i="11"/>
  <c r="W127" i="11" s="1"/>
  <c r="X126" i="11"/>
  <c r="W126" i="11" s="1"/>
  <c r="X125" i="11"/>
  <c r="W125" i="11" s="1"/>
  <c r="X124" i="11"/>
  <c r="W124" i="11" s="1"/>
  <c r="X123" i="11"/>
  <c r="W123" i="11" s="1"/>
  <c r="X122" i="11"/>
  <c r="W122" i="11" s="1"/>
  <c r="X121" i="11"/>
  <c r="W121" i="11" s="1"/>
  <c r="X120" i="11"/>
  <c r="W120" i="11" s="1"/>
  <c r="X119" i="11"/>
  <c r="W119" i="11" s="1"/>
  <c r="W118" i="11"/>
  <c r="W92" i="11"/>
  <c r="W91" i="11"/>
  <c r="W90" i="11"/>
  <c r="W89" i="11"/>
  <c r="W88" i="11"/>
  <c r="W87" i="11"/>
  <c r="W86" i="11"/>
  <c r="W85" i="11"/>
  <c r="W84" i="11"/>
  <c r="W83" i="11"/>
  <c r="W82" i="11"/>
  <c r="W81" i="11"/>
  <c r="W80" i="11"/>
  <c r="W79" i="11"/>
  <c r="W78" i="11"/>
  <c r="W77" i="11"/>
  <c r="W76" i="11"/>
  <c r="W75" i="11"/>
  <c r="W74" i="11"/>
  <c r="W73" i="11"/>
  <c r="V186" i="11"/>
  <c r="V138" i="11"/>
  <c r="U138" i="11" s="1"/>
  <c r="V137" i="11"/>
  <c r="U137" i="11" s="1"/>
  <c r="V136" i="11"/>
  <c r="U136" i="11" s="1"/>
  <c r="V135" i="11"/>
  <c r="U135" i="11" s="1"/>
  <c r="V134" i="11"/>
  <c r="U134" i="11" s="1"/>
  <c r="V133" i="11"/>
  <c r="U133" i="11" s="1"/>
  <c r="V132" i="11"/>
  <c r="U132" i="11" s="1"/>
  <c r="V131" i="11"/>
  <c r="U131" i="11" s="1"/>
  <c r="V130" i="11"/>
  <c r="U130" i="11" s="1"/>
  <c r="V129" i="11"/>
  <c r="U129" i="11" s="1"/>
  <c r="V128" i="11"/>
  <c r="U128" i="11" s="1"/>
  <c r="V127" i="11"/>
  <c r="U127" i="11" s="1"/>
  <c r="V126" i="11"/>
  <c r="U126" i="11" s="1"/>
  <c r="V125" i="11"/>
  <c r="U125" i="11" s="1"/>
  <c r="V124" i="11"/>
  <c r="U124" i="11" s="1"/>
  <c r="V123" i="11"/>
  <c r="U123" i="11" s="1"/>
  <c r="V122" i="11"/>
  <c r="U122" i="11" s="1"/>
  <c r="V121" i="11"/>
  <c r="U121" i="11" s="1"/>
  <c r="V120" i="11"/>
  <c r="U120" i="11" s="1"/>
  <c r="V119" i="11"/>
  <c r="U119" i="11" s="1"/>
  <c r="U118" i="11"/>
  <c r="U92" i="11"/>
  <c r="U91" i="11"/>
  <c r="U90" i="11"/>
  <c r="U89" i="11"/>
  <c r="U88" i="11"/>
  <c r="U87" i="11"/>
  <c r="U86" i="11"/>
  <c r="U85" i="11"/>
  <c r="U84" i="11"/>
  <c r="U83" i="11"/>
  <c r="U82" i="11"/>
  <c r="U81" i="11"/>
  <c r="U80" i="11"/>
  <c r="U79" i="11"/>
  <c r="U78" i="11"/>
  <c r="U77" i="11"/>
  <c r="U76" i="11"/>
  <c r="U75" i="11"/>
  <c r="U74" i="11"/>
  <c r="U73" i="11"/>
  <c r="C35" i="21"/>
  <c r="C34" i="21"/>
  <c r="I26" i="21"/>
  <c r="G26" i="21"/>
  <c r="F26" i="21"/>
  <c r="E26" i="21"/>
  <c r="I25" i="21"/>
  <c r="G25" i="21"/>
  <c r="F25" i="21"/>
  <c r="E25" i="21"/>
  <c r="I24" i="21"/>
  <c r="G24" i="21"/>
  <c r="F24" i="21"/>
  <c r="E24" i="21"/>
  <c r="I23" i="21"/>
  <c r="G23" i="21"/>
  <c r="F23" i="21"/>
  <c r="E23" i="21"/>
  <c r="I22" i="21"/>
  <c r="G22" i="21"/>
  <c r="F22" i="21"/>
  <c r="E22" i="21"/>
  <c r="I21" i="21"/>
  <c r="G21" i="21"/>
  <c r="F21" i="21"/>
  <c r="E21" i="21"/>
  <c r="I20" i="21"/>
  <c r="G20" i="21"/>
  <c r="F20" i="21"/>
  <c r="E20" i="21"/>
  <c r="I19" i="21"/>
  <c r="G19" i="21"/>
  <c r="F19" i="21"/>
  <c r="E19" i="21"/>
  <c r="I18" i="21"/>
  <c r="G18" i="21"/>
  <c r="F18" i="21"/>
  <c r="E18" i="21"/>
  <c r="I17" i="21"/>
  <c r="G17" i="21"/>
  <c r="F17" i="21"/>
  <c r="E17" i="21"/>
  <c r="I16" i="21"/>
  <c r="G16" i="21"/>
  <c r="F16" i="21"/>
  <c r="E16" i="21"/>
  <c r="I15" i="21"/>
  <c r="G15" i="21"/>
  <c r="F15" i="21"/>
  <c r="E15" i="21"/>
  <c r="I14" i="21"/>
  <c r="G14" i="21"/>
  <c r="F14" i="21"/>
  <c r="E14" i="21"/>
  <c r="I13" i="21"/>
  <c r="G13" i="21"/>
  <c r="F13" i="21"/>
  <c r="E13" i="21"/>
  <c r="I12" i="21"/>
  <c r="G12" i="21"/>
  <c r="F12" i="21"/>
  <c r="E12" i="21"/>
  <c r="I11" i="21"/>
  <c r="G11" i="21"/>
  <c r="F11" i="21"/>
  <c r="E11" i="21"/>
  <c r="I10" i="21"/>
  <c r="G10" i="21"/>
  <c r="F10" i="21"/>
  <c r="E10" i="21"/>
  <c r="I9" i="21"/>
  <c r="G9" i="21"/>
  <c r="F9" i="21"/>
  <c r="E9" i="21"/>
  <c r="I8" i="21"/>
  <c r="G8" i="21"/>
  <c r="F8" i="21"/>
  <c r="E8" i="21"/>
  <c r="I7" i="21"/>
  <c r="G7" i="21"/>
  <c r="H25" i="21" s="1"/>
  <c r="F7" i="21"/>
  <c r="E7" i="21"/>
  <c r="I6" i="21"/>
  <c r="J25" i="21" s="1"/>
  <c r="G6" i="21"/>
  <c r="H26" i="21" s="1"/>
  <c r="F6" i="21"/>
  <c r="E6" i="21"/>
  <c r="F5" i="21"/>
  <c r="E5" i="21"/>
  <c r="E26" i="20"/>
  <c r="E25" i="20"/>
  <c r="E24" i="20"/>
  <c r="E23" i="20"/>
  <c r="E22" i="20"/>
  <c r="E21" i="20"/>
  <c r="E20" i="20"/>
  <c r="E19" i="20"/>
  <c r="E18" i="20"/>
  <c r="E17" i="20"/>
  <c r="E16" i="20"/>
  <c r="E15" i="20"/>
  <c r="E14" i="20"/>
  <c r="E13" i="20"/>
  <c r="E12" i="20"/>
  <c r="E11" i="20"/>
  <c r="E10" i="20"/>
  <c r="E9" i="20"/>
  <c r="E8" i="20"/>
  <c r="E7" i="20"/>
  <c r="E6" i="20"/>
  <c r="F25" i="20" s="1"/>
  <c r="C4" i="24" l="1"/>
  <c r="W79" i="23"/>
  <c r="C49" i="17"/>
  <c r="U79" i="23"/>
  <c r="M79" i="23"/>
  <c r="Q79" i="23"/>
  <c r="G79" i="23"/>
  <c r="O79" i="23"/>
  <c r="S79" i="23"/>
  <c r="I79" i="23"/>
  <c r="K79" i="23"/>
  <c r="U68" i="11"/>
  <c r="U64" i="11"/>
  <c r="U60" i="11"/>
  <c r="U56" i="11"/>
  <c r="U52" i="11"/>
  <c r="U65" i="11"/>
  <c r="U49" i="11"/>
  <c r="U67" i="11"/>
  <c r="U63" i="11"/>
  <c r="U59" i="11"/>
  <c r="U55" i="11"/>
  <c r="U51" i="11"/>
  <c r="U53" i="11"/>
  <c r="U66" i="11"/>
  <c r="U62" i="11"/>
  <c r="U58" i="11"/>
  <c r="U54" i="11"/>
  <c r="U50" i="11"/>
  <c r="U61" i="11"/>
  <c r="U57" i="11"/>
  <c r="W68" i="11"/>
  <c r="W64" i="11"/>
  <c r="W60" i="11"/>
  <c r="W56" i="11"/>
  <c r="W52" i="11"/>
  <c r="W67" i="11"/>
  <c r="W63" i="11"/>
  <c r="W59" i="11"/>
  <c r="W55" i="11"/>
  <c r="W51" i="11"/>
  <c r="W65" i="11"/>
  <c r="W57" i="11"/>
  <c r="W49" i="11"/>
  <c r="W66" i="11"/>
  <c r="W62" i="11"/>
  <c r="W58" i="11"/>
  <c r="W54" i="11"/>
  <c r="W50" i="11"/>
  <c r="W61" i="11"/>
  <c r="W53" i="11"/>
  <c r="X184" i="11"/>
  <c r="X180" i="11"/>
  <c r="X176" i="11"/>
  <c r="X172" i="11"/>
  <c r="X168" i="11"/>
  <c r="X161" i="11"/>
  <c r="X157" i="11"/>
  <c r="X153" i="11"/>
  <c r="W153" i="11" s="1"/>
  <c r="X198" i="11" s="1"/>
  <c r="W198" i="11" s="1"/>
  <c r="X149" i="11"/>
  <c r="W172" i="11" s="1"/>
  <c r="X145" i="11"/>
  <c r="X183" i="11"/>
  <c r="X179" i="11"/>
  <c r="X175" i="11"/>
  <c r="X171" i="11"/>
  <c r="X167" i="11"/>
  <c r="X160" i="11"/>
  <c r="W160" i="11" s="1"/>
  <c r="X205" i="11" s="1"/>
  <c r="W205" i="11" s="1"/>
  <c r="X156" i="11"/>
  <c r="W179" i="11" s="1"/>
  <c r="X152" i="11"/>
  <c r="X148" i="11"/>
  <c r="X144" i="11"/>
  <c r="W144" i="11" s="1"/>
  <c r="X189" i="11" s="1"/>
  <c r="W189" i="11" s="1"/>
  <c r="X182" i="11"/>
  <c r="X178" i="11"/>
  <c r="X174" i="11"/>
  <c r="X170" i="11"/>
  <c r="X166" i="11"/>
  <c r="X159" i="11"/>
  <c r="X155" i="11"/>
  <c r="X151" i="11"/>
  <c r="W151" i="11" s="1"/>
  <c r="X196" i="11" s="1"/>
  <c r="W196" i="11" s="1"/>
  <c r="X147" i="11"/>
  <c r="W147" i="11" s="1"/>
  <c r="X192" i="11" s="1"/>
  <c r="W192" i="11" s="1"/>
  <c r="X143" i="11"/>
  <c r="X169" i="11"/>
  <c r="X158" i="11"/>
  <c r="W181" i="11" s="1"/>
  <c r="X142" i="11"/>
  <c r="W165" i="11" s="1"/>
  <c r="X181" i="11"/>
  <c r="X165" i="11"/>
  <c r="X154" i="11"/>
  <c r="W177" i="11" s="1"/>
  <c r="X173" i="11"/>
  <c r="X146" i="11"/>
  <c r="X177" i="11"/>
  <c r="X150" i="11"/>
  <c r="W150" i="11" s="1"/>
  <c r="X195" i="11" s="1"/>
  <c r="W195" i="11" s="1"/>
  <c r="V184" i="11"/>
  <c r="V180" i="11"/>
  <c r="V176" i="11"/>
  <c r="V172" i="11"/>
  <c r="V168" i="11"/>
  <c r="V161" i="11"/>
  <c r="V157" i="11"/>
  <c r="U180" i="11" s="1"/>
  <c r="V153" i="11"/>
  <c r="U153" i="11" s="1"/>
  <c r="V198" i="11" s="1"/>
  <c r="U198" i="11" s="1"/>
  <c r="V149" i="11"/>
  <c r="U172" i="11" s="1"/>
  <c r="V145" i="11"/>
  <c r="V183" i="11"/>
  <c r="V179" i="11"/>
  <c r="V175" i="11"/>
  <c r="V171" i="11"/>
  <c r="V167" i="11"/>
  <c r="V160" i="11"/>
  <c r="U160" i="11" s="1"/>
  <c r="V205" i="11" s="1"/>
  <c r="U205" i="11" s="1"/>
  <c r="V156" i="11"/>
  <c r="U156" i="11" s="1"/>
  <c r="V201" i="11" s="1"/>
  <c r="U201" i="11" s="1"/>
  <c r="V152" i="11"/>
  <c r="V148" i="11"/>
  <c r="U171" i="11" s="1"/>
  <c r="V144" i="11"/>
  <c r="U144" i="11" s="1"/>
  <c r="V189" i="11" s="1"/>
  <c r="U189" i="11" s="1"/>
  <c r="V182" i="11"/>
  <c r="V178" i="11"/>
  <c r="V174" i="11"/>
  <c r="V170" i="11"/>
  <c r="V166" i="11"/>
  <c r="V159" i="11"/>
  <c r="V155" i="11"/>
  <c r="U155" i="11" s="1"/>
  <c r="V200" i="11" s="1"/>
  <c r="U200" i="11" s="1"/>
  <c r="V151" i="11"/>
  <c r="U151" i="11" s="1"/>
  <c r="V196" i="11" s="1"/>
  <c r="U196" i="11" s="1"/>
  <c r="V147" i="11"/>
  <c r="U147" i="11" s="1"/>
  <c r="V192" i="11" s="1"/>
  <c r="U192" i="11" s="1"/>
  <c r="V143" i="11"/>
  <c r="V173" i="11"/>
  <c r="V146" i="11"/>
  <c r="U146" i="11" s="1"/>
  <c r="V191" i="11" s="1"/>
  <c r="U191" i="11" s="1"/>
  <c r="V169" i="11"/>
  <c r="V158" i="11"/>
  <c r="V142" i="11"/>
  <c r="V177" i="11"/>
  <c r="V150" i="11"/>
  <c r="U173" i="11" s="1"/>
  <c r="V181" i="11"/>
  <c r="V165" i="11"/>
  <c r="V154" i="11"/>
  <c r="U177" i="11" s="1"/>
  <c r="U76" i="6"/>
  <c r="U182" i="11"/>
  <c r="U178" i="11"/>
  <c r="U174" i="11"/>
  <c r="U170" i="11"/>
  <c r="U166" i="11"/>
  <c r="U161" i="11"/>
  <c r="U157" i="11"/>
  <c r="V202" i="11" s="1"/>
  <c r="U202" i="11" s="1"/>
  <c r="U149" i="11"/>
  <c r="V194" i="11" s="1"/>
  <c r="U194" i="11" s="1"/>
  <c r="U145" i="11"/>
  <c r="V190" i="11" s="1"/>
  <c r="U190" i="11" s="1"/>
  <c r="U181" i="11"/>
  <c r="U165" i="11"/>
  <c r="U152" i="11"/>
  <c r="V197" i="11" s="1"/>
  <c r="U197" i="11" s="1"/>
  <c r="U148" i="11"/>
  <c r="V193" i="11" s="1"/>
  <c r="U193" i="11" s="1"/>
  <c r="U184" i="11"/>
  <c r="U168" i="11"/>
  <c r="U159" i="11"/>
  <c r="V204" i="11" s="1"/>
  <c r="U204" i="11" s="1"/>
  <c r="U143" i="11"/>
  <c r="V188" i="11" s="1"/>
  <c r="U188" i="11" s="1"/>
  <c r="U175" i="11"/>
  <c r="U158" i="11"/>
  <c r="V203" i="11" s="1"/>
  <c r="U203" i="11" s="1"/>
  <c r="U142" i="11"/>
  <c r="V187" i="11" s="1"/>
  <c r="W76" i="6"/>
  <c r="W175" i="11"/>
  <c r="W171" i="11"/>
  <c r="W182" i="11"/>
  <c r="W166" i="11"/>
  <c r="W161" i="11"/>
  <c r="X206" i="11" s="1"/>
  <c r="W206" i="11" s="1"/>
  <c r="W157" i="11"/>
  <c r="X202" i="11" s="1"/>
  <c r="W202" i="11" s="1"/>
  <c r="W145" i="11"/>
  <c r="X190" i="11" s="1"/>
  <c r="W190" i="11" s="1"/>
  <c r="W152" i="11"/>
  <c r="X197" i="11" s="1"/>
  <c r="W197" i="11" s="1"/>
  <c r="W148" i="11"/>
  <c r="X193" i="11" s="1"/>
  <c r="W193" i="11" s="1"/>
  <c r="W180" i="11"/>
  <c r="W169" i="11"/>
  <c r="W159" i="11"/>
  <c r="X204" i="11" s="1"/>
  <c r="W204" i="11" s="1"/>
  <c r="W155" i="11"/>
  <c r="X200" i="11" s="1"/>
  <c r="W200" i="11" s="1"/>
  <c r="W143" i="11"/>
  <c r="X188" i="11" s="1"/>
  <c r="W188" i="11" s="1"/>
  <c r="W168" i="11"/>
  <c r="W178" i="11"/>
  <c r="W184" i="11"/>
  <c r="W146" i="11"/>
  <c r="X191" i="11" s="1"/>
  <c r="W191" i="11" s="1"/>
  <c r="V206" i="11"/>
  <c r="U206" i="11" s="1"/>
  <c r="W80" i="6"/>
  <c r="U80" i="6"/>
  <c r="Q33" i="6"/>
  <c r="K33" i="6"/>
  <c r="S33" i="6"/>
  <c r="I33" i="6"/>
  <c r="M33" i="6"/>
  <c r="U33" i="6"/>
  <c r="G33" i="6"/>
  <c r="O33" i="6"/>
  <c r="L48" i="17"/>
  <c r="L49" i="17" s="1"/>
  <c r="L50" i="17" s="1"/>
  <c r="L51" i="17" s="1"/>
  <c r="L52" i="17" s="1"/>
  <c r="L53" i="17" s="1"/>
  <c r="L54" i="17" s="1"/>
  <c r="L55" i="17" s="1"/>
  <c r="L56" i="17" s="1"/>
  <c r="L57" i="17" s="1"/>
  <c r="L58" i="17" s="1"/>
  <c r="L59" i="17" s="1"/>
  <c r="L60" i="17" s="1"/>
  <c r="L61" i="17" s="1"/>
  <c r="L62" i="17" s="1"/>
  <c r="L63" i="17" s="1"/>
  <c r="L64" i="17" s="1"/>
  <c r="L65" i="17" s="1"/>
  <c r="L66" i="17" s="1"/>
  <c r="L67" i="17" s="1"/>
  <c r="L68" i="17" s="1"/>
  <c r="L69" i="17" s="1"/>
  <c r="L70" i="17" s="1"/>
  <c r="L71" i="17" s="1"/>
  <c r="L72" i="17" s="1"/>
  <c r="L73" i="17" s="1"/>
  <c r="L74" i="17" s="1"/>
  <c r="L75" i="17" s="1"/>
  <c r="L76" i="17" s="1"/>
  <c r="L77" i="17" s="1"/>
  <c r="L95" i="17"/>
  <c r="L96" i="17" s="1"/>
  <c r="L97" i="17" s="1"/>
  <c r="L98" i="17" s="1"/>
  <c r="L99" i="17" s="1"/>
  <c r="L100" i="17" s="1"/>
  <c r="L101" i="17" s="1"/>
  <c r="L102" i="17" s="1"/>
  <c r="L103" i="17" s="1"/>
  <c r="L104" i="17" s="1"/>
  <c r="L105" i="17" s="1"/>
  <c r="L106" i="17" s="1"/>
  <c r="L107" i="17" s="1"/>
  <c r="L108" i="17" s="1"/>
  <c r="L109" i="17" s="1"/>
  <c r="L110" i="17" s="1"/>
  <c r="L111" i="17" s="1"/>
  <c r="L112" i="17" s="1"/>
  <c r="L113" i="17" s="1"/>
  <c r="L114" i="17" s="1"/>
  <c r="L115" i="17" s="1"/>
  <c r="L116" i="17" s="1"/>
  <c r="L117" i="17" s="1"/>
  <c r="L118" i="17" s="1"/>
  <c r="L119" i="17" s="1"/>
  <c r="L120" i="17" s="1"/>
  <c r="L121" i="17" s="1"/>
  <c r="D93" i="17"/>
  <c r="D94" i="17" s="1"/>
  <c r="D95" i="17" s="1"/>
  <c r="D96" i="17" s="1"/>
  <c r="D97" i="17" s="1"/>
  <c r="D98" i="17" s="1"/>
  <c r="D99" i="17" s="1"/>
  <c r="D100" i="17" s="1"/>
  <c r="D101" i="17" s="1"/>
  <c r="D102" i="17" s="1"/>
  <c r="D103" i="17" s="1"/>
  <c r="D104" i="17" s="1"/>
  <c r="D105" i="17" s="1"/>
  <c r="D106" i="17" s="1"/>
  <c r="D107" i="17" s="1"/>
  <c r="D108" i="17" s="1"/>
  <c r="D109" i="17" s="1"/>
  <c r="D110" i="17" s="1"/>
  <c r="D111" i="17" s="1"/>
  <c r="D112" i="17" s="1"/>
  <c r="D113" i="17" s="1"/>
  <c r="D114" i="17" s="1"/>
  <c r="D115" i="17" s="1"/>
  <c r="D116" i="17" s="1"/>
  <c r="D117" i="17" s="1"/>
  <c r="D118" i="17" s="1"/>
  <c r="D119" i="17" s="1"/>
  <c r="D120" i="17" s="1"/>
  <c r="D121" i="17" s="1"/>
  <c r="C50" i="17"/>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D50" i="17"/>
  <c r="D51" i="17" s="1"/>
  <c r="D52" i="17" s="1"/>
  <c r="D53" i="17" s="1"/>
  <c r="D54" i="17" s="1"/>
  <c r="D55" i="17" s="1"/>
  <c r="D56" i="17" s="1"/>
  <c r="D57" i="17" s="1"/>
  <c r="D58" i="17" s="1"/>
  <c r="D59" i="17" s="1"/>
  <c r="D60" i="17" s="1"/>
  <c r="D61" i="17" s="1"/>
  <c r="D62" i="17" s="1"/>
  <c r="D63" i="17" s="1"/>
  <c r="D64" i="17" s="1"/>
  <c r="D65" i="17" s="1"/>
  <c r="D66" i="17" s="1"/>
  <c r="D67" i="17" s="1"/>
  <c r="D68" i="17" s="1"/>
  <c r="D69" i="17" s="1"/>
  <c r="D70" i="17" s="1"/>
  <c r="D71" i="17" s="1"/>
  <c r="D72" i="17" s="1"/>
  <c r="D73" i="17" s="1"/>
  <c r="D74" i="17" s="1"/>
  <c r="D75" i="17" s="1"/>
  <c r="D76" i="17" s="1"/>
  <c r="D77" i="17" s="1"/>
  <c r="G57" i="6"/>
  <c r="K57" i="6"/>
  <c r="O57" i="6"/>
  <c r="S57" i="6"/>
  <c r="W57" i="6"/>
  <c r="E57" i="6"/>
  <c r="C4" i="11" s="1"/>
  <c r="W4" i="11" s="1"/>
  <c r="I57" i="6"/>
  <c r="M57" i="6"/>
  <c r="Q57" i="6"/>
  <c r="U57" i="6"/>
  <c r="C92" i="17"/>
  <c r="U186" i="11"/>
  <c r="W186" i="11"/>
  <c r="F6" i="20"/>
  <c r="F10" i="20"/>
  <c r="F12" i="20"/>
  <c r="F14" i="20"/>
  <c r="F16" i="20"/>
  <c r="F20" i="20"/>
  <c r="F24" i="20"/>
  <c r="H7" i="21"/>
  <c r="J8" i="21"/>
  <c r="H11" i="21"/>
  <c r="J12" i="21"/>
  <c r="H15" i="21"/>
  <c r="H17" i="21"/>
  <c r="J18" i="21"/>
  <c r="H21" i="21"/>
  <c r="J22" i="21"/>
  <c r="J24" i="21"/>
  <c r="J26" i="21"/>
  <c r="F8" i="20"/>
  <c r="F18" i="20"/>
  <c r="F22" i="20"/>
  <c r="F26" i="20"/>
  <c r="J6" i="21"/>
  <c r="H9" i="21"/>
  <c r="J10" i="21"/>
  <c r="H13" i="21"/>
  <c r="J14" i="21"/>
  <c r="J16" i="21"/>
  <c r="H19" i="21"/>
  <c r="J20" i="21"/>
  <c r="H23" i="21"/>
  <c r="F7" i="20"/>
  <c r="F9" i="20"/>
  <c r="F11" i="20"/>
  <c r="F13" i="20"/>
  <c r="F15" i="20"/>
  <c r="F17" i="20"/>
  <c r="F19" i="20"/>
  <c r="F21" i="20"/>
  <c r="F23" i="20"/>
  <c r="H6" i="21"/>
  <c r="J7" i="21"/>
  <c r="H8" i="21"/>
  <c r="J9" i="21"/>
  <c r="H10" i="21"/>
  <c r="J11" i="21"/>
  <c r="H12" i="21"/>
  <c r="J13" i="21"/>
  <c r="H14" i="21"/>
  <c r="J15" i="21"/>
  <c r="H16" i="21"/>
  <c r="J17" i="21"/>
  <c r="H18" i="21"/>
  <c r="J19" i="21"/>
  <c r="H20" i="21"/>
  <c r="J21" i="21"/>
  <c r="H22" i="21"/>
  <c r="J23" i="21"/>
  <c r="H24" i="21"/>
  <c r="U79" i="6" l="1"/>
  <c r="W79" i="6"/>
  <c r="W170" i="11"/>
  <c r="U150" i="11"/>
  <c r="V195" i="11" s="1"/>
  <c r="U195" i="11" s="1"/>
  <c r="C5" i="24"/>
  <c r="W142" i="11"/>
  <c r="X187" i="11" s="1"/>
  <c r="W86" i="6" s="1"/>
  <c r="W156" i="11"/>
  <c r="X201" i="11" s="1"/>
  <c r="W201" i="11" s="1"/>
  <c r="W149" i="11"/>
  <c r="X194" i="11" s="1"/>
  <c r="W194" i="11" s="1"/>
  <c r="W85" i="23"/>
  <c r="U85" i="23"/>
  <c r="U179" i="11"/>
  <c r="Q85" i="23"/>
  <c r="I85" i="23"/>
  <c r="S85" i="23"/>
  <c r="G85" i="23"/>
  <c r="O85" i="23"/>
  <c r="D4" i="24"/>
  <c r="D5" i="24" s="1"/>
  <c r="D6" i="24" s="1"/>
  <c r="D7" i="24" s="1"/>
  <c r="D8" i="24" s="1"/>
  <c r="D9" i="24" s="1"/>
  <c r="D10" i="24" s="1"/>
  <c r="D11" i="24" s="1"/>
  <c r="D12" i="24" s="1"/>
  <c r="D13" i="24" s="1"/>
  <c r="D14" i="24" s="1"/>
  <c r="D15" i="24" s="1"/>
  <c r="D16" i="24" s="1"/>
  <c r="D17" i="24" s="1"/>
  <c r="D18" i="24" s="1"/>
  <c r="D19" i="24" s="1"/>
  <c r="D20" i="24" s="1"/>
  <c r="D21" i="24" s="1"/>
  <c r="D22" i="24" s="1"/>
  <c r="D23" i="24" s="1"/>
  <c r="M85" i="23"/>
  <c r="K85" i="23"/>
  <c r="E4" i="11"/>
  <c r="C5" i="11"/>
  <c r="U4" i="11"/>
  <c r="U154" i="11"/>
  <c r="V199" i="11" s="1"/>
  <c r="U199" i="11" s="1"/>
  <c r="U176" i="11"/>
  <c r="U169" i="11"/>
  <c r="W158" i="11"/>
  <c r="X203" i="11" s="1"/>
  <c r="W203" i="11" s="1"/>
  <c r="W174" i="11"/>
  <c r="W167" i="11"/>
  <c r="W183" i="11"/>
  <c r="U167" i="11"/>
  <c r="W154" i="11"/>
  <c r="X199" i="11" s="1"/>
  <c r="W199" i="11" s="1"/>
  <c r="W173" i="11"/>
  <c r="W176" i="11"/>
  <c r="U183" i="11"/>
  <c r="U86" i="6"/>
  <c r="U187" i="11"/>
  <c r="C93" i="17"/>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U63" i="6"/>
  <c r="M63" i="6"/>
  <c r="E63" i="6"/>
  <c r="D4" i="11" s="1"/>
  <c r="D5" i="11" s="1"/>
  <c r="D6" i="11" s="1"/>
  <c r="D7" i="11" s="1"/>
  <c r="D8" i="11" s="1"/>
  <c r="D9" i="11" s="1"/>
  <c r="D10" i="11" s="1"/>
  <c r="D11" i="11" s="1"/>
  <c r="D12" i="11" s="1"/>
  <c r="D13" i="11" s="1"/>
  <c r="D14" i="11" s="1"/>
  <c r="D15" i="11" s="1"/>
  <c r="D16" i="11" s="1"/>
  <c r="D17" i="11" s="1"/>
  <c r="D18" i="11" s="1"/>
  <c r="D19" i="11" s="1"/>
  <c r="D20" i="11" s="1"/>
  <c r="D21" i="11" s="1"/>
  <c r="D22" i="11" s="1"/>
  <c r="D23" i="11" s="1"/>
  <c r="S63" i="6"/>
  <c r="K63" i="6"/>
  <c r="O63" i="6"/>
  <c r="G63" i="6"/>
  <c r="Q63" i="6"/>
  <c r="I63" i="6"/>
  <c r="W63" i="6"/>
  <c r="F120" i="11"/>
  <c r="F121" i="11"/>
  <c r="F122" i="11"/>
  <c r="F123" i="11"/>
  <c r="F124" i="11"/>
  <c r="F125" i="11"/>
  <c r="F126" i="11"/>
  <c r="F127" i="11"/>
  <c r="F128" i="11"/>
  <c r="F129" i="11"/>
  <c r="F130" i="11"/>
  <c r="F131" i="11"/>
  <c r="F132" i="11"/>
  <c r="F133" i="11"/>
  <c r="F134" i="11"/>
  <c r="F135" i="11"/>
  <c r="F136" i="11"/>
  <c r="F137" i="11"/>
  <c r="F138" i="11"/>
  <c r="F119" i="11"/>
  <c r="U26" i="11" l="1"/>
  <c r="U98" i="11" s="1"/>
  <c r="U154" i="6" s="1"/>
  <c r="W187" i="11"/>
  <c r="W26" i="11" s="1"/>
  <c r="W106" i="11" s="1"/>
  <c r="W162" i="6" s="1"/>
  <c r="E26" i="11"/>
  <c r="C6" i="24"/>
  <c r="C7" i="24" s="1"/>
  <c r="C8" i="24" s="1"/>
  <c r="C9" i="24" s="1"/>
  <c r="C10" i="24" s="1"/>
  <c r="C11" i="24" s="1"/>
  <c r="C12" i="24" s="1"/>
  <c r="C13" i="24" s="1"/>
  <c r="C14" i="24" s="1"/>
  <c r="C15" i="24" s="1"/>
  <c r="C16" i="24" s="1"/>
  <c r="C17" i="24" s="1"/>
  <c r="C18" i="24" s="1"/>
  <c r="C19" i="24" s="1"/>
  <c r="C20" i="24" s="1"/>
  <c r="C21" i="24" s="1"/>
  <c r="C22" i="24" s="1"/>
  <c r="C23" i="24" s="1"/>
  <c r="E5" i="11"/>
  <c r="C6" i="11"/>
  <c r="W5" i="11"/>
  <c r="U5" i="11"/>
  <c r="S45" i="6"/>
  <c r="Q45" i="6"/>
  <c r="O45" i="6"/>
  <c r="M45" i="6"/>
  <c r="K45" i="6"/>
  <c r="I45" i="6"/>
  <c r="G45" i="6"/>
  <c r="W96" i="11" l="1"/>
  <c r="W152" i="6" s="1"/>
  <c r="W97" i="11"/>
  <c r="W153" i="6" s="1"/>
  <c r="W104" i="11"/>
  <c r="W160" i="6" s="1"/>
  <c r="W101" i="11"/>
  <c r="W157" i="6" s="1"/>
  <c r="W27" i="11"/>
  <c r="W107" i="11"/>
  <c r="W163" i="6" s="1"/>
  <c r="W113" i="11"/>
  <c r="W169" i="6" s="1"/>
  <c r="W115" i="11"/>
  <c r="W171" i="6" s="1"/>
  <c r="W98" i="11"/>
  <c r="W154" i="6" s="1"/>
  <c r="W110" i="11"/>
  <c r="W166" i="6" s="1"/>
  <c r="W114" i="11"/>
  <c r="W170" i="6" s="1"/>
  <c r="U97" i="11"/>
  <c r="U153" i="6" s="1"/>
  <c r="U100" i="11"/>
  <c r="U156" i="6" s="1"/>
  <c r="U114" i="11"/>
  <c r="U170" i="6" s="1"/>
  <c r="U111" i="11"/>
  <c r="U167" i="6" s="1"/>
  <c r="U113" i="11"/>
  <c r="U169" i="6" s="1"/>
  <c r="U27" i="11"/>
  <c r="U106" i="11"/>
  <c r="U162" i="6" s="1"/>
  <c r="U115" i="11"/>
  <c r="U171" i="6" s="1"/>
  <c r="U110" i="11"/>
  <c r="U166" i="6" s="1"/>
  <c r="U101" i="11"/>
  <c r="U157" i="6" s="1"/>
  <c r="U96" i="11"/>
  <c r="U152" i="6" s="1"/>
  <c r="W103" i="11"/>
  <c r="W159" i="6" s="1"/>
  <c r="W112" i="11"/>
  <c r="W168" i="6" s="1"/>
  <c r="W100" i="11"/>
  <c r="W156" i="6" s="1"/>
  <c r="W105" i="11"/>
  <c r="W161" i="6" s="1"/>
  <c r="W102" i="11"/>
  <c r="W158" i="6" s="1"/>
  <c r="W111" i="11"/>
  <c r="W167" i="6" s="1"/>
  <c r="W99" i="11"/>
  <c r="W155" i="6" s="1"/>
  <c r="W108" i="11"/>
  <c r="W164" i="6" s="1"/>
  <c r="W109" i="11"/>
  <c r="W165" i="6" s="1"/>
  <c r="E27" i="11"/>
  <c r="U99" i="11"/>
  <c r="U155" i="6" s="1"/>
  <c r="U108" i="11"/>
  <c r="U164" i="6" s="1"/>
  <c r="U104" i="11"/>
  <c r="U160" i="6" s="1"/>
  <c r="U105" i="11"/>
  <c r="U161" i="6" s="1"/>
  <c r="U102" i="11"/>
  <c r="U158" i="6" s="1"/>
  <c r="U107" i="11"/>
  <c r="U163" i="6" s="1"/>
  <c r="U103" i="11"/>
  <c r="U159" i="6" s="1"/>
  <c r="U112" i="11"/>
  <c r="U168" i="6" s="1"/>
  <c r="U109" i="11"/>
  <c r="U165" i="6" s="1"/>
  <c r="C7" i="11"/>
  <c r="E6" i="11"/>
  <c r="U6" i="11"/>
  <c r="W6" i="11"/>
  <c r="W28" i="11" s="1"/>
  <c r="P184" i="11"/>
  <c r="P180" i="11"/>
  <c r="P176" i="11"/>
  <c r="P172" i="11"/>
  <c r="P168" i="11"/>
  <c r="P161" i="11"/>
  <c r="P157" i="11"/>
  <c r="P153" i="11"/>
  <c r="P149" i="11"/>
  <c r="P145" i="11"/>
  <c r="P183" i="11"/>
  <c r="P179" i="11"/>
  <c r="P175" i="11"/>
  <c r="P171" i="11"/>
  <c r="P167" i="11"/>
  <c r="P160" i="11"/>
  <c r="P156" i="11"/>
  <c r="P152" i="11"/>
  <c r="P182" i="11"/>
  <c r="P178" i="11"/>
  <c r="P174" i="11"/>
  <c r="P170" i="11"/>
  <c r="P166" i="11"/>
  <c r="P159" i="11"/>
  <c r="P155" i="11"/>
  <c r="P151" i="11"/>
  <c r="P147" i="11"/>
  <c r="P143" i="11"/>
  <c r="P169" i="11"/>
  <c r="P158" i="11"/>
  <c r="P146" i="11"/>
  <c r="P181" i="11"/>
  <c r="P165" i="11"/>
  <c r="P154" i="11"/>
  <c r="P144" i="11"/>
  <c r="P173" i="11"/>
  <c r="P177" i="11"/>
  <c r="P150" i="11"/>
  <c r="P142" i="11"/>
  <c r="P148" i="11"/>
  <c r="J184" i="11"/>
  <c r="J180" i="11"/>
  <c r="J176" i="11"/>
  <c r="J172" i="11"/>
  <c r="J168" i="11"/>
  <c r="J183" i="11"/>
  <c r="J179" i="11"/>
  <c r="J175" i="11"/>
  <c r="J171" i="11"/>
  <c r="J167" i="11"/>
  <c r="J182" i="11"/>
  <c r="J178" i="11"/>
  <c r="J174" i="11"/>
  <c r="J170" i="11"/>
  <c r="J166" i="11"/>
  <c r="J181" i="11"/>
  <c r="J165" i="11"/>
  <c r="J161" i="11"/>
  <c r="J157" i="11"/>
  <c r="J153" i="11"/>
  <c r="J149" i="11"/>
  <c r="J145" i="11"/>
  <c r="J177" i="11"/>
  <c r="J160" i="11"/>
  <c r="J156" i="11"/>
  <c r="J152" i="11"/>
  <c r="J148" i="11"/>
  <c r="J144" i="11"/>
  <c r="J158" i="11"/>
  <c r="J150" i="11"/>
  <c r="J173" i="11"/>
  <c r="J159" i="11"/>
  <c r="J155" i="11"/>
  <c r="J151" i="11"/>
  <c r="J147" i="11"/>
  <c r="J143" i="11"/>
  <c r="J169" i="11"/>
  <c r="J154" i="11"/>
  <c r="J146" i="11"/>
  <c r="J142" i="11"/>
  <c r="R184" i="11"/>
  <c r="R180" i="11"/>
  <c r="R176" i="11"/>
  <c r="R172" i="11"/>
  <c r="R168" i="11"/>
  <c r="R161" i="11"/>
  <c r="R157" i="11"/>
  <c r="R153" i="11"/>
  <c r="R149" i="11"/>
  <c r="R145" i="11"/>
  <c r="R183" i="11"/>
  <c r="R179" i="11"/>
  <c r="R175" i="11"/>
  <c r="R171" i="11"/>
  <c r="R167" i="11"/>
  <c r="R160" i="11"/>
  <c r="R156" i="11"/>
  <c r="R152" i="11"/>
  <c r="R148" i="11"/>
  <c r="R144" i="11"/>
  <c r="R182" i="11"/>
  <c r="R178" i="11"/>
  <c r="R174" i="11"/>
  <c r="R170" i="11"/>
  <c r="R166" i="11"/>
  <c r="R159" i="11"/>
  <c r="R155" i="11"/>
  <c r="R151" i="11"/>
  <c r="R147" i="11"/>
  <c r="R143" i="11"/>
  <c r="R181" i="11"/>
  <c r="R165" i="11"/>
  <c r="R154" i="11"/>
  <c r="R177" i="11"/>
  <c r="R150" i="11"/>
  <c r="R142" i="11"/>
  <c r="R173" i="11"/>
  <c r="R146" i="11"/>
  <c r="R169" i="11"/>
  <c r="R158" i="11"/>
  <c r="H184" i="11"/>
  <c r="H180" i="11"/>
  <c r="H176" i="11"/>
  <c r="H172" i="11"/>
  <c r="H168" i="11"/>
  <c r="H183" i="11"/>
  <c r="H179" i="11"/>
  <c r="H175" i="11"/>
  <c r="H171" i="11"/>
  <c r="H167" i="11"/>
  <c r="H182" i="11"/>
  <c r="H178" i="11"/>
  <c r="H174" i="11"/>
  <c r="H170" i="11"/>
  <c r="H166" i="11"/>
  <c r="H169" i="11"/>
  <c r="H161" i="11"/>
  <c r="H157" i="11"/>
  <c r="H153" i="11"/>
  <c r="H149" i="11"/>
  <c r="H145" i="11"/>
  <c r="H181" i="11"/>
  <c r="H165" i="11"/>
  <c r="H160" i="11"/>
  <c r="H156" i="11"/>
  <c r="H152" i="11"/>
  <c r="H148" i="11"/>
  <c r="H144" i="11"/>
  <c r="H173" i="11"/>
  <c r="H158" i="11"/>
  <c r="H150" i="11"/>
  <c r="H177" i="11"/>
  <c r="H159" i="11"/>
  <c r="H155" i="11"/>
  <c r="H151" i="11"/>
  <c r="H147" i="11"/>
  <c r="H143" i="11"/>
  <c r="H154" i="11"/>
  <c r="H146" i="11"/>
  <c r="H142" i="11"/>
  <c r="L184" i="11"/>
  <c r="L180" i="11"/>
  <c r="L176" i="11"/>
  <c r="L172" i="11"/>
  <c r="L168" i="11"/>
  <c r="L161" i="11"/>
  <c r="L183" i="11"/>
  <c r="L179" i="11"/>
  <c r="L175" i="11"/>
  <c r="L171" i="11"/>
  <c r="L167" i="11"/>
  <c r="L182" i="11"/>
  <c r="L178" i="11"/>
  <c r="L174" i="11"/>
  <c r="L170" i="11"/>
  <c r="L166" i="11"/>
  <c r="L177" i="11"/>
  <c r="L157" i="11"/>
  <c r="L153" i="11"/>
  <c r="L149" i="11"/>
  <c r="L145" i="11"/>
  <c r="L173" i="11"/>
  <c r="L160" i="11"/>
  <c r="L156" i="11"/>
  <c r="L152" i="11"/>
  <c r="L148" i="11"/>
  <c r="L144" i="11"/>
  <c r="L165" i="11"/>
  <c r="L154" i="11"/>
  <c r="L146" i="11"/>
  <c r="L169" i="11"/>
  <c r="L159" i="11"/>
  <c r="L155" i="11"/>
  <c r="L151" i="11"/>
  <c r="L147" i="11"/>
  <c r="L143" i="11"/>
  <c r="L181" i="11"/>
  <c r="L158" i="11"/>
  <c r="L150" i="11"/>
  <c r="L142" i="11"/>
  <c r="T184" i="11"/>
  <c r="T180" i="11"/>
  <c r="T176" i="11"/>
  <c r="T172" i="11"/>
  <c r="T168" i="11"/>
  <c r="T161" i="11"/>
  <c r="T157" i="11"/>
  <c r="T153" i="11"/>
  <c r="T149" i="11"/>
  <c r="T145" i="11"/>
  <c r="T183" i="11"/>
  <c r="T179" i="11"/>
  <c r="T175" i="11"/>
  <c r="T171" i="11"/>
  <c r="T167" i="11"/>
  <c r="T160" i="11"/>
  <c r="T156" i="11"/>
  <c r="T152" i="11"/>
  <c r="T148" i="11"/>
  <c r="T144" i="11"/>
  <c r="T182" i="11"/>
  <c r="T178" i="11"/>
  <c r="T174" i="11"/>
  <c r="T170" i="11"/>
  <c r="T166" i="11"/>
  <c r="T159" i="11"/>
  <c r="T155" i="11"/>
  <c r="T151" i="11"/>
  <c r="T147" i="11"/>
  <c r="T143" i="11"/>
  <c r="T177" i="11"/>
  <c r="T150" i="11"/>
  <c r="T173" i="11"/>
  <c r="T146" i="11"/>
  <c r="T165" i="11"/>
  <c r="T154" i="11"/>
  <c r="T169" i="11"/>
  <c r="T158" i="11"/>
  <c r="T142" i="11"/>
  <c r="T181" i="11"/>
  <c r="N184" i="11"/>
  <c r="N180" i="11"/>
  <c r="N176" i="11"/>
  <c r="N172" i="11"/>
  <c r="N168" i="11"/>
  <c r="N161" i="11"/>
  <c r="N157" i="11"/>
  <c r="N153" i="11"/>
  <c r="N149" i="11"/>
  <c r="N145" i="11"/>
  <c r="N183" i="11"/>
  <c r="N179" i="11"/>
  <c r="N175" i="11"/>
  <c r="N171" i="11"/>
  <c r="N167" i="11"/>
  <c r="N182" i="11"/>
  <c r="N178" i="11"/>
  <c r="N174" i="11"/>
  <c r="N170" i="11"/>
  <c r="N166" i="11"/>
  <c r="N159" i="11"/>
  <c r="N155" i="11"/>
  <c r="N151" i="11"/>
  <c r="N147" i="11"/>
  <c r="N143" i="11"/>
  <c r="N173" i="11"/>
  <c r="N158" i="11"/>
  <c r="N150" i="11"/>
  <c r="N142" i="11"/>
  <c r="N169" i="11"/>
  <c r="N156" i="11"/>
  <c r="N148" i="11"/>
  <c r="N177" i="11"/>
  <c r="N160" i="11"/>
  <c r="N144" i="11"/>
  <c r="N181" i="11"/>
  <c r="N165" i="11"/>
  <c r="N154" i="11"/>
  <c r="N146" i="11"/>
  <c r="N152" i="11"/>
  <c r="C206" i="11"/>
  <c r="C205" i="11"/>
  <c r="C204" i="11"/>
  <c r="C203" i="11"/>
  <c r="C202" i="11"/>
  <c r="C201" i="11"/>
  <c r="C200" i="11"/>
  <c r="C199" i="11"/>
  <c r="C198" i="11"/>
  <c r="C197" i="11"/>
  <c r="C196" i="11"/>
  <c r="C195" i="11"/>
  <c r="C194" i="11"/>
  <c r="C193" i="11"/>
  <c r="C192" i="11"/>
  <c r="C191" i="11"/>
  <c r="C190" i="11"/>
  <c r="C189" i="11"/>
  <c r="C188" i="11"/>
  <c r="C187" i="11"/>
  <c r="U28" i="11" l="1"/>
  <c r="E28" i="11"/>
  <c r="C8" i="11"/>
  <c r="E7" i="11"/>
  <c r="W7" i="11"/>
  <c r="W78" i="6" s="1"/>
  <c r="U7" i="11"/>
  <c r="U78" i="6" s="1"/>
  <c r="S44" i="6"/>
  <c r="Q44" i="6"/>
  <c r="O44" i="6"/>
  <c r="M44" i="6"/>
  <c r="K44" i="6"/>
  <c r="I44" i="6"/>
  <c r="G44" i="6"/>
  <c r="S34" i="6"/>
  <c r="S31" i="6"/>
  <c r="Q34" i="6"/>
  <c r="Q31" i="6"/>
  <c r="O34" i="6"/>
  <c r="O31" i="6"/>
  <c r="M34" i="6"/>
  <c r="M31" i="6"/>
  <c r="K34" i="6"/>
  <c r="K31" i="6"/>
  <c r="I34" i="6"/>
  <c r="I31" i="6"/>
  <c r="G34" i="6"/>
  <c r="G31" i="6"/>
  <c r="S141" i="11"/>
  <c r="Q141" i="11"/>
  <c r="O141" i="11"/>
  <c r="M141" i="11"/>
  <c r="K141" i="11"/>
  <c r="I141" i="11"/>
  <c r="G141" i="11"/>
  <c r="E141" i="11"/>
  <c r="E118" i="11"/>
  <c r="C161" i="11"/>
  <c r="C160" i="11"/>
  <c r="C159" i="11"/>
  <c r="C158" i="11"/>
  <c r="C157" i="11"/>
  <c r="C156" i="11"/>
  <c r="C155" i="11"/>
  <c r="C154" i="11"/>
  <c r="C153" i="11"/>
  <c r="C152" i="11"/>
  <c r="C151" i="11"/>
  <c r="C150" i="11"/>
  <c r="C149" i="11"/>
  <c r="C148" i="11"/>
  <c r="C147" i="11"/>
  <c r="C146" i="11"/>
  <c r="C145" i="11"/>
  <c r="C144" i="11"/>
  <c r="C143" i="11"/>
  <c r="C142" i="11"/>
  <c r="E29" i="11" l="1"/>
  <c r="E78" i="6"/>
  <c r="W29" i="11"/>
  <c r="U29" i="11"/>
  <c r="M164" i="11"/>
  <c r="N164" i="11" s="1"/>
  <c r="N141" i="11"/>
  <c r="H141" i="11"/>
  <c r="G164" i="11"/>
  <c r="H164" i="11" s="1"/>
  <c r="P141" i="11"/>
  <c r="O164" i="11"/>
  <c r="P164" i="11" s="1"/>
  <c r="E164" i="11"/>
  <c r="F164" i="11" s="1"/>
  <c r="F141" i="11"/>
  <c r="R141" i="11"/>
  <c r="Q164" i="11"/>
  <c r="R164" i="11" s="1"/>
  <c r="J141" i="11"/>
  <c r="I164" i="11"/>
  <c r="J164" i="11" s="1"/>
  <c r="K164" i="11"/>
  <c r="L164" i="11" s="1"/>
  <c r="L141" i="11"/>
  <c r="S164" i="11"/>
  <c r="T164" i="11" s="1"/>
  <c r="T141" i="11"/>
  <c r="C9" i="11"/>
  <c r="O9" i="11" s="1"/>
  <c r="E8" i="11"/>
  <c r="U8" i="11"/>
  <c r="W8" i="11"/>
  <c r="G182" i="11"/>
  <c r="G178" i="11"/>
  <c r="G174" i="11"/>
  <c r="G170" i="11"/>
  <c r="G166" i="11"/>
  <c r="G181" i="11"/>
  <c r="G177" i="11"/>
  <c r="G173" i="11"/>
  <c r="G169" i="11"/>
  <c r="G165" i="11"/>
  <c r="G184" i="11"/>
  <c r="G180" i="11"/>
  <c r="G176" i="11"/>
  <c r="G172" i="11"/>
  <c r="G168" i="11"/>
  <c r="G171" i="11"/>
  <c r="G161" i="11"/>
  <c r="H206" i="11" s="1"/>
  <c r="G157" i="11"/>
  <c r="H202" i="11" s="1"/>
  <c r="G153" i="11"/>
  <c r="H198" i="11" s="1"/>
  <c r="G149" i="11"/>
  <c r="H194" i="11" s="1"/>
  <c r="G145" i="11"/>
  <c r="H190" i="11" s="1"/>
  <c r="G150" i="11"/>
  <c r="H195" i="11" s="1"/>
  <c r="G183" i="11"/>
  <c r="G167" i="11"/>
  <c r="G160" i="11"/>
  <c r="H205" i="11" s="1"/>
  <c r="G156" i="11"/>
  <c r="H201" i="11" s="1"/>
  <c r="G152" i="11"/>
  <c r="H197" i="11" s="1"/>
  <c r="G148" i="11"/>
  <c r="H193" i="11" s="1"/>
  <c r="G144" i="11"/>
  <c r="H189" i="11" s="1"/>
  <c r="G158" i="11"/>
  <c r="H203" i="11" s="1"/>
  <c r="G146" i="11"/>
  <c r="H191" i="11" s="1"/>
  <c r="G179" i="11"/>
  <c r="G159" i="11"/>
  <c r="H204" i="11" s="1"/>
  <c r="G155" i="11"/>
  <c r="H200" i="11" s="1"/>
  <c r="G151" i="11"/>
  <c r="H196" i="11" s="1"/>
  <c r="G147" i="11"/>
  <c r="H192" i="11" s="1"/>
  <c r="G143" i="11"/>
  <c r="H188" i="11" s="1"/>
  <c r="G175" i="11"/>
  <c r="G154" i="11"/>
  <c r="H199" i="11" s="1"/>
  <c r="G142" i="11"/>
  <c r="H187" i="11" s="1"/>
  <c r="G5" i="11"/>
  <c r="G7" i="11"/>
  <c r="G4" i="11"/>
  <c r="G8" i="11"/>
  <c r="G6" i="11"/>
  <c r="O182" i="11"/>
  <c r="O178" i="11"/>
  <c r="O174" i="11"/>
  <c r="O170" i="11"/>
  <c r="O166" i="11"/>
  <c r="O161" i="11"/>
  <c r="P206" i="11" s="1"/>
  <c r="O157" i="11"/>
  <c r="P202" i="11" s="1"/>
  <c r="O181" i="11"/>
  <c r="O177" i="11"/>
  <c r="O173" i="11"/>
  <c r="O169" i="11"/>
  <c r="O165" i="11"/>
  <c r="O160" i="11"/>
  <c r="P205" i="11" s="1"/>
  <c r="O184" i="11"/>
  <c r="O180" i="11"/>
  <c r="O176" i="11"/>
  <c r="O172" i="11"/>
  <c r="O168" i="11"/>
  <c r="O159" i="11"/>
  <c r="P204" i="11" s="1"/>
  <c r="O171" i="11"/>
  <c r="O158" i="11"/>
  <c r="P203" i="11" s="1"/>
  <c r="O153" i="11"/>
  <c r="P198" i="11" s="1"/>
  <c r="O149" i="11"/>
  <c r="P194" i="11" s="1"/>
  <c r="O145" i="11"/>
  <c r="P190" i="11" s="1"/>
  <c r="O183" i="11"/>
  <c r="O167" i="11"/>
  <c r="O156" i="11"/>
  <c r="P201" i="11" s="1"/>
  <c r="O152" i="11"/>
  <c r="P197" i="11" s="1"/>
  <c r="O148" i="11"/>
  <c r="P193" i="11" s="1"/>
  <c r="O144" i="11"/>
  <c r="P189" i="11" s="1"/>
  <c r="O154" i="11"/>
  <c r="P199" i="11" s="1"/>
  <c r="O142" i="11"/>
  <c r="P187" i="11" s="1"/>
  <c r="O179" i="11"/>
  <c r="O155" i="11"/>
  <c r="P200" i="11" s="1"/>
  <c r="O151" i="11"/>
  <c r="P196" i="11" s="1"/>
  <c r="O147" i="11"/>
  <c r="P192" i="11" s="1"/>
  <c r="O143" i="11"/>
  <c r="P188" i="11" s="1"/>
  <c r="O175" i="11"/>
  <c r="O150" i="11"/>
  <c r="P195" i="11" s="1"/>
  <c r="O146" i="11"/>
  <c r="P191" i="11" s="1"/>
  <c r="O7" i="11"/>
  <c r="O6" i="11"/>
  <c r="O4" i="11"/>
  <c r="O8" i="11"/>
  <c r="O5" i="11"/>
  <c r="M182" i="11"/>
  <c r="M178" i="11"/>
  <c r="M174" i="11"/>
  <c r="M170" i="11"/>
  <c r="M166" i="11"/>
  <c r="M181" i="11"/>
  <c r="M177" i="11"/>
  <c r="M173" i="11"/>
  <c r="M169" i="11"/>
  <c r="M165" i="11"/>
  <c r="M184" i="11"/>
  <c r="M180" i="11"/>
  <c r="M176" i="11"/>
  <c r="M172" i="11"/>
  <c r="M168" i="11"/>
  <c r="M175" i="11"/>
  <c r="M161" i="11"/>
  <c r="N206" i="11" s="1"/>
  <c r="M157" i="11"/>
  <c r="N202" i="11" s="1"/>
  <c r="M153" i="11"/>
  <c r="N198" i="11" s="1"/>
  <c r="M149" i="11"/>
  <c r="N194" i="11" s="1"/>
  <c r="M145" i="11"/>
  <c r="N190" i="11" s="1"/>
  <c r="M158" i="11"/>
  <c r="N203" i="11" s="1"/>
  <c r="M142" i="11"/>
  <c r="N187" i="11" s="1"/>
  <c r="M171" i="11"/>
  <c r="M160" i="11"/>
  <c r="N205" i="11" s="1"/>
  <c r="M156" i="11"/>
  <c r="N201" i="11" s="1"/>
  <c r="M152" i="11"/>
  <c r="N197" i="11" s="1"/>
  <c r="M148" i="11"/>
  <c r="N193" i="11" s="1"/>
  <c r="M144" i="11"/>
  <c r="N189" i="11" s="1"/>
  <c r="M179" i="11"/>
  <c r="M150" i="11"/>
  <c r="N195" i="11" s="1"/>
  <c r="M183" i="11"/>
  <c r="M167" i="11"/>
  <c r="M159" i="11"/>
  <c r="N204" i="11" s="1"/>
  <c r="M155" i="11"/>
  <c r="N200" i="11" s="1"/>
  <c r="M151" i="11"/>
  <c r="N196" i="11" s="1"/>
  <c r="M147" i="11"/>
  <c r="N192" i="11" s="1"/>
  <c r="M143" i="11"/>
  <c r="N188" i="11" s="1"/>
  <c r="M154" i="11"/>
  <c r="N199" i="11" s="1"/>
  <c r="M146" i="11"/>
  <c r="N191" i="11" s="1"/>
  <c r="M7" i="11"/>
  <c r="M5" i="11"/>
  <c r="M8" i="11"/>
  <c r="M4" i="11"/>
  <c r="M6" i="11"/>
  <c r="I182" i="11"/>
  <c r="I178" i="11"/>
  <c r="I174" i="11"/>
  <c r="I170" i="11"/>
  <c r="I166" i="11"/>
  <c r="I181" i="11"/>
  <c r="I177" i="11"/>
  <c r="I173" i="11"/>
  <c r="I169" i="11"/>
  <c r="I165" i="11"/>
  <c r="I184" i="11"/>
  <c r="I180" i="11"/>
  <c r="I176" i="11"/>
  <c r="I172" i="11"/>
  <c r="I168" i="11"/>
  <c r="I183" i="11"/>
  <c r="I167" i="11"/>
  <c r="I161" i="11"/>
  <c r="J206" i="11" s="1"/>
  <c r="I157" i="11"/>
  <c r="J202" i="11" s="1"/>
  <c r="I153" i="11"/>
  <c r="J198" i="11" s="1"/>
  <c r="I149" i="11"/>
  <c r="J194" i="11" s="1"/>
  <c r="I145" i="11"/>
  <c r="J190" i="11" s="1"/>
  <c r="I154" i="11"/>
  <c r="J199" i="11" s="1"/>
  <c r="I142" i="11"/>
  <c r="J187" i="11" s="1"/>
  <c r="I179" i="11"/>
  <c r="I160" i="11"/>
  <c r="J205" i="11" s="1"/>
  <c r="I156" i="11"/>
  <c r="J201" i="11" s="1"/>
  <c r="I152" i="11"/>
  <c r="J197" i="11" s="1"/>
  <c r="I148" i="11"/>
  <c r="J193" i="11" s="1"/>
  <c r="I144" i="11"/>
  <c r="J189" i="11" s="1"/>
  <c r="I150" i="11"/>
  <c r="J195" i="11" s="1"/>
  <c r="I175" i="11"/>
  <c r="I159" i="11"/>
  <c r="J204" i="11" s="1"/>
  <c r="I155" i="11"/>
  <c r="J200" i="11" s="1"/>
  <c r="I151" i="11"/>
  <c r="J196" i="11" s="1"/>
  <c r="I147" i="11"/>
  <c r="J192" i="11" s="1"/>
  <c r="I143" i="11"/>
  <c r="J188" i="11" s="1"/>
  <c r="I171" i="11"/>
  <c r="I158" i="11"/>
  <c r="J203" i="11" s="1"/>
  <c r="I146" i="11"/>
  <c r="J191" i="11" s="1"/>
  <c r="I7" i="11"/>
  <c r="I9" i="11"/>
  <c r="I6" i="11"/>
  <c r="I4" i="11"/>
  <c r="I5" i="11"/>
  <c r="I8" i="11"/>
  <c r="Q182" i="11"/>
  <c r="Q178" i="11"/>
  <c r="Q174" i="11"/>
  <c r="Q170" i="11"/>
  <c r="Q166" i="11"/>
  <c r="Q161" i="11"/>
  <c r="R206" i="11" s="1"/>
  <c r="Q157" i="11"/>
  <c r="R202" i="11" s="1"/>
  <c r="Q153" i="11"/>
  <c r="R198" i="11" s="1"/>
  <c r="Q149" i="11"/>
  <c r="R194" i="11" s="1"/>
  <c r="Q145" i="11"/>
  <c r="R190" i="11" s="1"/>
  <c r="Q181" i="11"/>
  <c r="Q177" i="11"/>
  <c r="Q173" i="11"/>
  <c r="Q169" i="11"/>
  <c r="Q165" i="11"/>
  <c r="Q160" i="11"/>
  <c r="R205" i="11" s="1"/>
  <c r="Q156" i="11"/>
  <c r="R201" i="11" s="1"/>
  <c r="Q152" i="11"/>
  <c r="R197" i="11" s="1"/>
  <c r="Q148" i="11"/>
  <c r="R193" i="11" s="1"/>
  <c r="Q144" i="11"/>
  <c r="R189" i="11" s="1"/>
  <c r="Q184" i="11"/>
  <c r="Q180" i="11"/>
  <c r="Q176" i="11"/>
  <c r="Q172" i="11"/>
  <c r="Q168" i="11"/>
  <c r="Q159" i="11"/>
  <c r="R204" i="11" s="1"/>
  <c r="Q155" i="11"/>
  <c r="R200" i="11" s="1"/>
  <c r="Q151" i="11"/>
  <c r="R196" i="11" s="1"/>
  <c r="Q147" i="11"/>
  <c r="R192" i="11" s="1"/>
  <c r="Q143" i="11"/>
  <c r="R188" i="11" s="1"/>
  <c r="Q183" i="11"/>
  <c r="Q167" i="11"/>
  <c r="Q154" i="11"/>
  <c r="R199" i="11" s="1"/>
  <c r="Q179" i="11"/>
  <c r="Q150" i="11"/>
  <c r="R195" i="11" s="1"/>
  <c r="Q171" i="11"/>
  <c r="Q158" i="11"/>
  <c r="R203" i="11" s="1"/>
  <c r="Q175" i="11"/>
  <c r="Q146" i="11"/>
  <c r="R191" i="11" s="1"/>
  <c r="Q142" i="11"/>
  <c r="R187" i="11" s="1"/>
  <c r="Q7" i="11"/>
  <c r="Q8" i="11"/>
  <c r="Q4" i="11"/>
  <c r="Q9" i="11"/>
  <c r="Q6" i="11"/>
  <c r="Q5" i="11"/>
  <c r="K182" i="11"/>
  <c r="K178" i="11"/>
  <c r="K174" i="11"/>
  <c r="K170" i="11"/>
  <c r="K166" i="11"/>
  <c r="K181" i="11"/>
  <c r="K177" i="11"/>
  <c r="K173" i="11"/>
  <c r="K169" i="11"/>
  <c r="K165" i="11"/>
  <c r="K184" i="11"/>
  <c r="K180" i="11"/>
  <c r="K176" i="11"/>
  <c r="K172" i="11"/>
  <c r="K168" i="11"/>
  <c r="K179" i="11"/>
  <c r="K161" i="11"/>
  <c r="L206" i="11" s="1"/>
  <c r="K157" i="11"/>
  <c r="L202" i="11" s="1"/>
  <c r="K153" i="11"/>
  <c r="L198" i="11" s="1"/>
  <c r="K149" i="11"/>
  <c r="L194" i="11" s="1"/>
  <c r="K145" i="11"/>
  <c r="L190" i="11" s="1"/>
  <c r="K150" i="11"/>
  <c r="L195" i="11" s="1"/>
  <c r="K175" i="11"/>
  <c r="K160" i="11"/>
  <c r="L205" i="11" s="1"/>
  <c r="K156" i="11"/>
  <c r="L201" i="11" s="1"/>
  <c r="K152" i="11"/>
  <c r="L197" i="11" s="1"/>
  <c r="K148" i="11"/>
  <c r="L193" i="11" s="1"/>
  <c r="K144" i="11"/>
  <c r="L189" i="11" s="1"/>
  <c r="K167" i="11"/>
  <c r="K158" i="11"/>
  <c r="L203" i="11" s="1"/>
  <c r="K154" i="11"/>
  <c r="L199" i="11" s="1"/>
  <c r="K142" i="11"/>
  <c r="L187" i="11" s="1"/>
  <c r="K171" i="11"/>
  <c r="K159" i="11"/>
  <c r="L204" i="11" s="1"/>
  <c r="K155" i="11"/>
  <c r="L200" i="11" s="1"/>
  <c r="K151" i="11"/>
  <c r="L196" i="11" s="1"/>
  <c r="K147" i="11"/>
  <c r="L192" i="11" s="1"/>
  <c r="K143" i="11"/>
  <c r="L188" i="11" s="1"/>
  <c r="K183" i="11"/>
  <c r="K146" i="11"/>
  <c r="L191" i="11" s="1"/>
  <c r="K7" i="11"/>
  <c r="K8" i="11"/>
  <c r="K5" i="11"/>
  <c r="K6" i="11"/>
  <c r="K4" i="11"/>
  <c r="S182" i="11"/>
  <c r="S178" i="11"/>
  <c r="S174" i="11"/>
  <c r="S170" i="11"/>
  <c r="S166" i="11"/>
  <c r="S161" i="11"/>
  <c r="T206" i="11" s="1"/>
  <c r="S157" i="11"/>
  <c r="T202" i="11" s="1"/>
  <c r="S153" i="11"/>
  <c r="T198" i="11" s="1"/>
  <c r="S149" i="11"/>
  <c r="T194" i="11" s="1"/>
  <c r="S145" i="11"/>
  <c r="T190" i="11" s="1"/>
  <c r="S181" i="11"/>
  <c r="S177" i="11"/>
  <c r="S173" i="11"/>
  <c r="S169" i="11"/>
  <c r="S165" i="11"/>
  <c r="S160" i="11"/>
  <c r="T205" i="11" s="1"/>
  <c r="S156" i="11"/>
  <c r="T201" i="11" s="1"/>
  <c r="S152" i="11"/>
  <c r="T197" i="11" s="1"/>
  <c r="S148" i="11"/>
  <c r="T193" i="11" s="1"/>
  <c r="S144" i="11"/>
  <c r="T189" i="11" s="1"/>
  <c r="S184" i="11"/>
  <c r="S180" i="11"/>
  <c r="S176" i="11"/>
  <c r="S172" i="11"/>
  <c r="S168" i="11"/>
  <c r="S159" i="11"/>
  <c r="T204" i="11" s="1"/>
  <c r="S155" i="11"/>
  <c r="T200" i="11" s="1"/>
  <c r="S151" i="11"/>
  <c r="T196" i="11" s="1"/>
  <c r="S147" i="11"/>
  <c r="T192" i="11" s="1"/>
  <c r="S143" i="11"/>
  <c r="T188" i="11" s="1"/>
  <c r="S179" i="11"/>
  <c r="S150" i="11"/>
  <c r="T195" i="11" s="1"/>
  <c r="S154" i="11"/>
  <c r="T199" i="11" s="1"/>
  <c r="S175" i="11"/>
  <c r="S146" i="11"/>
  <c r="T191" i="11" s="1"/>
  <c r="S183" i="11"/>
  <c r="S171" i="11"/>
  <c r="S158" i="11"/>
  <c r="T203" i="11" s="1"/>
  <c r="S142" i="11"/>
  <c r="T187" i="11" s="1"/>
  <c r="S167" i="11"/>
  <c r="S7" i="11"/>
  <c r="S5" i="11"/>
  <c r="S4" i="11"/>
  <c r="S8" i="11"/>
  <c r="S6" i="11"/>
  <c r="M76" i="6"/>
  <c r="G76" i="6"/>
  <c r="O76" i="6"/>
  <c r="I76" i="6"/>
  <c r="Q76" i="6"/>
  <c r="K76" i="6"/>
  <c r="S76" i="6"/>
  <c r="L124" i="11"/>
  <c r="L131" i="11"/>
  <c r="L126" i="11"/>
  <c r="L133" i="11"/>
  <c r="L123" i="11"/>
  <c r="L136" i="11"/>
  <c r="L120" i="11"/>
  <c r="L127" i="11"/>
  <c r="L138" i="11"/>
  <c r="L122" i="11"/>
  <c r="L129" i="11"/>
  <c r="L132" i="11"/>
  <c r="L134" i="11"/>
  <c r="L121" i="11"/>
  <c r="L135" i="11"/>
  <c r="L130" i="11"/>
  <c r="L137" i="11"/>
  <c r="L119" i="11"/>
  <c r="L125" i="11"/>
  <c r="L128" i="11"/>
  <c r="P124" i="11"/>
  <c r="P131" i="11"/>
  <c r="P126" i="11"/>
  <c r="P133" i="11"/>
  <c r="P136" i="11"/>
  <c r="P120" i="11"/>
  <c r="P127" i="11"/>
  <c r="P138" i="11"/>
  <c r="P122" i="11"/>
  <c r="P129" i="11"/>
  <c r="P132" i="11"/>
  <c r="P123" i="11"/>
  <c r="P134" i="11"/>
  <c r="P125" i="11"/>
  <c r="P119" i="11"/>
  <c r="P137" i="11"/>
  <c r="P128" i="11"/>
  <c r="P121" i="11"/>
  <c r="P130" i="11"/>
  <c r="P135" i="11"/>
  <c r="T124" i="11"/>
  <c r="T131" i="11"/>
  <c r="T126" i="11"/>
  <c r="T133" i="11"/>
  <c r="T136" i="11"/>
  <c r="T120" i="11"/>
  <c r="T127" i="11"/>
  <c r="T138" i="11"/>
  <c r="T122" i="11"/>
  <c r="T129" i="11"/>
  <c r="T123" i="11"/>
  <c r="T134" i="11"/>
  <c r="T119" i="11"/>
  <c r="T137" i="11"/>
  <c r="T130" i="11"/>
  <c r="T128" i="11"/>
  <c r="T132" i="11"/>
  <c r="T125" i="11"/>
  <c r="T135" i="11"/>
  <c r="T121" i="11"/>
  <c r="J124" i="11"/>
  <c r="J131" i="11"/>
  <c r="J126" i="11"/>
  <c r="J133" i="11"/>
  <c r="J132" i="11"/>
  <c r="J123" i="11"/>
  <c r="J134" i="11"/>
  <c r="J136" i="11"/>
  <c r="J120" i="11"/>
  <c r="J127" i="11"/>
  <c r="J138" i="11"/>
  <c r="J122" i="11"/>
  <c r="J129" i="11"/>
  <c r="J125" i="11"/>
  <c r="J119" i="11"/>
  <c r="J137" i="11"/>
  <c r="J128" i="11"/>
  <c r="J121" i="11"/>
  <c r="J130" i="11"/>
  <c r="J135" i="11"/>
  <c r="N124" i="11"/>
  <c r="N131" i="11"/>
  <c r="N126" i="11"/>
  <c r="N133" i="11"/>
  <c r="N125" i="11"/>
  <c r="N136" i="11"/>
  <c r="N120" i="11"/>
  <c r="N127" i="11"/>
  <c r="N138" i="11"/>
  <c r="N122" i="11"/>
  <c r="N129" i="11"/>
  <c r="N134" i="11"/>
  <c r="N132" i="11"/>
  <c r="N123" i="11"/>
  <c r="N119" i="11"/>
  <c r="N137" i="11"/>
  <c r="N128" i="11"/>
  <c r="N121" i="11"/>
  <c r="N130" i="11"/>
  <c r="N135" i="11"/>
  <c r="R124" i="11"/>
  <c r="R131" i="11"/>
  <c r="R126" i="11"/>
  <c r="R133" i="11"/>
  <c r="R136" i="11"/>
  <c r="R120" i="11"/>
  <c r="R127" i="11"/>
  <c r="R138" i="11"/>
  <c r="R122" i="11"/>
  <c r="R129" i="11"/>
  <c r="R132" i="11"/>
  <c r="R123" i="11"/>
  <c r="R134" i="11"/>
  <c r="R125" i="11"/>
  <c r="R130" i="11"/>
  <c r="R135" i="11"/>
  <c r="R119" i="11"/>
  <c r="R137" i="11"/>
  <c r="R128" i="11"/>
  <c r="R121" i="11"/>
  <c r="H124" i="11"/>
  <c r="H131" i="11"/>
  <c r="H126" i="11"/>
  <c r="H133" i="11"/>
  <c r="H132" i="11"/>
  <c r="H125" i="11"/>
  <c r="H136" i="11"/>
  <c r="H120" i="11"/>
  <c r="H127" i="11"/>
  <c r="H138" i="11"/>
  <c r="H122" i="11"/>
  <c r="H129" i="11"/>
  <c r="H123" i="11"/>
  <c r="H134" i="11"/>
  <c r="H130" i="11"/>
  <c r="H135" i="11"/>
  <c r="H119" i="11"/>
  <c r="H137" i="11"/>
  <c r="H128" i="11"/>
  <c r="H121" i="11"/>
  <c r="E186" i="11"/>
  <c r="F186" i="11"/>
  <c r="H186" i="11"/>
  <c r="G186" i="11"/>
  <c r="J186" i="11"/>
  <c r="I186" i="11"/>
  <c r="R186" i="11"/>
  <c r="Q186" i="11"/>
  <c r="N186" i="11"/>
  <c r="M186" i="11"/>
  <c r="P186" i="11"/>
  <c r="O186" i="11"/>
  <c r="L186" i="11"/>
  <c r="K186" i="11"/>
  <c r="T186" i="11"/>
  <c r="S186" i="11"/>
  <c r="E30" i="11" l="1"/>
  <c r="U30" i="11"/>
  <c r="W30" i="11"/>
  <c r="C10" i="11"/>
  <c r="E9" i="11"/>
  <c r="U9" i="11"/>
  <c r="W9" i="11"/>
  <c r="S9" i="11"/>
  <c r="G9" i="11"/>
  <c r="K9" i="11"/>
  <c r="M9" i="11"/>
  <c r="Q32" i="6"/>
  <c r="U32" i="6"/>
  <c r="W32" i="6"/>
  <c r="G32" i="6"/>
  <c r="K32" i="6"/>
  <c r="S32" i="6"/>
  <c r="O32" i="6"/>
  <c r="I32" i="6"/>
  <c r="M32" i="6"/>
  <c r="E31" i="11" l="1"/>
  <c r="U31" i="11"/>
  <c r="W31" i="11"/>
  <c r="C11" i="11"/>
  <c r="E10" i="11"/>
  <c r="W10" i="11"/>
  <c r="U10" i="11"/>
  <c r="O10" i="11"/>
  <c r="M10" i="11"/>
  <c r="Q10" i="11"/>
  <c r="G10" i="11"/>
  <c r="I10" i="11"/>
  <c r="K10" i="11"/>
  <c r="S10" i="11"/>
  <c r="S118" i="11"/>
  <c r="Q118" i="11"/>
  <c r="O118" i="11"/>
  <c r="M118" i="11"/>
  <c r="K118" i="11"/>
  <c r="I118" i="11"/>
  <c r="G118" i="11"/>
  <c r="E32" i="11" l="1"/>
  <c r="W32" i="11"/>
  <c r="U32" i="11"/>
  <c r="C12" i="11"/>
  <c r="E11" i="11"/>
  <c r="W11" i="11"/>
  <c r="U11" i="11"/>
  <c r="G11" i="11"/>
  <c r="M11" i="11"/>
  <c r="I11" i="11"/>
  <c r="Q11" i="11"/>
  <c r="S11" i="11"/>
  <c r="O11" i="11"/>
  <c r="K11" i="11"/>
  <c r="C81" i="6"/>
  <c r="E33" i="11" l="1"/>
  <c r="U33" i="11"/>
  <c r="W33" i="11"/>
  <c r="C13" i="11"/>
  <c r="E12" i="11"/>
  <c r="E34" i="11" s="1"/>
  <c r="W12" i="11"/>
  <c r="U12" i="11"/>
  <c r="G12" i="11"/>
  <c r="S12" i="11"/>
  <c r="K12" i="11"/>
  <c r="I12" i="11"/>
  <c r="M12" i="11"/>
  <c r="O12" i="11"/>
  <c r="Q12" i="11"/>
  <c r="C80" i="6"/>
  <c r="D80" i="6" s="1"/>
  <c r="E79" i="6"/>
  <c r="Z29" i="11"/>
  <c r="Z30" i="11"/>
  <c r="Z31" i="11"/>
  <c r="Z32" i="11"/>
  <c r="Z33" i="11"/>
  <c r="Z34" i="11"/>
  <c r="Z35" i="11"/>
  <c r="Z36" i="11"/>
  <c r="Z37" i="11"/>
  <c r="Z38" i="11"/>
  <c r="Z39" i="11"/>
  <c r="Z40" i="11"/>
  <c r="Z41" i="11"/>
  <c r="Z42" i="11"/>
  <c r="Z43" i="11"/>
  <c r="Z44" i="11"/>
  <c r="Z45" i="11"/>
  <c r="Z46" i="11"/>
  <c r="Z28" i="11"/>
  <c r="C138" i="11"/>
  <c r="E138" i="11" s="1"/>
  <c r="C137" i="11"/>
  <c r="E137" i="11" s="1"/>
  <c r="C136" i="11"/>
  <c r="E136" i="11" s="1"/>
  <c r="C135" i="11"/>
  <c r="E135" i="11" s="1"/>
  <c r="C134" i="11"/>
  <c r="E134" i="11" s="1"/>
  <c r="C133" i="11"/>
  <c r="E133" i="11" s="1"/>
  <c r="C132" i="11"/>
  <c r="E132" i="11" s="1"/>
  <c r="C131" i="11"/>
  <c r="E131" i="11" s="1"/>
  <c r="C130" i="11"/>
  <c r="E130" i="11" s="1"/>
  <c r="C129" i="11"/>
  <c r="E129" i="11" s="1"/>
  <c r="C128" i="11"/>
  <c r="E128" i="11" s="1"/>
  <c r="C127" i="11"/>
  <c r="E127" i="11" s="1"/>
  <c r="C126" i="11"/>
  <c r="E126" i="11" s="1"/>
  <c r="C125" i="11"/>
  <c r="E125" i="11" s="1"/>
  <c r="C124" i="11"/>
  <c r="E124" i="11" s="1"/>
  <c r="C123" i="11"/>
  <c r="E123" i="11" s="1"/>
  <c r="C122" i="11"/>
  <c r="E122" i="11" s="1"/>
  <c r="C121" i="11"/>
  <c r="E121" i="11" s="1"/>
  <c r="C120" i="11"/>
  <c r="E120" i="11" s="1"/>
  <c r="C119" i="11"/>
  <c r="E119" i="11" s="1"/>
  <c r="D86" i="6"/>
  <c r="D81" i="6"/>
  <c r="G51" i="6"/>
  <c r="G78" i="6" s="1"/>
  <c r="G39" i="6"/>
  <c r="I39" i="6"/>
  <c r="K39" i="6"/>
  <c r="M39" i="6"/>
  <c r="O39" i="6"/>
  <c r="Q39" i="6"/>
  <c r="S39" i="6"/>
  <c r="S38" i="6"/>
  <c r="Q38" i="6"/>
  <c r="O38" i="6"/>
  <c r="M38" i="6"/>
  <c r="K38" i="6"/>
  <c r="I38" i="6"/>
  <c r="G38" i="6"/>
  <c r="S37" i="6"/>
  <c r="Q37" i="6"/>
  <c r="O37" i="6"/>
  <c r="M37" i="6"/>
  <c r="K37" i="6"/>
  <c r="I37" i="6"/>
  <c r="G37" i="6"/>
  <c r="S29" i="6"/>
  <c r="Q29" i="6"/>
  <c r="O29" i="6"/>
  <c r="M29" i="6"/>
  <c r="K29" i="6"/>
  <c r="I29" i="6"/>
  <c r="G29" i="6"/>
  <c r="R38" i="17"/>
  <c r="P38" i="17"/>
  <c r="M38" i="17"/>
  <c r="K38" i="17"/>
  <c r="E38" i="17"/>
  <c r="R37" i="17"/>
  <c r="M37" i="17"/>
  <c r="K37" i="17"/>
  <c r="P37" i="17" s="1"/>
  <c r="Q37" i="17" s="1"/>
  <c r="E37" i="17"/>
  <c r="M36" i="17"/>
  <c r="K36" i="17"/>
  <c r="P36" i="17" s="1"/>
  <c r="Q36" i="17" s="1"/>
  <c r="R36" i="17" s="1"/>
  <c r="E36" i="17"/>
  <c r="M35" i="17"/>
  <c r="K35" i="17"/>
  <c r="P35" i="17" s="1"/>
  <c r="Q35" i="17" s="1"/>
  <c r="R35" i="17" s="1"/>
  <c r="E35" i="17"/>
  <c r="P34" i="17"/>
  <c r="Q34" i="17" s="1"/>
  <c r="R34" i="17" s="1"/>
  <c r="M34" i="17"/>
  <c r="K34" i="17"/>
  <c r="E34" i="17"/>
  <c r="R33" i="17"/>
  <c r="M33" i="17"/>
  <c r="K33" i="17"/>
  <c r="P33" i="17" s="1"/>
  <c r="Q33" i="17" s="1"/>
  <c r="E33" i="17"/>
  <c r="M32" i="17"/>
  <c r="K32" i="17"/>
  <c r="P32" i="17" s="1"/>
  <c r="Q32" i="17" s="1"/>
  <c r="R32" i="17" s="1"/>
  <c r="E32" i="17"/>
  <c r="M31" i="17"/>
  <c r="K31" i="17"/>
  <c r="P31" i="17" s="1"/>
  <c r="Q31" i="17" s="1"/>
  <c r="R31" i="17" s="1"/>
  <c r="E31" i="17"/>
  <c r="P30" i="17"/>
  <c r="Q30" i="17" s="1"/>
  <c r="R30" i="17" s="1"/>
  <c r="M30" i="17"/>
  <c r="K30" i="17"/>
  <c r="E30" i="17"/>
  <c r="R29" i="17"/>
  <c r="M29" i="17"/>
  <c r="K29" i="17"/>
  <c r="P29" i="17" s="1"/>
  <c r="Q29" i="17" s="1"/>
  <c r="E29" i="17"/>
  <c r="M28" i="17"/>
  <c r="K28" i="17"/>
  <c r="P28" i="17" s="1"/>
  <c r="Q28" i="17" s="1"/>
  <c r="R28" i="17" s="1"/>
  <c r="E28" i="17"/>
  <c r="M27" i="17"/>
  <c r="K27" i="17"/>
  <c r="P27" i="17" s="1"/>
  <c r="Q27" i="17" s="1"/>
  <c r="R27" i="17" s="1"/>
  <c r="E27" i="17"/>
  <c r="P26" i="17"/>
  <c r="Q26" i="17" s="1"/>
  <c r="R26" i="17" s="1"/>
  <c r="M26" i="17"/>
  <c r="K26" i="17"/>
  <c r="E26" i="17"/>
  <c r="R25" i="17"/>
  <c r="M25" i="17"/>
  <c r="K25" i="17"/>
  <c r="P25" i="17" s="1"/>
  <c r="Q25" i="17" s="1"/>
  <c r="E25" i="17"/>
  <c r="M24" i="17"/>
  <c r="K24" i="17"/>
  <c r="P24" i="17" s="1"/>
  <c r="Q24" i="17" s="1"/>
  <c r="R24" i="17" s="1"/>
  <c r="E24" i="17"/>
  <c r="M23" i="17"/>
  <c r="K23" i="17"/>
  <c r="P23" i="17" s="1"/>
  <c r="Q23" i="17" s="1"/>
  <c r="R23" i="17" s="1"/>
  <c r="E23" i="17"/>
  <c r="P22" i="17"/>
  <c r="Q22" i="17" s="1"/>
  <c r="R22" i="17" s="1"/>
  <c r="M22" i="17"/>
  <c r="K22" i="17"/>
  <c r="E22" i="17"/>
  <c r="R21" i="17"/>
  <c r="M21" i="17"/>
  <c r="K21" i="17"/>
  <c r="P21" i="17" s="1"/>
  <c r="Q21" i="17" s="1"/>
  <c r="E21" i="17"/>
  <c r="M20" i="17"/>
  <c r="K20" i="17"/>
  <c r="P20" i="17" s="1"/>
  <c r="Q20" i="17" s="1"/>
  <c r="R20" i="17" s="1"/>
  <c r="E20" i="17"/>
  <c r="M19" i="17"/>
  <c r="K19" i="17"/>
  <c r="P19" i="17" s="1"/>
  <c r="Q19" i="17" s="1"/>
  <c r="R19" i="17" s="1"/>
  <c r="E19" i="17"/>
  <c r="R18" i="17"/>
  <c r="M18" i="17"/>
  <c r="K18" i="17"/>
  <c r="P18" i="17" s="1"/>
  <c r="E18" i="17"/>
  <c r="Q17" i="17"/>
  <c r="R17" i="17" s="1"/>
  <c r="M17" i="17"/>
  <c r="K17" i="17"/>
  <c r="P17" i="17" s="1"/>
  <c r="E17" i="17"/>
  <c r="P16" i="17"/>
  <c r="Q16" i="17" s="1"/>
  <c r="R16" i="17" s="1"/>
  <c r="M16" i="17"/>
  <c r="K16" i="17"/>
  <c r="E16" i="17"/>
  <c r="M15" i="17"/>
  <c r="K15" i="17"/>
  <c r="P15" i="17" s="1"/>
  <c r="Q15" i="17" s="1"/>
  <c r="R15" i="17" s="1"/>
  <c r="E15" i="17"/>
  <c r="M14" i="17"/>
  <c r="K14" i="17"/>
  <c r="P14" i="17" s="1"/>
  <c r="Q14" i="17" s="1"/>
  <c r="R14" i="17" s="1"/>
  <c r="E14" i="17"/>
  <c r="M13" i="17"/>
  <c r="K13" i="17"/>
  <c r="P13" i="17" s="1"/>
  <c r="Q13" i="17" s="1"/>
  <c r="R13" i="17" s="1"/>
  <c r="E13" i="17"/>
  <c r="M12" i="17"/>
  <c r="K12" i="17"/>
  <c r="P12" i="17" s="1"/>
  <c r="Q12" i="17" s="1"/>
  <c r="R12" i="17" s="1"/>
  <c r="E12" i="17"/>
  <c r="M11" i="17"/>
  <c r="K11" i="17"/>
  <c r="P11" i="17" s="1"/>
  <c r="Q11" i="17" s="1"/>
  <c r="R11" i="17" s="1"/>
  <c r="E11" i="17"/>
  <c r="M10" i="17"/>
  <c r="N10" i="17" s="1"/>
  <c r="K10" i="17"/>
  <c r="P10" i="17" s="1"/>
  <c r="Q10" i="17" s="1"/>
  <c r="R10" i="17" s="1"/>
  <c r="E10" i="17"/>
  <c r="K9" i="17"/>
  <c r="P9" i="17" s="1"/>
  <c r="E9" i="17"/>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W34" i="11" l="1"/>
  <c r="U34" i="11"/>
  <c r="M192" i="11"/>
  <c r="M206" i="11"/>
  <c r="M191" i="11"/>
  <c r="M197" i="11"/>
  <c r="M201" i="11"/>
  <c r="M189" i="11"/>
  <c r="M196" i="11"/>
  <c r="M199" i="11"/>
  <c r="M198" i="11"/>
  <c r="M203" i="11"/>
  <c r="M205" i="11"/>
  <c r="M187" i="11"/>
  <c r="M193" i="11"/>
  <c r="M200" i="11"/>
  <c r="M188" i="11"/>
  <c r="M202" i="11"/>
  <c r="M190" i="11"/>
  <c r="M194" i="11"/>
  <c r="M195" i="11"/>
  <c r="M204" i="11"/>
  <c r="G193" i="11"/>
  <c r="G197" i="11"/>
  <c r="G200" i="11"/>
  <c r="G202" i="11"/>
  <c r="G189" i="11"/>
  <c r="G194" i="11"/>
  <c r="G199" i="11"/>
  <c r="G198" i="11"/>
  <c r="G203" i="11"/>
  <c r="G205" i="11"/>
  <c r="G196" i="11"/>
  <c r="G201" i="11"/>
  <c r="G187" i="11"/>
  <c r="G188" i="11"/>
  <c r="G190" i="11"/>
  <c r="G192" i="11"/>
  <c r="G191" i="11"/>
  <c r="G195" i="11"/>
  <c r="G204" i="11"/>
  <c r="G206" i="11"/>
  <c r="O206" i="11"/>
  <c r="O188" i="11"/>
  <c r="O197" i="11"/>
  <c r="O196" i="11"/>
  <c r="O204" i="11"/>
  <c r="O200" i="11"/>
  <c r="O193" i="11"/>
  <c r="O190" i="11"/>
  <c r="O202" i="11"/>
  <c r="O189" i="11"/>
  <c r="O203" i="11"/>
  <c r="O187" i="11"/>
  <c r="O199" i="11"/>
  <c r="O191" i="11"/>
  <c r="O201" i="11"/>
  <c r="O198" i="11"/>
  <c r="O205" i="11"/>
  <c r="O192" i="11"/>
  <c r="O195" i="11"/>
  <c r="O194" i="11"/>
  <c r="I191" i="11"/>
  <c r="I195" i="11"/>
  <c r="I206" i="11"/>
  <c r="I193" i="11"/>
  <c r="I192" i="11"/>
  <c r="I201" i="11"/>
  <c r="I187" i="11"/>
  <c r="I194" i="11"/>
  <c r="I197" i="11"/>
  <c r="I203" i="11"/>
  <c r="I199" i="11"/>
  <c r="I200" i="11"/>
  <c r="I189" i="11"/>
  <c r="I188" i="11"/>
  <c r="I198" i="11"/>
  <c r="I196" i="11"/>
  <c r="I202" i="11"/>
  <c r="I205" i="11"/>
  <c r="I190" i="11"/>
  <c r="I204" i="11"/>
  <c r="Q204" i="11"/>
  <c r="Q201" i="11"/>
  <c r="Q189" i="11"/>
  <c r="Q193" i="11"/>
  <c r="Q197" i="11"/>
  <c r="Q203" i="11"/>
  <c r="Q194" i="11"/>
  <c r="Q187" i="11"/>
  <c r="Q198" i="11"/>
  <c r="Q205" i="11"/>
  <c r="Q191" i="11"/>
  <c r="Q202" i="11"/>
  <c r="Q190" i="11"/>
  <c r="Q199" i="11"/>
  <c r="Q195" i="11"/>
  <c r="Q188" i="11"/>
  <c r="Q206" i="11"/>
  <c r="Q192" i="11"/>
  <c r="Q196" i="11"/>
  <c r="Q200" i="11"/>
  <c r="K190" i="11"/>
  <c r="K189" i="11"/>
  <c r="K198" i="11"/>
  <c r="K187" i="11"/>
  <c r="K204" i="11"/>
  <c r="K195" i="11"/>
  <c r="K206" i="11"/>
  <c r="K205" i="11"/>
  <c r="K200" i="11"/>
  <c r="K197" i="11"/>
  <c r="K192" i="11"/>
  <c r="K191" i="11"/>
  <c r="K194" i="11"/>
  <c r="K199" i="11"/>
  <c r="K202" i="11"/>
  <c r="K188" i="11"/>
  <c r="K201" i="11"/>
  <c r="K196" i="11"/>
  <c r="K193" i="11"/>
  <c r="K203" i="11"/>
  <c r="S193" i="11"/>
  <c r="S188" i="11"/>
  <c r="S206" i="11"/>
  <c r="S199" i="11"/>
  <c r="S195" i="11"/>
  <c r="S198" i="11"/>
  <c r="S202" i="11"/>
  <c r="S204" i="11"/>
  <c r="S194" i="11"/>
  <c r="S196" i="11"/>
  <c r="S191" i="11"/>
  <c r="S192" i="11"/>
  <c r="S197" i="11"/>
  <c r="S189" i="11"/>
  <c r="S200" i="11"/>
  <c r="S203" i="11"/>
  <c r="S190" i="11"/>
  <c r="S187" i="11"/>
  <c r="S201" i="11"/>
  <c r="S205" i="11"/>
  <c r="E73" i="23"/>
  <c r="C14" i="11"/>
  <c r="E13" i="11"/>
  <c r="E35" i="11" s="1"/>
  <c r="U13" i="11"/>
  <c r="W13" i="11"/>
  <c r="I13" i="11"/>
  <c r="Q13" i="11"/>
  <c r="K13" i="11"/>
  <c r="G13" i="11"/>
  <c r="M13" i="11"/>
  <c r="O13" i="11"/>
  <c r="S13" i="11"/>
  <c r="G80" i="6"/>
  <c r="G68" i="11"/>
  <c r="G64" i="11"/>
  <c r="G60" i="11"/>
  <c r="G56" i="11"/>
  <c r="G52" i="11"/>
  <c r="G65" i="11"/>
  <c r="G53" i="11"/>
  <c r="G67" i="11"/>
  <c r="G63" i="11"/>
  <c r="G59" i="11"/>
  <c r="G55" i="11"/>
  <c r="G51" i="11"/>
  <c r="G57" i="11"/>
  <c r="G49" i="11"/>
  <c r="G66" i="11"/>
  <c r="G62" i="11"/>
  <c r="G58" i="11"/>
  <c r="G54" i="11"/>
  <c r="G50" i="11"/>
  <c r="G61" i="11"/>
  <c r="G86" i="6"/>
  <c r="E81" i="6"/>
  <c r="S37" i="17"/>
  <c r="N14" i="17"/>
  <c r="S3" i="17"/>
  <c r="M134" i="11"/>
  <c r="M119" i="11"/>
  <c r="M130" i="11"/>
  <c r="M136" i="11"/>
  <c r="M127" i="11"/>
  <c r="M138" i="11"/>
  <c r="M122" i="11"/>
  <c r="M128" i="11"/>
  <c r="M133" i="11"/>
  <c r="M131" i="11"/>
  <c r="M126" i="11"/>
  <c r="M120" i="11"/>
  <c r="M125" i="11"/>
  <c r="M132" i="11"/>
  <c r="M121" i="11"/>
  <c r="M137" i="11"/>
  <c r="M135" i="11"/>
  <c r="M124" i="11"/>
  <c r="M129" i="11"/>
  <c r="M123" i="11"/>
  <c r="G121" i="11"/>
  <c r="G138" i="11"/>
  <c r="G129" i="11"/>
  <c r="G135" i="11"/>
  <c r="G130" i="11"/>
  <c r="G123" i="11"/>
  <c r="G119" i="11"/>
  <c r="G120" i="11"/>
  <c r="G136" i="11"/>
  <c r="G134" i="11"/>
  <c r="G125" i="11"/>
  <c r="G122" i="11"/>
  <c r="G132" i="11"/>
  <c r="G133" i="11"/>
  <c r="G127" i="11"/>
  <c r="G126" i="11"/>
  <c r="G124" i="11"/>
  <c r="G128" i="11"/>
  <c r="G137" i="11"/>
  <c r="G131" i="11"/>
  <c r="U81" i="6"/>
  <c r="W81" i="6"/>
  <c r="O136" i="11"/>
  <c r="O127" i="11"/>
  <c r="O130" i="11"/>
  <c r="O122" i="11"/>
  <c r="O137" i="11"/>
  <c r="O131" i="11"/>
  <c r="O121" i="11"/>
  <c r="O126" i="11"/>
  <c r="O124" i="11"/>
  <c r="O128" i="11"/>
  <c r="O133" i="11"/>
  <c r="O123" i="11"/>
  <c r="O119" i="11"/>
  <c r="O135" i="11"/>
  <c r="O125" i="11"/>
  <c r="O138" i="11"/>
  <c r="O129" i="11"/>
  <c r="O134" i="11"/>
  <c r="O132" i="11"/>
  <c r="O120" i="11"/>
  <c r="I119" i="11"/>
  <c r="I126" i="11"/>
  <c r="I135" i="11"/>
  <c r="I125" i="11"/>
  <c r="I120" i="11"/>
  <c r="I129" i="11"/>
  <c r="I127" i="11"/>
  <c r="I122" i="11"/>
  <c r="I134" i="11"/>
  <c r="I136" i="11"/>
  <c r="I132" i="11"/>
  <c r="I130" i="11"/>
  <c r="I133" i="11"/>
  <c r="I137" i="11"/>
  <c r="I131" i="11"/>
  <c r="I121" i="11"/>
  <c r="I123" i="11"/>
  <c r="I124" i="11"/>
  <c r="I128" i="11"/>
  <c r="I138" i="11"/>
  <c r="Q119" i="11"/>
  <c r="Q121" i="11"/>
  <c r="Q134" i="11"/>
  <c r="Q125" i="11"/>
  <c r="Q137" i="11"/>
  <c r="Q120" i="11"/>
  <c r="Q130" i="11"/>
  <c r="Q127" i="11"/>
  <c r="Q132" i="11"/>
  <c r="Q135" i="11"/>
  <c r="Q131" i="11"/>
  <c r="Q129" i="11"/>
  <c r="Q124" i="11"/>
  <c r="Q122" i="11"/>
  <c r="Q123" i="11"/>
  <c r="Q136" i="11"/>
  <c r="Q126" i="11"/>
  <c r="Q128" i="11"/>
  <c r="Q133" i="11"/>
  <c r="Q138" i="11"/>
  <c r="K132" i="11"/>
  <c r="K129" i="11"/>
  <c r="K127" i="11"/>
  <c r="K123" i="11"/>
  <c r="K138" i="11"/>
  <c r="K136" i="11"/>
  <c r="K133" i="11"/>
  <c r="K125" i="11"/>
  <c r="K131" i="11"/>
  <c r="K130" i="11"/>
  <c r="K120" i="11"/>
  <c r="K119" i="11"/>
  <c r="K124" i="11"/>
  <c r="K128" i="11"/>
  <c r="K137" i="11"/>
  <c r="K134" i="11"/>
  <c r="K126" i="11"/>
  <c r="K135" i="11"/>
  <c r="K121" i="11"/>
  <c r="K122" i="11"/>
  <c r="S126" i="11"/>
  <c r="S121" i="11"/>
  <c r="S127" i="11"/>
  <c r="S130" i="11"/>
  <c r="S132" i="11"/>
  <c r="S120" i="11"/>
  <c r="S134" i="11"/>
  <c r="S128" i="11"/>
  <c r="S124" i="11"/>
  <c r="S119" i="11"/>
  <c r="S138" i="11"/>
  <c r="S129" i="11"/>
  <c r="S137" i="11"/>
  <c r="S122" i="11"/>
  <c r="S136" i="11"/>
  <c r="S123" i="11"/>
  <c r="S135" i="11"/>
  <c r="S133" i="11"/>
  <c r="S125" i="11"/>
  <c r="S131" i="11"/>
  <c r="N18" i="17"/>
  <c r="N13" i="17"/>
  <c r="O35" i="17"/>
  <c r="O31" i="17"/>
  <c r="O27" i="17"/>
  <c r="O23" i="17"/>
  <c r="O19" i="17"/>
  <c r="O16" i="17"/>
  <c r="O12" i="17"/>
  <c r="O36" i="17"/>
  <c r="O32" i="17"/>
  <c r="O28" i="17"/>
  <c r="O24" i="17"/>
  <c r="O20" i="17"/>
  <c r="O17" i="17"/>
  <c r="O13" i="17"/>
  <c r="O37" i="17"/>
  <c r="O33" i="17"/>
  <c r="O29" i="17"/>
  <c r="O25" i="17"/>
  <c r="O21" i="17"/>
  <c r="O15" i="17"/>
  <c r="O11" i="17"/>
  <c r="O9" i="17"/>
  <c r="O10" i="17"/>
  <c r="O14" i="17"/>
  <c r="O34" i="17"/>
  <c r="O26" i="17"/>
  <c r="O18" i="17"/>
  <c r="O30" i="17"/>
  <c r="O22" i="17"/>
  <c r="O38" i="17"/>
  <c r="S38" i="17"/>
  <c r="S35" i="17"/>
  <c r="S31" i="17"/>
  <c r="S27" i="17"/>
  <c r="S23" i="17"/>
  <c r="S19" i="17"/>
  <c r="S16" i="17"/>
  <c r="S12" i="17"/>
  <c r="S36" i="17"/>
  <c r="S32" i="17"/>
  <c r="S28" i="17"/>
  <c r="S24" i="17"/>
  <c r="S20" i="17"/>
  <c r="S17" i="17"/>
  <c r="S13" i="17"/>
  <c r="S34" i="17"/>
  <c r="S30" i="17"/>
  <c r="S26" i="17"/>
  <c r="S22" i="17"/>
  <c r="S18" i="17"/>
  <c r="S14" i="17"/>
  <c r="S10" i="17"/>
  <c r="S15" i="17"/>
  <c r="S11" i="17"/>
  <c r="S33" i="17"/>
  <c r="S25" i="17"/>
  <c r="S29" i="17"/>
  <c r="S21" i="17"/>
  <c r="N17" i="17"/>
  <c r="N36" i="17"/>
  <c r="N32" i="17"/>
  <c r="N28" i="17"/>
  <c r="N24" i="17"/>
  <c r="N20" i="17"/>
  <c r="N21" i="17"/>
  <c r="N25" i="17"/>
  <c r="N29" i="17"/>
  <c r="N33" i="17"/>
  <c r="N37" i="17"/>
  <c r="N38" i="17"/>
  <c r="N12" i="17"/>
  <c r="N16" i="17"/>
  <c r="N19" i="17"/>
  <c r="N23" i="17"/>
  <c r="N27" i="17"/>
  <c r="N31" i="17"/>
  <c r="N35" i="17"/>
  <c r="N11" i="17"/>
  <c r="N15" i="17"/>
  <c r="N22" i="17"/>
  <c r="N26" i="17"/>
  <c r="N30" i="17"/>
  <c r="N34" i="17"/>
  <c r="G26" i="11" l="1"/>
  <c r="G27" i="11" s="1"/>
  <c r="G28" i="11" s="1"/>
  <c r="G29" i="11" s="1"/>
  <c r="G30" i="11" s="1"/>
  <c r="G31" i="11" s="1"/>
  <c r="G32" i="11" s="1"/>
  <c r="G33" i="11" s="1"/>
  <c r="G34" i="11" s="1"/>
  <c r="G35" i="11" s="1"/>
  <c r="U35" i="11"/>
  <c r="W35" i="11"/>
  <c r="B4" i="24"/>
  <c r="E4" i="24" s="1"/>
  <c r="W73" i="23"/>
  <c r="O73" i="23"/>
  <c r="G73" i="23"/>
  <c r="U73" i="23"/>
  <c r="K73" i="23"/>
  <c r="I73" i="23"/>
  <c r="S73" i="23"/>
  <c r="M73" i="23"/>
  <c r="Q73" i="23"/>
  <c r="C15" i="11"/>
  <c r="E14" i="11"/>
  <c r="E36" i="11" s="1"/>
  <c r="U14" i="11"/>
  <c r="W14" i="11"/>
  <c r="Q14" i="11"/>
  <c r="O14" i="11"/>
  <c r="M14" i="11"/>
  <c r="I14" i="11"/>
  <c r="K14" i="11"/>
  <c r="G14" i="11"/>
  <c r="S14" i="11"/>
  <c r="G99" i="11"/>
  <c r="G107" i="11"/>
  <c r="G104" i="11"/>
  <c r="G101" i="11"/>
  <c r="G112" i="11"/>
  <c r="G108" i="11"/>
  <c r="G96" i="11"/>
  <c r="G110" i="11"/>
  <c r="G98" i="11"/>
  <c r="E98" i="11"/>
  <c r="E102" i="11"/>
  <c r="E106" i="11"/>
  <c r="E110" i="11"/>
  <c r="E114" i="11"/>
  <c r="E99" i="11"/>
  <c r="E103" i="11"/>
  <c r="E107" i="11"/>
  <c r="E111" i="11"/>
  <c r="E115" i="11"/>
  <c r="E104" i="11"/>
  <c r="E112" i="11"/>
  <c r="E97" i="11"/>
  <c r="E105" i="11"/>
  <c r="E113" i="11"/>
  <c r="E100" i="11"/>
  <c r="E108" i="11"/>
  <c r="E96" i="11"/>
  <c r="E101" i="11"/>
  <c r="E109" i="11"/>
  <c r="G113" i="11" l="1"/>
  <c r="G105" i="11"/>
  <c r="G111" i="11"/>
  <c r="G106" i="11"/>
  <c r="G114" i="11"/>
  <c r="E26" i="24"/>
  <c r="G109" i="11"/>
  <c r="G100" i="11"/>
  <c r="G115" i="11"/>
  <c r="G103" i="11"/>
  <c r="G97" i="11"/>
  <c r="G102" i="11"/>
  <c r="B5" i="24"/>
  <c r="E5" i="24" s="1"/>
  <c r="G4" i="24"/>
  <c r="I4" i="24"/>
  <c r="K4" i="24"/>
  <c r="M4" i="24"/>
  <c r="O4" i="24"/>
  <c r="Q4" i="24"/>
  <c r="S4" i="24"/>
  <c r="U4" i="24"/>
  <c r="W4" i="24"/>
  <c r="U36" i="11"/>
  <c r="W36" i="11"/>
  <c r="G36" i="11"/>
  <c r="B6" i="24"/>
  <c r="E6" i="24" s="1"/>
  <c r="C16" i="11"/>
  <c r="E15" i="11"/>
  <c r="E37" i="11" s="1"/>
  <c r="W15" i="11"/>
  <c r="U15" i="11"/>
  <c r="G15" i="11"/>
  <c r="S15" i="11"/>
  <c r="M15" i="11"/>
  <c r="Q15" i="11"/>
  <c r="O15" i="11"/>
  <c r="I15" i="11"/>
  <c r="K15" i="11"/>
  <c r="E96" i="24" l="1"/>
  <c r="E174" i="23" s="1"/>
  <c r="E102" i="24"/>
  <c r="E180" i="23" s="1"/>
  <c r="E107" i="24"/>
  <c r="E185" i="23" s="1"/>
  <c r="E109" i="24"/>
  <c r="E187" i="23" s="1"/>
  <c r="E110" i="24"/>
  <c r="E188" i="23" s="1"/>
  <c r="E99" i="24"/>
  <c r="E177" i="23" s="1"/>
  <c r="E152" i="23"/>
  <c r="E112" i="24"/>
  <c r="E190" i="23" s="1"/>
  <c r="E115" i="24"/>
  <c r="E193" i="23" s="1"/>
  <c r="E27" i="24"/>
  <c r="E97" i="24"/>
  <c r="E175" i="23" s="1"/>
  <c r="E114" i="24"/>
  <c r="E192" i="23" s="1"/>
  <c r="E106" i="24"/>
  <c r="E184" i="23" s="1"/>
  <c r="E103" i="24"/>
  <c r="E181" i="23" s="1"/>
  <c r="E111" i="24"/>
  <c r="E189" i="23" s="1"/>
  <c r="E108" i="24"/>
  <c r="E186" i="23" s="1"/>
  <c r="E113" i="24"/>
  <c r="E191" i="23" s="1"/>
  <c r="E104" i="24"/>
  <c r="E182" i="23" s="1"/>
  <c r="E98" i="24"/>
  <c r="E176" i="23" s="1"/>
  <c r="E101" i="24"/>
  <c r="E179" i="23" s="1"/>
  <c r="E105" i="24"/>
  <c r="E183" i="23" s="1"/>
  <c r="E100" i="24"/>
  <c r="E178" i="23" s="1"/>
  <c r="S26" i="24"/>
  <c r="I26" i="24"/>
  <c r="O26" i="24"/>
  <c r="G26" i="24"/>
  <c r="K26" i="24"/>
  <c r="Q26" i="24"/>
  <c r="W26" i="24"/>
  <c r="U26" i="24"/>
  <c r="M26" i="24"/>
  <c r="G5" i="24"/>
  <c r="I5" i="24"/>
  <c r="K5" i="24"/>
  <c r="M5" i="24"/>
  <c r="O5" i="24"/>
  <c r="Q5" i="24"/>
  <c r="S5" i="24"/>
  <c r="U5" i="24"/>
  <c r="W5" i="24"/>
  <c r="W37" i="11"/>
  <c r="G37" i="11"/>
  <c r="U37" i="11"/>
  <c r="B7" i="24"/>
  <c r="E7" i="24" s="1"/>
  <c r="S6" i="24"/>
  <c r="W6" i="24"/>
  <c r="Q6" i="24"/>
  <c r="U6" i="24"/>
  <c r="G6" i="24"/>
  <c r="I6" i="24"/>
  <c r="K6" i="24"/>
  <c r="M6" i="24"/>
  <c r="O6" i="24"/>
  <c r="C17" i="11"/>
  <c r="E16" i="11"/>
  <c r="E38" i="11" s="1"/>
  <c r="W16" i="11"/>
  <c r="W38" i="11" s="1"/>
  <c r="U16" i="11"/>
  <c r="G16" i="11"/>
  <c r="O16" i="11"/>
  <c r="I16" i="11"/>
  <c r="K16" i="11"/>
  <c r="Q16" i="11"/>
  <c r="S16" i="11"/>
  <c r="M16" i="11"/>
  <c r="E153" i="23" l="1"/>
  <c r="E28" i="24"/>
  <c r="U27" i="24"/>
  <c r="U28" i="24" s="1"/>
  <c r="U105" i="24"/>
  <c r="U183" i="23" s="1"/>
  <c r="U103" i="24"/>
  <c r="U181" i="23" s="1"/>
  <c r="U110" i="24"/>
  <c r="U188" i="23" s="1"/>
  <c r="U99" i="24"/>
  <c r="U177" i="23" s="1"/>
  <c r="U108" i="24"/>
  <c r="U186" i="23" s="1"/>
  <c r="U100" i="24"/>
  <c r="U178" i="23" s="1"/>
  <c r="U101" i="24"/>
  <c r="U179" i="23" s="1"/>
  <c r="U113" i="24"/>
  <c r="U191" i="23" s="1"/>
  <c r="U114" i="24"/>
  <c r="U192" i="23" s="1"/>
  <c r="U109" i="24"/>
  <c r="U187" i="23" s="1"/>
  <c r="U107" i="24"/>
  <c r="U185" i="23" s="1"/>
  <c r="U97" i="24"/>
  <c r="U175" i="23" s="1"/>
  <c r="U112" i="24"/>
  <c r="U190" i="23" s="1"/>
  <c r="U96" i="24"/>
  <c r="U174" i="23" s="1"/>
  <c r="U115" i="24"/>
  <c r="U193" i="23" s="1"/>
  <c r="U106" i="24"/>
  <c r="U184" i="23" s="1"/>
  <c r="U104" i="24"/>
  <c r="U182" i="23" s="1"/>
  <c r="U111" i="24"/>
  <c r="U189" i="23" s="1"/>
  <c r="U102" i="24"/>
  <c r="U180" i="23" s="1"/>
  <c r="U98" i="24"/>
  <c r="U176" i="23" s="1"/>
  <c r="G27" i="24"/>
  <c r="G153" i="23" s="1"/>
  <c r="G101" i="24"/>
  <c r="G179" i="23" s="1"/>
  <c r="G103" i="24"/>
  <c r="G181" i="23" s="1"/>
  <c r="G107" i="24"/>
  <c r="G185" i="23" s="1"/>
  <c r="G114" i="24"/>
  <c r="G192" i="23" s="1"/>
  <c r="G108" i="24"/>
  <c r="G186" i="23" s="1"/>
  <c r="G152" i="23"/>
  <c r="G96" i="24"/>
  <c r="G174" i="23" s="1"/>
  <c r="G111" i="24"/>
  <c r="G189" i="23" s="1"/>
  <c r="G109" i="24"/>
  <c r="G187" i="23" s="1"/>
  <c r="G98" i="24"/>
  <c r="G176" i="23" s="1"/>
  <c r="G99" i="24"/>
  <c r="G177" i="23" s="1"/>
  <c r="G104" i="24"/>
  <c r="G182" i="23" s="1"/>
  <c r="G112" i="24"/>
  <c r="G190" i="23" s="1"/>
  <c r="G106" i="24"/>
  <c r="G184" i="23" s="1"/>
  <c r="G105" i="24"/>
  <c r="G183" i="23" s="1"/>
  <c r="G113" i="24"/>
  <c r="G191" i="23" s="1"/>
  <c r="G100" i="24"/>
  <c r="G178" i="23" s="1"/>
  <c r="G110" i="24"/>
  <c r="G188" i="23" s="1"/>
  <c r="G97" i="24"/>
  <c r="G175" i="23" s="1"/>
  <c r="G115" i="24"/>
  <c r="G193" i="23" s="1"/>
  <c r="G102" i="24"/>
  <c r="G180" i="23" s="1"/>
  <c r="M27" i="24"/>
  <c r="M153" i="23" s="1"/>
  <c r="M107" i="24"/>
  <c r="M185" i="23" s="1"/>
  <c r="M97" i="24"/>
  <c r="M175" i="23" s="1"/>
  <c r="M108" i="24"/>
  <c r="M186" i="23" s="1"/>
  <c r="M115" i="24"/>
  <c r="M193" i="23" s="1"/>
  <c r="M114" i="24"/>
  <c r="M192" i="23" s="1"/>
  <c r="M111" i="24"/>
  <c r="M189" i="23" s="1"/>
  <c r="M106" i="24"/>
  <c r="M184" i="23" s="1"/>
  <c r="M102" i="24"/>
  <c r="M180" i="23" s="1"/>
  <c r="M99" i="24"/>
  <c r="M177" i="23" s="1"/>
  <c r="M98" i="24"/>
  <c r="M176" i="23" s="1"/>
  <c r="M152" i="23"/>
  <c r="M112" i="24"/>
  <c r="M190" i="23" s="1"/>
  <c r="M104" i="24"/>
  <c r="M182" i="23" s="1"/>
  <c r="M101" i="24"/>
  <c r="M179" i="23" s="1"/>
  <c r="M110" i="24"/>
  <c r="M188" i="23" s="1"/>
  <c r="M105" i="24"/>
  <c r="M183" i="23" s="1"/>
  <c r="M103" i="24"/>
  <c r="M181" i="23" s="1"/>
  <c r="M100" i="24"/>
  <c r="M178" i="23" s="1"/>
  <c r="M96" i="24"/>
  <c r="M174" i="23" s="1"/>
  <c r="M109" i="24"/>
  <c r="M187" i="23" s="1"/>
  <c r="M113" i="24"/>
  <c r="M191" i="23" s="1"/>
  <c r="W27" i="24"/>
  <c r="W28" i="24" s="1"/>
  <c r="W109" i="24"/>
  <c r="W187" i="23" s="1"/>
  <c r="W114" i="24"/>
  <c r="W192" i="23" s="1"/>
  <c r="W97" i="24"/>
  <c r="W175" i="23" s="1"/>
  <c r="W106" i="24"/>
  <c r="W184" i="23" s="1"/>
  <c r="W102" i="24"/>
  <c r="W180" i="23" s="1"/>
  <c r="W105" i="24"/>
  <c r="W183" i="23" s="1"/>
  <c r="W104" i="24"/>
  <c r="W182" i="23" s="1"/>
  <c r="W101" i="24"/>
  <c r="W179" i="23" s="1"/>
  <c r="W107" i="24"/>
  <c r="W185" i="23" s="1"/>
  <c r="W111" i="24"/>
  <c r="W189" i="23" s="1"/>
  <c r="W113" i="24"/>
  <c r="W191" i="23" s="1"/>
  <c r="W99" i="24"/>
  <c r="W177" i="23" s="1"/>
  <c r="W112" i="24"/>
  <c r="W190" i="23" s="1"/>
  <c r="W108" i="24"/>
  <c r="W186" i="23" s="1"/>
  <c r="W103" i="24"/>
  <c r="W181" i="23" s="1"/>
  <c r="W115" i="24"/>
  <c r="W193" i="23" s="1"/>
  <c r="W110" i="24"/>
  <c r="W188" i="23" s="1"/>
  <c r="W100" i="24"/>
  <c r="W178" i="23" s="1"/>
  <c r="W96" i="24"/>
  <c r="W174" i="23" s="1"/>
  <c r="W98" i="24"/>
  <c r="W176" i="23" s="1"/>
  <c r="K27" i="24"/>
  <c r="K153" i="23" s="1"/>
  <c r="K152" i="23"/>
  <c r="K114" i="24"/>
  <c r="K192" i="23" s="1"/>
  <c r="K99" i="24"/>
  <c r="K177" i="23" s="1"/>
  <c r="K107" i="24"/>
  <c r="K185" i="23" s="1"/>
  <c r="K108" i="24"/>
  <c r="K186" i="23" s="1"/>
  <c r="K106" i="24"/>
  <c r="K184" i="23" s="1"/>
  <c r="K101" i="24"/>
  <c r="K179" i="23" s="1"/>
  <c r="K113" i="24"/>
  <c r="K191" i="23" s="1"/>
  <c r="K98" i="24"/>
  <c r="K176" i="23" s="1"/>
  <c r="K115" i="24"/>
  <c r="K193" i="23" s="1"/>
  <c r="K104" i="24"/>
  <c r="K182" i="23" s="1"/>
  <c r="K111" i="24"/>
  <c r="K189" i="23" s="1"/>
  <c r="K110" i="24"/>
  <c r="K188" i="23" s="1"/>
  <c r="K97" i="24"/>
  <c r="K175" i="23" s="1"/>
  <c r="K105" i="24"/>
  <c r="K183" i="23" s="1"/>
  <c r="K112" i="24"/>
  <c r="K190" i="23" s="1"/>
  <c r="K102" i="24"/>
  <c r="K180" i="23" s="1"/>
  <c r="K96" i="24"/>
  <c r="K174" i="23" s="1"/>
  <c r="K109" i="24"/>
  <c r="K187" i="23" s="1"/>
  <c r="K103" i="24"/>
  <c r="K181" i="23" s="1"/>
  <c r="K100" i="24"/>
  <c r="K178" i="23" s="1"/>
  <c r="O27" i="24"/>
  <c r="O153" i="23" s="1"/>
  <c r="O115" i="24"/>
  <c r="O193" i="23" s="1"/>
  <c r="O109" i="24"/>
  <c r="O187" i="23" s="1"/>
  <c r="O113" i="24"/>
  <c r="O191" i="23" s="1"/>
  <c r="O112" i="24"/>
  <c r="O190" i="23" s="1"/>
  <c r="O103" i="24"/>
  <c r="O181" i="23" s="1"/>
  <c r="O100" i="24"/>
  <c r="O178" i="23" s="1"/>
  <c r="O102" i="24"/>
  <c r="O180" i="23" s="1"/>
  <c r="O101" i="24"/>
  <c r="O179" i="23" s="1"/>
  <c r="O107" i="24"/>
  <c r="O185" i="23" s="1"/>
  <c r="O108" i="24"/>
  <c r="O186" i="23" s="1"/>
  <c r="O110" i="24"/>
  <c r="O188" i="23" s="1"/>
  <c r="O106" i="24"/>
  <c r="O184" i="23" s="1"/>
  <c r="O114" i="24"/>
  <c r="O192" i="23" s="1"/>
  <c r="O111" i="24"/>
  <c r="O189" i="23" s="1"/>
  <c r="O96" i="24"/>
  <c r="O174" i="23" s="1"/>
  <c r="O152" i="23"/>
  <c r="O97" i="24"/>
  <c r="O175" i="23" s="1"/>
  <c r="O98" i="24"/>
  <c r="O176" i="23" s="1"/>
  <c r="O99" i="24"/>
  <c r="O177" i="23" s="1"/>
  <c r="O105" i="24"/>
  <c r="O183" i="23" s="1"/>
  <c r="O104" i="24"/>
  <c r="O182" i="23" s="1"/>
  <c r="S27" i="24"/>
  <c r="S153" i="23" s="1"/>
  <c r="S104" i="24"/>
  <c r="S182" i="23" s="1"/>
  <c r="S100" i="24"/>
  <c r="S178" i="23" s="1"/>
  <c r="S115" i="24"/>
  <c r="S193" i="23" s="1"/>
  <c r="S107" i="24"/>
  <c r="S185" i="23" s="1"/>
  <c r="S111" i="24"/>
  <c r="S189" i="23" s="1"/>
  <c r="S98" i="24"/>
  <c r="S176" i="23" s="1"/>
  <c r="S112" i="24"/>
  <c r="S190" i="23" s="1"/>
  <c r="S105" i="24"/>
  <c r="S183" i="23" s="1"/>
  <c r="S97" i="24"/>
  <c r="S175" i="23" s="1"/>
  <c r="S152" i="23"/>
  <c r="S109" i="24"/>
  <c r="S187" i="23" s="1"/>
  <c r="S96" i="24"/>
  <c r="S174" i="23" s="1"/>
  <c r="S114" i="24"/>
  <c r="S192" i="23" s="1"/>
  <c r="S110" i="24"/>
  <c r="S188" i="23" s="1"/>
  <c r="S113" i="24"/>
  <c r="S191" i="23" s="1"/>
  <c r="S103" i="24"/>
  <c r="S181" i="23" s="1"/>
  <c r="S102" i="24"/>
  <c r="S180" i="23" s="1"/>
  <c r="S101" i="24"/>
  <c r="S179" i="23" s="1"/>
  <c r="S99" i="24"/>
  <c r="S177" i="23" s="1"/>
  <c r="S106" i="24"/>
  <c r="S184" i="23" s="1"/>
  <c r="S108" i="24"/>
  <c r="S186" i="23" s="1"/>
  <c r="Q27" i="24"/>
  <c r="Q153" i="23" s="1"/>
  <c r="Q113" i="24"/>
  <c r="Q191" i="23" s="1"/>
  <c r="Q96" i="24"/>
  <c r="Q174" i="23" s="1"/>
  <c r="Q109" i="24"/>
  <c r="Q187" i="23" s="1"/>
  <c r="Q114" i="24"/>
  <c r="Q192" i="23" s="1"/>
  <c r="Q98" i="24"/>
  <c r="Q176" i="23" s="1"/>
  <c r="Q104" i="24"/>
  <c r="Q182" i="23" s="1"/>
  <c r="Q112" i="24"/>
  <c r="Q190" i="23" s="1"/>
  <c r="Q152" i="23"/>
  <c r="Q100" i="24"/>
  <c r="Q178" i="23" s="1"/>
  <c r="Q115" i="24"/>
  <c r="Q193" i="23" s="1"/>
  <c r="Q110" i="24"/>
  <c r="Q188" i="23" s="1"/>
  <c r="Q106" i="24"/>
  <c r="Q184" i="23" s="1"/>
  <c r="Q103" i="24"/>
  <c r="Q181" i="23" s="1"/>
  <c r="Q111" i="24"/>
  <c r="Q189" i="23" s="1"/>
  <c r="Q97" i="24"/>
  <c r="Q175" i="23" s="1"/>
  <c r="Q108" i="24"/>
  <c r="Q186" i="23" s="1"/>
  <c r="Q101" i="24"/>
  <c r="Q179" i="23" s="1"/>
  <c r="Q105" i="24"/>
  <c r="Q183" i="23" s="1"/>
  <c r="Q99" i="24"/>
  <c r="Q177" i="23" s="1"/>
  <c r="Q107" i="24"/>
  <c r="Q185" i="23" s="1"/>
  <c r="Q102" i="24"/>
  <c r="Q180" i="23" s="1"/>
  <c r="I27" i="24"/>
  <c r="I153" i="23" s="1"/>
  <c r="I98" i="24"/>
  <c r="I176" i="23" s="1"/>
  <c r="I113" i="24"/>
  <c r="I191" i="23" s="1"/>
  <c r="I107" i="24"/>
  <c r="I185" i="23" s="1"/>
  <c r="I108" i="24"/>
  <c r="I186" i="23" s="1"/>
  <c r="I102" i="24"/>
  <c r="I180" i="23" s="1"/>
  <c r="I97" i="24"/>
  <c r="I175" i="23" s="1"/>
  <c r="I112" i="24"/>
  <c r="I190" i="23" s="1"/>
  <c r="I109" i="24"/>
  <c r="I187" i="23" s="1"/>
  <c r="I103" i="24"/>
  <c r="I181" i="23" s="1"/>
  <c r="I110" i="24"/>
  <c r="I188" i="23" s="1"/>
  <c r="I106" i="24"/>
  <c r="I184" i="23" s="1"/>
  <c r="I115" i="24"/>
  <c r="I193" i="23" s="1"/>
  <c r="I104" i="24"/>
  <c r="I182" i="23" s="1"/>
  <c r="I96" i="24"/>
  <c r="I174" i="23" s="1"/>
  <c r="I99" i="24"/>
  <c r="I177" i="23" s="1"/>
  <c r="I114" i="24"/>
  <c r="I192" i="23" s="1"/>
  <c r="I100" i="24"/>
  <c r="I178" i="23" s="1"/>
  <c r="I101" i="24"/>
  <c r="I179" i="23" s="1"/>
  <c r="I105" i="24"/>
  <c r="I183" i="23" s="1"/>
  <c r="I111" i="24"/>
  <c r="I189" i="23" s="1"/>
  <c r="I152" i="23"/>
  <c r="G38" i="11"/>
  <c r="U38" i="11"/>
  <c r="B8" i="24"/>
  <c r="E8" i="24" s="1"/>
  <c r="Q7" i="24"/>
  <c r="M7" i="24"/>
  <c r="U7" i="24"/>
  <c r="K7" i="24"/>
  <c r="S7" i="24"/>
  <c r="I7" i="24"/>
  <c r="W7" i="24"/>
  <c r="G7" i="24"/>
  <c r="O7" i="24"/>
  <c r="C18" i="11"/>
  <c r="E17" i="11"/>
  <c r="E39" i="11" s="1"/>
  <c r="W17" i="11"/>
  <c r="W39" i="11" s="1"/>
  <c r="U17" i="11"/>
  <c r="O17" i="11"/>
  <c r="M17" i="11"/>
  <c r="Q17" i="11"/>
  <c r="S17" i="11"/>
  <c r="G17" i="11"/>
  <c r="I17" i="11"/>
  <c r="K17" i="11"/>
  <c r="E29" i="24" l="1"/>
  <c r="E154" i="23"/>
  <c r="G28" i="24"/>
  <c r="G154" i="23" s="1"/>
  <c r="G39" i="11"/>
  <c r="M28" i="24"/>
  <c r="M154" i="23" s="1"/>
  <c r="W29" i="24"/>
  <c r="S28" i="24"/>
  <c r="S154" i="23" s="1"/>
  <c r="O28" i="24"/>
  <c r="O154" i="23" s="1"/>
  <c r="U29" i="24"/>
  <c r="I28" i="24"/>
  <c r="I154" i="23" s="1"/>
  <c r="Q28" i="24"/>
  <c r="Q154" i="23" s="1"/>
  <c r="K28" i="24"/>
  <c r="K154" i="23" s="1"/>
  <c r="U39" i="11"/>
  <c r="B9" i="24"/>
  <c r="E9" i="24" s="1"/>
  <c r="E100" i="23" s="1"/>
  <c r="M8" i="24"/>
  <c r="U8" i="24"/>
  <c r="G8" i="24"/>
  <c r="O8" i="24"/>
  <c r="W8" i="24"/>
  <c r="K8" i="24"/>
  <c r="S8" i="24"/>
  <c r="I8" i="24"/>
  <c r="Q8" i="24"/>
  <c r="C19" i="11"/>
  <c r="E18" i="11"/>
  <c r="E40" i="11" s="1"/>
  <c r="U18" i="11"/>
  <c r="W18" i="11"/>
  <c r="W40" i="11" s="1"/>
  <c r="I18" i="11"/>
  <c r="K18" i="11"/>
  <c r="Q18" i="11"/>
  <c r="S18" i="11"/>
  <c r="G18" i="11"/>
  <c r="M18" i="11"/>
  <c r="O18" i="11"/>
  <c r="E30" i="24" l="1"/>
  <c r="E155" i="23"/>
  <c r="G29" i="24"/>
  <c r="G155" i="23" s="1"/>
  <c r="G40" i="11"/>
  <c r="U30" i="24"/>
  <c r="W30" i="24"/>
  <c r="O29" i="24"/>
  <c r="O155" i="23" s="1"/>
  <c r="M29" i="24"/>
  <c r="M155" i="23" s="1"/>
  <c r="I29" i="24"/>
  <c r="I155" i="23" s="1"/>
  <c r="Q29" i="24"/>
  <c r="Q155" i="23" s="1"/>
  <c r="S29" i="24"/>
  <c r="S155" i="23" s="1"/>
  <c r="K29" i="24"/>
  <c r="K155" i="23" s="1"/>
  <c r="U40" i="11"/>
  <c r="B10" i="24"/>
  <c r="B11" i="24" s="1"/>
  <c r="B12" i="24" s="1"/>
  <c r="B13" i="24" s="1"/>
  <c r="B14" i="24" s="1"/>
  <c r="B15" i="24" s="1"/>
  <c r="B16" i="24" s="1"/>
  <c r="B17" i="24" s="1"/>
  <c r="B18" i="24" s="1"/>
  <c r="B19" i="24" s="1"/>
  <c r="B20" i="24" s="1"/>
  <c r="B21" i="24" s="1"/>
  <c r="B22" i="24" s="1"/>
  <c r="B23" i="24" s="1"/>
  <c r="K9" i="24"/>
  <c r="S9" i="24"/>
  <c r="S100" i="23" s="1"/>
  <c r="M9" i="24"/>
  <c r="U9" i="24"/>
  <c r="I9" i="24"/>
  <c r="Q9" i="24"/>
  <c r="G9" i="24"/>
  <c r="O9" i="24"/>
  <c r="W9" i="24"/>
  <c r="C20" i="11"/>
  <c r="E19" i="11"/>
  <c r="E41" i="11" s="1"/>
  <c r="U19" i="11"/>
  <c r="W19" i="11"/>
  <c r="W41" i="11" s="1"/>
  <c r="O19" i="11"/>
  <c r="S19" i="11"/>
  <c r="G19" i="11"/>
  <c r="M19" i="11"/>
  <c r="I19" i="11"/>
  <c r="K19" i="11"/>
  <c r="Q19" i="11"/>
  <c r="E31" i="24" l="1"/>
  <c r="E156" i="23"/>
  <c r="G30" i="24"/>
  <c r="G156" i="23" s="1"/>
  <c r="G41" i="11"/>
  <c r="U41" i="11"/>
  <c r="W31" i="24"/>
  <c r="W32" i="24" s="1"/>
  <c r="W33" i="24" s="1"/>
  <c r="W34" i="24" s="1"/>
  <c r="W35" i="24" s="1"/>
  <c r="W36" i="24" s="1"/>
  <c r="W37" i="24" s="1"/>
  <c r="W38" i="24" s="1"/>
  <c r="W39" i="24" s="1"/>
  <c r="W40" i="24" s="1"/>
  <c r="W41" i="24" s="1"/>
  <c r="W42" i="24" s="1"/>
  <c r="W43" i="24" s="1"/>
  <c r="W44" i="24" s="1"/>
  <c r="W45" i="24" s="1"/>
  <c r="U31" i="24"/>
  <c r="U32" i="24" s="1"/>
  <c r="U33" i="24" s="1"/>
  <c r="U34" i="24" s="1"/>
  <c r="U35" i="24" s="1"/>
  <c r="U36" i="24" s="1"/>
  <c r="U37" i="24" s="1"/>
  <c r="U38" i="24" s="1"/>
  <c r="U39" i="24" s="1"/>
  <c r="U40" i="24" s="1"/>
  <c r="U41" i="24" s="1"/>
  <c r="U42" i="24" s="1"/>
  <c r="U43" i="24" s="1"/>
  <c r="U44" i="24" s="1"/>
  <c r="U45" i="24" s="1"/>
  <c r="O30" i="24"/>
  <c r="O156" i="23" s="1"/>
  <c r="U100" i="23"/>
  <c r="M30" i="24"/>
  <c r="M156" i="23" s="1"/>
  <c r="O100" i="23"/>
  <c r="W100" i="23"/>
  <c r="Q30" i="24"/>
  <c r="Q156" i="23" s="1"/>
  <c r="Q100" i="23"/>
  <c r="I100" i="23"/>
  <c r="K100" i="23"/>
  <c r="G100" i="23"/>
  <c r="K30" i="24"/>
  <c r="K156" i="23" s="1"/>
  <c r="I30" i="24"/>
  <c r="I156" i="23" s="1"/>
  <c r="M100" i="23"/>
  <c r="S30" i="24"/>
  <c r="S156" i="23" s="1"/>
  <c r="C21" i="11"/>
  <c r="E20" i="11"/>
  <c r="E42" i="11" s="1"/>
  <c r="U20" i="11"/>
  <c r="W20" i="11"/>
  <c r="W42" i="11" s="1"/>
  <c r="K20" i="11"/>
  <c r="S20" i="11"/>
  <c r="I20" i="11"/>
  <c r="M20" i="11"/>
  <c r="Q20" i="11"/>
  <c r="O20" i="11"/>
  <c r="G20" i="11"/>
  <c r="E32" i="24" l="1"/>
  <c r="E157" i="23"/>
  <c r="G31" i="24"/>
  <c r="G32" i="24" s="1"/>
  <c r="G33" i="24" s="1"/>
  <c r="G42" i="11"/>
  <c r="U42" i="11"/>
  <c r="O31" i="24"/>
  <c r="Q31" i="24"/>
  <c r="M31" i="24"/>
  <c r="I31" i="24"/>
  <c r="I32" i="24" s="1"/>
  <c r="I158" i="23" s="1"/>
  <c r="S31" i="24"/>
  <c r="K31" i="24"/>
  <c r="C22" i="11"/>
  <c r="E21" i="11"/>
  <c r="E43" i="11" s="1"/>
  <c r="W21" i="11"/>
  <c r="W43" i="11" s="1"/>
  <c r="U21" i="11"/>
  <c r="O21" i="11"/>
  <c r="K21" i="11"/>
  <c r="S21" i="11"/>
  <c r="G21" i="11"/>
  <c r="M21" i="11"/>
  <c r="I21" i="11"/>
  <c r="Q21" i="11"/>
  <c r="E33" i="24" l="1"/>
  <c r="E158" i="23"/>
  <c r="G157" i="23"/>
  <c r="G158" i="23"/>
  <c r="G43" i="11"/>
  <c r="U43" i="11"/>
  <c r="O32" i="24"/>
  <c r="O157" i="23"/>
  <c r="Q32" i="24"/>
  <c r="Q157" i="23"/>
  <c r="I33" i="24"/>
  <c r="I159" i="23" s="1"/>
  <c r="M32" i="24"/>
  <c r="M157" i="23"/>
  <c r="I157" i="23"/>
  <c r="K32" i="24"/>
  <c r="K157" i="23"/>
  <c r="S32" i="24"/>
  <c r="S157" i="23"/>
  <c r="G34" i="24"/>
  <c r="G159" i="23"/>
  <c r="C23" i="11"/>
  <c r="E22" i="11"/>
  <c r="E44" i="11" s="1"/>
  <c r="U22" i="11"/>
  <c r="W22" i="11"/>
  <c r="W44" i="11" s="1"/>
  <c r="M22" i="11"/>
  <c r="I22" i="11"/>
  <c r="K22" i="11"/>
  <c r="Q22" i="11"/>
  <c r="O22" i="11"/>
  <c r="S22" i="11"/>
  <c r="G22" i="11"/>
  <c r="E34" i="24" l="1"/>
  <c r="E159" i="23"/>
  <c r="G44" i="11"/>
  <c r="U44" i="11"/>
  <c r="I34" i="24"/>
  <c r="I35" i="24" s="1"/>
  <c r="O33" i="24"/>
  <c r="O158" i="23"/>
  <c r="Q158" i="23"/>
  <c r="Q33" i="24"/>
  <c r="M33" i="24"/>
  <c r="M158" i="23"/>
  <c r="S33" i="24"/>
  <c r="S158" i="23"/>
  <c r="K158" i="23"/>
  <c r="K33" i="24"/>
  <c r="G35" i="24"/>
  <c r="G160" i="23"/>
  <c r="E105" i="23"/>
  <c r="S105" i="23"/>
  <c r="W105" i="23"/>
  <c r="I105" i="23"/>
  <c r="O105" i="23"/>
  <c r="U105" i="23"/>
  <c r="K105" i="23"/>
  <c r="G105" i="23"/>
  <c r="M105" i="23"/>
  <c r="Q105" i="23"/>
  <c r="E23" i="11"/>
  <c r="E45" i="11" s="1"/>
  <c r="W23" i="11"/>
  <c r="W83" i="6" s="1"/>
  <c r="U23" i="11"/>
  <c r="G23" i="11"/>
  <c r="O23" i="11"/>
  <c r="K23" i="11"/>
  <c r="M23" i="11"/>
  <c r="I23" i="11"/>
  <c r="Q23" i="11"/>
  <c r="S23" i="11"/>
  <c r="E35" i="24" l="1"/>
  <c r="E160" i="23"/>
  <c r="G45" i="11"/>
  <c r="U45" i="11"/>
  <c r="I160" i="23"/>
  <c r="O34" i="24"/>
  <c r="O159" i="23"/>
  <c r="Q34" i="24"/>
  <c r="Q159" i="23"/>
  <c r="M34" i="24"/>
  <c r="M159" i="23"/>
  <c r="K34" i="24"/>
  <c r="K159" i="23"/>
  <c r="S34" i="24"/>
  <c r="S159" i="23"/>
  <c r="W45" i="11"/>
  <c r="M29" i="22"/>
  <c r="M12" i="22" s="1"/>
  <c r="K29" i="22"/>
  <c r="K12" i="22" s="1"/>
  <c r="O29" i="22"/>
  <c r="O12" i="22" s="1"/>
  <c r="I36" i="24"/>
  <c r="I161" i="23"/>
  <c r="G36" i="24"/>
  <c r="G161" i="23"/>
  <c r="U83" i="6"/>
  <c r="E36" i="24" l="1"/>
  <c r="E161" i="23"/>
  <c r="O35" i="24"/>
  <c r="O160" i="23"/>
  <c r="Q35" i="24"/>
  <c r="Q160" i="23"/>
  <c r="M35" i="24"/>
  <c r="M160" i="23"/>
  <c r="O90" i="22"/>
  <c r="O68" i="22"/>
  <c r="M68" i="22"/>
  <c r="M90" i="22"/>
  <c r="K90" i="22"/>
  <c r="K68" i="22"/>
  <c r="S35" i="24"/>
  <c r="S160" i="23"/>
  <c r="K35" i="24"/>
  <c r="K160" i="23"/>
  <c r="G37" i="24"/>
  <c r="G162" i="23"/>
  <c r="O13" i="22"/>
  <c r="O31" i="22"/>
  <c r="O14" i="22"/>
  <c r="O28" i="22"/>
  <c r="O23" i="22"/>
  <c r="O21" i="22"/>
  <c r="O25" i="22"/>
  <c r="O22" i="22"/>
  <c r="O24" i="22"/>
  <c r="O26" i="22"/>
  <c r="K26" i="22"/>
  <c r="K22" i="22"/>
  <c r="K25" i="22"/>
  <c r="K21" i="22"/>
  <c r="K23" i="22"/>
  <c r="K13" i="22"/>
  <c r="K31" i="22"/>
  <c r="K28" i="22"/>
  <c r="K24" i="22"/>
  <c r="K14" i="22"/>
  <c r="I37" i="24"/>
  <c r="I162" i="23"/>
  <c r="M28" i="22"/>
  <c r="M14" i="22"/>
  <c r="M31" i="22"/>
  <c r="M13" i="22"/>
  <c r="M24" i="22"/>
  <c r="M25" i="22"/>
  <c r="M21" i="22"/>
  <c r="M22" i="22"/>
  <c r="M23" i="22"/>
  <c r="M26" i="22"/>
  <c r="E37" i="24" l="1"/>
  <c r="E162" i="23"/>
  <c r="O36" i="24"/>
  <c r="O161" i="23"/>
  <c r="Q36" i="24"/>
  <c r="Q161" i="23"/>
  <c r="M161" i="23"/>
  <c r="M36" i="24"/>
  <c r="S36" i="24"/>
  <c r="S161" i="23"/>
  <c r="M76" i="22"/>
  <c r="M72" i="22"/>
  <c r="M80" i="22"/>
  <c r="M78" i="22"/>
  <c r="M71" i="22"/>
  <c r="M79" i="22"/>
  <c r="M77" i="22"/>
  <c r="M69" i="22"/>
  <c r="M75" i="22"/>
  <c r="M73" i="22"/>
  <c r="M70" i="22"/>
  <c r="M74" i="22"/>
  <c r="K70" i="22"/>
  <c r="K73" i="22"/>
  <c r="K74" i="22"/>
  <c r="K71" i="22"/>
  <c r="K77" i="22"/>
  <c r="K72" i="22"/>
  <c r="K78" i="22"/>
  <c r="K75" i="22"/>
  <c r="K76" i="22"/>
  <c r="K79" i="22"/>
  <c r="K69" i="22"/>
  <c r="K80" i="22"/>
  <c r="O78" i="22"/>
  <c r="O74" i="22"/>
  <c r="O70" i="22"/>
  <c r="O80" i="22"/>
  <c r="O72" i="22"/>
  <c r="O71" i="22"/>
  <c r="O77" i="22"/>
  <c r="O73" i="22"/>
  <c r="O69" i="22"/>
  <c r="O76" i="22"/>
  <c r="O79" i="22"/>
  <c r="O75" i="22"/>
  <c r="K36" i="24"/>
  <c r="K161" i="23"/>
  <c r="K108" i="22"/>
  <c r="K106" i="22"/>
  <c r="K99" i="22"/>
  <c r="K93" i="22"/>
  <c r="K109" i="22"/>
  <c r="K92" i="22"/>
  <c r="K100" i="22"/>
  <c r="K102" i="22"/>
  <c r="K105" i="22"/>
  <c r="K94" i="22"/>
  <c r="K103" i="22"/>
  <c r="K97" i="22"/>
  <c r="K96" i="22"/>
  <c r="K98" i="22"/>
  <c r="K91" i="22"/>
  <c r="K107" i="22"/>
  <c r="K101" i="22"/>
  <c r="K95" i="22"/>
  <c r="K104" i="22"/>
  <c r="O106" i="22"/>
  <c r="O102" i="22"/>
  <c r="O109" i="22"/>
  <c r="O105" i="22"/>
  <c r="O101" i="22"/>
  <c r="O97" i="22"/>
  <c r="O93" i="22"/>
  <c r="O103" i="22"/>
  <c r="O95" i="22"/>
  <c r="O94" i="22"/>
  <c r="O108" i="22"/>
  <c r="O104" i="22"/>
  <c r="O100" i="22"/>
  <c r="O96" i="22"/>
  <c r="O92" i="22"/>
  <c r="O107" i="22"/>
  <c r="O99" i="22"/>
  <c r="O91" i="22"/>
  <c r="O98" i="22"/>
  <c r="M108" i="22"/>
  <c r="M93" i="22"/>
  <c r="M109" i="22"/>
  <c r="M102" i="22"/>
  <c r="M95" i="22"/>
  <c r="M92" i="22"/>
  <c r="M91" i="22"/>
  <c r="M104" i="22"/>
  <c r="M97" i="22"/>
  <c r="M106" i="22"/>
  <c r="M99" i="22"/>
  <c r="M96" i="22"/>
  <c r="M101" i="22"/>
  <c r="M94" i="22"/>
  <c r="M103" i="22"/>
  <c r="M100" i="22"/>
  <c r="M105" i="22"/>
  <c r="M98" i="22"/>
  <c r="M107" i="22"/>
  <c r="I38" i="24"/>
  <c r="I163" i="23"/>
  <c r="G38" i="24"/>
  <c r="M81" i="22" s="1"/>
  <c r="G163" i="23"/>
  <c r="E38" i="24" l="1"/>
  <c r="E163" i="23"/>
  <c r="K81" i="22"/>
  <c r="O81" i="22"/>
  <c r="O37" i="24"/>
  <c r="O162" i="23"/>
  <c r="Q37" i="24"/>
  <c r="Q162" i="23"/>
  <c r="M162" i="23"/>
  <c r="M37" i="24"/>
  <c r="S162" i="23"/>
  <c r="S37" i="24"/>
  <c r="K162" i="23"/>
  <c r="K37" i="24"/>
  <c r="I39" i="24"/>
  <c r="I164" i="23"/>
  <c r="G39" i="24"/>
  <c r="K82" i="22" s="1"/>
  <c r="G164" i="23"/>
  <c r="E39" i="24" l="1"/>
  <c r="E164" i="23"/>
  <c r="M82" i="22"/>
  <c r="O82" i="22"/>
  <c r="O38" i="24"/>
  <c r="O163" i="23"/>
  <c r="Q38" i="24"/>
  <c r="Q163" i="23"/>
  <c r="M38" i="24"/>
  <c r="M163" i="23"/>
  <c r="S163" i="23"/>
  <c r="S38" i="24"/>
  <c r="K38" i="24"/>
  <c r="K163" i="23"/>
  <c r="G40" i="24"/>
  <c r="K83" i="22" s="1"/>
  <c r="G165" i="23"/>
  <c r="I40" i="24"/>
  <c r="I165" i="23"/>
  <c r="E92" i="11"/>
  <c r="E74" i="11"/>
  <c r="E75" i="11"/>
  <c r="E76" i="11"/>
  <c r="E77" i="11"/>
  <c r="E78" i="11"/>
  <c r="E79" i="11"/>
  <c r="E80" i="11"/>
  <c r="E81" i="11"/>
  <c r="E82" i="11"/>
  <c r="E83" i="11"/>
  <c r="E84" i="11"/>
  <c r="E85" i="11"/>
  <c r="E86" i="11"/>
  <c r="E87" i="11"/>
  <c r="E88" i="11"/>
  <c r="E89" i="11"/>
  <c r="E90" i="11"/>
  <c r="E91" i="11"/>
  <c r="E73" i="11"/>
  <c r="C115" i="11"/>
  <c r="C111" i="11"/>
  <c r="C112" i="11"/>
  <c r="C113" i="11"/>
  <c r="C114" i="11"/>
  <c r="C88" i="11"/>
  <c r="C89" i="11"/>
  <c r="C90" i="11"/>
  <c r="C91" i="11"/>
  <c r="C92" i="11"/>
  <c r="C64" i="11"/>
  <c r="C65" i="11"/>
  <c r="C66" i="11"/>
  <c r="C67" i="11"/>
  <c r="C68" i="11"/>
  <c r="E40" i="24" l="1"/>
  <c r="E165" i="23"/>
  <c r="M83" i="22"/>
  <c r="O83" i="22"/>
  <c r="O39" i="24"/>
  <c r="O164" i="23"/>
  <c r="Q39" i="24"/>
  <c r="Q164" i="23"/>
  <c r="M164" i="23"/>
  <c r="M39" i="24"/>
  <c r="K39" i="24"/>
  <c r="K164" i="23"/>
  <c r="S164" i="23"/>
  <c r="S39" i="24"/>
  <c r="I41" i="24"/>
  <c r="I166" i="23"/>
  <c r="G41" i="24"/>
  <c r="K84" i="22" s="1"/>
  <c r="G166" i="23"/>
  <c r="G81" i="6"/>
  <c r="C151" i="6"/>
  <c r="C129" i="6"/>
  <c r="C110" i="11"/>
  <c r="C109" i="11"/>
  <c r="C108" i="11"/>
  <c r="C107" i="11"/>
  <c r="C106" i="11"/>
  <c r="C105" i="11"/>
  <c r="C104" i="11"/>
  <c r="C103" i="11"/>
  <c r="C102" i="11"/>
  <c r="C101" i="11"/>
  <c r="C100" i="11"/>
  <c r="C99" i="11"/>
  <c r="C98" i="11"/>
  <c r="C97" i="11"/>
  <c r="C96" i="11"/>
  <c r="C87" i="11"/>
  <c r="C86" i="11"/>
  <c r="C85" i="11"/>
  <c r="C84" i="11"/>
  <c r="C83" i="11"/>
  <c r="C82" i="11"/>
  <c r="C81" i="11"/>
  <c r="C80" i="11"/>
  <c r="C79" i="11"/>
  <c r="C78" i="11"/>
  <c r="C77" i="11"/>
  <c r="C76" i="11"/>
  <c r="C75" i="11"/>
  <c r="C74" i="11"/>
  <c r="C73" i="11"/>
  <c r="E41" i="24" l="1"/>
  <c r="E166" i="23"/>
  <c r="O84" i="22"/>
  <c r="M84" i="22"/>
  <c r="O40" i="24"/>
  <c r="O165" i="23"/>
  <c r="Q40" i="24"/>
  <c r="Q165" i="23"/>
  <c r="M165" i="23"/>
  <c r="M40" i="24"/>
  <c r="S165" i="23"/>
  <c r="S40" i="24"/>
  <c r="K40" i="24"/>
  <c r="K165" i="23"/>
  <c r="G42" i="24"/>
  <c r="K85" i="22" s="1"/>
  <c r="G167" i="23"/>
  <c r="I42" i="24"/>
  <c r="I167" i="23"/>
  <c r="C63" i="11"/>
  <c r="C62" i="11"/>
  <c r="C61" i="11"/>
  <c r="C60" i="11"/>
  <c r="C59" i="11"/>
  <c r="C58" i="11"/>
  <c r="C57" i="11"/>
  <c r="C56" i="11"/>
  <c r="C55" i="11"/>
  <c r="C54" i="11"/>
  <c r="C53" i="11"/>
  <c r="C52" i="11"/>
  <c r="C51" i="11"/>
  <c r="C50" i="11"/>
  <c r="C49" i="11"/>
  <c r="E42" i="24" l="1"/>
  <c r="E167" i="23"/>
  <c r="O85" i="22"/>
  <c r="M85" i="22"/>
  <c r="O41" i="24"/>
  <c r="O166" i="23"/>
  <c r="Q166" i="23"/>
  <c r="Q41" i="24"/>
  <c r="M166" i="23"/>
  <c r="M41" i="24"/>
  <c r="K41" i="24"/>
  <c r="K166" i="23"/>
  <c r="S41" i="24"/>
  <c r="S166" i="23"/>
  <c r="I43" i="24"/>
  <c r="I168" i="23"/>
  <c r="G43" i="24"/>
  <c r="K86" i="22" s="1"/>
  <c r="G168" i="23"/>
  <c r="S25" i="11"/>
  <c r="Q25" i="11"/>
  <c r="O25" i="11"/>
  <c r="M25" i="11"/>
  <c r="K25" i="11"/>
  <c r="I25" i="11"/>
  <c r="G25" i="11"/>
  <c r="E25" i="11"/>
  <c r="E95" i="11" s="1"/>
  <c r="E151" i="6" s="1"/>
  <c r="Q51" i="6"/>
  <c r="Q78" i="6" s="1"/>
  <c r="M51" i="6"/>
  <c r="M78" i="6" s="1"/>
  <c r="I51" i="6"/>
  <c r="I78" i="6" s="1"/>
  <c r="K51" i="6"/>
  <c r="K78" i="6" s="1"/>
  <c r="O51" i="6"/>
  <c r="O78" i="6" s="1"/>
  <c r="S51" i="6"/>
  <c r="S78" i="6" s="1"/>
  <c r="E43" i="24" l="1"/>
  <c r="E168" i="23"/>
  <c r="M86" i="22"/>
  <c r="O86" i="22"/>
  <c r="O42" i="24"/>
  <c r="O167" i="23"/>
  <c r="Q42" i="24"/>
  <c r="Q167" i="23"/>
  <c r="M167" i="23"/>
  <c r="M42" i="24"/>
  <c r="S42" i="24"/>
  <c r="S167" i="23"/>
  <c r="K42" i="24"/>
  <c r="K167" i="23"/>
  <c r="I44" i="24"/>
  <c r="I169" i="23"/>
  <c r="G44" i="24"/>
  <c r="K87" i="22" s="1"/>
  <c r="G169" i="23"/>
  <c r="M95" i="11"/>
  <c r="M151" i="6" s="1"/>
  <c r="M48" i="11"/>
  <c r="M2" i="11"/>
  <c r="G95" i="11"/>
  <c r="G151" i="6" s="1"/>
  <c r="G48" i="11"/>
  <c r="G2" i="11"/>
  <c r="O95" i="11"/>
  <c r="O151" i="6" s="1"/>
  <c r="O48" i="11"/>
  <c r="O2" i="11"/>
  <c r="I2" i="11"/>
  <c r="I95" i="11"/>
  <c r="I151" i="6" s="1"/>
  <c r="I48" i="11"/>
  <c r="Q2" i="11"/>
  <c r="Q95" i="11"/>
  <c r="Q151" i="6" s="1"/>
  <c r="Q48" i="11"/>
  <c r="K95" i="11"/>
  <c r="K151" i="6" s="1"/>
  <c r="K48" i="11"/>
  <c r="K2" i="11"/>
  <c r="S95" i="11"/>
  <c r="S151" i="6" s="1"/>
  <c r="S48" i="11"/>
  <c r="S2" i="11"/>
  <c r="M80" i="6"/>
  <c r="M68" i="11"/>
  <c r="M64" i="11"/>
  <c r="M60" i="11"/>
  <c r="M56" i="11"/>
  <c r="M52" i="11"/>
  <c r="M57" i="11"/>
  <c r="M67" i="11"/>
  <c r="M63" i="11"/>
  <c r="M59" i="11"/>
  <c r="M55" i="11"/>
  <c r="M51" i="11"/>
  <c r="M65" i="11"/>
  <c r="M53" i="11"/>
  <c r="M66" i="11"/>
  <c r="M62" i="11"/>
  <c r="M58" i="11"/>
  <c r="M54" i="11"/>
  <c r="M50" i="11"/>
  <c r="M61" i="11"/>
  <c r="M49" i="11"/>
  <c r="M26" i="11" s="1"/>
  <c r="M86" i="6"/>
  <c r="K80" i="6"/>
  <c r="K68" i="11"/>
  <c r="K64" i="11"/>
  <c r="K60" i="11"/>
  <c r="K56" i="11"/>
  <c r="K52" i="11"/>
  <c r="K57" i="11"/>
  <c r="K67" i="11"/>
  <c r="K63" i="11"/>
  <c r="K59" i="11"/>
  <c r="K55" i="11"/>
  <c r="K51" i="11"/>
  <c r="K65" i="11"/>
  <c r="K53" i="11"/>
  <c r="K66" i="11"/>
  <c r="K62" i="11"/>
  <c r="K58" i="11"/>
  <c r="K54" i="11"/>
  <c r="K50" i="11"/>
  <c r="K61" i="11"/>
  <c r="K49" i="11"/>
  <c r="K86" i="6"/>
  <c r="I80" i="6"/>
  <c r="I68" i="11"/>
  <c r="I64" i="11"/>
  <c r="I60" i="11"/>
  <c r="I56" i="11"/>
  <c r="I52" i="11"/>
  <c r="I65" i="11"/>
  <c r="I67" i="11"/>
  <c r="I63" i="11"/>
  <c r="I59" i="11"/>
  <c r="I55" i="11"/>
  <c r="I51" i="11"/>
  <c r="I57" i="11"/>
  <c r="I49" i="11"/>
  <c r="I26" i="11" s="1"/>
  <c r="I66" i="11"/>
  <c r="I62" i="11"/>
  <c r="I58" i="11"/>
  <c r="I54" i="11"/>
  <c r="I50" i="11"/>
  <c r="I61" i="11"/>
  <c r="I53" i="11"/>
  <c r="I86" i="6"/>
  <c r="S80" i="6"/>
  <c r="S68" i="11"/>
  <c r="S64" i="11"/>
  <c r="S60" i="11"/>
  <c r="S56" i="11"/>
  <c r="S52" i="11"/>
  <c r="S57" i="11"/>
  <c r="S67" i="11"/>
  <c r="S63" i="11"/>
  <c r="S59" i="11"/>
  <c r="S55" i="11"/>
  <c r="S51" i="11"/>
  <c r="S61" i="11"/>
  <c r="S49" i="11"/>
  <c r="S66" i="11"/>
  <c r="S62" i="11"/>
  <c r="S58" i="11"/>
  <c r="S54" i="11"/>
  <c r="S50" i="11"/>
  <c r="S65" i="11"/>
  <c r="S53" i="11"/>
  <c r="S86" i="6"/>
  <c r="O80" i="6"/>
  <c r="O68" i="11"/>
  <c r="O64" i="11"/>
  <c r="O60" i="11"/>
  <c r="O56" i="11"/>
  <c r="O52" i="11"/>
  <c r="O53" i="11"/>
  <c r="O67" i="11"/>
  <c r="O63" i="11"/>
  <c r="O59" i="11"/>
  <c r="O55" i="11"/>
  <c r="O51" i="11"/>
  <c r="O65" i="11"/>
  <c r="O57" i="11"/>
  <c r="O66" i="11"/>
  <c r="O62" i="11"/>
  <c r="O58" i="11"/>
  <c r="O54" i="11"/>
  <c r="O50" i="11"/>
  <c r="O61" i="11"/>
  <c r="O49" i="11"/>
  <c r="O86" i="6"/>
  <c r="Q80" i="6"/>
  <c r="Q68" i="11"/>
  <c r="Q64" i="11"/>
  <c r="Q60" i="11"/>
  <c r="Q56" i="11"/>
  <c r="Q52" i="11"/>
  <c r="Q61" i="11"/>
  <c r="Q49" i="11"/>
  <c r="Q26" i="11" s="1"/>
  <c r="Q67" i="11"/>
  <c r="Q63" i="11"/>
  <c r="Q59" i="11"/>
  <c r="Q55" i="11"/>
  <c r="Q51" i="11"/>
  <c r="Q57" i="11"/>
  <c r="Q66" i="11"/>
  <c r="Q62" i="11"/>
  <c r="Q58" i="11"/>
  <c r="Q54" i="11"/>
  <c r="Q50" i="11"/>
  <c r="Q65" i="11"/>
  <c r="Q53" i="11"/>
  <c r="Q86" i="6"/>
  <c r="E48" i="11"/>
  <c r="E2" i="11"/>
  <c r="I81" i="6"/>
  <c r="S91" i="11"/>
  <c r="S129" i="6"/>
  <c r="E129" i="6"/>
  <c r="M129" i="6"/>
  <c r="I129" i="6"/>
  <c r="Q129" i="6"/>
  <c r="K129" i="6"/>
  <c r="G129" i="6"/>
  <c r="O129" i="6"/>
  <c r="O74" i="11"/>
  <c r="I80" i="11"/>
  <c r="Q74" i="11"/>
  <c r="Q79" i="11"/>
  <c r="Q88" i="11"/>
  <c r="I73" i="11"/>
  <c r="I84" i="11"/>
  <c r="K78" i="11"/>
  <c r="S84" i="11"/>
  <c r="S79" i="11"/>
  <c r="K76" i="11"/>
  <c r="Q76" i="11"/>
  <c r="Q89" i="11"/>
  <c r="I86" i="11"/>
  <c r="I91" i="11"/>
  <c r="I76" i="11"/>
  <c r="K73" i="11"/>
  <c r="S80" i="11"/>
  <c r="S89" i="11"/>
  <c r="S75" i="11"/>
  <c r="Q77" i="11"/>
  <c r="Q90" i="11"/>
  <c r="I89" i="11"/>
  <c r="I78" i="11"/>
  <c r="I87" i="11"/>
  <c r="S76" i="11"/>
  <c r="K82" i="11"/>
  <c r="K77" i="11"/>
  <c r="Q87" i="11"/>
  <c r="Q92" i="11"/>
  <c r="Q78" i="11"/>
  <c r="I77" i="11"/>
  <c r="I74" i="11"/>
  <c r="I75" i="11"/>
  <c r="S85" i="11"/>
  <c r="K91" i="11"/>
  <c r="O83" i="11"/>
  <c r="O73" i="11"/>
  <c r="M83" i="11"/>
  <c r="G73" i="11"/>
  <c r="G81" i="11"/>
  <c r="G89" i="11"/>
  <c r="G74" i="11"/>
  <c r="G82" i="11"/>
  <c r="G90" i="11"/>
  <c r="G75" i="11"/>
  <c r="G83" i="11"/>
  <c r="G91" i="11"/>
  <c r="G76" i="11"/>
  <c r="G84" i="11"/>
  <c r="G92" i="11"/>
  <c r="G77" i="11"/>
  <c r="G85" i="11"/>
  <c r="G78" i="11"/>
  <c r="G86" i="11"/>
  <c r="G88" i="11"/>
  <c r="G79" i="11"/>
  <c r="G87" i="11"/>
  <c r="G80" i="11"/>
  <c r="S81" i="11"/>
  <c r="S86" i="11"/>
  <c r="K87" i="11"/>
  <c r="K92" i="11"/>
  <c r="Q84" i="11"/>
  <c r="Q85" i="11"/>
  <c r="Q86" i="11"/>
  <c r="I81" i="11"/>
  <c r="I83" i="11"/>
  <c r="I92" i="11"/>
  <c r="O79" i="11"/>
  <c r="M79" i="11"/>
  <c r="M89" i="11"/>
  <c r="K74" i="11"/>
  <c r="S90" i="11"/>
  <c r="S77" i="11"/>
  <c r="S82" i="11"/>
  <c r="K83" i="11"/>
  <c r="K88" i="11"/>
  <c r="K89" i="11"/>
  <c r="Q91" i="11"/>
  <c r="Q83" i="11"/>
  <c r="Q80" i="11"/>
  <c r="Q81" i="11"/>
  <c r="Q82" i="11"/>
  <c r="I85" i="11"/>
  <c r="I90" i="11"/>
  <c r="I79" i="11"/>
  <c r="I88" i="11"/>
  <c r="O75" i="11"/>
  <c r="M82" i="11"/>
  <c r="M86" i="11"/>
  <c r="M75" i="11"/>
  <c r="M92" i="11"/>
  <c r="M85" i="11"/>
  <c r="S78" i="11"/>
  <c r="K90" i="11"/>
  <c r="K79" i="11"/>
  <c r="K85" i="11"/>
  <c r="S92" i="11"/>
  <c r="S73" i="11"/>
  <c r="S87" i="11"/>
  <c r="K84" i="11"/>
  <c r="O92" i="11"/>
  <c r="O90" i="11"/>
  <c r="M78" i="11"/>
  <c r="M88" i="11"/>
  <c r="M81" i="11"/>
  <c r="S88" i="11"/>
  <c r="S74" i="11"/>
  <c r="S83" i="11"/>
  <c r="K86" i="11"/>
  <c r="K75" i="11"/>
  <c r="K80" i="11"/>
  <c r="K81" i="11"/>
  <c r="Q75" i="11"/>
  <c r="Q73" i="11"/>
  <c r="I82" i="11"/>
  <c r="O88" i="11"/>
  <c r="O89" i="11"/>
  <c r="O86" i="11"/>
  <c r="M74" i="11"/>
  <c r="M84" i="11"/>
  <c r="M77" i="11"/>
  <c r="O84" i="11"/>
  <c r="O85" i="11"/>
  <c r="O82" i="11"/>
  <c r="M90" i="11"/>
  <c r="M80" i="11"/>
  <c r="M73" i="11"/>
  <c r="O91" i="11"/>
  <c r="O80" i="11"/>
  <c r="O81" i="11"/>
  <c r="O78" i="11"/>
  <c r="M91" i="11"/>
  <c r="M76" i="11"/>
  <c r="O87" i="11"/>
  <c r="O76" i="11"/>
  <c r="O77" i="11"/>
  <c r="M87" i="11"/>
  <c r="S26" i="11" l="1"/>
  <c r="S27" i="11" s="1"/>
  <c r="S28" i="11" s="1"/>
  <c r="S29" i="11" s="1"/>
  <c r="S30" i="11" s="1"/>
  <c r="S31" i="11" s="1"/>
  <c r="S32" i="11" s="1"/>
  <c r="S33" i="11" s="1"/>
  <c r="S34" i="11" s="1"/>
  <c r="S35" i="11" s="1"/>
  <c r="S36" i="11" s="1"/>
  <c r="S37" i="11" s="1"/>
  <c r="S38" i="11" s="1"/>
  <c r="S39" i="11" s="1"/>
  <c r="S40" i="11" s="1"/>
  <c r="S41" i="11" s="1"/>
  <c r="S42" i="11" s="1"/>
  <c r="S43" i="11" s="1"/>
  <c r="S44" i="11" s="1"/>
  <c r="S45" i="11" s="1"/>
  <c r="Q27" i="11"/>
  <c r="Q28" i="11" s="1"/>
  <c r="Q29" i="11" s="1"/>
  <c r="Q30" i="11" s="1"/>
  <c r="Q31" i="11" s="1"/>
  <c r="Q32" i="11" s="1"/>
  <c r="Q33" i="11" s="1"/>
  <c r="Q34" i="11" s="1"/>
  <c r="Q35" i="11" s="1"/>
  <c r="Q36" i="11" s="1"/>
  <c r="Q37" i="11" s="1"/>
  <c r="Q38" i="11" s="1"/>
  <c r="Q39" i="11" s="1"/>
  <c r="Q40" i="11" s="1"/>
  <c r="Q41" i="11" s="1"/>
  <c r="Q42" i="11" s="1"/>
  <c r="Q43" i="11" s="1"/>
  <c r="Q44" i="11" s="1"/>
  <c r="Q45" i="11" s="1"/>
  <c r="O26" i="11"/>
  <c r="O105" i="11" s="1"/>
  <c r="E44" i="24"/>
  <c r="E169" i="23"/>
  <c r="I27" i="11"/>
  <c r="I28" i="11" s="1"/>
  <c r="I29" i="11" s="1"/>
  <c r="I30" i="11" s="1"/>
  <c r="I31" i="11" s="1"/>
  <c r="I32" i="11" s="1"/>
  <c r="I33" i="11" s="1"/>
  <c r="I34" i="11" s="1"/>
  <c r="I35" i="11" s="1"/>
  <c r="I36" i="11" s="1"/>
  <c r="I37" i="11" s="1"/>
  <c r="I38" i="11" s="1"/>
  <c r="I39" i="11" s="1"/>
  <c r="I40" i="11" s="1"/>
  <c r="I41" i="11" s="1"/>
  <c r="I42" i="11" s="1"/>
  <c r="I43" i="11" s="1"/>
  <c r="I44" i="11" s="1"/>
  <c r="I45" i="11" s="1"/>
  <c r="M27" i="11"/>
  <c r="M28" i="11" s="1"/>
  <c r="M29" i="11" s="1"/>
  <c r="M30" i="11" s="1"/>
  <c r="M31" i="11" s="1"/>
  <c r="M32" i="11" s="1"/>
  <c r="M33" i="11" s="1"/>
  <c r="M34" i="11" s="1"/>
  <c r="M35" i="11" s="1"/>
  <c r="M36" i="11" s="1"/>
  <c r="M37" i="11" s="1"/>
  <c r="M38" i="11" s="1"/>
  <c r="M39" i="11" s="1"/>
  <c r="M40" i="11" s="1"/>
  <c r="M41" i="11" s="1"/>
  <c r="M42" i="11" s="1"/>
  <c r="M43" i="11" s="1"/>
  <c r="M44" i="11" s="1"/>
  <c r="M45" i="11" s="1"/>
  <c r="M87" i="22"/>
  <c r="O87" i="22"/>
  <c r="M110" i="11"/>
  <c r="M113" i="11"/>
  <c r="K26" i="11"/>
  <c r="K27" i="11" s="1"/>
  <c r="K28" i="11" s="1"/>
  <c r="K29" i="11" s="1"/>
  <c r="K30" i="11" s="1"/>
  <c r="K31" i="11" s="1"/>
  <c r="K32" i="11" s="1"/>
  <c r="K33" i="11" s="1"/>
  <c r="K34" i="11" s="1"/>
  <c r="K35" i="11" s="1"/>
  <c r="K36" i="11" s="1"/>
  <c r="K37" i="11" s="1"/>
  <c r="K38" i="11" s="1"/>
  <c r="K39" i="11" s="1"/>
  <c r="K40" i="11" s="1"/>
  <c r="K41" i="11" s="1"/>
  <c r="K42" i="11" s="1"/>
  <c r="K43" i="11" s="1"/>
  <c r="K44" i="11" s="1"/>
  <c r="K45" i="11" s="1"/>
  <c r="M97" i="11"/>
  <c r="M98" i="11"/>
  <c r="M103" i="11"/>
  <c r="O168" i="23"/>
  <c r="O43" i="24"/>
  <c r="Q168" i="23"/>
  <c r="Q43" i="24"/>
  <c r="M168" i="23"/>
  <c r="M43" i="24"/>
  <c r="K43" i="24"/>
  <c r="K168" i="23"/>
  <c r="S43" i="24"/>
  <c r="S168" i="23"/>
  <c r="O104" i="11"/>
  <c r="O108" i="11"/>
  <c r="M108" i="11"/>
  <c r="M106" i="11"/>
  <c r="O115" i="11"/>
  <c r="O109" i="11"/>
  <c r="M104" i="11"/>
  <c r="M101" i="11"/>
  <c r="O96" i="11"/>
  <c r="M96" i="11"/>
  <c r="M115" i="11"/>
  <c r="I105" i="11"/>
  <c r="O97" i="11"/>
  <c r="O98" i="11"/>
  <c r="M114" i="11"/>
  <c r="M105" i="11"/>
  <c r="M112" i="11"/>
  <c r="M111" i="11"/>
  <c r="O110" i="11"/>
  <c r="O114" i="11"/>
  <c r="M100" i="11"/>
  <c r="M107" i="11"/>
  <c r="M102" i="11"/>
  <c r="M109" i="11"/>
  <c r="G45" i="24"/>
  <c r="G171" i="23" s="1"/>
  <c r="G170" i="23"/>
  <c r="I45" i="24"/>
  <c r="I171" i="23" s="1"/>
  <c r="I170" i="23"/>
  <c r="I111" i="11"/>
  <c r="I112" i="11"/>
  <c r="I114" i="11"/>
  <c r="S98" i="11"/>
  <c r="S114" i="11"/>
  <c r="S113" i="11"/>
  <c r="S100" i="11"/>
  <c r="S108" i="11"/>
  <c r="S105" i="11"/>
  <c r="S109" i="11"/>
  <c r="O112" i="11"/>
  <c r="S115" i="11"/>
  <c r="S101" i="11"/>
  <c r="S97" i="11"/>
  <c r="I100" i="11"/>
  <c r="I115" i="11"/>
  <c r="M99" i="11"/>
  <c r="S111" i="11"/>
  <c r="S102" i="11"/>
  <c r="S106" i="11"/>
  <c r="S96" i="11"/>
  <c r="S110" i="11"/>
  <c r="I106" i="11"/>
  <c r="I113" i="11"/>
  <c r="I101" i="11"/>
  <c r="I108" i="11"/>
  <c r="I109" i="11"/>
  <c r="I97" i="11"/>
  <c r="I96" i="11"/>
  <c r="I102" i="11"/>
  <c r="S112" i="11"/>
  <c r="S104" i="11"/>
  <c r="S103" i="11"/>
  <c r="S107" i="11"/>
  <c r="I103" i="11"/>
  <c r="I107" i="11"/>
  <c r="I110" i="11"/>
  <c r="I98" i="11"/>
  <c r="I104" i="11"/>
  <c r="I99" i="11"/>
  <c r="O81" i="6"/>
  <c r="K81" i="6"/>
  <c r="S81" i="6"/>
  <c r="Q81" i="6"/>
  <c r="M81" i="6"/>
  <c r="I130" i="6"/>
  <c r="E130" i="6"/>
  <c r="Q79" i="6"/>
  <c r="K79" i="6"/>
  <c r="S79" i="6"/>
  <c r="I79" i="6"/>
  <c r="M79" i="6"/>
  <c r="O79" i="6"/>
  <c r="G79" i="6"/>
  <c r="G83" i="6" s="1"/>
  <c r="K103" i="11" l="1"/>
  <c r="K97" i="11"/>
  <c r="K110" i="11"/>
  <c r="K104" i="11"/>
  <c r="K109" i="11"/>
  <c r="K108" i="11"/>
  <c r="O101" i="11"/>
  <c r="O106" i="11"/>
  <c r="O100" i="11"/>
  <c r="K101" i="11"/>
  <c r="K100" i="11"/>
  <c r="O113" i="11"/>
  <c r="O99" i="11"/>
  <c r="O102" i="11"/>
  <c r="O27" i="11"/>
  <c r="O28" i="11" s="1"/>
  <c r="O29" i="11" s="1"/>
  <c r="O30" i="11" s="1"/>
  <c r="O31" i="11" s="1"/>
  <c r="O32" i="11" s="1"/>
  <c r="O33" i="11" s="1"/>
  <c r="O34" i="11" s="1"/>
  <c r="O35" i="11" s="1"/>
  <c r="O36" i="11" s="1"/>
  <c r="O37" i="11" s="1"/>
  <c r="O38" i="11" s="1"/>
  <c r="O39" i="11" s="1"/>
  <c r="O40" i="11" s="1"/>
  <c r="O41" i="11" s="1"/>
  <c r="O42" i="11" s="1"/>
  <c r="O43" i="11" s="1"/>
  <c r="O44" i="11" s="1"/>
  <c r="O45" i="11" s="1"/>
  <c r="O107" i="11"/>
  <c r="O111" i="11"/>
  <c r="S99" i="11"/>
  <c r="O103" i="11"/>
  <c r="E45" i="24"/>
  <c r="E171" i="23" s="1"/>
  <c r="E170" i="23"/>
  <c r="K105" i="11"/>
  <c r="K99" i="11"/>
  <c r="K107" i="11"/>
  <c r="K113" i="11"/>
  <c r="K115" i="11"/>
  <c r="K96" i="11"/>
  <c r="K106" i="11"/>
  <c r="K111" i="11"/>
  <c r="K114" i="11"/>
  <c r="K98" i="11"/>
  <c r="K102" i="11"/>
  <c r="K112" i="11"/>
  <c r="O169" i="23"/>
  <c r="O44" i="24"/>
  <c r="Q44" i="24"/>
  <c r="Q169" i="23"/>
  <c r="M44" i="24"/>
  <c r="M169" i="23"/>
  <c r="S44" i="24"/>
  <c r="S169" i="23"/>
  <c r="K44" i="24"/>
  <c r="K169" i="23"/>
  <c r="S83" i="6"/>
  <c r="M83" i="6"/>
  <c r="O83" i="6"/>
  <c r="I83" i="6"/>
  <c r="Q108" i="11"/>
  <c r="Q96" i="11"/>
  <c r="Q107" i="11"/>
  <c r="Q111" i="11"/>
  <c r="Q105" i="11"/>
  <c r="Q106" i="11"/>
  <c r="Q109" i="11"/>
  <c r="Q112" i="11"/>
  <c r="Q103" i="11"/>
  <c r="Q99" i="11"/>
  <c r="Q102" i="11"/>
  <c r="Q114" i="11"/>
  <c r="Q100" i="11"/>
  <c r="Q110" i="11"/>
  <c r="Q115" i="11"/>
  <c r="Q113" i="11"/>
  <c r="Q104" i="11"/>
  <c r="Q101" i="11"/>
  <c r="Q97" i="11"/>
  <c r="Q98" i="11"/>
  <c r="Q83" i="6"/>
  <c r="K83" i="6"/>
  <c r="O152" i="6"/>
  <c r="Q130" i="6"/>
  <c r="S152" i="6"/>
  <c r="M131" i="6"/>
  <c r="K130" i="6"/>
  <c r="G131" i="6"/>
  <c r="G130" i="6"/>
  <c r="S130" i="6"/>
  <c r="O130" i="6"/>
  <c r="M130" i="6"/>
  <c r="O170" i="23" l="1"/>
  <c r="O45" i="24"/>
  <c r="O171" i="23" s="1"/>
  <c r="Q170" i="23"/>
  <c r="Q45" i="24"/>
  <c r="Q171" i="23" s="1"/>
  <c r="M170" i="23"/>
  <c r="M45" i="24"/>
  <c r="M171" i="23" s="1"/>
  <c r="K170" i="23"/>
  <c r="K45" i="24"/>
  <c r="K171" i="23" s="1"/>
  <c r="S170" i="23"/>
  <c r="S45" i="24"/>
  <c r="S171" i="23" s="1"/>
  <c r="Q131" i="6"/>
  <c r="M152" i="6"/>
  <c r="K152" i="6"/>
  <c r="G152" i="6"/>
  <c r="Q152" i="6"/>
  <c r="O153" i="6"/>
  <c r="I152" i="6"/>
  <c r="E152" i="6"/>
  <c r="O131" i="6"/>
  <c r="I132" i="6"/>
  <c r="I131" i="6"/>
  <c r="M132" i="6"/>
  <c r="K132" i="6"/>
  <c r="K131" i="6"/>
  <c r="S131" i="6"/>
  <c r="G132" i="6"/>
  <c r="G153" i="6" l="1"/>
  <c r="M153" i="6"/>
  <c r="S153" i="6"/>
  <c r="Q153" i="6"/>
  <c r="K153" i="6"/>
  <c r="I153" i="6"/>
  <c r="Q132" i="6"/>
  <c r="O133" i="6"/>
  <c r="S132" i="6"/>
  <c r="E132" i="6"/>
  <c r="O132" i="6"/>
  <c r="I154" i="6" l="1"/>
  <c r="Q154" i="6"/>
  <c r="G154" i="6"/>
  <c r="O154" i="6"/>
  <c r="M154" i="6"/>
  <c r="K154" i="6"/>
  <c r="S154" i="6"/>
  <c r="E154" i="6"/>
  <c r="Q134" i="6"/>
  <c r="Q133" i="6"/>
  <c r="M133" i="6"/>
  <c r="O134" i="6"/>
  <c r="S134" i="6"/>
  <c r="S133" i="6"/>
  <c r="K133" i="6"/>
  <c r="I133" i="6"/>
  <c r="G133" i="6"/>
  <c r="E134" i="6"/>
  <c r="E133" i="6"/>
  <c r="O155" i="6" l="1"/>
  <c r="Q155" i="6"/>
  <c r="K155" i="6"/>
  <c r="I155" i="6"/>
  <c r="G155" i="6"/>
  <c r="S155" i="6"/>
  <c r="M155" i="6"/>
  <c r="E155" i="6"/>
  <c r="M135" i="6"/>
  <c r="S135" i="6"/>
  <c r="M134" i="6"/>
  <c r="Q135" i="6"/>
  <c r="K135" i="6"/>
  <c r="K134" i="6"/>
  <c r="I134" i="6"/>
  <c r="E135" i="6"/>
  <c r="G134" i="6"/>
  <c r="S156" i="6" l="1"/>
  <c r="K156" i="6"/>
  <c r="O156" i="6"/>
  <c r="M156" i="6"/>
  <c r="G156" i="6"/>
  <c r="Q156" i="6"/>
  <c r="I156" i="6"/>
  <c r="E156" i="6"/>
  <c r="O135" i="6"/>
  <c r="I135" i="6"/>
  <c r="G135" i="6"/>
  <c r="S157" i="6" l="1"/>
  <c r="Q157" i="6"/>
  <c r="K157" i="6"/>
  <c r="M157" i="6"/>
  <c r="I157" i="6"/>
  <c r="G157" i="6"/>
  <c r="O157" i="6"/>
  <c r="E157" i="6"/>
  <c r="O138" i="6" l="1"/>
  <c r="K138" i="6"/>
  <c r="G138" i="6"/>
  <c r="E138" i="6"/>
  <c r="S139" i="6" l="1"/>
  <c r="M139" i="6"/>
  <c r="K139" i="6"/>
  <c r="S138" i="6"/>
  <c r="I139" i="6"/>
  <c r="I138" i="6"/>
  <c r="Q138" i="6"/>
  <c r="M138" i="6"/>
  <c r="E139" i="6"/>
  <c r="G160" i="6" l="1"/>
  <c r="I160" i="6"/>
  <c r="S160" i="6"/>
  <c r="M160" i="6"/>
  <c r="Q160" i="6"/>
  <c r="O160" i="6"/>
  <c r="K160" i="6"/>
  <c r="E160" i="6"/>
  <c r="O140" i="6"/>
  <c r="Q140" i="6"/>
  <c r="Q139" i="6"/>
  <c r="K140" i="6"/>
  <c r="O139" i="6"/>
  <c r="I140" i="6"/>
  <c r="G140" i="6"/>
  <c r="G139" i="6"/>
  <c r="E140" i="6"/>
  <c r="S161" i="6" l="1"/>
  <c r="I161" i="6"/>
  <c r="M161" i="6"/>
  <c r="O161" i="6"/>
  <c r="Q161" i="6"/>
  <c r="G161" i="6"/>
  <c r="K161" i="6"/>
  <c r="E161" i="6"/>
  <c r="M141" i="6"/>
  <c r="K141" i="6"/>
  <c r="S141" i="6"/>
  <c r="I141" i="6"/>
  <c r="Q141" i="6"/>
  <c r="S140" i="6"/>
  <c r="M140" i="6"/>
  <c r="E141" i="6"/>
  <c r="G162" i="6" l="1"/>
  <c r="I162" i="6"/>
  <c r="K162" i="6"/>
  <c r="M162" i="6"/>
  <c r="Q162" i="6"/>
  <c r="S162" i="6"/>
  <c r="O162" i="6"/>
  <c r="E162" i="6"/>
  <c r="I142" i="6"/>
  <c r="O142" i="6"/>
  <c r="K142" i="6"/>
  <c r="O141" i="6"/>
  <c r="G142" i="6"/>
  <c r="G141" i="6"/>
  <c r="K163" i="6" l="1"/>
  <c r="K143" i="6"/>
  <c r="M163" i="6"/>
  <c r="S163" i="6"/>
  <c r="M143" i="6"/>
  <c r="S143" i="6"/>
  <c r="Q163" i="6"/>
  <c r="O163" i="6"/>
  <c r="Q143" i="6"/>
  <c r="O143" i="6"/>
  <c r="S142" i="6"/>
  <c r="I163" i="6"/>
  <c r="M142" i="6"/>
  <c r="Q142" i="6"/>
  <c r="I143" i="6"/>
  <c r="E163" i="6"/>
  <c r="G163" i="6"/>
  <c r="M164" i="6" l="1"/>
  <c r="K164" i="6"/>
  <c r="O164" i="6"/>
  <c r="G164" i="6"/>
  <c r="I164" i="6"/>
  <c r="Q164" i="6"/>
  <c r="S164" i="6"/>
  <c r="O144" i="6"/>
  <c r="S144" i="6"/>
  <c r="K144" i="6"/>
  <c r="Q144" i="6"/>
  <c r="M144" i="6"/>
  <c r="G144" i="6"/>
  <c r="G143" i="6"/>
  <c r="S165" i="6" l="1"/>
  <c r="I165" i="6"/>
  <c r="M165" i="6"/>
  <c r="O165" i="6"/>
  <c r="G165" i="6"/>
  <c r="Q165" i="6"/>
  <c r="K165" i="6"/>
  <c r="I144" i="6"/>
  <c r="S166" i="6" l="1"/>
  <c r="M166" i="6"/>
  <c r="K166" i="6"/>
  <c r="O166" i="6"/>
  <c r="Q166" i="6"/>
  <c r="G166" i="6"/>
  <c r="I166" i="6"/>
  <c r="E83" i="6" l="1"/>
  <c r="I29" i="22" l="1"/>
  <c r="I12" i="22" s="1"/>
  <c r="E29" i="22"/>
  <c r="E12" i="22" s="1"/>
  <c r="I136" i="6"/>
  <c r="I137" i="6"/>
  <c r="M145" i="6"/>
  <c r="I145" i="6"/>
  <c r="E90" i="22" l="1"/>
  <c r="E68" i="22"/>
  <c r="I68" i="22"/>
  <c r="I90" i="22"/>
  <c r="E31" i="22"/>
  <c r="E24" i="22"/>
  <c r="E28" i="22"/>
  <c r="E23" i="22"/>
  <c r="E26" i="22"/>
  <c r="E21" i="22"/>
  <c r="E25" i="22"/>
  <c r="I25" i="22"/>
  <c r="I28" i="22"/>
  <c r="I24" i="22"/>
  <c r="I31" i="22"/>
  <c r="I23" i="22"/>
  <c r="I26" i="22"/>
  <c r="I21" i="22"/>
  <c r="E14" i="22"/>
  <c r="E13" i="22"/>
  <c r="I13" i="22"/>
  <c r="I14" i="22"/>
  <c r="G29" i="22"/>
  <c r="G12" i="22" s="1"/>
  <c r="E164" i="6"/>
  <c r="E142" i="6"/>
  <c r="E143" i="6"/>
  <c r="E165" i="6"/>
  <c r="I167" i="6"/>
  <c r="M167" i="6"/>
  <c r="I158" i="6"/>
  <c r="I159" i="6"/>
  <c r="E131" i="6"/>
  <c r="S136" i="6"/>
  <c r="S137" i="6"/>
  <c r="Q136" i="6"/>
  <c r="Q137" i="6"/>
  <c r="O137" i="6"/>
  <c r="O136" i="6"/>
  <c r="M136" i="6"/>
  <c r="M137" i="6"/>
  <c r="K136" i="6"/>
  <c r="K137" i="6"/>
  <c r="G136" i="6"/>
  <c r="G137" i="6"/>
  <c r="G145" i="6"/>
  <c r="O145" i="6"/>
  <c r="K145" i="6"/>
  <c r="S145" i="6"/>
  <c r="Q145" i="6"/>
  <c r="I106" i="22" l="1"/>
  <c r="I102" i="22"/>
  <c r="I98" i="22"/>
  <c r="I94" i="22"/>
  <c r="I109" i="22"/>
  <c r="I105" i="22"/>
  <c r="I101" i="22"/>
  <c r="I97" i="22"/>
  <c r="I93" i="22"/>
  <c r="I108" i="22"/>
  <c r="I104" i="22"/>
  <c r="I100" i="22"/>
  <c r="I96" i="22"/>
  <c r="I92" i="22"/>
  <c r="I107" i="22"/>
  <c r="I103" i="22"/>
  <c r="I99" i="22"/>
  <c r="I95" i="22"/>
  <c r="I91" i="22"/>
  <c r="I86" i="22"/>
  <c r="I82" i="22"/>
  <c r="I78" i="22"/>
  <c r="I74" i="22"/>
  <c r="I70" i="22"/>
  <c r="I85" i="22"/>
  <c r="I81" i="22"/>
  <c r="I77" i="22"/>
  <c r="I73" i="22"/>
  <c r="I69" i="22"/>
  <c r="I84" i="22"/>
  <c r="I80" i="22"/>
  <c r="I76" i="22"/>
  <c r="I72" i="22"/>
  <c r="I87" i="22"/>
  <c r="I83" i="22"/>
  <c r="I79" i="22"/>
  <c r="I75" i="22"/>
  <c r="I71" i="22"/>
  <c r="G68" i="22"/>
  <c r="G90" i="22"/>
  <c r="E84" i="22"/>
  <c r="E87" i="22"/>
  <c r="E83" i="22"/>
  <c r="E86" i="22"/>
  <c r="E82" i="22"/>
  <c r="E85" i="22"/>
  <c r="E69" i="22"/>
  <c r="E71" i="22"/>
  <c r="E70" i="22"/>
  <c r="E72" i="22"/>
  <c r="E73" i="22"/>
  <c r="E74" i="22"/>
  <c r="E75" i="22"/>
  <c r="E76" i="22"/>
  <c r="E77" i="22"/>
  <c r="E78" i="22"/>
  <c r="E79" i="22"/>
  <c r="E80" i="22"/>
  <c r="E81" i="22"/>
  <c r="E108" i="22"/>
  <c r="E104" i="22"/>
  <c r="E100" i="22"/>
  <c r="E96" i="22"/>
  <c r="E92" i="22"/>
  <c r="E107" i="22"/>
  <c r="E103" i="22"/>
  <c r="E99" i="22"/>
  <c r="E95" i="22"/>
  <c r="E91" i="22"/>
  <c r="E106" i="22"/>
  <c r="E102" i="22"/>
  <c r="E98" i="22"/>
  <c r="E94" i="22"/>
  <c r="E109" i="22"/>
  <c r="E105" i="22"/>
  <c r="E101" i="22"/>
  <c r="E97" i="22"/>
  <c r="E93" i="22"/>
  <c r="G26" i="22"/>
  <c r="G21" i="22"/>
  <c r="G25" i="22"/>
  <c r="G28" i="22"/>
  <c r="G24" i="22"/>
  <c r="G31" i="22"/>
  <c r="G23" i="22"/>
  <c r="G14" i="22"/>
  <c r="G13" i="22"/>
  <c r="E144" i="6"/>
  <c r="E166" i="6"/>
  <c r="G167" i="6"/>
  <c r="K158" i="6"/>
  <c r="M158" i="6"/>
  <c r="Q158" i="6"/>
  <c r="S158" i="6"/>
  <c r="K167" i="6"/>
  <c r="Q167" i="6"/>
  <c r="G158" i="6"/>
  <c r="O159" i="6"/>
  <c r="G159" i="6"/>
  <c r="S167" i="6"/>
  <c r="O167" i="6"/>
  <c r="K159" i="6"/>
  <c r="M159" i="6"/>
  <c r="O158" i="6"/>
  <c r="Q159" i="6"/>
  <c r="S159" i="6"/>
  <c r="E158" i="6"/>
  <c r="E153" i="6"/>
  <c r="E137" i="6"/>
  <c r="E136" i="6"/>
  <c r="G146" i="6"/>
  <c r="O146" i="6"/>
  <c r="M146" i="6"/>
  <c r="I146" i="6"/>
  <c r="S146" i="6"/>
  <c r="K146" i="6"/>
  <c r="Q146" i="6"/>
  <c r="G109" i="22" l="1"/>
  <c r="G105" i="22"/>
  <c r="G101" i="22"/>
  <c r="G97" i="22"/>
  <c r="G93" i="22"/>
  <c r="G108" i="22"/>
  <c r="G104" i="22"/>
  <c r="G100" i="22"/>
  <c r="G96" i="22"/>
  <c r="G92" i="22"/>
  <c r="G107" i="22"/>
  <c r="G103" i="22"/>
  <c r="G99" i="22"/>
  <c r="G95" i="22"/>
  <c r="G91" i="22"/>
  <c r="G106" i="22"/>
  <c r="G102" i="22"/>
  <c r="G98" i="22"/>
  <c r="G94" i="22"/>
  <c r="G85" i="22"/>
  <c r="G81" i="22"/>
  <c r="G77" i="22"/>
  <c r="G73" i="22"/>
  <c r="G69" i="22"/>
  <c r="G84" i="22"/>
  <c r="G80" i="22"/>
  <c r="G76" i="22"/>
  <c r="G72" i="22"/>
  <c r="G87" i="22"/>
  <c r="G83" i="22"/>
  <c r="G79" i="22"/>
  <c r="G75" i="22"/>
  <c r="G71" i="22"/>
  <c r="G86" i="22"/>
  <c r="G82" i="22"/>
  <c r="G78" i="22"/>
  <c r="G74" i="22"/>
  <c r="G70" i="22"/>
  <c r="E167" i="6"/>
  <c r="E145" i="6"/>
  <c r="M168" i="6"/>
  <c r="G168" i="6"/>
  <c r="Q168" i="6"/>
  <c r="S168" i="6"/>
  <c r="K168" i="6"/>
  <c r="I168" i="6"/>
  <c r="O168" i="6"/>
  <c r="E159" i="6"/>
  <c r="S147" i="6"/>
  <c r="I147" i="6"/>
  <c r="K147" i="6"/>
  <c r="M147" i="6"/>
  <c r="O147" i="6"/>
  <c r="G147" i="6"/>
  <c r="Q147" i="6"/>
  <c r="E146" i="6" l="1"/>
  <c r="E168" i="6"/>
  <c r="S169" i="6"/>
  <c r="Q169" i="6"/>
  <c r="I169" i="6"/>
  <c r="K169" i="6"/>
  <c r="O169" i="6"/>
  <c r="G169" i="6"/>
  <c r="M169" i="6"/>
  <c r="O148" i="6"/>
  <c r="I148" i="6"/>
  <c r="K148" i="6"/>
  <c r="G148" i="6"/>
  <c r="S148" i="6"/>
  <c r="M148" i="6"/>
  <c r="Q148" i="6"/>
  <c r="E147" i="6" l="1"/>
  <c r="E169" i="6"/>
  <c r="S170" i="6"/>
  <c r="I170" i="6"/>
  <c r="G170" i="6"/>
  <c r="K170" i="6"/>
  <c r="Q170" i="6"/>
  <c r="O170" i="6"/>
  <c r="M170" i="6"/>
  <c r="K149" i="6"/>
  <c r="Q149" i="6"/>
  <c r="M149" i="6"/>
  <c r="S149" i="6"/>
  <c r="O149" i="6"/>
  <c r="G149" i="6"/>
  <c r="I149" i="6"/>
  <c r="E170" i="6" l="1"/>
  <c r="E148" i="6"/>
  <c r="I171" i="6"/>
  <c r="O171" i="6"/>
  <c r="M171" i="6"/>
  <c r="K171" i="6"/>
  <c r="G171" i="6"/>
  <c r="S171" i="6"/>
  <c r="Q171" i="6"/>
  <c r="E171" i="6" l="1"/>
  <c r="E149" i="6"/>
</calcChain>
</file>

<file path=xl/sharedStrings.xml><?xml version="1.0" encoding="utf-8"?>
<sst xmlns="http://schemas.openxmlformats.org/spreadsheetml/2006/main" count="579" uniqueCount="240">
  <si>
    <t>år</t>
  </si>
  <si>
    <t>TCO-værktøj til tilbudsevaluering</t>
  </si>
  <si>
    <r>
      <rPr>
        <b/>
        <sz val="18"/>
        <color theme="1"/>
        <rFont val="Arial"/>
        <family val="2"/>
      </rPr>
      <t xml:space="preserve">          </t>
    </r>
  </si>
  <si>
    <t xml:space="preserve">          </t>
  </si>
  <si>
    <t>Diskonteringsrente</t>
  </si>
  <si>
    <t>Produktets navn</t>
  </si>
  <si>
    <t>PRODUKT 1</t>
  </si>
  <si>
    <t>PRODUKT 2</t>
  </si>
  <si>
    <t>PRODUKT 3</t>
  </si>
  <si>
    <t>PRODUKT 7</t>
  </si>
  <si>
    <t>PRODUKT 8</t>
  </si>
  <si>
    <t>PRODUKT 6</t>
  </si>
  <si>
    <t>PRODUKT 5</t>
  </si>
  <si>
    <t>PRODUKT 4</t>
  </si>
  <si>
    <t>kr.</t>
  </si>
  <si>
    <t>stk.</t>
  </si>
  <si>
    <t>kr./kWh</t>
  </si>
  <si>
    <t>Driftsomkostning i alt</t>
  </si>
  <si>
    <t xml:space="preserve">Investeringsomkostninger </t>
  </si>
  <si>
    <t xml:space="preserve">Driftsomkostninger </t>
  </si>
  <si>
    <t>År indeks</t>
  </si>
  <si>
    <t>TCO-evalueringsperiode</t>
  </si>
  <si>
    <t>Pris på serviceaftale jf. kravspecifikation</t>
  </si>
  <si>
    <t>2   Ordregiver: Oplysninger om brugen</t>
  </si>
  <si>
    <t>1   Ordregiver: Baggrundsdata</t>
  </si>
  <si>
    <t>Service, vedligehold og løbende omkostninger</t>
  </si>
  <si>
    <t>Efterbrug</t>
  </si>
  <si>
    <t>Service, vedligehold og løbende omkostninger i alt</t>
  </si>
  <si>
    <t>Driftsomkostninger</t>
  </si>
  <si>
    <t>Pris på serviceaftale jf. kravspecifikation og Intern serviceomkostning - service &amp; support</t>
  </si>
  <si>
    <t>Årlige gennemsnitlige omkostninger</t>
  </si>
  <si>
    <t>kr./år</t>
  </si>
  <si>
    <t>Samlede akkumulerede omkostninger</t>
  </si>
  <si>
    <t>Efterbrugsindtægter/omkostninger i det enkelte år.</t>
  </si>
  <si>
    <t>Gennemsnitlige årlige omkostninger</t>
  </si>
  <si>
    <t>Produktbeskrivelse</t>
  </si>
  <si>
    <t xml:space="preserve">Varenr. </t>
  </si>
  <si>
    <t>Egen reference</t>
  </si>
  <si>
    <t>Skal de eksterne virkninger på miljøet inkluderes i denne TCO-beregning?</t>
  </si>
  <si>
    <t>Ja</t>
  </si>
  <si>
    <t>Ja/nej</t>
  </si>
  <si>
    <t>kg CO2e/kWh</t>
  </si>
  <si>
    <t>kr./tons CO2e</t>
  </si>
  <si>
    <t>Nej</t>
  </si>
  <si>
    <t>1. år for brugsperiode</t>
  </si>
  <si>
    <t>årstal</t>
  </si>
  <si>
    <t>Anvendelse af standardelpriser med gennemsnitlig fremskrivning?</t>
  </si>
  <si>
    <t>Standard elpris</t>
  </si>
  <si>
    <t>Standard elprisstigning (årligt, ud over inflation)</t>
  </si>
  <si>
    <t>Egen elpris</t>
  </si>
  <si>
    <t>Egen elprisstigning (årligt, ud over inflation)</t>
  </si>
  <si>
    <t>Samlet TCO</t>
  </si>
  <si>
    <t>Årstal</t>
  </si>
  <si>
    <t>Klik for at vælge</t>
  </si>
  <si>
    <t>X-akse til akkummulerede omkostninger</t>
  </si>
  <si>
    <t>Max Procentuel (%)</t>
  </si>
  <si>
    <t>https://ens.dk/sites/ens.dk/files/Analyser/samfundsoekonomiske_beregningsforudsaetninger_for_energipriser_og_emissioner_2019.pdf</t>
  </si>
  <si>
    <t>Fremskrivninger</t>
  </si>
  <si>
    <t>Elpriser</t>
  </si>
  <si>
    <t>Emissionsfaktor</t>
  </si>
  <si>
    <t>Samfundsøkonomisk faktor (Default værdi fastsat til 5000 DKK/tons)</t>
  </si>
  <si>
    <t>År</t>
  </si>
  <si>
    <t>kr/ kWh (HVIS selvindtastet)</t>
  </si>
  <si>
    <t>Samlede afgifter (kr./kWh)</t>
  </si>
  <si>
    <t>Elafgift (kr/kWh)</t>
  </si>
  <si>
    <t>PSO-afgift (kr./kWh)</t>
  </si>
  <si>
    <t>Nettarif C time (kr./kWh)</t>
  </si>
  <si>
    <t>Transmissions nettarif (kr./kWh)</t>
  </si>
  <si>
    <t>Systemtarif (kr./kWh)</t>
  </si>
  <si>
    <t>kg CO2e/kWh (predefineret</t>
  </si>
  <si>
    <t>Samlet procentuel udvikling</t>
  </si>
  <si>
    <t>Gennemsnitligt fald</t>
  </si>
  <si>
    <t>kg CO2e/kWh (Gennemsnit)</t>
  </si>
  <si>
    <t>kr./Tons Co2 udregnet pr. 2020-kurs Euro</t>
  </si>
  <si>
    <t>-</t>
  </si>
  <si>
    <t>%/år</t>
  </si>
  <si>
    <t>Anvendelse af standard-værdisætning af samfundsøkonomiske omkostninger?</t>
  </si>
  <si>
    <t>Antal produkter</t>
  </si>
  <si>
    <t>kr/ kWh (standardværdi)</t>
  </si>
  <si>
    <t>Elpris (kr/kWh)</t>
  </si>
  <si>
    <t xml:space="preserve">Energistyrelsens basisfremskrivning, 2020, er kilden til emissionsfaktoren for el. </t>
  </si>
  <si>
    <t>https://ens.dk/service/fremskrivninger-analyser-modeller/basisfremskrivninger</t>
  </si>
  <si>
    <t>Eksternalitetsmodul - Samfundsøkonomiske omkostninger (kr.)</t>
  </si>
  <si>
    <t>PD1 - Årligt strømforbrug (kWh/år/produkt)</t>
  </si>
  <si>
    <t>PD2 - Årligt strømforbrug (kWh/år/produkt)</t>
  </si>
  <si>
    <t>PD3 - Årligt strømforbrug (kWh/år/produkt)</t>
  </si>
  <si>
    <t>PD4 - Årligt strømforbrug (kWh/år/produkt)</t>
  </si>
  <si>
    <t>PD5 - Årligt strømforbrug (kWh/år/produkt)</t>
  </si>
  <si>
    <t>PD6 - Årligt strømforbrug (kWh/år/produkt)</t>
  </si>
  <si>
    <t>PD7 - Årligt strømforbrug (kWh/år/produkt)</t>
  </si>
  <si>
    <t>PD8 - Årligt strømforbrug (kWh/år/produkt)</t>
  </si>
  <si>
    <t>Eksternalitetsmodul - Udledning forbundet med elforbrug I brugsfasen (tons Co2e) -  Udledningerne er multipleret med antallet af produkter I det givne tilbud</t>
  </si>
  <si>
    <t>Energistyrelsens 'Samfundsøkonomiske beregningsforudsætninger 2019 af oktober 2019'</t>
  </si>
  <si>
    <t>Tabel 7: Samfundsøkonomiske priser på el</t>
  </si>
  <si>
    <t>2019-priser kr./MWh</t>
  </si>
  <si>
    <t>Rå samfundsøkonomisk pris på el</t>
  </si>
  <si>
    <t>An
virksomhed*
(&gt; 15 MWh)</t>
  </si>
  <si>
    <t>An
husholdning*
(&lt; 15 MWh)</t>
  </si>
  <si>
    <t>*Inkl. nettab på 6 pct. For fleksible enheder som varmepumper, elpatroner og kraftvarmeanlæg, der driftes efter elprisen, bør der korrigeres for årsvariationerne i elprisen, som beskrevet nedenfor.</t>
  </si>
  <si>
    <t>Note 1: Ved ”virksomhed” forstås alle typer kunder med et årligt elforbrug på mere end 15 MWh.</t>
  </si>
  <si>
    <r>
      <t>Note 2:</t>
    </r>
    <r>
      <rPr>
        <sz val="9"/>
        <color theme="1"/>
        <rFont val="Arial"/>
        <family val="2"/>
      </rPr>
      <t xml:space="preserve"> </t>
    </r>
    <r>
      <rPr>
        <sz val="9"/>
        <color rgb="FF000000"/>
        <rFont val="Arial"/>
        <family val="2"/>
      </rPr>
      <t>Elpriserne er afrundet til hele ører pr. kWh, svarende til hele tiere pr. MWh</t>
    </r>
  </si>
  <si>
    <t>Energistyrelsens 'Fremskrivning af brændselspriser og CO2-kvotepris' af 28. august 2019</t>
  </si>
  <si>
    <t>Tabel 3: Priser på fossile brændsler anvendt i fremskrivningerne</t>
  </si>
  <si>
    <t>2019-priser</t>
  </si>
  <si>
    <t>Rå samfundsøkonomisk importpris på råolie
(kr./GJ)</t>
  </si>
  <si>
    <t>An
forbruger
(benzin)
(kr./GJ)</t>
  </si>
  <si>
    <t>An
forbruger
(diesel)
(kr./GJ)</t>
  </si>
  <si>
    <t>Beregnet pris/liter benzin
(kr./liter benzin)</t>
  </si>
  <si>
    <t>Beregnet pris/liter diesel
(kr./liter diesel)</t>
  </si>
  <si>
    <t>Benzin</t>
  </si>
  <si>
    <t>Diesel</t>
  </si>
  <si>
    <t>Energiindhold i motorbrændstof er fastsat efter tabel 1 i Bekendtgørelse nr. 1394 af 14. december 2010</t>
  </si>
  <si>
    <t>"Bekendtgørelse om miljøbevidste indkøb af køretøjer til vejtransport"</t>
  </si>
  <si>
    <t>Energiindhold ifølge BEK nr. 1394, 2010</t>
  </si>
  <si>
    <t>MJ/liter</t>
  </si>
  <si>
    <t>GJ/liter</t>
  </si>
  <si>
    <t xml:space="preserve">TCO-værktøj </t>
  </si>
  <si>
    <t>Må ikke anvendes i udbudssituationen - men kan bruges internt til sammenligning af f.eks. benzin med el</t>
  </si>
  <si>
    <t>Valg af produkter til sammenligning</t>
  </si>
  <si>
    <t>"Benzin-diesel-hybrid"</t>
  </si>
  <si>
    <t>PRODUKT 1 EL</t>
  </si>
  <si>
    <t>Resultat</t>
  </si>
  <si>
    <t>DENNE TEKST SKAL SKRIVES MED HVID TEKST OG SKJULES TIL SIDST!</t>
  </si>
  <si>
    <t>Akkumulerede samlede udgifter (nutidsværdi)</t>
  </si>
  <si>
    <t>Gennemsnitlige årlige omkostninger (relation til levetid)</t>
  </si>
  <si>
    <t>Klik for valg</t>
  </si>
  <si>
    <t>PRODUKT 10</t>
  </si>
  <si>
    <t>PRODUKT 9</t>
  </si>
  <si>
    <t>Tilbagetagningspris</t>
  </si>
  <si>
    <t>Indkøbspris (inkl. evt. levering, garanti m.m. jf. kravsspecifikation)</t>
  </si>
  <si>
    <t>Evt. tilkøb af udvidet garantiperiode</t>
  </si>
  <si>
    <t>kr. / køretøj</t>
  </si>
  <si>
    <t xml:space="preserve">kr./år per køretøj </t>
  </si>
  <si>
    <t>Grøn ejerafgift</t>
  </si>
  <si>
    <t>Brændstofforbrug (jf. WLTP eller VECTO)</t>
  </si>
  <si>
    <t>km/liter</t>
  </si>
  <si>
    <t>Årligt kørselsforbrug pr. motorkøretøj</t>
  </si>
  <si>
    <t>km/år pr. køretøj</t>
  </si>
  <si>
    <t>Standard benzinpris</t>
  </si>
  <si>
    <t>kr./liter</t>
  </si>
  <si>
    <t>Standard dieselpris</t>
  </si>
  <si>
    <t>Standard prisstigning på benzin (årligt, ud over inflation)</t>
  </si>
  <si>
    <t>Standard prisstigning på diesel (årligt, ud over inflation)</t>
  </si>
  <si>
    <t>Egen benzinpris</t>
  </si>
  <si>
    <t>Egen prisstigning på benzin (årligt, ud over inflation)</t>
  </si>
  <si>
    <t>Egen prisstigning på diesel (årligt, ud over inflation)</t>
  </si>
  <si>
    <t>Egen CO2-emissionsfaktor for diesel</t>
  </si>
  <si>
    <t>Egen CO2-emissionsfaktor for benzil</t>
  </si>
  <si>
    <t>Anvendelse af standard-CO2-emissionsfaktor for brændstofforbrug?</t>
  </si>
  <si>
    <t>Standard-CO2-emissionsfaktor for benzin</t>
  </si>
  <si>
    <t>Standard-CO2-emissionsfaktor for diesel</t>
  </si>
  <si>
    <t>kg CO2e/liter</t>
  </si>
  <si>
    <t>Forsikring</t>
  </si>
  <si>
    <t>Andre løbende omkostninger</t>
  </si>
  <si>
    <t xml:space="preserve">kr./ år / køretøj </t>
  </si>
  <si>
    <t>Anvendelse af standardbenzinpriser med gennemsnitlig fremskrivning?</t>
  </si>
  <si>
    <t>Anvendelse af standarddieselpriser med gennemsnitlig fremskrivning?</t>
  </si>
  <si>
    <t>Plugin hybrid benzin</t>
  </si>
  <si>
    <t>El og benzin</t>
  </si>
  <si>
    <t>Plugin hybrid diesel</t>
  </si>
  <si>
    <t>El og diesel</t>
  </si>
  <si>
    <t>El</t>
  </si>
  <si>
    <t>Kilder</t>
  </si>
  <si>
    <t>https://www.drivkraftdanmark.dk/priser/benzin-95-oktan/</t>
  </si>
  <si>
    <t>Benzinpriser</t>
  </si>
  <si>
    <t>Dieselpriser</t>
  </si>
  <si>
    <t>https://www.drivkraftdanmark.dk/priser/diesel/</t>
  </si>
  <si>
    <t xml:space="preserve">Dieselpriser - baseret på data fra drivkraftdanmark.dk og fremskrevet på baggrund af Energistyrelsens 'Fremskrivning af brændselspriser og CO2-kvotepris' af 28. august 2019 </t>
  </si>
  <si>
    <t>Kilde</t>
  </si>
  <si>
    <t>Samlede afgifter (kr./liter)</t>
  </si>
  <si>
    <t>kr/ liter(HVIS selvindtastet)</t>
  </si>
  <si>
    <t>kr/liter (standardværdi)</t>
  </si>
  <si>
    <t>CO2-afgift (kr./liter)</t>
  </si>
  <si>
    <t>Energiafgift (kr./liter)</t>
  </si>
  <si>
    <t>Benzin - Diesel - Hybrid</t>
  </si>
  <si>
    <t>Plugin hybrid</t>
  </si>
  <si>
    <t>CO2e udledninger</t>
  </si>
  <si>
    <t>Hvilken type brændstof anvender køretøjet?</t>
  </si>
  <si>
    <t>Eksternalitetsmodul - Udledninger forbundet med dieselforbruget i brugsfasen (tons Co2e) - Udledningerne er multipleret med antallet af produkter I det givne tilbud</t>
  </si>
  <si>
    <t>CO2e udledninger (kg CO2/liter)</t>
  </si>
  <si>
    <t>Benzinpriser (E10) - Benzin Diesel hybrid</t>
  </si>
  <si>
    <t>Billigste</t>
  </si>
  <si>
    <t>2. billigste</t>
  </si>
  <si>
    <t>3. billigste</t>
  </si>
  <si>
    <t>Automatisk indsat</t>
  </si>
  <si>
    <t>Efterbrug - omkostninger og indtægter i alt</t>
  </si>
  <si>
    <t>Samfundsøkonomiske omkostninger af eksterne virkninger på miljøet</t>
  </si>
  <si>
    <t>tons CO2e</t>
  </si>
  <si>
    <t>Investeringsomkostning (uden ladestandere/ladebokse)</t>
  </si>
  <si>
    <t>Investeringsomkostning (kun ladestandere/ladebokse)</t>
  </si>
  <si>
    <t>Benzinpris (kr./)</t>
  </si>
  <si>
    <t>Dieselpris (kr./m3)</t>
  </si>
  <si>
    <t>Eksternalitetsmodul - Udledninger forbundet med benzinforbrug i brugsfasen (tons Co2e) - Udledningerne er multipleret med antallet af produkter I det givne tilbud</t>
  </si>
  <si>
    <t>Brændstofforbrug (jf. WLTP)</t>
  </si>
  <si>
    <t>Wh/km</t>
  </si>
  <si>
    <t>PRODUKT 2 EL</t>
  </si>
  <si>
    <t>PRODUKT 3 EL</t>
  </si>
  <si>
    <t>PRODUKT 4 EL</t>
  </si>
  <si>
    <t>PRODUKT 5 EL</t>
  </si>
  <si>
    <t>PRODUKT 6 EL</t>
  </si>
  <si>
    <t>PRODUKT 7 EL</t>
  </si>
  <si>
    <t>PRODUKT 8 EL</t>
  </si>
  <si>
    <t>PRODUKT 9 EL</t>
  </si>
  <si>
    <t>PRODUKT 10 EL</t>
  </si>
  <si>
    <t>Hvilken type køretøj er der tale om?</t>
  </si>
  <si>
    <t>Investeringsomkostninger</t>
  </si>
  <si>
    <t>Indkøbspris for ladestandere (evt. ladebokse)</t>
  </si>
  <si>
    <t xml:space="preserve">Opladningsabonnement </t>
  </si>
  <si>
    <t>Forventet levetid</t>
  </si>
  <si>
    <t>Antal år</t>
  </si>
  <si>
    <t>kr./år/enhed</t>
  </si>
  <si>
    <t>kr./år/køretøj</t>
  </si>
  <si>
    <t>km/år/køretøj</t>
  </si>
  <si>
    <t>Benzin - diesel - hybrid (uden opladning) - Køb og finansiel leasing</t>
  </si>
  <si>
    <t>Tilpas den rå elpris til her</t>
  </si>
  <si>
    <t>Tilpas den rå produktpris for benzin (standardværdi)</t>
  </si>
  <si>
    <t>Tilpas den rå produktpris for diesel (standardværdi)</t>
  </si>
  <si>
    <r>
      <t xml:space="preserve">5 </t>
    </r>
    <r>
      <rPr>
        <b/>
        <sz val="14"/>
        <color theme="1"/>
        <rFont val="Arial"/>
        <family val="2"/>
      </rPr>
      <t xml:space="preserve">  Resultat</t>
    </r>
  </si>
  <si>
    <t>4A  Kun for plugin hybridkøretøjer</t>
  </si>
  <si>
    <t>4    Tilbudsgiver: Oplysninger om produktet</t>
  </si>
  <si>
    <t>Samlede eksterne virkninger på miljøet fra brugsfasen</t>
  </si>
  <si>
    <r>
      <rPr>
        <b/>
        <sz val="14"/>
        <color theme="1"/>
        <rFont val="Arial"/>
        <family val="2"/>
      </rPr>
      <t>5</t>
    </r>
    <r>
      <rPr>
        <b/>
        <sz val="14"/>
        <color theme="3"/>
        <rFont val="Arial"/>
        <family val="2"/>
      </rPr>
      <t xml:space="preserve"> </t>
    </r>
    <r>
      <rPr>
        <b/>
        <sz val="14"/>
        <color theme="1"/>
        <rFont val="Arial"/>
        <family val="2"/>
      </rPr>
      <t xml:space="preserve">  Resultat</t>
    </r>
  </si>
  <si>
    <t>3   Ordregiver: Værdisætning af samfundsøkonomiske omkostninger ved eksterne virkninger på miljøet</t>
  </si>
  <si>
    <t>Standard-værdisætning</t>
  </si>
  <si>
    <t>Egen værdisætning</t>
  </si>
  <si>
    <t>Anvendelse af standard-CO2-emissionsfaktor for elforbrug?</t>
  </si>
  <si>
    <t>Standard-CO2-emissionsfaktor for elforbrug</t>
  </si>
  <si>
    <t>Egen CO2-emissionsfaktor for elforbrug</t>
  </si>
  <si>
    <t>Indkøbspris (inkl. evt. levering, garanti m.m. jf. kravspecifikation)</t>
  </si>
  <si>
    <t>Evt. finansieret via finansiel leasing jf. kravspecifikation</t>
  </si>
  <si>
    <t>kr./køretøj</t>
  </si>
  <si>
    <t>Benzin/diesel</t>
  </si>
  <si>
    <t>Egen dieselpris</t>
  </si>
  <si>
    <t>El og plugin-hybrid                                       Køb og finansiel leasing</t>
  </si>
  <si>
    <t>Egen CO2-emissionsfaktor for benzin</t>
  </si>
  <si>
    <t>El / plugin hybrid benzin / plugin hybrid diesel</t>
  </si>
  <si>
    <t>Motorkøretøjer - sammenligning af de tre billigste TCOer fra hhv. benzin - diesel - hybrid og el og plugin-hybrid</t>
  </si>
  <si>
    <t>"El og plugin-hybrid"</t>
  </si>
  <si>
    <t>Elpris - An virksomhed (kr./kWh) (u. afgifter og moms) (2021 fremskrivning af Energistyrelsen)</t>
  </si>
  <si>
    <t>Elforbrug (jf. WLTP eller VECTO)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</si>
</sst>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0.00\ &quot;kr.&quot;;[Red]\-#,##0.00\ &quot;kr.&quot;"/>
    <numFmt numFmtId="42" formatCode="_-* #,##0\ &quot;kr.&quot;_-;\-* #,##0\ &quot;kr.&quot;_-;_-* &quot;-&quot;\ &quot;kr.&quot;_-;_-@_-"/>
    <numFmt numFmtId="44" formatCode="_-* #,##0.00\ &quot;kr.&quot;_-;\-* #,##0.00\ &quot;kr.&quot;_-;_-* &quot;-&quot;??\ &quot;kr.&quot;_-;_-@_-"/>
    <numFmt numFmtId="43" formatCode="_-* #,##0.00_-;\-* #,##0.00_-;_-* &quot;-&quot;??_-;_-@_-"/>
    <numFmt numFmtId="164" formatCode="&quot;kr.&quot;\ #,##0.00;[Red]&quot;kr.&quot;\ \-#,##0.00"/>
    <numFmt numFmtId="165" formatCode="_ * #,##0.00_ ;_ * \-#,##0.00_ ;_ * &quot;-&quot;??_ ;_ @_ "/>
    <numFmt numFmtId="166" formatCode="_(* #,##0.00_);_(* \(#,##0.00\);_(* &quot;-&quot;??_);_(@_)"/>
    <numFmt numFmtId="167" formatCode="&quot;kr&quot;\ #,##0_);\(&quot;kr&quot;\ #,##0\)"/>
    <numFmt numFmtId="168" formatCode="#,##0\ &quot;DKK&quot;"/>
    <numFmt numFmtId="169" formatCode="#,##0.00\ &quot;DKK&quot;"/>
    <numFmt numFmtId="170" formatCode="#,##0.00\ &quot;øre&quot;"/>
    <numFmt numFmtId="171" formatCode="#,##0.00\ &quot;EUR&quot;"/>
    <numFmt numFmtId="172" formatCode="0.0000\ &quot;EUR&quot;"/>
    <numFmt numFmtId="173" formatCode="#,##0_ ;\-#,##0\ "/>
    <numFmt numFmtId="174" formatCode="0.000000"/>
    <numFmt numFmtId="175" formatCode="0.000"/>
    <numFmt numFmtId="176" formatCode="#,##0.0000"/>
    <numFmt numFmtId="177" formatCode="#,##0.00\ &quot;kr.&quot;"/>
    <numFmt numFmtId="178" formatCode="0.0%"/>
    <numFmt numFmtId="179" formatCode="0.00000"/>
    <numFmt numFmtId="180" formatCode="0.0"/>
    <numFmt numFmtId="181" formatCode="#,##0.00_ ;\-#,##0.00\ "/>
  </numFmts>
  <fonts count="84">
    <font>
      <sz val="11"/>
      <color theme="1"/>
      <name val="Calibri"/>
      <family val="2"/>
      <scheme val="minor"/>
    </font>
    <font>
      <sz val="11"/>
      <color theme="1"/>
      <name val="Calibri"/>
      <family val="2"/>
      <scheme val="minor"/>
    </font>
    <font>
      <sz val="10"/>
      <name val="Arial"/>
      <family val="2"/>
    </font>
    <font>
      <b/>
      <sz val="18"/>
      <color theme="3"/>
      <name val="Cambria"/>
      <family val="2"/>
      <scheme val="major"/>
    </font>
    <font>
      <b/>
      <sz val="10"/>
      <name val="Arial"/>
      <family val="2"/>
    </font>
    <font>
      <sz val="11"/>
      <color indexed="8"/>
      <name val="Calibri"/>
      <family val="2"/>
    </font>
    <font>
      <sz val="10"/>
      <color indexed="12"/>
      <name val="Arial"/>
      <family val="2"/>
    </font>
    <font>
      <sz val="12"/>
      <color indexed="12"/>
      <name val="Arial"/>
      <family val="2"/>
    </font>
    <font>
      <sz val="10"/>
      <name val="Helvetica KM"/>
    </font>
    <font>
      <b/>
      <sz val="12"/>
      <name val="Arial"/>
      <family val="2"/>
    </font>
    <font>
      <sz val="12"/>
      <name val="Arial"/>
      <family val="2"/>
    </font>
    <font>
      <sz val="11"/>
      <color theme="1"/>
      <name val="Arial"/>
      <family val="2"/>
    </font>
    <font>
      <b/>
      <sz val="18"/>
      <color theme="3"/>
      <name val="Arial"/>
      <family val="2"/>
    </font>
    <font>
      <sz val="16"/>
      <color theme="3"/>
      <name val="Arial"/>
      <family val="2"/>
    </font>
    <font>
      <b/>
      <sz val="16"/>
      <color theme="3"/>
      <name val="Arial"/>
      <family val="2"/>
    </font>
    <font>
      <sz val="18"/>
      <color theme="3"/>
      <name val="Arial"/>
      <family val="2"/>
    </font>
    <font>
      <b/>
      <sz val="11"/>
      <color theme="1"/>
      <name val="Arial"/>
      <family val="2"/>
    </font>
    <font>
      <i/>
      <sz val="14"/>
      <color theme="1"/>
      <name val="Arial"/>
      <family val="2"/>
    </font>
    <font>
      <i/>
      <sz val="8"/>
      <color theme="1"/>
      <name val="Arial"/>
      <family val="2"/>
    </font>
    <font>
      <sz val="10"/>
      <color theme="1"/>
      <name val="Arial"/>
      <family val="2"/>
    </font>
    <font>
      <i/>
      <sz val="11"/>
      <color theme="1"/>
      <name val="Arial"/>
      <family val="2"/>
    </font>
    <font>
      <b/>
      <sz val="16"/>
      <color theme="4" tint="-0.499984740745262"/>
      <name val="Arial"/>
      <family val="2"/>
    </font>
    <font>
      <sz val="16"/>
      <color theme="4" tint="-0.499984740745262"/>
      <name val="Arial"/>
      <family val="2"/>
    </font>
    <font>
      <sz val="12"/>
      <color theme="1"/>
      <name val="Arial"/>
      <family val="2"/>
    </font>
    <font>
      <b/>
      <sz val="14"/>
      <color theme="1"/>
      <name val="Arial"/>
      <family val="2"/>
    </font>
    <font>
      <sz val="14"/>
      <color theme="1"/>
      <name val="Arial"/>
      <family val="2"/>
    </font>
    <font>
      <b/>
      <sz val="18"/>
      <color theme="1"/>
      <name val="Arial"/>
      <family val="2"/>
    </font>
    <font>
      <b/>
      <sz val="22"/>
      <color theme="1"/>
      <name val="Arial"/>
      <family val="2"/>
    </font>
    <font>
      <u/>
      <sz val="11"/>
      <color theme="10"/>
      <name val="Calibri"/>
      <family val="2"/>
      <scheme val="minor"/>
    </font>
    <font>
      <u/>
      <sz val="11"/>
      <color theme="11"/>
      <name val="Calibri"/>
      <family val="2"/>
      <scheme val="minor"/>
    </font>
    <font>
      <sz val="11"/>
      <color rgb="FFFF0000"/>
      <name val="Arial"/>
      <family val="2"/>
    </font>
    <font>
      <i/>
      <sz val="8"/>
      <color rgb="FFFF0000"/>
      <name val="Arial"/>
      <family val="2"/>
    </font>
    <font>
      <sz val="11"/>
      <color theme="0" tint="-0.499984740745262"/>
      <name val="Arial"/>
      <family val="2"/>
    </font>
    <font>
      <i/>
      <sz val="8"/>
      <color theme="0" tint="-0.499984740745262"/>
      <name val="Arial"/>
      <family val="2"/>
    </font>
    <font>
      <sz val="8"/>
      <color theme="0" tint="-0.499984740745262"/>
      <name val="Arial"/>
      <family val="2"/>
    </font>
    <font>
      <sz val="10"/>
      <color theme="0" tint="-0.499984740745262"/>
      <name val="Calibri"/>
      <family val="2"/>
      <scheme val="minor"/>
    </font>
    <font>
      <sz val="10"/>
      <name val="Calibri"/>
      <family val="2"/>
      <scheme val="minor"/>
    </font>
    <font>
      <b/>
      <sz val="10"/>
      <name val="Calibri"/>
      <family val="2"/>
      <scheme val="minor"/>
    </font>
    <font>
      <sz val="11"/>
      <name val="Calibri"/>
      <family val="2"/>
      <scheme val="minor"/>
    </font>
    <font>
      <b/>
      <sz val="10"/>
      <color theme="1"/>
      <name val="Arial"/>
      <family val="2"/>
    </font>
    <font>
      <i/>
      <sz val="10"/>
      <color theme="1"/>
      <name val="Arial"/>
      <family val="2"/>
    </font>
    <font>
      <b/>
      <sz val="14"/>
      <color theme="3"/>
      <name val="Arial"/>
      <family val="2"/>
    </font>
    <font>
      <sz val="8"/>
      <color theme="1"/>
      <name val="Arial"/>
      <family val="2"/>
    </font>
    <font>
      <b/>
      <sz val="8"/>
      <name val="Calibri"/>
      <family val="2"/>
      <scheme val="minor"/>
    </font>
    <font>
      <b/>
      <sz val="8"/>
      <color theme="1"/>
      <name val="Calibri"/>
      <family val="2"/>
      <scheme val="minor"/>
    </font>
    <font>
      <sz val="8"/>
      <name val="Calibri"/>
      <family val="2"/>
      <scheme val="minor"/>
    </font>
    <font>
      <b/>
      <sz val="11"/>
      <name val="Calibri"/>
      <family val="2"/>
      <scheme val="minor"/>
    </font>
    <font>
      <sz val="11"/>
      <color theme="0"/>
      <name val="Arial"/>
      <family val="2"/>
    </font>
    <font>
      <sz val="10"/>
      <color theme="0"/>
      <name val="Calibri"/>
      <family val="2"/>
      <scheme val="minor"/>
    </font>
    <font>
      <sz val="8"/>
      <color theme="0"/>
      <name val="Arial"/>
      <family val="2"/>
    </font>
    <font>
      <i/>
      <sz val="8"/>
      <color theme="0"/>
      <name val="Arial"/>
      <family val="2"/>
    </font>
    <font>
      <sz val="9"/>
      <color theme="1"/>
      <name val="Calibri"/>
      <family val="2"/>
      <scheme val="minor"/>
    </font>
    <font>
      <b/>
      <sz val="11"/>
      <name val="Arial"/>
      <family val="2"/>
    </font>
    <font>
      <sz val="10"/>
      <color theme="1" tint="0.34998626667073579"/>
      <name val="Arial"/>
      <family val="2"/>
    </font>
    <font>
      <i/>
      <sz val="8"/>
      <name val="Arial"/>
      <family val="2"/>
    </font>
    <font>
      <sz val="10"/>
      <color theme="0" tint="-0.499984740745262"/>
      <name val="Arial"/>
      <family val="2"/>
    </font>
    <font>
      <sz val="16"/>
      <color theme="1"/>
      <name val="Arial"/>
      <family val="2"/>
    </font>
    <font>
      <sz val="9"/>
      <color theme="1"/>
      <name val="Arial"/>
      <family val="2"/>
    </font>
    <font>
      <b/>
      <sz val="8"/>
      <color theme="1"/>
      <name val="Arial"/>
      <family val="2"/>
    </font>
    <font>
      <u/>
      <sz val="10"/>
      <color theme="10"/>
      <name val="Arial"/>
      <family val="2"/>
    </font>
    <font>
      <sz val="10"/>
      <color theme="6"/>
      <name val="Arial"/>
      <family val="2"/>
    </font>
    <font>
      <sz val="10"/>
      <color rgb="FFFF0000"/>
      <name val="Arial"/>
      <family val="2"/>
    </font>
    <font>
      <b/>
      <sz val="10"/>
      <color theme="6"/>
      <name val="Arial"/>
      <family val="2"/>
    </font>
    <font>
      <b/>
      <sz val="11"/>
      <color theme="0"/>
      <name val="Calibri"/>
      <family val="2"/>
      <scheme val="minor"/>
    </font>
    <font>
      <b/>
      <sz val="11"/>
      <color theme="1"/>
      <name val="Calibri"/>
      <family val="2"/>
      <scheme val="minor"/>
    </font>
    <font>
      <sz val="11"/>
      <color theme="0"/>
      <name val="Calibri"/>
      <family val="2"/>
      <scheme val="minor"/>
    </font>
    <font>
      <b/>
      <sz val="15"/>
      <name val="Calibri"/>
      <family val="2"/>
      <scheme val="minor"/>
    </font>
    <font>
      <b/>
      <sz val="9"/>
      <color theme="1"/>
      <name val="Calibri"/>
      <family val="2"/>
      <scheme val="minor"/>
    </font>
    <font>
      <sz val="10"/>
      <color rgb="FF000000"/>
      <name val="Calibri"/>
      <family val="2"/>
    </font>
    <font>
      <sz val="9"/>
      <color rgb="FF000000"/>
      <name val="Arial"/>
      <family val="2"/>
    </font>
    <font>
      <b/>
      <sz val="20"/>
      <color theme="1"/>
      <name val="Arial"/>
      <family val="2"/>
    </font>
    <font>
      <b/>
      <sz val="14"/>
      <name val="Arial"/>
      <family val="2"/>
    </font>
    <font>
      <b/>
      <sz val="10"/>
      <color rgb="FF0070C0"/>
      <name val="Arial"/>
      <family val="2"/>
    </font>
    <font>
      <sz val="8"/>
      <color theme="0" tint="-0.499984740745262"/>
      <name val="Calibri"/>
      <family val="2"/>
      <scheme val="minor"/>
    </font>
    <font>
      <i/>
      <sz val="8"/>
      <color theme="0" tint="-0.499984740745262"/>
      <name val="Calibri"/>
      <family val="2"/>
      <scheme val="minor"/>
    </font>
    <font>
      <sz val="11"/>
      <color theme="0" tint="-0.499984740745262"/>
      <name val="Calibri"/>
      <family val="2"/>
      <scheme val="minor"/>
    </font>
    <font>
      <sz val="9"/>
      <color theme="0" tint="-0.499984740745262"/>
      <name val="Calibri"/>
      <family val="2"/>
      <scheme val="minor"/>
    </font>
    <font>
      <i/>
      <sz val="11"/>
      <color theme="0" tint="-0.499984740745262"/>
      <name val="Calibri"/>
      <family val="2"/>
      <scheme val="minor"/>
    </font>
    <font>
      <i/>
      <sz val="11"/>
      <color theme="0"/>
      <name val="Calibri"/>
      <family val="2"/>
      <scheme val="minor"/>
    </font>
    <font>
      <i/>
      <sz val="11"/>
      <color theme="1"/>
      <name val="Calibri"/>
      <family val="2"/>
      <scheme val="minor"/>
    </font>
    <font>
      <b/>
      <i/>
      <sz val="8"/>
      <name val="Calibri"/>
      <family val="2"/>
      <scheme val="minor"/>
    </font>
    <font>
      <sz val="18"/>
      <color theme="1"/>
      <name val="Arial"/>
      <family val="2"/>
    </font>
    <font>
      <sz val="11"/>
      <name val="Arial"/>
      <family val="2"/>
    </font>
    <font>
      <sz val="8"/>
      <name val="Arial"/>
      <family val="2"/>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indexed="42"/>
        <bgColor indexed="64"/>
      </patternFill>
    </fill>
    <fill>
      <patternFill patternType="solid">
        <fgColor indexed="22"/>
        <bgColor indexed="64"/>
      </patternFill>
    </fill>
    <fill>
      <patternFill patternType="solid">
        <fgColor indexed="10"/>
        <bgColor indexed="64"/>
      </patternFill>
    </fill>
    <fill>
      <patternFill patternType="solid">
        <fgColor indexed="47"/>
        <bgColor indexed="64"/>
      </patternFill>
    </fill>
    <fill>
      <patternFill patternType="solid">
        <fgColor indexed="43"/>
        <bgColor indexed="64"/>
      </patternFill>
    </fill>
    <fill>
      <patternFill patternType="solid">
        <fgColor indexed="11"/>
        <bgColor indexed="64"/>
      </patternFill>
    </fill>
    <fill>
      <patternFill patternType="solid">
        <fgColor rgb="FF7EC9B7"/>
        <bgColor indexed="64"/>
      </patternFill>
    </fill>
    <fill>
      <patternFill patternType="solid">
        <fgColor theme="2"/>
        <bgColor indexed="64"/>
      </patternFill>
    </fill>
    <fill>
      <patternFill patternType="solid">
        <fgColor rgb="FFDEEBF7"/>
        <bgColor indexed="64"/>
      </patternFill>
    </fill>
    <fill>
      <patternFill patternType="solid">
        <fgColor rgb="FFC4BD97"/>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bgColor indexed="64"/>
      </patternFill>
    </fill>
    <fill>
      <patternFill patternType="solid">
        <fgColor theme="6" tint="-0.24997711111789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337">
    <xf numFmtId="0" fontId="0" fillId="0" borderId="0"/>
    <xf numFmtId="0" fontId="3" fillId="0" borderId="0" applyNumberFormat="0" applyFill="0" applyBorder="0" applyAlignment="0" applyProtection="0"/>
    <xf numFmtId="0" fontId="2" fillId="0" borderId="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4" fontId="2" fillId="0" borderId="0" applyFill="0" applyBorder="0" applyAlignment="0"/>
    <xf numFmtId="14" fontId="2" fillId="0" borderId="0" applyFill="0" applyBorder="0" applyAlignment="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1" applyFont="0" applyFill="0" applyAlignment="0"/>
    <xf numFmtId="3" fontId="2" fillId="0" borderId="1" applyFont="0" applyFill="0" applyAlignment="0"/>
    <xf numFmtId="0" fontId="6" fillId="0" borderId="1" applyFill="0" applyBorder="0" applyAlignment="0">
      <alignment horizontal="center"/>
      <protection locked="0"/>
    </xf>
    <xf numFmtId="49" fontId="6" fillId="6" borderId="1" applyFill="0" applyBorder="0">
      <alignment horizontal="right"/>
      <protection locked="0"/>
    </xf>
    <xf numFmtId="49" fontId="7" fillId="0" borderId="1" applyFill="0">
      <alignment horizontal="center"/>
      <protection locked="0"/>
    </xf>
    <xf numFmtId="0" fontId="8" fillId="0" borderId="0"/>
    <xf numFmtId="1" fontId="9" fillId="7" borderId="1">
      <alignment horizontal="center" wrapText="1"/>
    </xf>
    <xf numFmtId="3" fontId="10" fillId="0" borderId="1" applyFont="0" applyFill="0">
      <alignment horizontal="center"/>
    </xf>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9" fontId="2" fillId="8" borderId="0" applyFill="0" applyBorder="0">
      <alignment horizontal="right"/>
    </xf>
    <xf numFmtId="49" fontId="2" fillId="8" borderId="0" applyFill="0" applyBorder="0">
      <alignment horizontal="right"/>
    </xf>
    <xf numFmtId="168" fontId="4" fillId="9" borderId="1" applyFont="0" applyFill="0" applyAlignment="0"/>
    <xf numFmtId="169" fontId="4" fillId="9" borderId="1" applyFont="0" applyFill="0" applyBorder="0" applyAlignment="0"/>
    <xf numFmtId="170" fontId="2" fillId="9" borderId="1" applyFont="0" applyFill="0" applyBorder="0" applyAlignment="0"/>
    <xf numFmtId="169" fontId="6" fillId="10" borderId="1" applyFill="0" applyBorder="0" applyAlignment="0">
      <protection locked="0"/>
    </xf>
    <xf numFmtId="170" fontId="6" fillId="7" borderId="1" applyFill="0" applyBorder="0" applyAlignment="0">
      <protection locked="0"/>
    </xf>
    <xf numFmtId="171" fontId="2" fillId="11" borderId="0" applyFill="0" applyBorder="0" applyAlignment="0">
      <alignment horizontal="left"/>
    </xf>
    <xf numFmtId="171" fontId="4" fillId="10" borderId="1" applyFont="0" applyFill="0" applyBorder="0" applyAlignment="0"/>
    <xf numFmtId="172" fontId="2" fillId="11" borderId="0" applyFont="0" applyFill="0" applyBorder="0" applyAlignment="0" applyProtection="0">
      <alignment horizontal="left"/>
    </xf>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5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8" fillId="0" borderId="0" applyNumberFormat="0" applyFill="0" applyBorder="0" applyAlignment="0" applyProtection="0"/>
    <xf numFmtId="43" fontId="1" fillId="0" borderId="0" applyFont="0" applyFill="0" applyBorder="0" applyAlignment="0" applyProtection="0"/>
  </cellStyleXfs>
  <cellXfs count="571">
    <xf numFmtId="0" fontId="0" fillId="0" borderId="0" xfId="0"/>
    <xf numFmtId="0" fontId="0" fillId="0" borderId="0" xfId="0" applyFill="1"/>
    <xf numFmtId="0" fontId="38" fillId="0" borderId="0" xfId="0" applyFont="1" applyFill="1"/>
    <xf numFmtId="0" fontId="36" fillId="0" borderId="0" xfId="0" applyFont="1" applyFill="1" applyBorder="1" applyAlignment="1">
      <alignment horizontal="center" vertical="center"/>
    </xf>
    <xf numFmtId="164" fontId="36" fillId="0" borderId="0" xfId="0" applyNumberFormat="1" applyFont="1" applyFill="1" applyBorder="1" applyAlignment="1">
      <alignment horizontal="center" vertical="center" shrinkToFit="1"/>
    </xf>
    <xf numFmtId="0" fontId="36" fillId="0" borderId="0" xfId="0" applyFont="1" applyFill="1" applyBorder="1" applyAlignment="1">
      <alignment shrinkToFit="1"/>
    </xf>
    <xf numFmtId="1" fontId="37" fillId="0" borderId="0" xfId="0" applyNumberFormat="1" applyFont="1" applyFill="1" applyBorder="1" applyAlignment="1">
      <alignment horizontal="center" shrinkToFit="1"/>
    </xf>
    <xf numFmtId="1" fontId="39" fillId="2" borderId="1" xfId="0" applyNumberFormat="1" applyFont="1" applyFill="1" applyBorder="1" applyAlignment="1" applyProtection="1">
      <alignment horizontal="center" vertical="center" wrapText="1"/>
    </xf>
    <xf numFmtId="0" fontId="11" fillId="4" borderId="0" xfId="0" applyFont="1" applyFill="1" applyProtection="1"/>
    <xf numFmtId="0" fontId="11" fillId="4" borderId="0" xfId="0" applyFont="1" applyFill="1" applyAlignment="1" applyProtection="1">
      <alignment horizontal="left"/>
    </xf>
    <xf numFmtId="0" fontId="11" fillId="4" borderId="0" xfId="0" applyFont="1" applyFill="1" applyAlignment="1" applyProtection="1">
      <alignment horizontal="center"/>
    </xf>
    <xf numFmtId="0" fontId="11" fillId="2" borderId="0" xfId="0" applyFont="1" applyFill="1" applyProtection="1"/>
    <xf numFmtId="0" fontId="11" fillId="4" borderId="0" xfId="0" quotePrefix="1" applyFont="1" applyFill="1" applyProtection="1"/>
    <xf numFmtId="0" fontId="24" fillId="4" borderId="0" xfId="0" applyFont="1" applyFill="1" applyBorder="1" applyProtection="1"/>
    <xf numFmtId="0" fontId="11" fillId="0" borderId="0" xfId="0" applyFont="1" applyProtection="1"/>
    <xf numFmtId="0" fontId="11" fillId="4" borderId="0" xfId="0" quotePrefix="1" applyFont="1" applyFill="1" applyAlignment="1" applyProtection="1">
      <alignment vertical="center"/>
    </xf>
    <xf numFmtId="0" fontId="11" fillId="4" borderId="0" xfId="0" applyFont="1" applyFill="1" applyAlignment="1" applyProtection="1">
      <alignment vertical="center"/>
    </xf>
    <xf numFmtId="0" fontId="11" fillId="4" borderId="0" xfId="0" applyFont="1" applyFill="1" applyAlignment="1" applyProtection="1">
      <alignment horizontal="center" vertical="center"/>
    </xf>
    <xf numFmtId="0" fontId="11" fillId="2" borderId="0" xfId="0" applyFont="1" applyFill="1" applyAlignment="1" applyProtection="1">
      <alignment vertical="center"/>
    </xf>
    <xf numFmtId="0" fontId="11" fillId="0" borderId="0" xfId="0" applyFont="1" applyAlignment="1" applyProtection="1">
      <alignment vertical="center"/>
    </xf>
    <xf numFmtId="0" fontId="11" fillId="4" borderId="0" xfId="0" quotePrefix="1" applyFont="1" applyFill="1" applyAlignment="1" applyProtection="1">
      <alignment horizontal="left"/>
    </xf>
    <xf numFmtId="0" fontId="16" fillId="4" borderId="0" xfId="0" quotePrefix="1" applyFont="1" applyFill="1" applyAlignment="1" applyProtection="1">
      <alignment horizontal="left"/>
    </xf>
    <xf numFmtId="0" fontId="13" fillId="12" borderId="3" xfId="1" applyFont="1" applyFill="1" applyBorder="1" applyAlignment="1" applyProtection="1">
      <alignment horizontal="center"/>
    </xf>
    <xf numFmtId="0" fontId="13" fillId="12" borderId="4" xfId="1" applyFont="1" applyFill="1" applyBorder="1" applyAlignment="1" applyProtection="1">
      <alignment horizontal="center"/>
    </xf>
    <xf numFmtId="0" fontId="12" fillId="12" borderId="5" xfId="1" applyFont="1" applyFill="1" applyBorder="1" applyAlignment="1" applyProtection="1">
      <alignment horizontal="left"/>
    </xf>
    <xf numFmtId="0" fontId="20" fillId="12" borderId="0" xfId="0" applyFont="1" applyFill="1" applyBorder="1" applyAlignment="1" applyProtection="1">
      <alignment horizontal="left"/>
    </xf>
    <xf numFmtId="0" fontId="11" fillId="12" borderId="0" xfId="0" applyFont="1" applyFill="1" applyBorder="1" applyAlignment="1" applyProtection="1">
      <alignment horizontal="center"/>
    </xf>
    <xf numFmtId="0" fontId="11" fillId="12" borderId="6" xfId="0" applyFont="1" applyFill="1" applyBorder="1" applyAlignment="1" applyProtection="1">
      <alignment horizontal="center"/>
    </xf>
    <xf numFmtId="0" fontId="19" fillId="12" borderId="0" xfId="0" applyFont="1" applyFill="1" applyBorder="1" applyAlignment="1" applyProtection="1">
      <alignment horizontal="left" vertical="center"/>
    </xf>
    <xf numFmtId="0" fontId="19" fillId="12" borderId="0" xfId="0" applyFont="1" applyFill="1" applyBorder="1" applyAlignment="1" applyProtection="1">
      <alignment horizontal="center" vertical="center"/>
    </xf>
    <xf numFmtId="0" fontId="12" fillId="12" borderId="7" xfId="1" applyFont="1" applyFill="1" applyBorder="1" applyAlignment="1" applyProtection="1">
      <alignment horizontal="left"/>
    </xf>
    <xf numFmtId="0" fontId="16" fillId="12" borderId="8" xfId="0" applyFont="1" applyFill="1" applyBorder="1" applyAlignment="1" applyProtection="1">
      <alignment horizontal="left"/>
    </xf>
    <xf numFmtId="0" fontId="20" fillId="12" borderId="8" xfId="0" applyFont="1" applyFill="1" applyBorder="1" applyAlignment="1" applyProtection="1">
      <alignment horizontal="left"/>
    </xf>
    <xf numFmtId="0" fontId="11" fillId="12" borderId="8" xfId="0" applyFont="1" applyFill="1" applyBorder="1" applyProtection="1"/>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3" fillId="5" borderId="3" xfId="1" applyFont="1" applyFill="1" applyBorder="1" applyAlignment="1" applyProtection="1">
      <alignment horizontal="center"/>
    </xf>
    <xf numFmtId="0" fontId="13" fillId="5" borderId="4" xfId="1" applyFont="1" applyFill="1" applyBorder="1" applyAlignment="1" applyProtection="1">
      <alignment horizontal="center"/>
    </xf>
    <xf numFmtId="0" fontId="19" fillId="5" borderId="5" xfId="0" applyFont="1" applyFill="1" applyBorder="1" applyAlignment="1" applyProtection="1">
      <alignment horizontal="left"/>
    </xf>
    <xf numFmtId="0" fontId="11" fillId="5" borderId="0" xfId="0" applyFont="1" applyFill="1" applyBorder="1" applyAlignment="1" applyProtection="1">
      <alignment horizontal="center"/>
    </xf>
    <xf numFmtId="0" fontId="11" fillId="5" borderId="6" xfId="0" applyFont="1" applyFill="1" applyBorder="1" applyAlignment="1" applyProtection="1">
      <alignment horizontal="center"/>
    </xf>
    <xf numFmtId="0" fontId="19" fillId="5" borderId="0" xfId="0" applyFont="1" applyFill="1" applyBorder="1" applyAlignment="1" applyProtection="1">
      <alignment horizontal="left" vertical="center"/>
    </xf>
    <xf numFmtId="0" fontId="19" fillId="5" borderId="0" xfId="0" applyFont="1" applyFill="1" applyBorder="1" applyAlignment="1" applyProtection="1">
      <alignment horizontal="center" vertical="center"/>
    </xf>
    <xf numFmtId="0" fontId="19" fillId="5" borderId="7" xfId="0" applyFont="1" applyFill="1" applyBorder="1" applyAlignment="1" applyProtection="1">
      <alignment horizontal="left"/>
    </xf>
    <xf numFmtId="0" fontId="19" fillId="5" borderId="8" xfId="0" applyFont="1" applyFill="1" applyBorder="1" applyAlignment="1" applyProtection="1">
      <alignment horizontal="left"/>
    </xf>
    <xf numFmtId="0" fontId="19" fillId="5" borderId="9" xfId="0" applyFont="1" applyFill="1" applyBorder="1" applyAlignment="1" applyProtection="1">
      <alignment horizontal="left"/>
    </xf>
    <xf numFmtId="0" fontId="21" fillId="4" borderId="0" xfId="0" applyFont="1" applyFill="1" applyAlignment="1" applyProtection="1">
      <alignment horizontal="center"/>
    </xf>
    <xf numFmtId="0" fontId="16" fillId="4" borderId="0" xfId="0" applyFont="1" applyFill="1" applyProtection="1"/>
    <xf numFmtId="0" fontId="22" fillId="3" borderId="2" xfId="0" applyFont="1" applyFill="1" applyBorder="1" applyAlignment="1" applyProtection="1"/>
    <xf numFmtId="0" fontId="22" fillId="3" borderId="3" xfId="0" applyFont="1" applyFill="1" applyBorder="1" applyAlignment="1" applyProtection="1"/>
    <xf numFmtId="0" fontId="22" fillId="3" borderId="3" xfId="0" applyFont="1" applyFill="1" applyBorder="1" applyAlignment="1" applyProtection="1">
      <alignment horizontal="left"/>
    </xf>
    <xf numFmtId="0" fontId="22" fillId="3" borderId="3" xfId="0" applyFont="1" applyFill="1" applyBorder="1" applyAlignment="1" applyProtection="1">
      <alignment horizontal="center"/>
    </xf>
    <xf numFmtId="0" fontId="22" fillId="3" borderId="4" xfId="0" applyFont="1" applyFill="1" applyBorder="1" applyAlignment="1" applyProtection="1">
      <alignment horizontal="center"/>
    </xf>
    <xf numFmtId="0" fontId="11" fillId="3" borderId="0" xfId="0" applyFont="1" applyFill="1" applyBorder="1" applyAlignment="1" applyProtection="1">
      <alignment horizontal="left"/>
    </xf>
    <xf numFmtId="0" fontId="11" fillId="3" borderId="0" xfId="0" applyFont="1" applyFill="1" applyBorder="1" applyAlignment="1" applyProtection="1">
      <alignment horizontal="center"/>
    </xf>
    <xf numFmtId="0" fontId="11" fillId="3" borderId="6" xfId="0" applyFont="1" applyFill="1" applyBorder="1" applyAlignment="1" applyProtection="1">
      <alignment horizontal="center"/>
    </xf>
    <xf numFmtId="0" fontId="11" fillId="3" borderId="5" xfId="0" applyFont="1" applyFill="1" applyBorder="1" applyProtection="1"/>
    <xf numFmtId="0" fontId="11" fillId="3" borderId="0" xfId="0" applyFont="1" applyFill="1" applyBorder="1" applyProtection="1"/>
    <xf numFmtId="0" fontId="18" fillId="3" borderId="0" xfId="0" applyFont="1" applyFill="1" applyBorder="1" applyAlignment="1" applyProtection="1">
      <alignment horizontal="left"/>
    </xf>
    <xf numFmtId="0" fontId="23" fillId="3" borderId="5" xfId="0" applyFont="1" applyFill="1" applyBorder="1" applyAlignment="1" applyProtection="1">
      <alignment horizontal="left"/>
    </xf>
    <xf numFmtId="0" fontId="25" fillId="3" borderId="6" xfId="0" applyFont="1" applyFill="1" applyBorder="1" applyAlignment="1" applyProtection="1">
      <alignment horizontal="center"/>
    </xf>
    <xf numFmtId="0" fontId="11" fillId="3" borderId="6" xfId="0" applyFont="1" applyFill="1" applyBorder="1" applyProtection="1"/>
    <xf numFmtId="0" fontId="35" fillId="2" borderId="0" xfId="0" applyFont="1" applyFill="1" applyBorder="1" applyAlignment="1" applyProtection="1">
      <alignment horizontal="center" vertical="center"/>
    </xf>
    <xf numFmtId="0" fontId="32"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textRotation="90"/>
    </xf>
    <xf numFmtId="0" fontId="32" fillId="2" borderId="0" xfId="0" applyFont="1" applyFill="1" applyBorder="1" applyAlignment="1" applyProtection="1">
      <alignment horizontal="center" vertical="center" textRotation="90"/>
    </xf>
    <xf numFmtId="164" fontId="35" fillId="2" borderId="0" xfId="0" applyNumberFormat="1" applyFont="1" applyFill="1" applyBorder="1" applyAlignment="1" applyProtection="1">
      <alignment horizontal="center" vertical="center"/>
    </xf>
    <xf numFmtId="0" fontId="35" fillId="2" borderId="0" xfId="0" applyFont="1" applyFill="1" applyBorder="1" applyAlignment="1" applyProtection="1">
      <alignment horizontal="center" shrinkToFit="1"/>
    </xf>
    <xf numFmtId="0" fontId="34" fillId="2" borderId="0" xfId="0" applyFont="1" applyFill="1" applyBorder="1" applyAlignment="1" applyProtection="1">
      <alignment horizontal="center" vertical="center"/>
    </xf>
    <xf numFmtId="164" fontId="35" fillId="2" borderId="0" xfId="0" applyNumberFormat="1" applyFont="1" applyFill="1" applyBorder="1" applyAlignment="1" applyProtection="1">
      <alignment horizontal="center" shrinkToFit="1"/>
    </xf>
    <xf numFmtId="0" fontId="35" fillId="2" borderId="0" xfId="0" applyFont="1" applyFill="1" applyAlignment="1" applyProtection="1">
      <alignment horizontal="center" vertical="center"/>
    </xf>
    <xf numFmtId="0" fontId="34" fillId="2" borderId="0" xfId="0" applyFont="1" applyFill="1" applyAlignment="1" applyProtection="1">
      <alignment horizontal="center" vertical="center"/>
    </xf>
    <xf numFmtId="0" fontId="32" fillId="2" borderId="0" xfId="0" applyFont="1" applyFill="1" applyAlignment="1" applyProtection="1">
      <alignment horizontal="center" vertical="center"/>
    </xf>
    <xf numFmtId="0" fontId="30" fillId="2" borderId="0" xfId="0" applyFont="1" applyFill="1" applyAlignment="1" applyProtection="1">
      <alignment horizontal="center" vertical="center"/>
    </xf>
    <xf numFmtId="0" fontId="30" fillId="0" borderId="0" xfId="0" applyFont="1" applyAlignment="1" applyProtection="1">
      <alignment horizontal="center" vertical="center"/>
    </xf>
    <xf numFmtId="0" fontId="33" fillId="2" borderId="0" xfId="0" applyFont="1" applyFill="1" applyBorder="1" applyAlignment="1" applyProtection="1">
      <alignment horizontal="center" vertical="center"/>
    </xf>
    <xf numFmtId="0" fontId="32" fillId="2" borderId="0" xfId="0" applyFont="1" applyFill="1" applyProtection="1"/>
    <xf numFmtId="0" fontId="33" fillId="2" borderId="0" xfId="0" applyFont="1" applyFill="1" applyBorder="1" applyAlignment="1" applyProtection="1">
      <alignment horizontal="left"/>
    </xf>
    <xf numFmtId="0" fontId="32" fillId="2" borderId="0" xfId="0" applyFont="1" applyFill="1" applyBorder="1" applyAlignment="1" applyProtection="1">
      <alignment horizontal="center"/>
    </xf>
    <xf numFmtId="0" fontId="30" fillId="2" borderId="0" xfId="0" applyFont="1" applyFill="1" applyProtection="1"/>
    <xf numFmtId="0" fontId="30" fillId="0" borderId="0" xfId="0" applyFont="1" applyProtection="1"/>
    <xf numFmtId="0" fontId="32" fillId="0" borderId="0" xfId="0" applyFont="1" applyProtection="1"/>
    <xf numFmtId="0" fontId="31" fillId="2" borderId="0" xfId="0" applyFont="1" applyFill="1" applyBorder="1" applyAlignment="1" applyProtection="1">
      <alignment horizontal="left"/>
    </xf>
    <xf numFmtId="0" fontId="30" fillId="2" borderId="0" xfId="0" applyFont="1" applyFill="1" applyBorder="1" applyAlignment="1" applyProtection="1">
      <alignment horizontal="center"/>
    </xf>
    <xf numFmtId="0" fontId="18" fillId="2" borderId="0" xfId="0" applyFont="1" applyFill="1" applyBorder="1" applyAlignment="1" applyProtection="1">
      <alignment horizontal="left"/>
    </xf>
    <xf numFmtId="0" fontId="11" fillId="2" borderId="0" xfId="0" applyFont="1" applyFill="1" applyBorder="1" applyAlignment="1" applyProtection="1">
      <alignment horizontal="center"/>
    </xf>
    <xf numFmtId="0" fontId="18" fillId="0" borderId="0" xfId="0" applyFont="1" applyBorder="1" applyAlignment="1" applyProtection="1">
      <alignment horizontal="left"/>
    </xf>
    <xf numFmtId="0" fontId="11" fillId="0" borderId="0" xfId="0" applyFont="1" applyBorder="1" applyAlignment="1" applyProtection="1">
      <alignment horizontal="center"/>
    </xf>
    <xf numFmtId="0" fontId="19" fillId="2" borderId="1" xfId="0" applyFont="1" applyFill="1" applyBorder="1" applyAlignment="1" applyProtection="1">
      <alignment horizontal="center" vertical="center"/>
      <protection locked="0"/>
    </xf>
    <xf numFmtId="0" fontId="24" fillId="14" borderId="5" xfId="1" applyFont="1" applyFill="1" applyBorder="1" applyAlignment="1" applyProtection="1">
      <alignment vertical="center"/>
      <protection hidden="1"/>
    </xf>
    <xf numFmtId="0" fontId="24" fillId="12" borderId="5" xfId="1" applyFont="1" applyFill="1" applyBorder="1" applyAlignment="1" applyProtection="1">
      <protection hidden="1"/>
    </xf>
    <xf numFmtId="0" fontId="14" fillId="14" borderId="3" xfId="1" applyFont="1" applyFill="1" applyBorder="1" applyAlignment="1" applyProtection="1">
      <alignment horizontal="center"/>
    </xf>
    <xf numFmtId="0" fontId="14" fillId="14" borderId="3" xfId="1" applyFont="1" applyFill="1" applyBorder="1" applyAlignment="1" applyProtection="1"/>
    <xf numFmtId="0" fontId="14" fillId="14" borderId="4" xfId="1" applyFont="1" applyFill="1" applyBorder="1" applyAlignment="1" applyProtection="1">
      <alignment horizontal="center"/>
    </xf>
    <xf numFmtId="0" fontId="24" fillId="14" borderId="0" xfId="1" applyFont="1" applyFill="1" applyBorder="1" applyAlignment="1" applyProtection="1">
      <alignment horizontal="left" vertical="center"/>
    </xf>
    <xf numFmtId="0" fontId="12" fillId="14" borderId="5" xfId="1" applyFont="1" applyFill="1" applyBorder="1" applyAlignment="1" applyProtection="1">
      <alignment horizontal="center" vertical="center"/>
    </xf>
    <xf numFmtId="0" fontId="39" fillId="14" borderId="0" xfId="0" applyFont="1" applyFill="1" applyBorder="1" applyAlignment="1" applyProtection="1">
      <alignment vertical="center"/>
    </xf>
    <xf numFmtId="0" fontId="19" fillId="14" borderId="0" xfId="0" applyFont="1" applyFill="1" applyBorder="1" applyAlignment="1" applyProtection="1">
      <alignment horizontal="left" vertical="center"/>
    </xf>
    <xf numFmtId="0" fontId="39" fillId="14" borderId="0" xfId="0" applyFont="1" applyFill="1" applyBorder="1" applyAlignment="1" applyProtection="1">
      <alignment horizontal="center" vertical="center"/>
    </xf>
    <xf numFmtId="0" fontId="11" fillId="14" borderId="6" xfId="0" applyFont="1" applyFill="1" applyBorder="1" applyAlignment="1" applyProtection="1">
      <alignment vertical="center"/>
    </xf>
    <xf numFmtId="0" fontId="17" fillId="14" borderId="5" xfId="0" applyFont="1" applyFill="1" applyBorder="1" applyProtection="1"/>
    <xf numFmtId="0" fontId="39" fillId="14" borderId="0" xfId="0" applyFont="1" applyFill="1" applyBorder="1" applyProtection="1"/>
    <xf numFmtId="0" fontId="40" fillId="14" borderId="0" xfId="0" applyFont="1" applyFill="1" applyBorder="1" applyAlignment="1" applyProtection="1">
      <alignment horizontal="left"/>
    </xf>
    <xf numFmtId="0" fontId="19" fillId="14" borderId="0" xfId="0" applyFont="1" applyFill="1" applyBorder="1" applyAlignment="1" applyProtection="1">
      <alignment horizontal="center"/>
    </xf>
    <xf numFmtId="0" fontId="19" fillId="14" borderId="6" xfId="0" applyFont="1" applyFill="1" applyBorder="1" applyAlignment="1" applyProtection="1">
      <alignment horizontal="center"/>
    </xf>
    <xf numFmtId="0" fontId="12" fillId="14" borderId="5" xfId="1" applyFont="1" applyFill="1" applyBorder="1" applyAlignment="1" applyProtection="1">
      <alignment horizontal="left"/>
    </xf>
    <xf numFmtId="0" fontId="19" fillId="14" borderId="0" xfId="0" applyFont="1" applyFill="1" applyBorder="1" applyAlignment="1" applyProtection="1">
      <alignment horizontal="center" vertical="center"/>
    </xf>
    <xf numFmtId="0" fontId="11" fillId="14" borderId="6" xfId="0" applyFont="1" applyFill="1" applyBorder="1" applyAlignment="1" applyProtection="1">
      <alignment horizontal="center"/>
    </xf>
    <xf numFmtId="0" fontId="17" fillId="14" borderId="5" xfId="0" applyFont="1" applyFill="1" applyBorder="1" applyAlignment="1" applyProtection="1">
      <alignment horizontal="left"/>
    </xf>
    <xf numFmtId="0" fontId="39" fillId="14" borderId="0" xfId="0" applyFont="1" applyFill="1" applyBorder="1" applyAlignment="1" applyProtection="1">
      <alignment horizontal="left" vertical="center"/>
    </xf>
    <xf numFmtId="0" fontId="12" fillId="14" borderId="7" xfId="1" applyFont="1" applyFill="1" applyBorder="1" applyAlignment="1" applyProtection="1">
      <alignment horizontal="left"/>
    </xf>
    <xf numFmtId="0" fontId="16" fillId="14" borderId="8" xfId="0" applyFont="1" applyFill="1" applyBorder="1" applyAlignment="1" applyProtection="1">
      <alignment horizontal="left" wrapText="1"/>
    </xf>
    <xf numFmtId="0" fontId="18" fillId="14" borderId="8" xfId="0" applyFont="1" applyFill="1" applyBorder="1" applyAlignment="1" applyProtection="1">
      <alignment horizontal="center"/>
    </xf>
    <xf numFmtId="0" fontId="11" fillId="14" borderId="8" xfId="0" applyFont="1" applyFill="1" applyBorder="1" applyAlignment="1" applyProtection="1">
      <alignment horizontal="center"/>
    </xf>
    <xf numFmtId="0" fontId="11" fillId="14" borderId="9" xfId="0" applyFont="1" applyFill="1" applyBorder="1" applyAlignment="1" applyProtection="1">
      <alignment horizontal="center"/>
    </xf>
    <xf numFmtId="0" fontId="15" fillId="14" borderId="0" xfId="1" applyFont="1" applyFill="1" applyBorder="1" applyAlignment="1" applyProtection="1">
      <alignment horizontal="left" vertical="center"/>
    </xf>
    <xf numFmtId="0" fontId="14" fillId="14" borderId="0" xfId="1" applyFont="1" applyFill="1" applyBorder="1" applyAlignment="1" applyProtection="1">
      <alignment horizontal="center" vertical="center"/>
    </xf>
    <xf numFmtId="0" fontId="14" fillId="14" borderId="6" xfId="1" applyFont="1" applyFill="1" applyBorder="1" applyAlignment="1" applyProtection="1">
      <alignment horizontal="center" vertical="center"/>
    </xf>
    <xf numFmtId="0" fontId="24" fillId="12" borderId="0" xfId="0" applyFont="1" applyFill="1" applyBorder="1" applyAlignment="1" applyProtection="1">
      <alignment horizontal="left" vertical="center"/>
    </xf>
    <xf numFmtId="0" fontId="11" fillId="14" borderId="8" xfId="0" applyFont="1" applyFill="1" applyBorder="1" applyAlignment="1" applyProtection="1">
      <alignment horizontal="left"/>
    </xf>
    <xf numFmtId="0" fontId="11" fillId="4" borderId="0" xfId="0" applyFont="1" applyFill="1" applyBorder="1" applyProtection="1"/>
    <xf numFmtId="0" fontId="11" fillId="4" borderId="0" xfId="0" applyFont="1" applyFill="1" applyBorder="1" applyAlignment="1" applyProtection="1">
      <alignment horizontal="left"/>
    </xf>
    <xf numFmtId="0" fontId="11" fillId="4" borderId="0" xfId="0" applyFont="1" applyFill="1" applyBorder="1" applyAlignment="1" applyProtection="1">
      <alignment horizontal="left" vertical="center"/>
    </xf>
    <xf numFmtId="0" fontId="11" fillId="4" borderId="0" xfId="0" quotePrefix="1" applyFont="1" applyFill="1" applyBorder="1" applyProtection="1"/>
    <xf numFmtId="0" fontId="19" fillId="14" borderId="0" xfId="0" applyFont="1" applyFill="1" applyBorder="1" applyAlignment="1" applyProtection="1">
      <alignment horizontal="center" vertical="center"/>
      <protection locked="0"/>
    </xf>
    <xf numFmtId="0" fontId="19" fillId="14" borderId="0" xfId="0" applyFont="1" applyFill="1" applyBorder="1" applyAlignment="1" applyProtection="1">
      <alignment vertical="center"/>
      <protection hidden="1"/>
    </xf>
    <xf numFmtId="0" fontId="19" fillId="14" borderId="0" xfId="0" applyFont="1" applyFill="1" applyBorder="1" applyAlignment="1" applyProtection="1">
      <alignment vertical="center"/>
    </xf>
    <xf numFmtId="0" fontId="40" fillId="14" borderId="0" xfId="0" applyFont="1" applyFill="1" applyBorder="1" applyAlignment="1" applyProtection="1">
      <alignment vertical="center"/>
    </xf>
    <xf numFmtId="0" fontId="19" fillId="15" borderId="0" xfId="0" applyFont="1" applyFill="1" applyBorder="1" applyAlignment="1" applyProtection="1">
      <alignment vertical="center"/>
    </xf>
    <xf numFmtId="0" fontId="19" fillId="15" borderId="0" xfId="0" applyFont="1" applyFill="1" applyBorder="1" applyAlignment="1" applyProtection="1">
      <alignment horizontal="center"/>
      <protection locked="0"/>
    </xf>
    <xf numFmtId="0" fontId="19" fillId="15" borderId="0" xfId="0" applyFont="1" applyFill="1" applyBorder="1" applyAlignment="1" applyProtection="1">
      <alignment horizontal="center"/>
    </xf>
    <xf numFmtId="0" fontId="19" fillId="15" borderId="0" xfId="0" applyFont="1" applyFill="1" applyBorder="1" applyProtection="1"/>
    <xf numFmtId="0" fontId="19" fillId="3" borderId="0" xfId="0" applyFont="1" applyFill="1" applyBorder="1" applyProtection="1"/>
    <xf numFmtId="0" fontId="42" fillId="3" borderId="6" xfId="0" applyFont="1" applyFill="1" applyBorder="1" applyProtection="1"/>
    <xf numFmtId="0" fontId="37" fillId="0" borderId="0" xfId="0" applyFont="1" applyFill="1" applyBorder="1" applyAlignment="1">
      <alignment shrinkToFit="1"/>
    </xf>
    <xf numFmtId="0" fontId="37" fillId="0" borderId="0" xfId="0" applyFont="1" applyFill="1" applyBorder="1" applyAlignment="1">
      <alignment wrapText="1" shrinkToFit="1"/>
    </xf>
    <xf numFmtId="0" fontId="43" fillId="0" borderId="0" xfId="0" applyFont="1" applyFill="1" applyBorder="1" applyAlignment="1" applyProtection="1">
      <protection locked="0"/>
    </xf>
    <xf numFmtId="0" fontId="44" fillId="0" borderId="0" xfId="0" applyFont="1"/>
    <xf numFmtId="0" fontId="44" fillId="0" borderId="0" xfId="0" applyFont="1" applyAlignment="1">
      <alignment wrapText="1"/>
    </xf>
    <xf numFmtId="0" fontId="45" fillId="0" borderId="0" xfId="0" applyFont="1" applyFill="1" applyBorder="1"/>
    <xf numFmtId="0" fontId="45" fillId="0" borderId="0" xfId="0" applyFont="1" applyFill="1" applyBorder="1" applyProtection="1">
      <protection locked="0"/>
    </xf>
    <xf numFmtId="0" fontId="30" fillId="4" borderId="0" xfId="0" applyFont="1" applyFill="1" applyBorder="1" applyAlignment="1" applyProtection="1">
      <alignment horizontal="center" vertical="center"/>
    </xf>
    <xf numFmtId="0" fontId="32" fillId="4" borderId="0" xfId="0" applyFont="1" applyFill="1" applyBorder="1" applyAlignment="1" applyProtection="1">
      <alignment horizontal="center" vertical="center"/>
    </xf>
    <xf numFmtId="0" fontId="11" fillId="3" borderId="0" xfId="0" quotePrefix="1" applyFont="1" applyFill="1" applyProtection="1"/>
    <xf numFmtId="0" fontId="30" fillId="3" borderId="0" xfId="0" applyFont="1" applyFill="1" applyBorder="1" applyAlignment="1" applyProtection="1">
      <alignment horizontal="center" vertical="center"/>
    </xf>
    <xf numFmtId="164" fontId="35" fillId="3" borderId="0" xfId="0" applyNumberFormat="1" applyFont="1" applyFill="1" applyBorder="1" applyAlignment="1" applyProtection="1">
      <alignment horizontal="center" vertical="center"/>
    </xf>
    <xf numFmtId="0" fontId="46" fillId="0" borderId="0" xfId="0" applyFont="1" applyFill="1"/>
    <xf numFmtId="2" fontId="36" fillId="0" borderId="0" xfId="0" applyNumberFormat="1" applyFont="1" applyFill="1" applyBorder="1" applyAlignment="1">
      <alignment horizontal="right" vertical="center"/>
    </xf>
    <xf numFmtId="2" fontId="36" fillId="0" borderId="0" xfId="0" applyNumberFormat="1" applyFont="1" applyFill="1" applyBorder="1" applyAlignment="1">
      <alignment horizontal="center" shrinkToFit="1"/>
    </xf>
    <xf numFmtId="2" fontId="36" fillId="0" borderId="0" xfId="0" applyNumberFormat="1" applyFont="1" applyFill="1" applyBorder="1" applyAlignment="1">
      <alignment horizontal="center" vertical="center" textRotation="90"/>
    </xf>
    <xf numFmtId="1" fontId="47" fillId="2" borderId="0" xfId="0" applyNumberFormat="1" applyFont="1" applyFill="1" applyBorder="1" applyAlignment="1" applyProtection="1">
      <alignment horizontal="center" vertical="center"/>
    </xf>
    <xf numFmtId="0" fontId="47" fillId="2" borderId="0" xfId="0" applyFont="1" applyFill="1" applyBorder="1" applyAlignment="1" applyProtection="1">
      <alignment horizontal="center" vertical="center"/>
    </xf>
    <xf numFmtId="0" fontId="48" fillId="2" borderId="0" xfId="0" applyFont="1" applyFill="1" applyBorder="1" applyAlignment="1" applyProtection="1">
      <alignment horizontal="center" vertical="center"/>
    </xf>
    <xf numFmtId="0" fontId="48" fillId="2" borderId="0" xfId="0" applyFont="1" applyFill="1" applyAlignment="1" applyProtection="1">
      <alignment horizontal="center" vertical="center"/>
    </xf>
    <xf numFmtId="0" fontId="49" fillId="2" borderId="0" xfId="0" applyFont="1" applyFill="1" applyAlignment="1" applyProtection="1">
      <alignment horizontal="center" vertical="center"/>
    </xf>
    <xf numFmtId="0" fontId="50" fillId="2" borderId="0" xfId="0" applyFont="1" applyFill="1" applyBorder="1" applyAlignment="1" applyProtection="1">
      <alignment horizontal="center" vertical="center"/>
    </xf>
    <xf numFmtId="0" fontId="49" fillId="2" borderId="0" xfId="0" applyFont="1" applyFill="1" applyBorder="1" applyAlignment="1" applyProtection="1">
      <alignment horizontal="center" vertical="center"/>
    </xf>
    <xf numFmtId="0" fontId="47" fillId="2" borderId="0" xfId="0" applyFont="1" applyFill="1" applyAlignment="1" applyProtection="1">
      <alignment horizontal="center" vertical="center"/>
    </xf>
    <xf numFmtId="0" fontId="11" fillId="4" borderId="5" xfId="0" quotePrefix="1" applyFont="1" applyFill="1" applyBorder="1" applyProtection="1"/>
    <xf numFmtId="0" fontId="30" fillId="4" borderId="5" xfId="0" applyFont="1" applyFill="1" applyBorder="1" applyAlignment="1" applyProtection="1">
      <alignment horizontal="center" vertical="center"/>
    </xf>
    <xf numFmtId="0" fontId="32" fillId="4" borderId="5" xfId="0" applyFont="1" applyFill="1" applyBorder="1" applyAlignment="1" applyProtection="1">
      <alignment horizontal="center" vertical="center"/>
    </xf>
    <xf numFmtId="0" fontId="11" fillId="4" borderId="6" xfId="0" quotePrefix="1" applyFont="1" applyFill="1" applyBorder="1" applyProtection="1"/>
    <xf numFmtId="0" fontId="30" fillId="4" borderId="6" xfId="0" applyFont="1" applyFill="1" applyBorder="1" applyAlignment="1" applyProtection="1">
      <alignment horizontal="center" vertical="center"/>
    </xf>
    <xf numFmtId="0" fontId="30" fillId="4" borderId="3" xfId="0" applyFont="1" applyFill="1" applyBorder="1" applyAlignment="1" applyProtection="1">
      <alignment horizontal="center" vertical="center"/>
    </xf>
    <xf numFmtId="164" fontId="35" fillId="4" borderId="3" xfId="0" applyNumberFormat="1" applyFont="1" applyFill="1" applyBorder="1" applyAlignment="1" applyProtection="1">
      <alignment horizontal="center" vertical="center"/>
    </xf>
    <xf numFmtId="0" fontId="19" fillId="13" borderId="1" xfId="0" applyFont="1" applyFill="1" applyBorder="1" applyAlignment="1" applyProtection="1">
      <alignment horizontal="center" vertical="center"/>
    </xf>
    <xf numFmtId="0" fontId="32" fillId="4" borderId="0" xfId="0" applyFont="1" applyFill="1" applyBorder="1" applyAlignment="1" applyProtection="1">
      <alignment horizontal="center" vertical="center" textRotation="90"/>
    </xf>
    <xf numFmtId="0" fontId="24" fillId="5" borderId="5" xfId="1" applyFont="1" applyFill="1" applyBorder="1" applyAlignment="1" applyProtection="1">
      <alignment horizontal="left" vertical="center"/>
      <protection hidden="1"/>
    </xf>
    <xf numFmtId="173" fontId="19" fillId="14" borderId="0" xfId="0" applyNumberFormat="1" applyFont="1" applyFill="1" applyBorder="1" applyAlignment="1" applyProtection="1">
      <alignment horizontal="center" vertical="center"/>
    </xf>
    <xf numFmtId="0" fontId="42" fillId="16" borderId="2" xfId="0" applyFont="1" applyFill="1" applyBorder="1" applyProtection="1">
      <protection locked="0" hidden="1"/>
    </xf>
    <xf numFmtId="0" fontId="42" fillId="16" borderId="3" xfId="0" applyFont="1" applyFill="1" applyBorder="1" applyProtection="1">
      <protection locked="0" hidden="1"/>
    </xf>
    <xf numFmtId="0" fontId="18" fillId="16" borderId="3" xfId="0" applyFont="1" applyFill="1" applyBorder="1" applyProtection="1">
      <protection locked="0" hidden="1"/>
    </xf>
    <xf numFmtId="0" fontId="42" fillId="16" borderId="3" xfId="0" applyFont="1" applyFill="1" applyBorder="1" applyAlignment="1" applyProtection="1">
      <alignment horizontal="center" vertical="center"/>
      <protection locked="0" hidden="1"/>
    </xf>
    <xf numFmtId="0" fontId="42" fillId="16" borderId="3" xfId="0" applyFont="1" applyFill="1" applyBorder="1" applyAlignment="1" applyProtection="1">
      <alignment horizontal="center"/>
      <protection locked="0" hidden="1"/>
    </xf>
    <xf numFmtId="0" fontId="42" fillId="16" borderId="4" xfId="0" applyFont="1" applyFill="1" applyBorder="1" applyProtection="1">
      <protection locked="0" hidden="1"/>
    </xf>
    <xf numFmtId="0" fontId="24" fillId="16" borderId="5" xfId="0" applyFont="1" applyFill="1" applyBorder="1" applyProtection="1">
      <protection locked="0" hidden="1"/>
    </xf>
    <xf numFmtId="0" fontId="18" fillId="16" borderId="0" xfId="0" applyFont="1" applyFill="1" applyProtection="1">
      <protection locked="0" hidden="1"/>
    </xf>
    <xf numFmtId="0" fontId="42" fillId="16" borderId="0" xfId="0" applyFont="1" applyFill="1" applyAlignment="1" applyProtection="1">
      <alignment horizontal="center" vertical="center"/>
      <protection locked="0" hidden="1"/>
    </xf>
    <xf numFmtId="0" fontId="42" fillId="16" borderId="0" xfId="0" applyFont="1" applyFill="1" applyAlignment="1" applyProtection="1">
      <alignment horizontal="center"/>
      <protection locked="0" hidden="1"/>
    </xf>
    <xf numFmtId="0" fontId="42" fillId="16" borderId="0" xfId="0" applyFont="1" applyFill="1" applyProtection="1">
      <protection locked="0" hidden="1"/>
    </xf>
    <xf numFmtId="0" fontId="42" fillId="16" borderId="6" xfId="0" applyFont="1" applyFill="1" applyBorder="1" applyProtection="1">
      <protection locked="0" hidden="1"/>
    </xf>
    <xf numFmtId="0" fontId="52" fillId="16" borderId="0" xfId="0" applyFont="1" applyFill="1" applyProtection="1">
      <protection locked="0" hidden="1"/>
    </xf>
    <xf numFmtId="174" fontId="19" fillId="0" borderId="1" xfId="0" applyNumberFormat="1" applyFont="1" applyBorder="1" applyAlignment="1" applyProtection="1">
      <alignment horizontal="center" vertical="center"/>
      <protection locked="0"/>
    </xf>
    <xf numFmtId="2" fontId="53" fillId="13" borderId="1" xfId="0" applyNumberFormat="1" applyFont="1" applyFill="1" applyBorder="1" applyAlignment="1" applyProtection="1">
      <alignment horizontal="center" vertical="center"/>
      <protection locked="0" hidden="1"/>
    </xf>
    <xf numFmtId="0" fontId="54" fillId="16" borderId="0" xfId="0" applyFont="1" applyFill="1" applyProtection="1">
      <protection locked="0" hidden="1"/>
    </xf>
    <xf numFmtId="0" fontId="52" fillId="16" borderId="0" xfId="0" applyFont="1" applyFill="1" applyAlignment="1" applyProtection="1">
      <alignment wrapText="1"/>
      <protection locked="0" hidden="1"/>
    </xf>
    <xf numFmtId="0" fontId="19" fillId="16" borderId="0" xfId="0" applyFont="1" applyFill="1" applyProtection="1">
      <protection locked="0" hidden="1"/>
    </xf>
    <xf numFmtId="0" fontId="42" fillId="16" borderId="5" xfId="0" applyFont="1" applyFill="1" applyBorder="1" applyProtection="1">
      <protection locked="0" hidden="1"/>
    </xf>
    <xf numFmtId="0" fontId="2" fillId="16" borderId="0" xfId="0" applyFont="1" applyFill="1" applyProtection="1">
      <protection locked="0" hidden="1"/>
    </xf>
    <xf numFmtId="175" fontId="42" fillId="16" borderId="0" xfId="0" applyNumberFormat="1" applyFont="1" applyFill="1" applyAlignment="1" applyProtection="1">
      <alignment horizontal="center" vertical="center"/>
      <protection locked="0" hidden="1"/>
    </xf>
    <xf numFmtId="175" fontId="42" fillId="16" borderId="0" xfId="0" applyNumberFormat="1" applyFont="1" applyFill="1" applyAlignment="1" applyProtection="1">
      <alignment horizontal="center"/>
      <protection locked="0" hidden="1"/>
    </xf>
    <xf numFmtId="175" fontId="42" fillId="16" borderId="0" xfId="0" applyNumberFormat="1" applyFont="1" applyFill="1" applyProtection="1">
      <protection locked="0" hidden="1"/>
    </xf>
    <xf numFmtId="176" fontId="42" fillId="16" borderId="0" xfId="0" applyNumberFormat="1" applyFont="1" applyFill="1" applyAlignment="1" applyProtection="1">
      <alignment horizontal="center" vertical="center"/>
      <protection locked="0" hidden="1"/>
    </xf>
    <xf numFmtId="176" fontId="42" fillId="16" borderId="0" xfId="0" applyNumberFormat="1" applyFont="1" applyFill="1" applyAlignment="1" applyProtection="1">
      <alignment horizontal="center"/>
      <protection locked="0" hidden="1"/>
    </xf>
    <xf numFmtId="0" fontId="16" fillId="16" borderId="0" xfId="0" applyFont="1" applyFill="1" applyProtection="1">
      <protection locked="0" hidden="1"/>
    </xf>
    <xf numFmtId="44" fontId="19" fillId="0" borderId="1" xfId="332" applyFont="1" applyFill="1" applyBorder="1" applyAlignment="1" applyProtection="1">
      <alignment horizontal="center" vertical="center"/>
      <protection locked="0"/>
    </xf>
    <xf numFmtId="44" fontId="42" fillId="16" borderId="0" xfId="332" applyFont="1" applyFill="1" applyBorder="1" applyAlignment="1" applyProtection="1">
      <alignment horizontal="center" vertical="center"/>
      <protection locked="0" hidden="1"/>
    </xf>
    <xf numFmtId="44" fontId="53" fillId="13" borderId="1" xfId="332" applyFont="1" applyFill="1" applyBorder="1" applyAlignment="1" applyProtection="1">
      <alignment horizontal="center" vertical="center"/>
      <protection locked="0" hidden="1"/>
    </xf>
    <xf numFmtId="44" fontId="42" fillId="16" borderId="0" xfId="332" applyFont="1" applyFill="1" applyBorder="1" applyAlignment="1" applyProtection="1">
      <alignment horizontal="center"/>
      <protection locked="0" hidden="1"/>
    </xf>
    <xf numFmtId="44" fontId="42" fillId="16" borderId="0" xfId="332" applyFont="1" applyFill="1" applyBorder="1" applyProtection="1">
      <protection locked="0" hidden="1"/>
    </xf>
    <xf numFmtId="0" fontId="42" fillId="16" borderId="7" xfId="0" applyFont="1" applyFill="1" applyBorder="1" applyProtection="1">
      <protection locked="0" hidden="1"/>
    </xf>
    <xf numFmtId="0" fontId="19" fillId="16" borderId="8" xfId="0" applyFont="1" applyFill="1" applyBorder="1" applyProtection="1">
      <protection locked="0" hidden="1"/>
    </xf>
    <xf numFmtId="0" fontId="18" fillId="16" borderId="8" xfId="0" applyFont="1" applyFill="1" applyBorder="1" applyProtection="1">
      <protection locked="0" hidden="1"/>
    </xf>
    <xf numFmtId="0" fontId="42" fillId="16" borderId="8" xfId="0" applyFont="1" applyFill="1" applyBorder="1" applyAlignment="1" applyProtection="1">
      <alignment horizontal="center" vertical="center"/>
      <protection locked="0" hidden="1"/>
    </xf>
    <xf numFmtId="0" fontId="42" fillId="16" borderId="8" xfId="0" applyFont="1" applyFill="1" applyBorder="1" applyAlignment="1" applyProtection="1">
      <alignment horizontal="center"/>
      <protection locked="0" hidden="1"/>
    </xf>
    <xf numFmtId="0" fontId="42" fillId="16" borderId="8" xfId="0" applyFont="1" applyFill="1" applyBorder="1" applyProtection="1">
      <protection locked="0" hidden="1"/>
    </xf>
    <xf numFmtId="0" fontId="42" fillId="16" borderId="9" xfId="0" applyFont="1" applyFill="1" applyBorder="1" applyProtection="1">
      <protection locked="0" hidden="1"/>
    </xf>
    <xf numFmtId="44" fontId="19" fillId="2" borderId="1" xfId="332" applyFont="1" applyFill="1" applyBorder="1" applyAlignment="1" applyProtection="1">
      <alignment horizontal="center" vertical="center"/>
      <protection locked="0"/>
    </xf>
    <xf numFmtId="0" fontId="19" fillId="5" borderId="0" xfId="0" applyFont="1" applyFill="1" applyAlignment="1">
      <alignment horizontal="center" vertical="center"/>
    </xf>
    <xf numFmtId="0" fontId="19" fillId="5" borderId="0" xfId="0" applyFont="1" applyFill="1" applyAlignment="1">
      <alignment vertical="center"/>
    </xf>
    <xf numFmtId="0" fontId="53" fillId="0" borderId="1" xfId="0" applyFont="1" applyBorder="1" applyAlignment="1">
      <alignment horizontal="center" vertical="center"/>
    </xf>
    <xf numFmtId="0" fontId="53" fillId="13" borderId="1" xfId="0" applyFont="1" applyFill="1" applyBorder="1" applyAlignment="1">
      <alignment horizontal="center" vertical="center"/>
    </xf>
    <xf numFmtId="0" fontId="19" fillId="5" borderId="0" xfId="0" applyFont="1" applyFill="1" applyAlignment="1">
      <alignment horizontal="left" vertical="center"/>
    </xf>
    <xf numFmtId="0" fontId="39" fillId="5" borderId="0" xfId="0" applyFont="1" applyFill="1" applyAlignment="1" applyProtection="1">
      <alignment vertical="center"/>
      <protection locked="0" hidden="1"/>
    </xf>
    <xf numFmtId="0" fontId="19" fillId="5" borderId="0" xfId="0" applyFont="1" applyFill="1" applyAlignment="1" applyProtection="1">
      <alignment horizontal="left" vertical="center"/>
      <protection locked="0" hidden="1"/>
    </xf>
    <xf numFmtId="0" fontId="19" fillId="0" borderId="1" xfId="0" applyFont="1" applyBorder="1" applyAlignment="1" applyProtection="1">
      <alignment horizontal="center" vertical="center"/>
      <protection locked="0"/>
    </xf>
    <xf numFmtId="2" fontId="53" fillId="13" borderId="1" xfId="0" applyNumberFormat="1" applyFont="1" applyFill="1" applyBorder="1" applyAlignment="1">
      <alignment horizontal="center" vertical="center"/>
    </xf>
    <xf numFmtId="0" fontId="2" fillId="5" borderId="0" xfId="0" applyFont="1" applyFill="1" applyProtection="1">
      <protection locked="0" hidden="1"/>
    </xf>
    <xf numFmtId="44" fontId="19" fillId="0" borderId="1" xfId="332" applyFont="1" applyBorder="1" applyAlignment="1" applyProtection="1">
      <alignment horizontal="center" vertical="center"/>
      <protection locked="0"/>
    </xf>
    <xf numFmtId="2" fontId="19" fillId="5" borderId="0" xfId="0" applyNumberFormat="1" applyFont="1" applyFill="1" applyAlignment="1">
      <alignment horizontal="center" vertical="center"/>
    </xf>
    <xf numFmtId="44" fontId="53" fillId="13" borderId="1" xfId="332" applyFont="1" applyFill="1" applyBorder="1" applyAlignment="1" applyProtection="1">
      <alignment horizontal="center" vertical="center"/>
    </xf>
    <xf numFmtId="2" fontId="55" fillId="5" borderId="0" xfId="0" applyNumberFormat="1" applyFont="1" applyFill="1" applyAlignment="1">
      <alignment vertical="center"/>
    </xf>
    <xf numFmtId="2" fontId="55" fillId="5" borderId="0" xfId="0" applyNumberFormat="1" applyFont="1" applyFill="1" applyAlignment="1">
      <alignment horizontal="center" vertical="center"/>
    </xf>
    <xf numFmtId="0" fontId="19" fillId="5" borderId="0" xfId="0" applyFont="1" applyFill="1" applyAlignment="1" applyProtection="1">
      <alignment vertical="center"/>
      <protection locked="0" hidden="1"/>
    </xf>
    <xf numFmtId="10" fontId="19" fillId="0" borderId="1" xfId="333" applyNumberFormat="1" applyFont="1" applyFill="1" applyBorder="1" applyAlignment="1" applyProtection="1">
      <alignment horizontal="center" vertical="center"/>
      <protection locked="0"/>
    </xf>
    <xf numFmtId="9" fontId="55" fillId="5" borderId="0" xfId="333" applyFont="1" applyFill="1" applyBorder="1" applyAlignment="1" applyProtection="1">
      <alignment vertical="center"/>
    </xf>
    <xf numFmtId="9" fontId="55" fillId="5" borderId="0" xfId="333" applyFont="1" applyFill="1" applyBorder="1" applyAlignment="1" applyProtection="1">
      <alignment horizontal="center" vertical="center"/>
    </xf>
    <xf numFmtId="44" fontId="55" fillId="5" borderId="0" xfId="332" applyFont="1" applyFill="1" applyBorder="1" applyAlignment="1" applyProtection="1">
      <alignment vertical="center"/>
    </xf>
    <xf numFmtId="44" fontId="55" fillId="5" borderId="0" xfId="332" applyFont="1" applyFill="1" applyBorder="1" applyAlignment="1" applyProtection="1">
      <alignment horizontal="center" vertical="center"/>
    </xf>
    <xf numFmtId="0" fontId="19" fillId="3" borderId="0" xfId="0" applyFont="1" applyFill="1" applyAlignment="1">
      <alignment vertical="center"/>
    </xf>
    <xf numFmtId="0" fontId="19" fillId="0" borderId="3" xfId="0" applyFont="1" applyBorder="1"/>
    <xf numFmtId="0" fontId="19" fillId="0" borderId="4" xfId="0" applyFont="1" applyBorder="1"/>
    <xf numFmtId="0" fontId="19" fillId="0" borderId="2" xfId="0" applyFont="1" applyBorder="1"/>
    <xf numFmtId="0" fontId="19" fillId="0" borderId="0" xfId="0" applyFont="1"/>
    <xf numFmtId="44" fontId="19" fillId="0" borderId="5" xfId="332" applyFont="1" applyBorder="1"/>
    <xf numFmtId="0" fontId="19" fillId="0" borderId="6" xfId="0" applyFont="1" applyBorder="1"/>
    <xf numFmtId="0" fontId="19" fillId="0" borderId="5" xfId="0" applyFont="1" applyBorder="1"/>
    <xf numFmtId="44" fontId="19" fillId="0" borderId="0" xfId="332" applyFont="1" applyBorder="1"/>
    <xf numFmtId="0" fontId="19" fillId="0" borderId="8" xfId="0" applyFont="1" applyBorder="1"/>
    <xf numFmtId="44" fontId="19" fillId="0" borderId="7" xfId="332" applyFont="1" applyBorder="1"/>
    <xf numFmtId="0" fontId="19" fillId="0" borderId="9" xfId="0" applyFont="1" applyBorder="1"/>
    <xf numFmtId="44" fontId="19" fillId="0" borderId="8" xfId="332" applyFont="1" applyBorder="1"/>
    <xf numFmtId="44" fontId="0" fillId="0" borderId="0" xfId="332" applyFont="1"/>
    <xf numFmtId="0" fontId="0" fillId="0" borderId="3" xfId="0" applyBorder="1"/>
    <xf numFmtId="0" fontId="19" fillId="0" borderId="0" xfId="0" applyFont="1" applyAlignment="1">
      <alignment wrapText="1"/>
    </xf>
    <xf numFmtId="0" fontId="0" fillId="0" borderId="10" xfId="0" applyBorder="1" applyAlignment="1">
      <alignment wrapText="1"/>
    </xf>
    <xf numFmtId="0" fontId="0" fillId="0" borderId="12" xfId="0" applyBorder="1"/>
    <xf numFmtId="0" fontId="0" fillId="0" borderId="13" xfId="0" applyBorder="1"/>
    <xf numFmtId="0" fontId="0" fillId="18" borderId="0" xfId="0" applyFill="1"/>
    <xf numFmtId="0" fontId="39" fillId="0" borderId="0" xfId="0" applyFont="1"/>
    <xf numFmtId="0" fontId="59" fillId="0" borderId="0" xfId="335" applyFont="1"/>
    <xf numFmtId="0" fontId="19" fillId="3" borderId="0" xfId="0" applyFont="1" applyFill="1"/>
    <xf numFmtId="0" fontId="60" fillId="0" borderId="0" xfId="0" applyFont="1"/>
    <xf numFmtId="0" fontId="61" fillId="0" borderId="0" xfId="0" applyFont="1"/>
    <xf numFmtId="44" fontId="19" fillId="0" borderId="0" xfId="332" applyFont="1"/>
    <xf numFmtId="177" fontId="19" fillId="0" borderId="0" xfId="0" applyNumberFormat="1" applyFont="1"/>
    <xf numFmtId="0" fontId="62" fillId="0" borderId="0" xfId="0" applyFont="1"/>
    <xf numFmtId="44" fontId="61" fillId="0" borderId="0" xfId="332" applyFont="1"/>
    <xf numFmtId="178" fontId="60" fillId="0" borderId="0" xfId="0" applyNumberFormat="1" applyFont="1"/>
    <xf numFmtId="10" fontId="61" fillId="0" borderId="0" xfId="333" applyNumberFormat="1" applyFont="1"/>
    <xf numFmtId="10" fontId="61" fillId="0" borderId="0" xfId="0" applyNumberFormat="1" applyFont="1"/>
    <xf numFmtId="44" fontId="53" fillId="13" borderId="1" xfId="332" applyNumberFormat="1" applyFont="1" applyFill="1" applyBorder="1" applyAlignment="1" applyProtection="1">
      <alignment horizontal="center" vertical="center"/>
    </xf>
    <xf numFmtId="10" fontId="19" fillId="5" borderId="0" xfId="0" applyNumberFormat="1" applyFont="1" applyFill="1" applyAlignment="1">
      <alignment horizontal="center" vertical="center"/>
    </xf>
    <xf numFmtId="10" fontId="53" fillId="13" borderId="1" xfId="333" applyNumberFormat="1" applyFont="1" applyFill="1" applyBorder="1" applyAlignment="1" applyProtection="1">
      <alignment horizontal="center" vertical="center"/>
    </xf>
    <xf numFmtId="10" fontId="55" fillId="5" borderId="0" xfId="333" applyNumberFormat="1" applyFont="1" applyFill="1" applyBorder="1" applyAlignment="1" applyProtection="1">
      <alignment vertical="center"/>
    </xf>
    <xf numFmtId="10" fontId="55" fillId="5" borderId="0" xfId="333" applyNumberFormat="1" applyFont="1" applyFill="1" applyBorder="1" applyAlignment="1" applyProtection="1">
      <alignment horizontal="center" vertical="center"/>
    </xf>
    <xf numFmtId="0" fontId="19" fillId="0" borderId="1" xfId="0" applyFont="1" applyFill="1" applyBorder="1" applyAlignment="1" applyProtection="1">
      <alignment horizontal="center" vertical="center"/>
    </xf>
    <xf numFmtId="44" fontId="19" fillId="14" borderId="0" xfId="332" applyFont="1" applyFill="1" applyBorder="1" applyAlignment="1" applyProtection="1">
      <alignment horizontal="center" vertical="center"/>
    </xf>
    <xf numFmtId="0" fontId="43" fillId="18" borderId="0" xfId="0" applyFont="1" applyFill="1" applyBorder="1" applyAlignment="1" applyProtection="1">
      <protection locked="0"/>
    </xf>
    <xf numFmtId="0" fontId="43" fillId="18" borderId="0" xfId="0" applyFont="1" applyFill="1" applyBorder="1" applyAlignment="1" applyProtection="1">
      <alignment horizontal="right"/>
      <protection locked="0"/>
    </xf>
    <xf numFmtId="0" fontId="38" fillId="18" borderId="0" xfId="0" applyFont="1" applyFill="1"/>
    <xf numFmtId="0" fontId="45" fillId="18" borderId="0" xfId="0" applyFont="1" applyFill="1" applyBorder="1"/>
    <xf numFmtId="1" fontId="45" fillId="18" borderId="0" xfId="0" applyNumberFormat="1" applyFont="1" applyFill="1" applyBorder="1" applyProtection="1">
      <protection locked="0"/>
    </xf>
    <xf numFmtId="44" fontId="36" fillId="0" borderId="0" xfId="0" applyNumberFormat="1" applyFont="1" applyFill="1" applyBorder="1" applyAlignment="1">
      <alignment horizontal="right" vertical="center"/>
    </xf>
    <xf numFmtId="44" fontId="19" fillId="3" borderId="0" xfId="0" applyNumberFormat="1" applyFont="1" applyFill="1" applyBorder="1" applyProtection="1"/>
    <xf numFmtId="44" fontId="19" fillId="3" borderId="0" xfId="332" applyFont="1" applyFill="1" applyBorder="1" applyProtection="1"/>
    <xf numFmtId="4" fontId="19" fillId="3" borderId="0" xfId="0" applyNumberFormat="1" applyFont="1" applyFill="1" applyBorder="1" applyProtection="1"/>
    <xf numFmtId="44" fontId="19" fillId="14" borderId="0" xfId="332" applyFont="1" applyFill="1" applyBorder="1" applyAlignment="1" applyProtection="1">
      <alignment vertical="center"/>
    </xf>
    <xf numFmtId="0" fontId="19" fillId="0" borderId="0" xfId="0" applyFont="1" applyBorder="1"/>
    <xf numFmtId="0" fontId="43" fillId="0" borderId="2" xfId="0" applyFont="1" applyBorder="1" applyProtection="1">
      <protection locked="0"/>
    </xf>
    <xf numFmtId="0" fontId="0" fillId="0" borderId="4" xfId="0" applyBorder="1"/>
    <xf numFmtId="0" fontId="43" fillId="0" borderId="5" xfId="0" applyFont="1" applyBorder="1" applyAlignment="1" applyProtection="1">
      <alignment horizontal="right"/>
      <protection locked="0"/>
    </xf>
    <xf numFmtId="0" fontId="43" fillId="0" borderId="0" xfId="0" applyFont="1" applyBorder="1" applyAlignment="1" applyProtection="1">
      <alignment horizontal="right"/>
      <protection locked="0"/>
    </xf>
    <xf numFmtId="1" fontId="43" fillId="0" borderId="0" xfId="0" applyNumberFormat="1" applyFont="1" applyBorder="1" applyAlignment="1" applyProtection="1">
      <alignment horizontal="right" wrapText="1"/>
      <protection locked="0"/>
    </xf>
    <xf numFmtId="0" fontId="45" fillId="0" borderId="0" xfId="0" applyFont="1" applyBorder="1"/>
    <xf numFmtId="0" fontId="38" fillId="0" borderId="5" xfId="0" applyFont="1" applyFill="1" applyBorder="1"/>
    <xf numFmtId="0" fontId="38" fillId="0" borderId="0" xfId="0" applyFont="1" applyFill="1" applyBorder="1"/>
    <xf numFmtId="0" fontId="38" fillId="0" borderId="6" xfId="0" applyFont="1" applyFill="1" applyBorder="1"/>
    <xf numFmtId="0" fontId="43" fillId="0" borderId="5" xfId="0" applyFont="1" applyBorder="1" applyProtection="1">
      <protection locked="0"/>
    </xf>
    <xf numFmtId="0" fontId="45" fillId="0" borderId="8" xfId="0" applyFont="1" applyBorder="1"/>
    <xf numFmtId="179" fontId="45" fillId="0" borderId="0" xfId="0" applyNumberFormat="1" applyFont="1" applyBorder="1"/>
    <xf numFmtId="0" fontId="19" fillId="13" borderId="1" xfId="0" applyFont="1" applyFill="1" applyBorder="1" applyAlignment="1" applyProtection="1">
      <alignment horizontal="center" vertical="center"/>
      <protection locked="0"/>
    </xf>
    <xf numFmtId="8" fontId="19" fillId="3" borderId="0" xfId="332" applyNumberFormat="1" applyFont="1" applyFill="1" applyBorder="1" applyProtection="1"/>
    <xf numFmtId="1" fontId="19" fillId="2" borderId="1" xfId="0" applyNumberFormat="1" applyFont="1" applyFill="1" applyBorder="1" applyAlignment="1" applyProtection="1">
      <alignment horizontal="center" vertical="center" wrapText="1"/>
    </xf>
    <xf numFmtId="0" fontId="37" fillId="0" borderId="2" xfId="0" applyFont="1" applyFill="1" applyBorder="1" applyAlignment="1">
      <alignment horizontal="right" vertical="center"/>
    </xf>
    <xf numFmtId="0" fontId="37" fillId="0" borderId="3" xfId="0" applyFont="1" applyFill="1" applyBorder="1" applyAlignment="1">
      <alignment horizontal="right" vertical="center"/>
    </xf>
    <xf numFmtId="0" fontId="37" fillId="0" borderId="4" xfId="0" applyFont="1" applyFill="1" applyBorder="1" applyAlignment="1">
      <alignment horizontal="right" vertical="center"/>
    </xf>
    <xf numFmtId="0" fontId="36" fillId="0" borderId="5" xfId="0" applyFont="1" applyFill="1" applyBorder="1" applyAlignment="1">
      <alignment horizontal="center" vertical="center"/>
    </xf>
    <xf numFmtId="44" fontId="36" fillId="0" borderId="6" xfId="0" applyNumberFormat="1" applyFont="1" applyFill="1" applyBorder="1" applyAlignment="1">
      <alignment horizontal="right" vertical="center"/>
    </xf>
    <xf numFmtId="0" fontId="36" fillId="0" borderId="7" xfId="0" applyFont="1" applyFill="1" applyBorder="1" applyAlignment="1">
      <alignment horizontal="center" vertical="center"/>
    </xf>
    <xf numFmtId="44" fontId="36" fillId="0" borderId="8" xfId="0" applyNumberFormat="1" applyFont="1" applyFill="1" applyBorder="1" applyAlignment="1">
      <alignment horizontal="right" vertical="center"/>
    </xf>
    <xf numFmtId="44" fontId="36" fillId="0" borderId="9" xfId="0" applyNumberFormat="1" applyFont="1" applyFill="1" applyBorder="1" applyAlignment="1">
      <alignment horizontal="right" vertical="center"/>
    </xf>
    <xf numFmtId="44" fontId="36" fillId="0" borderId="0" xfId="332" applyFont="1" applyFill="1" applyBorder="1" applyAlignment="1">
      <alignment horizontal="right" vertical="center"/>
    </xf>
    <xf numFmtId="0" fontId="43" fillId="0" borderId="0" xfId="0" applyFont="1" applyAlignment="1" applyProtection="1">
      <alignment horizontal="right"/>
      <protection locked="0"/>
    </xf>
    <xf numFmtId="1" fontId="43" fillId="0" borderId="0" xfId="0" applyNumberFormat="1" applyFont="1" applyAlignment="1" applyProtection="1">
      <alignment horizontal="right" wrapText="1"/>
      <protection locked="0"/>
    </xf>
    <xf numFmtId="0" fontId="45" fillId="0" borderId="0" xfId="0" applyFont="1"/>
    <xf numFmtId="0" fontId="19" fillId="14" borderId="0" xfId="0" applyFont="1" applyFill="1" applyBorder="1" applyAlignment="1">
      <alignment wrapText="1"/>
    </xf>
    <xf numFmtId="0" fontId="19" fillId="14" borderId="0" xfId="0" applyFont="1" applyFill="1"/>
    <xf numFmtId="0" fontId="0" fillId="0" borderId="0" xfId="0" applyFont="1" applyBorder="1"/>
    <xf numFmtId="1" fontId="43" fillId="3" borderId="0" xfId="0" applyNumberFormat="1" applyFont="1" applyFill="1" applyBorder="1" applyAlignment="1" applyProtection="1">
      <alignment horizontal="right" wrapText="1"/>
      <protection locked="0"/>
    </xf>
    <xf numFmtId="1" fontId="43" fillId="3" borderId="6" xfId="0" applyNumberFormat="1" applyFont="1" applyFill="1" applyBorder="1" applyAlignment="1" applyProtection="1">
      <alignment horizontal="right" wrapText="1"/>
      <protection locked="0"/>
    </xf>
    <xf numFmtId="0" fontId="0" fillId="0" borderId="5" xfId="0" applyFont="1" applyBorder="1"/>
    <xf numFmtId="2" fontId="45" fillId="3" borderId="0" xfId="0" applyNumberFormat="1" applyFont="1" applyFill="1" applyBorder="1"/>
    <xf numFmtId="0" fontId="0" fillId="0" borderId="6" xfId="0" applyFont="1" applyBorder="1"/>
    <xf numFmtId="0" fontId="0" fillId="0" borderId="7" xfId="0" applyFont="1" applyBorder="1"/>
    <xf numFmtId="0" fontId="0" fillId="0" borderId="0" xfId="0" applyFont="1"/>
    <xf numFmtId="1" fontId="43" fillId="3" borderId="0" xfId="0" applyNumberFormat="1" applyFont="1" applyFill="1" applyAlignment="1" applyProtection="1">
      <alignment horizontal="right" wrapText="1"/>
      <protection locked="0"/>
    </xf>
    <xf numFmtId="2" fontId="45" fillId="3" borderId="0" xfId="0" applyNumberFormat="1" applyFont="1" applyFill="1"/>
    <xf numFmtId="0" fontId="19" fillId="0" borderId="12" xfId="0" applyFont="1" applyBorder="1"/>
    <xf numFmtId="0" fontId="21" fillId="4" borderId="0" xfId="0" applyFont="1" applyFill="1" applyAlignment="1" applyProtection="1">
      <alignment horizontal="center"/>
    </xf>
    <xf numFmtId="0" fontId="24" fillId="5" borderId="5" xfId="1" applyFont="1" applyFill="1" applyBorder="1" applyAlignment="1" applyProtection="1">
      <alignment horizontal="left" vertical="center"/>
      <protection hidden="1"/>
    </xf>
    <xf numFmtId="0" fontId="66" fillId="19" borderId="0" xfId="0" applyFont="1" applyFill="1" applyAlignment="1">
      <alignment horizontal="left"/>
    </xf>
    <xf numFmtId="0" fontId="66" fillId="19" borderId="0" xfId="0" applyFont="1" applyFill="1" applyAlignment="1">
      <alignment horizontal="center"/>
    </xf>
    <xf numFmtId="0" fontId="67" fillId="16" borderId="1" xfId="0" applyFont="1" applyFill="1" applyBorder="1" applyAlignment="1">
      <alignment vertical="top" wrapText="1"/>
    </xf>
    <xf numFmtId="0" fontId="67" fillId="16" borderId="1" xfId="0" applyFont="1" applyFill="1" applyBorder="1" applyAlignment="1">
      <alignment horizontal="center" vertical="top" wrapText="1"/>
    </xf>
    <xf numFmtId="0" fontId="0" fillId="0" borderId="0" xfId="0" applyAlignment="1">
      <alignment horizontal="center"/>
    </xf>
    <xf numFmtId="0" fontId="51" fillId="0" borderId="1" xfId="0" applyFont="1" applyBorder="1" applyAlignment="1">
      <alignment horizontal="left"/>
    </xf>
    <xf numFmtId="1" fontId="51" fillId="0" borderId="1" xfId="0" applyNumberFormat="1" applyFont="1" applyBorder="1" applyAlignment="1">
      <alignment horizontal="center"/>
    </xf>
    <xf numFmtId="178" fontId="0" fillId="0" borderId="0" xfId="333" applyNumberFormat="1" applyFont="1" applyAlignment="1">
      <alignment horizontal="center"/>
    </xf>
    <xf numFmtId="2" fontId="0" fillId="0" borderId="0" xfId="0" applyNumberFormat="1" applyAlignment="1">
      <alignment horizontal="center"/>
    </xf>
    <xf numFmtId="178" fontId="0" fillId="0" borderId="0" xfId="0" applyNumberFormat="1" applyAlignment="1">
      <alignment horizontal="center"/>
    </xf>
    <xf numFmtId="10" fontId="64" fillId="0" borderId="0" xfId="333" applyNumberFormat="1" applyFont="1" applyAlignment="1">
      <alignment horizontal="center"/>
    </xf>
    <xf numFmtId="0" fontId="68" fillId="0" borderId="0" xfId="0" applyFont="1" applyAlignment="1">
      <alignment vertical="center"/>
    </xf>
    <xf numFmtId="0" fontId="0" fillId="0" borderId="0" xfId="0" applyAlignment="1">
      <alignment horizontal="left"/>
    </xf>
    <xf numFmtId="0" fontId="67" fillId="16" borderId="11" xfId="0" applyFont="1" applyFill="1" applyBorder="1" applyAlignment="1">
      <alignment horizontal="center" vertical="top" wrapText="1"/>
    </xf>
    <xf numFmtId="0" fontId="67" fillId="16" borderId="14" xfId="0" applyFont="1" applyFill="1" applyBorder="1" applyAlignment="1">
      <alignment horizontal="center" vertical="top" wrapText="1"/>
    </xf>
    <xf numFmtId="0" fontId="67" fillId="16" borderId="15" xfId="0" applyFont="1" applyFill="1" applyBorder="1" applyAlignment="1">
      <alignment horizontal="center" vertical="top" wrapText="1"/>
    </xf>
    <xf numFmtId="180" fontId="51" fillId="0" borderId="1" xfId="0" applyNumberFormat="1" applyFont="1" applyBorder="1" applyAlignment="1">
      <alignment horizontal="center"/>
    </xf>
    <xf numFmtId="1" fontId="51" fillId="0" borderId="11" xfId="0" applyNumberFormat="1" applyFont="1" applyBorder="1" applyAlignment="1">
      <alignment horizontal="center"/>
    </xf>
    <xf numFmtId="2" fontId="51" fillId="0" borderId="16" xfId="0" applyNumberFormat="1" applyFont="1" applyBorder="1" applyAlignment="1">
      <alignment horizontal="center"/>
    </xf>
    <xf numFmtId="2" fontId="51" fillId="0" borderId="17" xfId="0" applyNumberFormat="1" applyFont="1" applyBorder="1" applyAlignment="1">
      <alignment horizontal="center"/>
    </xf>
    <xf numFmtId="2" fontId="51" fillId="0" borderId="18" xfId="0" applyNumberFormat="1" applyFont="1" applyBorder="1" applyAlignment="1">
      <alignment horizontal="center"/>
    </xf>
    <xf numFmtId="2" fontId="51" fillId="0" borderId="19" xfId="0" applyNumberFormat="1" applyFont="1" applyBorder="1" applyAlignment="1">
      <alignment horizontal="center"/>
    </xf>
    <xf numFmtId="0" fontId="66" fillId="20" borderId="0" xfId="0" applyFont="1" applyFill="1" applyAlignment="1">
      <alignment horizontal="left"/>
    </xf>
    <xf numFmtId="0" fontId="66" fillId="0" borderId="0" xfId="0" applyFont="1" applyAlignment="1">
      <alignment horizontal="left"/>
    </xf>
    <xf numFmtId="0" fontId="64" fillId="0" borderId="0" xfId="0" applyFont="1"/>
    <xf numFmtId="0" fontId="64" fillId="17" borderId="0" xfId="0" applyFont="1" applyFill="1"/>
    <xf numFmtId="0" fontId="64" fillId="17" borderId="0" xfId="0" applyFont="1" applyFill="1" applyAlignment="1">
      <alignment horizontal="center"/>
    </xf>
    <xf numFmtId="0" fontId="0" fillId="17" borderId="0" xfId="0" applyFill="1" applyAlignment="1">
      <alignment horizontal="center"/>
    </xf>
    <xf numFmtId="0" fontId="11" fillId="4" borderId="0" xfId="0" applyFont="1" applyFill="1" applyProtection="1">
      <protection hidden="1"/>
    </xf>
    <xf numFmtId="0" fontId="24" fillId="4" borderId="0" xfId="0" applyFont="1" applyFill="1" applyProtection="1">
      <protection hidden="1"/>
    </xf>
    <xf numFmtId="0" fontId="20" fillId="4" borderId="0" xfId="0" applyFont="1" applyFill="1" applyProtection="1">
      <protection hidden="1"/>
    </xf>
    <xf numFmtId="0" fontId="11" fillId="4" borderId="0" xfId="0" applyFont="1" applyFill="1" applyAlignment="1" applyProtection="1">
      <alignment horizontal="center"/>
      <protection hidden="1"/>
    </xf>
    <xf numFmtId="0" fontId="0" fillId="0" borderId="0" xfId="0" applyProtection="1">
      <protection hidden="1"/>
    </xf>
    <xf numFmtId="0" fontId="70" fillId="4" borderId="0" xfId="0" applyFont="1" applyFill="1" applyAlignment="1" applyProtection="1">
      <alignment vertical="center"/>
      <protection hidden="1"/>
    </xf>
    <xf numFmtId="0" fontId="27" fillId="4" borderId="0" xfId="0" applyFont="1" applyFill="1" applyAlignment="1" applyProtection="1">
      <alignment vertical="center"/>
      <protection hidden="1"/>
    </xf>
    <xf numFmtId="0" fontId="11" fillId="4" borderId="0" xfId="0" applyFont="1" applyFill="1" applyAlignment="1" applyProtection="1">
      <alignment vertical="center"/>
      <protection hidden="1"/>
    </xf>
    <xf numFmtId="0" fontId="20" fillId="4" borderId="0" xfId="0" applyFont="1" applyFill="1" applyAlignment="1" applyProtection="1">
      <alignment vertical="center"/>
      <protection hidden="1"/>
    </xf>
    <xf numFmtId="0" fontId="11" fillId="4" borderId="0" xfId="0" applyFont="1" applyFill="1" applyAlignment="1" applyProtection="1">
      <alignment horizontal="center" vertical="center"/>
      <protection hidden="1"/>
    </xf>
    <xf numFmtId="0" fontId="0" fillId="2" borderId="0" xfId="0" applyFill="1" applyAlignment="1" applyProtection="1">
      <alignment vertical="center"/>
      <protection hidden="1"/>
    </xf>
    <xf numFmtId="0" fontId="0" fillId="0" borderId="0" xfId="0" applyAlignment="1" applyProtection="1">
      <alignment vertical="center"/>
      <protection hidden="1"/>
    </xf>
    <xf numFmtId="0" fontId="11" fillId="4" borderId="0" xfId="0" applyFont="1" applyFill="1" applyAlignment="1" applyProtection="1">
      <alignment vertical="top"/>
      <protection hidden="1"/>
    </xf>
    <xf numFmtId="0" fontId="25" fillId="4" borderId="0" xfId="0" quotePrefix="1" applyFont="1" applyFill="1" applyAlignment="1" applyProtection="1">
      <alignment vertical="top"/>
      <protection hidden="1"/>
    </xf>
    <xf numFmtId="0" fontId="20" fillId="4" borderId="0" xfId="0" applyFont="1" applyFill="1" applyAlignment="1" applyProtection="1">
      <alignment vertical="top"/>
      <protection hidden="1"/>
    </xf>
    <xf numFmtId="0" fontId="11" fillId="4" borderId="0" xfId="0" applyFont="1" applyFill="1" applyAlignment="1" applyProtection="1">
      <alignment horizontal="center" vertical="top"/>
      <protection hidden="1"/>
    </xf>
    <xf numFmtId="0" fontId="0" fillId="2" borderId="0" xfId="0" applyFill="1" applyAlignment="1" applyProtection="1">
      <alignment vertical="top"/>
      <protection hidden="1"/>
    </xf>
    <xf numFmtId="0" fontId="0" fillId="0" borderId="0" xfId="0" applyAlignment="1" applyProtection="1">
      <alignment vertical="top"/>
      <protection hidden="1"/>
    </xf>
    <xf numFmtId="0" fontId="57" fillId="4" borderId="0" xfId="0" applyFont="1" applyFill="1" applyProtection="1">
      <protection hidden="1"/>
    </xf>
    <xf numFmtId="0" fontId="0" fillId="2" borderId="0" xfId="0" applyFill="1" applyProtection="1">
      <protection hidden="1"/>
    </xf>
    <xf numFmtId="0" fontId="41" fillId="5" borderId="2" xfId="1" applyFont="1" applyFill="1" applyBorder="1" applyProtection="1">
      <protection hidden="1"/>
    </xf>
    <xf numFmtId="0" fontId="41" fillId="5" borderId="3" xfId="1" applyFont="1" applyFill="1" applyBorder="1" applyProtection="1">
      <protection hidden="1"/>
    </xf>
    <xf numFmtId="0" fontId="11" fillId="5" borderId="3" xfId="0" applyFont="1" applyFill="1" applyBorder="1" applyAlignment="1" applyProtection="1">
      <alignment horizontal="center"/>
      <protection hidden="1"/>
    </xf>
    <xf numFmtId="0" fontId="11" fillId="5" borderId="4" xfId="0" applyFont="1" applyFill="1" applyBorder="1" applyProtection="1">
      <protection hidden="1"/>
    </xf>
    <xf numFmtId="0" fontId="24" fillId="5" borderId="5" xfId="1" applyFont="1" applyFill="1" applyBorder="1" applyAlignment="1" applyProtection="1">
      <alignment vertical="center"/>
      <protection hidden="1"/>
    </xf>
    <xf numFmtId="0" fontId="71" fillId="5" borderId="0" xfId="1" applyFont="1" applyFill="1" applyBorder="1" applyAlignment="1" applyProtection="1">
      <alignment vertical="center"/>
      <protection hidden="1"/>
    </xf>
    <xf numFmtId="0" fontId="41" fillId="5" borderId="0" xfId="1" applyFont="1" applyFill="1" applyBorder="1" applyAlignment="1" applyProtection="1">
      <alignment vertical="center"/>
      <protection hidden="1"/>
    </xf>
    <xf numFmtId="0" fontId="11" fillId="5" borderId="0" xfId="0" applyFont="1" applyFill="1" applyAlignment="1" applyProtection="1">
      <alignment horizontal="center" vertical="center"/>
      <protection hidden="1"/>
    </xf>
    <xf numFmtId="0" fontId="11" fillId="5" borderId="6" xfId="0" applyFont="1" applyFill="1" applyBorder="1" applyAlignment="1" applyProtection="1">
      <alignment vertical="center"/>
      <protection hidden="1"/>
    </xf>
    <xf numFmtId="0" fontId="4" fillId="5" borderId="0" xfId="0" applyFont="1" applyFill="1" applyProtection="1">
      <protection hidden="1"/>
    </xf>
    <xf numFmtId="0" fontId="39" fillId="5" borderId="0" xfId="0" applyFont="1" applyFill="1" applyProtection="1">
      <protection hidden="1"/>
    </xf>
    <xf numFmtId="0" fontId="72" fillId="5" borderId="0" xfId="0" applyFont="1" applyFill="1" applyProtection="1">
      <protection hidden="1"/>
    </xf>
    <xf numFmtId="0" fontId="57" fillId="5" borderId="5" xfId="0" applyFont="1" applyFill="1" applyBorder="1" applyProtection="1">
      <protection hidden="1"/>
    </xf>
    <xf numFmtId="0" fontId="39" fillId="5" borderId="0" xfId="0" applyFont="1" applyFill="1" applyAlignment="1" applyProtection="1">
      <alignment vertical="center"/>
      <protection hidden="1"/>
    </xf>
    <xf numFmtId="0" fontId="20" fillId="5" borderId="0" xfId="0" applyFont="1" applyFill="1" applyProtection="1">
      <protection hidden="1"/>
    </xf>
    <xf numFmtId="0" fontId="11" fillId="5" borderId="0" xfId="0" applyFont="1" applyFill="1" applyAlignment="1" applyProtection="1">
      <alignment horizontal="center"/>
      <protection hidden="1"/>
    </xf>
    <xf numFmtId="0" fontId="11" fillId="5" borderId="0" xfId="0" applyFont="1" applyFill="1" applyProtection="1">
      <protection hidden="1"/>
    </xf>
    <xf numFmtId="0" fontId="11" fillId="5" borderId="6" xfId="0" applyFont="1" applyFill="1" applyBorder="1" applyProtection="1">
      <protection hidden="1"/>
    </xf>
    <xf numFmtId="0" fontId="19" fillId="5" borderId="0" xfId="0" applyFont="1" applyFill="1" applyProtection="1">
      <protection hidden="1"/>
    </xf>
    <xf numFmtId="0" fontId="42" fillId="5" borderId="7" xfId="0" applyFont="1" applyFill="1" applyBorder="1" applyProtection="1">
      <protection hidden="1"/>
    </xf>
    <xf numFmtId="0" fontId="42" fillId="5" borderId="8" xfId="0" applyFont="1" applyFill="1" applyBorder="1" applyProtection="1">
      <protection hidden="1"/>
    </xf>
    <xf numFmtId="0" fontId="18" fillId="5" borderId="8" xfId="0" applyFont="1" applyFill="1" applyBorder="1" applyProtection="1">
      <protection hidden="1"/>
    </xf>
    <xf numFmtId="0" fontId="42" fillId="5" borderId="8" xfId="0" applyFont="1" applyFill="1" applyBorder="1" applyAlignment="1" applyProtection="1">
      <alignment horizontal="center"/>
      <protection hidden="1"/>
    </xf>
    <xf numFmtId="0" fontId="42" fillId="5" borderId="9" xfId="0" applyFont="1" applyFill="1" applyBorder="1" applyProtection="1">
      <protection hidden="1"/>
    </xf>
    <xf numFmtId="0" fontId="11" fillId="4" borderId="0" xfId="0" applyFont="1" applyFill="1" applyProtection="1">
      <protection locked="0"/>
    </xf>
    <xf numFmtId="0" fontId="42" fillId="3" borderId="2" xfId="0" applyFont="1" applyFill="1" applyBorder="1" applyProtection="1">
      <protection locked="0"/>
    </xf>
    <xf numFmtId="0" fontId="42" fillId="3" borderId="3" xfId="0" applyFont="1" applyFill="1" applyBorder="1" applyProtection="1">
      <protection locked="0"/>
    </xf>
    <xf numFmtId="0" fontId="18" fillId="3" borderId="3" xfId="0" applyFont="1" applyFill="1" applyBorder="1" applyProtection="1">
      <protection locked="0"/>
    </xf>
    <xf numFmtId="0" fontId="42" fillId="3" borderId="3" xfId="0" applyFont="1" applyFill="1" applyBorder="1" applyAlignment="1" applyProtection="1">
      <alignment horizontal="center"/>
      <protection locked="0"/>
    </xf>
    <xf numFmtId="0" fontId="42" fillId="3" borderId="4" xfId="0" applyFont="1" applyFill="1" applyBorder="1" applyProtection="1">
      <protection hidden="1"/>
    </xf>
    <xf numFmtId="0" fontId="41" fillId="3" borderId="5" xfId="1" applyFont="1" applyFill="1" applyBorder="1" applyAlignment="1" applyProtection="1">
      <protection locked="0"/>
    </xf>
    <xf numFmtId="0" fontId="71" fillId="3" borderId="0" xfId="1" applyFont="1" applyFill="1" applyAlignment="1" applyProtection="1">
      <protection locked="0"/>
    </xf>
    <xf numFmtId="0" fontId="41" fillId="3" borderId="0" xfId="1" applyFont="1" applyFill="1" applyAlignment="1" applyProtection="1">
      <protection locked="0"/>
    </xf>
    <xf numFmtId="0" fontId="42" fillId="3" borderId="0" xfId="0" applyFont="1" applyFill="1" applyAlignment="1" applyProtection="1">
      <alignment horizontal="center"/>
      <protection locked="0"/>
    </xf>
    <xf numFmtId="0" fontId="42" fillId="3" borderId="0" xfId="0" applyFont="1" applyFill="1" applyProtection="1">
      <protection locked="0"/>
    </xf>
    <xf numFmtId="0" fontId="42" fillId="3" borderId="6" xfId="0" applyFont="1" applyFill="1" applyBorder="1" applyProtection="1">
      <protection hidden="1"/>
    </xf>
    <xf numFmtId="0" fontId="42" fillId="3" borderId="5" xfId="0"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42" fillId="3" borderId="5" xfId="0" applyFont="1" applyFill="1" applyBorder="1" applyProtection="1">
      <protection locked="0"/>
    </xf>
    <xf numFmtId="3" fontId="19" fillId="3" borderId="0" xfId="336" applyNumberFormat="1" applyFont="1" applyFill="1" applyAlignment="1" applyProtection="1">
      <alignment horizontal="right"/>
      <protection locked="0"/>
    </xf>
    <xf numFmtId="0" fontId="58" fillId="3" borderId="0" xfId="0" applyFont="1" applyFill="1" applyProtection="1">
      <protection locked="0"/>
    </xf>
    <xf numFmtId="3" fontId="42" fillId="3" borderId="0" xfId="336" applyNumberFormat="1" applyFont="1" applyFill="1" applyAlignment="1" applyProtection="1">
      <alignment horizontal="right"/>
      <protection locked="0"/>
    </xf>
    <xf numFmtId="0" fontId="24" fillId="3" borderId="0" xfId="0" applyFont="1" applyFill="1" applyProtection="1">
      <protection locked="0"/>
    </xf>
    <xf numFmtId="0" fontId="25" fillId="3" borderId="0" xfId="0" applyFont="1" applyFill="1" applyProtection="1">
      <protection locked="0"/>
    </xf>
    <xf numFmtId="3" fontId="25" fillId="3" borderId="0" xfId="336" applyNumberFormat="1" applyFont="1" applyFill="1" applyAlignment="1" applyProtection="1">
      <alignment horizontal="right"/>
      <protection locked="0"/>
    </xf>
    <xf numFmtId="181" fontId="25" fillId="3" borderId="0" xfId="336" applyNumberFormat="1" applyFont="1" applyFill="1" applyAlignment="1" applyProtection="1">
      <alignment horizontal="center"/>
      <protection locked="0"/>
    </xf>
    <xf numFmtId="181" fontId="25" fillId="3" borderId="0" xfId="336" applyNumberFormat="1" applyFont="1" applyFill="1" applyProtection="1">
      <protection locked="0"/>
    </xf>
    <xf numFmtId="173" fontId="24" fillId="3" borderId="0" xfId="336" applyNumberFormat="1" applyFont="1" applyFill="1" applyAlignment="1" applyProtection="1">
      <alignment horizontal="right"/>
      <protection locked="0"/>
    </xf>
    <xf numFmtId="0" fontId="17" fillId="3" borderId="0" xfId="0" applyFont="1" applyFill="1" applyProtection="1">
      <protection locked="0"/>
    </xf>
    <xf numFmtId="1" fontId="24" fillId="3" borderId="0" xfId="0" applyNumberFormat="1" applyFont="1" applyFill="1" applyAlignment="1" applyProtection="1">
      <alignment horizontal="center"/>
      <protection locked="0"/>
    </xf>
    <xf numFmtId="0" fontId="25" fillId="3" borderId="0" xfId="0" applyFont="1" applyFill="1" applyAlignment="1" applyProtection="1">
      <alignment horizontal="center"/>
      <protection locked="0"/>
    </xf>
    <xf numFmtId="0" fontId="18" fillId="3" borderId="0" xfId="0" applyFont="1" applyFill="1" applyProtection="1">
      <protection locked="0"/>
    </xf>
    <xf numFmtId="1" fontId="42" fillId="3" borderId="0" xfId="0" applyNumberFormat="1" applyFont="1" applyFill="1" applyAlignment="1" applyProtection="1">
      <alignment horizontal="center"/>
      <protection locked="0"/>
    </xf>
    <xf numFmtId="0" fontId="73" fillId="4" borderId="0" xfId="0" applyFont="1" applyFill="1" applyProtection="1">
      <protection hidden="1"/>
    </xf>
    <xf numFmtId="0" fontId="73" fillId="3" borderId="5" xfId="0" applyFont="1" applyFill="1" applyBorder="1" applyProtection="1">
      <protection hidden="1"/>
    </xf>
    <xf numFmtId="0" fontId="73" fillId="3" borderId="0" xfId="0" applyFont="1" applyFill="1" applyProtection="1">
      <protection hidden="1"/>
    </xf>
    <xf numFmtId="0" fontId="74" fillId="3" borderId="0" xfId="0" applyFont="1" applyFill="1" applyProtection="1">
      <protection hidden="1"/>
    </xf>
    <xf numFmtId="0" fontId="73" fillId="3" borderId="6" xfId="0" applyFont="1" applyFill="1" applyBorder="1" applyProtection="1">
      <protection hidden="1"/>
    </xf>
    <xf numFmtId="0" fontId="75" fillId="2" borderId="0" xfId="0" applyFont="1" applyFill="1" applyProtection="1">
      <protection hidden="1"/>
    </xf>
    <xf numFmtId="0" fontId="75" fillId="4" borderId="0" xfId="0" applyFont="1" applyFill="1" applyProtection="1">
      <protection hidden="1"/>
    </xf>
    <xf numFmtId="0" fontId="75" fillId="3" borderId="5" xfId="0" applyFont="1" applyFill="1" applyBorder="1" applyProtection="1">
      <protection hidden="1"/>
    </xf>
    <xf numFmtId="0" fontId="75" fillId="3" borderId="0" xfId="0" applyFont="1" applyFill="1" applyProtection="1">
      <protection hidden="1"/>
    </xf>
    <xf numFmtId="1" fontId="73" fillId="3" borderId="6" xfId="0" applyNumberFormat="1" applyFont="1" applyFill="1" applyBorder="1" applyProtection="1">
      <protection hidden="1"/>
    </xf>
    <xf numFmtId="0" fontId="75" fillId="3" borderId="7" xfId="0" applyFont="1" applyFill="1" applyBorder="1" applyProtection="1">
      <protection hidden="1"/>
    </xf>
    <xf numFmtId="0" fontId="75" fillId="3" borderId="8" xfId="0" applyFont="1" applyFill="1" applyBorder="1" applyProtection="1">
      <protection hidden="1"/>
    </xf>
    <xf numFmtId="1" fontId="73" fillId="3" borderId="9" xfId="0" applyNumberFormat="1" applyFont="1" applyFill="1" applyBorder="1" applyProtection="1">
      <protection hidden="1"/>
    </xf>
    <xf numFmtId="1" fontId="73" fillId="4" borderId="0" xfId="0" applyNumberFormat="1" applyFont="1" applyFill="1" applyProtection="1">
      <protection hidden="1"/>
    </xf>
    <xf numFmtId="1" fontId="73" fillId="2" borderId="0" xfId="0" applyNumberFormat="1" applyFont="1" applyFill="1" applyProtection="1">
      <protection hidden="1"/>
    </xf>
    <xf numFmtId="0" fontId="73" fillId="2" borderId="0" xfId="0" applyFont="1" applyFill="1" applyProtection="1">
      <protection hidden="1"/>
    </xf>
    <xf numFmtId="1" fontId="75" fillId="2" borderId="0" xfId="0" applyNumberFormat="1" applyFont="1" applyFill="1" applyAlignment="1" applyProtection="1">
      <alignment wrapText="1"/>
      <protection hidden="1"/>
    </xf>
    <xf numFmtId="0" fontId="76" fillId="2" borderId="0" xfId="0" applyFont="1" applyFill="1" applyProtection="1">
      <protection hidden="1"/>
    </xf>
    <xf numFmtId="0" fontId="77" fillId="2" borderId="0" xfId="0" applyFont="1" applyFill="1" applyProtection="1">
      <protection hidden="1"/>
    </xf>
    <xf numFmtId="0" fontId="65" fillId="2" borderId="0" xfId="0" applyFont="1" applyFill="1" applyProtection="1">
      <protection hidden="1"/>
    </xf>
    <xf numFmtId="0" fontId="78" fillId="2" borderId="0" xfId="0" applyFont="1" applyFill="1" applyProtection="1">
      <protection hidden="1"/>
    </xf>
    <xf numFmtId="0" fontId="63" fillId="2" borderId="0" xfId="0" applyFont="1" applyFill="1" applyProtection="1">
      <protection hidden="1"/>
    </xf>
    <xf numFmtId="1" fontId="65" fillId="2" borderId="0" xfId="0" applyNumberFormat="1" applyFont="1" applyFill="1" applyProtection="1">
      <protection hidden="1"/>
    </xf>
    <xf numFmtId="1" fontId="65" fillId="0" borderId="0" xfId="0" applyNumberFormat="1" applyFont="1" applyProtection="1">
      <protection hidden="1"/>
    </xf>
    <xf numFmtId="0" fontId="51" fillId="0" borderId="0" xfId="0" applyFont="1" applyProtection="1">
      <protection hidden="1"/>
    </xf>
    <xf numFmtId="0" fontId="79" fillId="0" borderId="0" xfId="0" applyFont="1" applyProtection="1">
      <protection hidden="1"/>
    </xf>
    <xf numFmtId="0" fontId="80" fillId="0" borderId="0" xfId="0" applyFont="1" applyProtection="1">
      <protection locked="0"/>
    </xf>
    <xf numFmtId="0" fontId="45" fillId="0" borderId="0" xfId="0" applyFont="1" applyProtection="1">
      <protection locked="0"/>
    </xf>
    <xf numFmtId="0" fontId="19" fillId="14" borderId="0" xfId="0" applyFont="1" applyFill="1" applyProtection="1">
      <protection hidden="1"/>
    </xf>
    <xf numFmtId="0" fontId="19" fillId="14" borderId="0" xfId="0" applyFont="1" applyFill="1" applyAlignment="1" applyProtection="1">
      <alignment vertical="center"/>
      <protection hidden="1"/>
    </xf>
    <xf numFmtId="0" fontId="2" fillId="14" borderId="0" xfId="0" applyFont="1" applyFill="1" applyProtection="1">
      <protection hidden="1"/>
    </xf>
    <xf numFmtId="10" fontId="19" fillId="0" borderId="1" xfId="332" applyNumberFormat="1" applyFont="1" applyBorder="1" applyAlignment="1" applyProtection="1">
      <alignment horizontal="center" vertical="center"/>
      <protection locked="0"/>
    </xf>
    <xf numFmtId="2" fontId="19" fillId="0" borderId="1" xfId="332" applyNumberFormat="1" applyFont="1" applyFill="1" applyBorder="1" applyAlignment="1" applyProtection="1">
      <alignment horizontal="center" vertical="center"/>
      <protection locked="0"/>
    </xf>
    <xf numFmtId="2" fontId="42" fillId="16" borderId="0" xfId="0" applyNumberFormat="1" applyFont="1" applyFill="1" applyAlignment="1" applyProtection="1">
      <alignment horizontal="center" vertical="center"/>
      <protection locked="0" hidden="1"/>
    </xf>
    <xf numFmtId="2" fontId="53" fillId="13" borderId="1" xfId="332" applyNumberFormat="1" applyFont="1" applyFill="1" applyBorder="1" applyAlignment="1" applyProtection="1">
      <alignment horizontal="center" vertical="center"/>
      <protection locked="0" hidden="1"/>
    </xf>
    <xf numFmtId="2" fontId="18" fillId="16" borderId="0" xfId="0" applyNumberFormat="1" applyFont="1" applyFill="1" applyProtection="1">
      <protection locked="0" hidden="1"/>
    </xf>
    <xf numFmtId="2" fontId="42" fillId="16" borderId="0" xfId="0" applyNumberFormat="1" applyFont="1" applyFill="1" applyAlignment="1" applyProtection="1">
      <alignment horizontal="center"/>
      <protection locked="0" hidden="1"/>
    </xf>
    <xf numFmtId="2" fontId="42" fillId="16" borderId="0" xfId="0" applyNumberFormat="1" applyFont="1" applyFill="1" applyProtection="1">
      <protection locked="0" hidden="1"/>
    </xf>
    <xf numFmtId="2" fontId="19" fillId="0" borderId="1" xfId="334" applyNumberFormat="1" applyFont="1" applyFill="1" applyBorder="1" applyAlignment="1" applyProtection="1">
      <alignment horizontal="center" vertical="center"/>
      <protection locked="0"/>
    </xf>
    <xf numFmtId="44" fontId="19" fillId="0" borderId="1" xfId="333" applyNumberFormat="1" applyFont="1" applyFill="1" applyBorder="1" applyAlignment="1" applyProtection="1">
      <alignment horizontal="center"/>
      <protection locked="0"/>
    </xf>
    <xf numFmtId="44" fontId="19" fillId="15" borderId="0" xfId="0" applyNumberFormat="1" applyFont="1" applyFill="1" applyBorder="1" applyAlignment="1" applyProtection="1">
      <alignment horizontal="center"/>
    </xf>
    <xf numFmtId="44" fontId="19" fillId="15" borderId="0" xfId="0" applyNumberFormat="1" applyFont="1" applyFill="1" applyBorder="1" applyProtection="1"/>
    <xf numFmtId="44" fontId="11" fillId="5" borderId="0" xfId="0" applyNumberFormat="1" applyFont="1" applyFill="1" applyBorder="1" applyAlignment="1" applyProtection="1">
      <alignment horizontal="center"/>
    </xf>
    <xf numFmtId="44" fontId="19" fillId="0" borderId="1" xfId="332" applyNumberFormat="1" applyFont="1" applyFill="1" applyBorder="1" applyAlignment="1" applyProtection="1">
      <alignment horizontal="center"/>
      <protection locked="0"/>
    </xf>
    <xf numFmtId="10" fontId="19" fillId="0" borderId="1" xfId="332" applyNumberFormat="1" applyFont="1" applyFill="1" applyBorder="1" applyAlignment="1" applyProtection="1">
      <alignment horizontal="center" vertical="center"/>
      <protection locked="0"/>
    </xf>
    <xf numFmtId="10" fontId="19" fillId="5" borderId="0" xfId="0" applyNumberFormat="1" applyFont="1" applyFill="1" applyBorder="1" applyAlignment="1" applyProtection="1">
      <alignment horizontal="left" vertical="center"/>
    </xf>
    <xf numFmtId="10" fontId="11" fillId="5" borderId="0" xfId="0" applyNumberFormat="1" applyFont="1" applyFill="1" applyBorder="1" applyAlignment="1" applyProtection="1">
      <alignment horizontal="center"/>
    </xf>
    <xf numFmtId="44" fontId="19" fillId="0" borderId="1" xfId="333" applyNumberFormat="1" applyFont="1" applyFill="1" applyBorder="1" applyAlignment="1" applyProtection="1">
      <alignment horizontal="center" vertical="center"/>
      <protection locked="0"/>
    </xf>
    <xf numFmtId="44" fontId="19" fillId="5" borderId="0" xfId="0" applyNumberFormat="1" applyFont="1" applyFill="1" applyBorder="1" applyAlignment="1" applyProtection="1">
      <alignment horizontal="left" vertical="center"/>
    </xf>
    <xf numFmtId="44" fontId="19" fillId="0" borderId="1" xfId="332" applyNumberFormat="1" applyFont="1" applyBorder="1" applyAlignment="1" applyProtection="1">
      <alignment horizontal="center" vertical="center"/>
      <protection locked="0"/>
    </xf>
    <xf numFmtId="44" fontId="19" fillId="0" borderId="6" xfId="332" applyFont="1" applyBorder="1"/>
    <xf numFmtId="44" fontId="19" fillId="0" borderId="9" xfId="332" applyFont="1" applyBorder="1"/>
    <xf numFmtId="0" fontId="19" fillId="3" borderId="2" xfId="0" applyFont="1" applyFill="1" applyBorder="1"/>
    <xf numFmtId="0" fontId="28" fillId="0" borderId="0" xfId="335" applyBorder="1"/>
    <xf numFmtId="177" fontId="19" fillId="0" borderId="0" xfId="0" applyNumberFormat="1" applyFont="1" applyBorder="1"/>
    <xf numFmtId="0" fontId="39" fillId="0" borderId="5" xfId="0" applyFont="1" applyBorder="1"/>
    <xf numFmtId="0" fontId="39" fillId="0" borderId="0" xfId="0" applyFont="1" applyBorder="1"/>
    <xf numFmtId="0" fontId="19" fillId="3" borderId="5" xfId="0" applyFont="1" applyFill="1" applyBorder="1"/>
    <xf numFmtId="0" fontId="19" fillId="3" borderId="0" xfId="0" applyFont="1" applyFill="1" applyBorder="1"/>
    <xf numFmtId="0" fontId="19" fillId="3" borderId="6" xfId="0" applyFont="1" applyFill="1" applyBorder="1"/>
    <xf numFmtId="0" fontId="19" fillId="0" borderId="7" xfId="0" applyFont="1" applyBorder="1"/>
    <xf numFmtId="0" fontId="19" fillId="0" borderId="0" xfId="0" applyNumberFormat="1" applyFont="1" applyBorder="1"/>
    <xf numFmtId="0" fontId="60" fillId="0" borderId="0" xfId="0" applyFont="1" applyBorder="1"/>
    <xf numFmtId="0" fontId="60" fillId="0" borderId="6" xfId="0" applyFont="1" applyBorder="1"/>
    <xf numFmtId="0" fontId="60" fillId="0" borderId="5" xfId="0" applyFont="1" applyBorder="1"/>
    <xf numFmtId="0" fontId="60" fillId="0" borderId="12" xfId="0" applyFont="1" applyBorder="1"/>
    <xf numFmtId="0" fontId="60" fillId="0" borderId="8" xfId="0" applyFont="1" applyBorder="1"/>
    <xf numFmtId="0" fontId="60" fillId="0" borderId="9" xfId="0" applyFont="1" applyBorder="1"/>
    <xf numFmtId="0" fontId="60" fillId="0" borderId="3" xfId="0" applyFont="1" applyBorder="1"/>
    <xf numFmtId="0" fontId="60" fillId="0" borderId="4" xfId="0" applyFont="1" applyBorder="1"/>
    <xf numFmtId="0" fontId="11" fillId="5" borderId="0" xfId="0" applyFont="1" applyFill="1" applyBorder="1" applyAlignment="1" applyProtection="1">
      <alignment horizontal="center" vertical="center"/>
      <protection hidden="1"/>
    </xf>
    <xf numFmtId="0" fontId="11" fillId="5" borderId="0" xfId="0" applyFont="1" applyFill="1" applyBorder="1" applyAlignment="1" applyProtection="1">
      <alignment horizontal="center"/>
      <protection hidden="1"/>
    </xf>
    <xf numFmtId="1" fontId="82" fillId="2" borderId="0" xfId="0" applyNumberFormat="1" applyFont="1" applyFill="1" applyBorder="1" applyAlignment="1" applyProtection="1">
      <alignment horizontal="center" vertical="center"/>
    </xf>
    <xf numFmtId="164" fontId="36" fillId="2" borderId="0" xfId="0" applyNumberFormat="1" applyFont="1" applyFill="1" applyBorder="1" applyAlignment="1" applyProtection="1">
      <alignment horizontal="center" shrinkToFit="1"/>
    </xf>
    <xf numFmtId="0" fontId="83" fillId="2" borderId="0" xfId="0" applyFont="1" applyFill="1" applyBorder="1" applyAlignment="1" applyProtection="1">
      <alignment horizontal="center" vertical="center"/>
    </xf>
    <xf numFmtId="0" fontId="82" fillId="2" borderId="0" xfId="0" applyFont="1" applyFill="1" applyBorder="1" applyAlignment="1" applyProtection="1">
      <alignment horizontal="center" vertical="center"/>
    </xf>
    <xf numFmtId="1" fontId="83" fillId="2" borderId="0" xfId="0" applyNumberFormat="1" applyFont="1" applyFill="1" applyBorder="1" applyAlignment="1" applyProtection="1">
      <alignment horizontal="center" vertical="center"/>
    </xf>
    <xf numFmtId="1" fontId="34" fillId="2" borderId="0" xfId="0" applyNumberFormat="1" applyFont="1" applyFill="1" applyBorder="1" applyAlignment="1" applyProtection="1">
      <alignment horizontal="center" vertical="center"/>
    </xf>
    <xf numFmtId="8" fontId="82" fillId="2" borderId="0" xfId="0" applyNumberFormat="1" applyFont="1" applyFill="1" applyBorder="1" applyAlignment="1" applyProtection="1">
      <alignment horizontal="center" vertical="center"/>
    </xf>
    <xf numFmtId="8" fontId="32" fillId="2" borderId="0" xfId="0" applyNumberFormat="1" applyFont="1" applyFill="1" applyBorder="1" applyAlignment="1" applyProtection="1">
      <alignment horizontal="center" vertical="center"/>
    </xf>
    <xf numFmtId="1" fontId="38" fillId="0" borderId="0" xfId="0" applyNumberFormat="1" applyFont="1" applyFill="1"/>
    <xf numFmtId="1" fontId="44" fillId="0" borderId="0" xfId="0" applyNumberFormat="1" applyFont="1"/>
    <xf numFmtId="44" fontId="45" fillId="0" borderId="0" xfId="332" applyFont="1"/>
    <xf numFmtId="0" fontId="43" fillId="0" borderId="0" xfId="0" applyFont="1" applyFill="1" applyBorder="1" applyAlignment="1" applyProtection="1">
      <alignment horizontal="right"/>
      <protection locked="0"/>
    </xf>
    <xf numFmtId="2" fontId="45" fillId="0" borderId="0" xfId="0" applyNumberFormat="1" applyFont="1" applyFill="1" applyBorder="1"/>
    <xf numFmtId="44" fontId="19" fillId="2" borderId="1" xfId="0" applyNumberFormat="1" applyFont="1" applyFill="1" applyBorder="1" applyAlignment="1" applyProtection="1">
      <alignment horizontal="center" vertical="center"/>
      <protection locked="0"/>
    </xf>
    <xf numFmtId="44" fontId="19" fillId="14" borderId="0" xfId="0" applyNumberFormat="1" applyFont="1" applyFill="1" applyBorder="1" applyAlignment="1" applyProtection="1">
      <alignment horizontal="center"/>
    </xf>
    <xf numFmtId="44" fontId="19" fillId="14" borderId="0" xfId="0" applyNumberFormat="1" applyFont="1" applyFill="1" applyBorder="1" applyProtection="1"/>
    <xf numFmtId="44" fontId="19" fillId="14" borderId="0" xfId="0" applyNumberFormat="1" applyFont="1" applyFill="1" applyBorder="1" applyAlignment="1" applyProtection="1">
      <alignment horizontal="center"/>
      <protection hidden="1"/>
    </xf>
    <xf numFmtId="44" fontId="19" fillId="14" borderId="0" xfId="0" applyNumberFormat="1" applyFont="1" applyFill="1" applyBorder="1" applyProtection="1">
      <protection hidden="1"/>
    </xf>
    <xf numFmtId="44" fontId="14" fillId="14" borderId="0" xfId="1" applyNumberFormat="1" applyFont="1" applyFill="1" applyBorder="1" applyAlignment="1" applyProtection="1">
      <alignment horizontal="center" vertical="center"/>
    </xf>
    <xf numFmtId="0" fontId="9" fillId="14" borderId="5" xfId="1" applyFont="1" applyFill="1" applyBorder="1" applyAlignment="1" applyProtection="1">
      <alignment vertical="center"/>
      <protection hidden="1"/>
    </xf>
    <xf numFmtId="0" fontId="42" fillId="14" borderId="0" xfId="0" applyFont="1" applyFill="1" applyProtection="1">
      <protection hidden="1"/>
    </xf>
    <xf numFmtId="0" fontId="18" fillId="14" borderId="0" xfId="0" applyFont="1" applyFill="1" applyProtection="1">
      <protection hidden="1"/>
    </xf>
    <xf numFmtId="0" fontId="42" fillId="14" borderId="0" xfId="0" applyFont="1" applyFill="1" applyAlignment="1" applyProtection="1">
      <alignment horizontal="center" vertical="center"/>
      <protection hidden="1"/>
    </xf>
    <xf numFmtId="0" fontId="42" fillId="14" borderId="5" xfId="0" applyFont="1" applyFill="1" applyBorder="1" applyProtection="1">
      <protection hidden="1"/>
    </xf>
    <xf numFmtId="0" fontId="39" fillId="14" borderId="0" xfId="0" applyFont="1" applyFill="1" applyProtection="1">
      <protection hidden="1"/>
    </xf>
    <xf numFmtId="0" fontId="19" fillId="5" borderId="0" xfId="0" applyFont="1" applyFill="1" applyAlignment="1" applyProtection="1">
      <alignment horizontal="left" vertical="center" wrapText="1"/>
      <protection locked="0" hidden="1"/>
    </xf>
    <xf numFmtId="0" fontId="19" fillId="5" borderId="0" xfId="0" applyFont="1" applyFill="1" applyAlignment="1" applyProtection="1">
      <alignment vertical="center"/>
      <protection hidden="1"/>
    </xf>
    <xf numFmtId="0" fontId="2" fillId="5" borderId="0" xfId="0" applyFont="1" applyFill="1" applyProtection="1">
      <protection hidden="1"/>
    </xf>
    <xf numFmtId="0" fontId="19" fillId="0" borderId="1" xfId="332" applyNumberFormat="1" applyFont="1" applyBorder="1" applyAlignment="1" applyProtection="1">
      <alignment horizontal="center" vertical="center"/>
      <protection locked="0"/>
    </xf>
    <xf numFmtId="0" fontId="19" fillId="5" borderId="0" xfId="0" applyNumberFormat="1" applyFont="1" applyFill="1" applyBorder="1" applyAlignment="1" applyProtection="1">
      <alignment horizontal="left" vertical="center"/>
    </xf>
    <xf numFmtId="2" fontId="19" fillId="3" borderId="0" xfId="332" applyNumberFormat="1" applyFont="1" applyFill="1" applyBorder="1" applyProtection="1"/>
    <xf numFmtId="2" fontId="25" fillId="3" borderId="0" xfId="332" applyNumberFormat="1" applyFont="1" applyFill="1" applyAlignment="1" applyProtection="1">
      <alignment horizontal="center"/>
      <protection locked="0"/>
    </xf>
    <xf numFmtId="0" fontId="39" fillId="5" borderId="0" xfId="0" applyFont="1" applyFill="1" applyBorder="1" applyProtection="1">
      <protection hidden="1"/>
    </xf>
    <xf numFmtId="0" fontId="19" fillId="0" borderId="0" xfId="0" applyNumberFormat="1" applyFont="1"/>
    <xf numFmtId="44" fontId="19" fillId="0" borderId="1" xfId="332" applyFont="1" applyBorder="1" applyAlignment="1"/>
    <xf numFmtId="2" fontId="19" fillId="0" borderId="1" xfId="0" applyNumberFormat="1" applyFont="1" applyBorder="1"/>
    <xf numFmtId="42" fontId="19" fillId="3" borderId="0" xfId="0" applyNumberFormat="1" applyFont="1" applyFill="1" applyBorder="1" applyProtection="1"/>
    <xf numFmtId="42" fontId="19" fillId="3" borderId="0" xfId="332" applyNumberFormat="1" applyFont="1" applyFill="1" applyBorder="1" applyProtection="1"/>
    <xf numFmtId="178" fontId="19" fillId="13" borderId="1" xfId="333" applyNumberFormat="1" applyFont="1" applyFill="1" applyBorder="1" applyAlignment="1" applyProtection="1">
      <alignment horizontal="center" vertical="center"/>
    </xf>
    <xf numFmtId="178" fontId="19" fillId="5" borderId="0" xfId="333" applyNumberFormat="1" applyFont="1" applyFill="1" applyBorder="1" applyAlignment="1" applyProtection="1">
      <alignment horizontal="center" vertical="center"/>
    </xf>
    <xf numFmtId="178" fontId="19" fillId="5" borderId="0" xfId="0" applyNumberFormat="1" applyFont="1" applyFill="1" applyBorder="1" applyAlignment="1" applyProtection="1">
      <alignment horizontal="left" vertical="center"/>
    </xf>
    <xf numFmtId="178" fontId="11" fillId="5" borderId="0" xfId="0" applyNumberFormat="1" applyFont="1" applyFill="1" applyBorder="1" applyAlignment="1" applyProtection="1">
      <alignment horizontal="center"/>
    </xf>
    <xf numFmtId="0" fontId="41" fillId="3" borderId="5" xfId="1" applyFont="1" applyFill="1" applyBorder="1" applyAlignment="1" applyProtection="1">
      <alignment horizontal="left" vertical="center"/>
      <protection locked="0"/>
    </xf>
    <xf numFmtId="0" fontId="41" fillId="3" borderId="0" xfId="1" applyFont="1" applyFill="1" applyBorder="1" applyAlignment="1" applyProtection="1">
      <alignment horizontal="left" vertical="center"/>
      <protection locked="0"/>
    </xf>
    <xf numFmtId="0" fontId="27" fillId="4" borderId="0" xfId="0" applyFont="1" applyFill="1" applyBorder="1" applyAlignment="1" applyProtection="1">
      <alignment horizontal="left" vertical="center" wrapText="1"/>
    </xf>
    <xf numFmtId="0" fontId="21" fillId="4" borderId="0" xfId="0" applyFont="1" applyFill="1" applyAlignment="1" applyProtection="1">
      <alignment horizontal="center"/>
    </xf>
    <xf numFmtId="0" fontId="26" fillId="14" borderId="2" xfId="1" applyFont="1" applyFill="1" applyBorder="1" applyAlignment="1" applyProtection="1"/>
    <xf numFmtId="0" fontId="12" fillId="14" borderId="3" xfId="1" applyFont="1" applyFill="1" applyBorder="1" applyAlignment="1" applyProtection="1"/>
    <xf numFmtId="0" fontId="12" fillId="12" borderId="2" xfId="1" applyFont="1" applyFill="1" applyBorder="1" applyAlignment="1" applyProtection="1">
      <alignment horizontal="left"/>
    </xf>
    <xf numFmtId="0" fontId="12" fillId="12" borderId="3" xfId="1" applyFont="1" applyFill="1" applyBorder="1" applyAlignment="1" applyProtection="1">
      <alignment horizontal="left"/>
    </xf>
    <xf numFmtId="0" fontId="12" fillId="5" borderId="2" xfId="1" applyFont="1" applyFill="1" applyBorder="1" applyAlignment="1" applyProtection="1"/>
    <xf numFmtId="0" fontId="12" fillId="5" borderId="3" xfId="1" applyFont="1" applyFill="1" applyBorder="1" applyAlignment="1" applyProtection="1"/>
    <xf numFmtId="0" fontId="24" fillId="5" borderId="5" xfId="1" applyFont="1" applyFill="1" applyBorder="1" applyAlignment="1" applyProtection="1">
      <alignment horizontal="left" vertical="center"/>
      <protection hidden="1"/>
    </xf>
    <xf numFmtId="0" fontId="24" fillId="5" borderId="0" xfId="1" applyFont="1" applyFill="1" applyBorder="1" applyAlignment="1" applyProtection="1">
      <alignment horizontal="left" vertical="center"/>
      <protection hidden="1"/>
    </xf>
    <xf numFmtId="0" fontId="71" fillId="5" borderId="0" xfId="1" applyFont="1" applyFill="1" applyBorder="1" applyAlignment="1" applyProtection="1">
      <alignment horizontal="center" vertical="center"/>
      <protection hidden="1"/>
    </xf>
    <xf numFmtId="0" fontId="19" fillId="0" borderId="0" xfId="0" applyFont="1" applyBorder="1" applyAlignment="1">
      <alignment horizontal="center"/>
    </xf>
    <xf numFmtId="0" fontId="19" fillId="0" borderId="6" xfId="0" applyFont="1" applyBorder="1" applyAlignment="1">
      <alignment horizontal="center"/>
    </xf>
    <xf numFmtId="0" fontId="19" fillId="0" borderId="5" xfId="0" applyFont="1" applyBorder="1" applyAlignment="1">
      <alignment horizontal="center"/>
    </xf>
    <xf numFmtId="0" fontId="60" fillId="0" borderId="8" xfId="0" applyFont="1" applyBorder="1" applyAlignment="1">
      <alignment horizontal="center"/>
    </xf>
    <xf numFmtId="0" fontId="60" fillId="0" borderId="9" xfId="0" applyFont="1" applyBorder="1" applyAlignment="1">
      <alignment horizontal="center"/>
    </xf>
    <xf numFmtId="0" fontId="81" fillId="3" borderId="3" xfId="0" applyFont="1" applyFill="1" applyBorder="1" applyAlignment="1">
      <alignment horizontal="center"/>
    </xf>
    <xf numFmtId="0" fontId="81" fillId="3" borderId="4" xfId="0" applyFont="1" applyFill="1" applyBorder="1" applyAlignment="1">
      <alignment horizontal="center"/>
    </xf>
    <xf numFmtId="0" fontId="81" fillId="3" borderId="0" xfId="0" applyFont="1" applyFill="1" applyBorder="1" applyAlignment="1">
      <alignment horizontal="center"/>
    </xf>
    <xf numFmtId="0" fontId="81" fillId="3" borderId="6" xfId="0" applyFont="1" applyFill="1" applyBorder="1" applyAlignment="1">
      <alignment horizontal="center"/>
    </xf>
    <xf numFmtId="0" fontId="19" fillId="0" borderId="7" xfId="0" applyFont="1" applyBorder="1" applyAlignment="1">
      <alignment horizontal="center"/>
    </xf>
    <xf numFmtId="0" fontId="19" fillId="0" borderId="8" xfId="0" applyFont="1" applyBorder="1" applyAlignment="1">
      <alignment horizontal="center"/>
    </xf>
    <xf numFmtId="0" fontId="19" fillId="3" borderId="0" xfId="0" applyFont="1" applyFill="1" applyAlignment="1">
      <alignment horizontal="center"/>
    </xf>
    <xf numFmtId="0" fontId="19" fillId="0" borderId="0" xfId="0" applyFont="1" applyAlignment="1">
      <alignment horizontal="center"/>
    </xf>
    <xf numFmtId="0" fontId="60" fillId="0" borderId="0" xfId="0" applyFont="1" applyAlignment="1">
      <alignment horizontal="center"/>
    </xf>
    <xf numFmtId="0" fontId="61" fillId="0" borderId="0" xfId="0" applyFont="1" applyAlignment="1">
      <alignment horizontal="center"/>
    </xf>
    <xf numFmtId="0" fontId="19" fillId="3" borderId="2" xfId="0" applyFont="1" applyFill="1" applyBorder="1" applyAlignment="1">
      <alignment horizontal="center"/>
    </xf>
    <xf numFmtId="0" fontId="19" fillId="3" borderId="5" xfId="0" applyFont="1" applyFill="1" applyBorder="1" applyAlignment="1">
      <alignment horizontal="center"/>
    </xf>
    <xf numFmtId="0" fontId="56" fillId="3" borderId="3" xfId="0" applyFont="1" applyFill="1" applyBorder="1" applyAlignment="1">
      <alignment horizontal="center"/>
    </xf>
    <xf numFmtId="0" fontId="56" fillId="3" borderId="4" xfId="0" applyFont="1" applyFill="1" applyBorder="1" applyAlignment="1">
      <alignment horizontal="center"/>
    </xf>
    <xf numFmtId="0" fontId="56" fillId="3" borderId="0" xfId="0" applyFont="1" applyFill="1" applyBorder="1" applyAlignment="1">
      <alignment horizontal="center"/>
    </xf>
    <xf numFmtId="0" fontId="56" fillId="3" borderId="6" xfId="0" applyFont="1" applyFill="1" applyBorder="1" applyAlignment="1">
      <alignment horizontal="center"/>
    </xf>
  </cellXfs>
  <cellStyles count="337">
    <cellStyle name="_x000a_shell=progma" xfId="2" xr:uid="{00000000-0005-0000-0000-000000000000}"/>
    <cellStyle name="1000-sep (2 dec) 2" xfId="3" xr:uid="{00000000-0005-0000-0000-000001000000}"/>
    <cellStyle name="1000-sep (2 dec) 2 2" xfId="4" xr:uid="{00000000-0005-0000-0000-000002000000}"/>
    <cellStyle name="1000-sep (2 dec) 2 3" xfId="5" xr:uid="{00000000-0005-0000-0000-000003000000}"/>
    <cellStyle name="1000-sep (2 dec) 3" xfId="6" xr:uid="{00000000-0005-0000-0000-000004000000}"/>
    <cellStyle name="1000-sep (2 dec) 3 2" xfId="7" xr:uid="{00000000-0005-0000-0000-000005000000}"/>
    <cellStyle name="1000-sep (2 dec) 4" xfId="8" xr:uid="{00000000-0005-0000-0000-000006000000}"/>
    <cellStyle name="1000-sep (2 dec) 4 2" xfId="9" xr:uid="{00000000-0005-0000-0000-000007000000}"/>
    <cellStyle name="1000-sep (2 dec) 5" xfId="10" xr:uid="{00000000-0005-0000-0000-000008000000}"/>
    <cellStyle name="1000-sep (2 dec) 5 2" xfId="11" xr:uid="{00000000-0005-0000-0000-000009000000}"/>
    <cellStyle name="1000-sep (2 dec) 5 2 2" xfId="12" xr:uid="{00000000-0005-0000-0000-00000A000000}"/>
    <cellStyle name="1000-sep (2 dec) 5 3" xfId="13" xr:uid="{00000000-0005-0000-0000-00000B000000}"/>
    <cellStyle name="1000-sep (2 dec) 6" xfId="14" xr:uid="{00000000-0005-0000-0000-00000C000000}"/>
    <cellStyle name="1000-sep (2 dec) 7" xfId="15" xr:uid="{00000000-0005-0000-0000-00000D000000}"/>
    <cellStyle name="Comma" xfId="336" builtinId="3"/>
    <cellStyle name="Comma 2" xfId="334" xr:uid="{4586C513-6A9A-49DF-AB89-C8E012574C68}"/>
    <cellStyle name="Currency" xfId="332" builtinId="4"/>
    <cellStyle name="Dato" xfId="16" xr:uid="{00000000-0005-0000-0000-00000F000000}"/>
    <cellStyle name="Dato 2" xfId="17" xr:uid="{00000000-0005-0000-0000-000010000000}"/>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5" builtinId="8"/>
    <cellStyle name="Normal" xfId="0" builtinId="0"/>
    <cellStyle name="Normal 10" xfId="18" xr:uid="{00000000-0005-0000-0000-000026000000}"/>
    <cellStyle name="Normal 10 2" xfId="19" xr:uid="{00000000-0005-0000-0000-000027000000}"/>
    <cellStyle name="Normal 10 3" xfId="20" xr:uid="{00000000-0005-0000-0000-000028000000}"/>
    <cellStyle name="Normal 10 4" xfId="21" xr:uid="{00000000-0005-0000-0000-000029000000}"/>
    <cellStyle name="Normal 11" xfId="22" xr:uid="{00000000-0005-0000-0000-00002A000000}"/>
    <cellStyle name="Normal 11 2" xfId="23" xr:uid="{00000000-0005-0000-0000-00002B000000}"/>
    <cellStyle name="Normal 11 3" xfId="24" xr:uid="{00000000-0005-0000-0000-00002C000000}"/>
    <cellStyle name="Normal 11 4" xfId="25" xr:uid="{00000000-0005-0000-0000-00002D000000}"/>
    <cellStyle name="Normal 11 5" xfId="26" xr:uid="{00000000-0005-0000-0000-00002E000000}"/>
    <cellStyle name="Normal 11 6" xfId="27" xr:uid="{00000000-0005-0000-0000-00002F000000}"/>
    <cellStyle name="Normal 11 7" xfId="28" xr:uid="{00000000-0005-0000-0000-000030000000}"/>
    <cellStyle name="Normal 11 8" xfId="29" xr:uid="{00000000-0005-0000-0000-000031000000}"/>
    <cellStyle name="Normal 12" xfId="30" xr:uid="{00000000-0005-0000-0000-000032000000}"/>
    <cellStyle name="Normal 12 2" xfId="31" xr:uid="{00000000-0005-0000-0000-000033000000}"/>
    <cellStyle name="Normal 12 3" xfId="32" xr:uid="{00000000-0005-0000-0000-000034000000}"/>
    <cellStyle name="Normal 12 4" xfId="33" xr:uid="{00000000-0005-0000-0000-000035000000}"/>
    <cellStyle name="Normal 12 5" xfId="34" xr:uid="{00000000-0005-0000-0000-000036000000}"/>
    <cellStyle name="Normal 12 6" xfId="35" xr:uid="{00000000-0005-0000-0000-000037000000}"/>
    <cellStyle name="Normal 12 7" xfId="36" xr:uid="{00000000-0005-0000-0000-000038000000}"/>
    <cellStyle name="Normal 12 8" xfId="37" xr:uid="{00000000-0005-0000-0000-000039000000}"/>
    <cellStyle name="Normal 13" xfId="38" xr:uid="{00000000-0005-0000-0000-00003A000000}"/>
    <cellStyle name="Normal 13 2" xfId="39" xr:uid="{00000000-0005-0000-0000-00003B000000}"/>
    <cellStyle name="Normal 13 3" xfId="40" xr:uid="{00000000-0005-0000-0000-00003C000000}"/>
    <cellStyle name="Normal 13 4" xfId="41" xr:uid="{00000000-0005-0000-0000-00003D000000}"/>
    <cellStyle name="Normal 13 5" xfId="42" xr:uid="{00000000-0005-0000-0000-00003E000000}"/>
    <cellStyle name="Normal 13 6" xfId="43" xr:uid="{00000000-0005-0000-0000-00003F000000}"/>
    <cellStyle name="Normal 13 7" xfId="44" xr:uid="{00000000-0005-0000-0000-000040000000}"/>
    <cellStyle name="Normal 13 8" xfId="45" xr:uid="{00000000-0005-0000-0000-000041000000}"/>
    <cellStyle name="Normal 14" xfId="46" xr:uid="{00000000-0005-0000-0000-000042000000}"/>
    <cellStyle name="Normal 14 2" xfId="47" xr:uid="{00000000-0005-0000-0000-000043000000}"/>
    <cellStyle name="Normal 14 3" xfId="48" xr:uid="{00000000-0005-0000-0000-000044000000}"/>
    <cellStyle name="Normal 14 4" xfId="49" xr:uid="{00000000-0005-0000-0000-000045000000}"/>
    <cellStyle name="Normal 14 5" xfId="50" xr:uid="{00000000-0005-0000-0000-000046000000}"/>
    <cellStyle name="Normal 14 6" xfId="51" xr:uid="{00000000-0005-0000-0000-000047000000}"/>
    <cellStyle name="Normal 14 7" xfId="52" xr:uid="{00000000-0005-0000-0000-000048000000}"/>
    <cellStyle name="Normal 14 8" xfId="53" xr:uid="{00000000-0005-0000-0000-000049000000}"/>
    <cellStyle name="Normal 15" xfId="54" xr:uid="{00000000-0005-0000-0000-00004A000000}"/>
    <cellStyle name="Normal 15 2" xfId="55" xr:uid="{00000000-0005-0000-0000-00004B000000}"/>
    <cellStyle name="Normal 15 3" xfId="56" xr:uid="{00000000-0005-0000-0000-00004C000000}"/>
    <cellStyle name="Normal 15 4" xfId="57" xr:uid="{00000000-0005-0000-0000-00004D000000}"/>
    <cellStyle name="Normal 15 5" xfId="58" xr:uid="{00000000-0005-0000-0000-00004E000000}"/>
    <cellStyle name="Normal 15 6" xfId="59" xr:uid="{00000000-0005-0000-0000-00004F000000}"/>
    <cellStyle name="Normal 15 7" xfId="60" xr:uid="{00000000-0005-0000-0000-000050000000}"/>
    <cellStyle name="Normal 15 8" xfId="61" xr:uid="{00000000-0005-0000-0000-000051000000}"/>
    <cellStyle name="Normal 16" xfId="62" xr:uid="{00000000-0005-0000-0000-000052000000}"/>
    <cellStyle name="Normal 16 2" xfId="63" xr:uid="{00000000-0005-0000-0000-000053000000}"/>
    <cellStyle name="Normal 16 3" xfId="64" xr:uid="{00000000-0005-0000-0000-000054000000}"/>
    <cellStyle name="Normal 16 3 2" xfId="65" xr:uid="{00000000-0005-0000-0000-000055000000}"/>
    <cellStyle name="Normal 16 3_Book1 (3)" xfId="66" xr:uid="{00000000-0005-0000-0000-000056000000}"/>
    <cellStyle name="Normal 16 4" xfId="67" xr:uid="{00000000-0005-0000-0000-000057000000}"/>
    <cellStyle name="Normal 16 5" xfId="68" xr:uid="{00000000-0005-0000-0000-000058000000}"/>
    <cellStyle name="Normal 16_Book1 (3)" xfId="69" xr:uid="{00000000-0005-0000-0000-000059000000}"/>
    <cellStyle name="Normal 17" xfId="70" xr:uid="{00000000-0005-0000-0000-00005A000000}"/>
    <cellStyle name="Normal 18" xfId="71" xr:uid="{00000000-0005-0000-0000-00005B000000}"/>
    <cellStyle name="Normal 19" xfId="72" xr:uid="{00000000-0005-0000-0000-00005C000000}"/>
    <cellStyle name="Normal 19 2" xfId="73" xr:uid="{00000000-0005-0000-0000-00005D000000}"/>
    <cellStyle name="Normal 19 3" xfId="74" xr:uid="{00000000-0005-0000-0000-00005E000000}"/>
    <cellStyle name="Normal 19 4" xfId="75" xr:uid="{00000000-0005-0000-0000-00005F000000}"/>
    <cellStyle name="Normal 19_Book1 (3)" xfId="76" xr:uid="{00000000-0005-0000-0000-000060000000}"/>
    <cellStyle name="Normal 2" xfId="77" xr:uid="{00000000-0005-0000-0000-000061000000}"/>
    <cellStyle name="Normal 2 10" xfId="78" xr:uid="{00000000-0005-0000-0000-000062000000}"/>
    <cellStyle name="Normal 2 10 2" xfId="79" xr:uid="{00000000-0005-0000-0000-000063000000}"/>
    <cellStyle name="Normal 2 10 3" xfId="80" xr:uid="{00000000-0005-0000-0000-000064000000}"/>
    <cellStyle name="Normal 2 10 4" xfId="81" xr:uid="{00000000-0005-0000-0000-000065000000}"/>
    <cellStyle name="Normal 2 10_Book1 (3)" xfId="82" xr:uid="{00000000-0005-0000-0000-000066000000}"/>
    <cellStyle name="Normal 2 11" xfId="83" xr:uid="{00000000-0005-0000-0000-000067000000}"/>
    <cellStyle name="Normal 2 11 2" xfId="84" xr:uid="{00000000-0005-0000-0000-000068000000}"/>
    <cellStyle name="Normal 2 11 3" xfId="85" xr:uid="{00000000-0005-0000-0000-000069000000}"/>
    <cellStyle name="Normal 2 11 4" xfId="86" xr:uid="{00000000-0005-0000-0000-00006A000000}"/>
    <cellStyle name="Normal 2 11_Book1 (3)" xfId="87" xr:uid="{00000000-0005-0000-0000-00006B000000}"/>
    <cellStyle name="Normal 2 12" xfId="88" xr:uid="{00000000-0005-0000-0000-00006C000000}"/>
    <cellStyle name="Normal 2 12 2" xfId="89" xr:uid="{00000000-0005-0000-0000-00006D000000}"/>
    <cellStyle name="Normal 2 12 3" xfId="90" xr:uid="{00000000-0005-0000-0000-00006E000000}"/>
    <cellStyle name="Normal 2 12 4" xfId="91" xr:uid="{00000000-0005-0000-0000-00006F000000}"/>
    <cellStyle name="Normal 2 12_Book1 (3)" xfId="92" xr:uid="{00000000-0005-0000-0000-000070000000}"/>
    <cellStyle name="Normal 2 13" xfId="93" xr:uid="{00000000-0005-0000-0000-000071000000}"/>
    <cellStyle name="Normal 2 14" xfId="94" xr:uid="{00000000-0005-0000-0000-000072000000}"/>
    <cellStyle name="Normal 2 15" xfId="95" xr:uid="{00000000-0005-0000-0000-000073000000}"/>
    <cellStyle name="Normal 2 16" xfId="96" xr:uid="{00000000-0005-0000-0000-000074000000}"/>
    <cellStyle name="Normal 2 17" xfId="97" xr:uid="{00000000-0005-0000-0000-000075000000}"/>
    <cellStyle name="Normal 2 18" xfId="98" xr:uid="{00000000-0005-0000-0000-000076000000}"/>
    <cellStyle name="Normal 2 19" xfId="99" xr:uid="{00000000-0005-0000-0000-000077000000}"/>
    <cellStyle name="Normal 2 2" xfId="100" xr:uid="{00000000-0005-0000-0000-000078000000}"/>
    <cellStyle name="Normal 2 2 10" xfId="101" xr:uid="{00000000-0005-0000-0000-000079000000}"/>
    <cellStyle name="Normal 2 2 10 2" xfId="102" xr:uid="{00000000-0005-0000-0000-00007A000000}"/>
    <cellStyle name="Normal 2 2 10 3" xfId="103" xr:uid="{00000000-0005-0000-0000-00007B000000}"/>
    <cellStyle name="Normal 2 2 10 4" xfId="104" xr:uid="{00000000-0005-0000-0000-00007C000000}"/>
    <cellStyle name="Normal 2 2 10_Book1 (3)" xfId="105" xr:uid="{00000000-0005-0000-0000-00007D000000}"/>
    <cellStyle name="Normal 2 2 11" xfId="106" xr:uid="{00000000-0005-0000-0000-00007E000000}"/>
    <cellStyle name="Normal 2 2 11 2" xfId="107" xr:uid="{00000000-0005-0000-0000-00007F000000}"/>
    <cellStyle name="Normal 2 2 11 3" xfId="108" xr:uid="{00000000-0005-0000-0000-000080000000}"/>
    <cellStyle name="Normal 2 2 11 4" xfId="109" xr:uid="{00000000-0005-0000-0000-000081000000}"/>
    <cellStyle name="Normal 2 2 11_Book1 (3)" xfId="110" xr:uid="{00000000-0005-0000-0000-000082000000}"/>
    <cellStyle name="Normal 2 2 12" xfId="111" xr:uid="{00000000-0005-0000-0000-000083000000}"/>
    <cellStyle name="Normal 2 2 12 2" xfId="112" xr:uid="{00000000-0005-0000-0000-000084000000}"/>
    <cellStyle name="Normal 2 2 12 3" xfId="113" xr:uid="{00000000-0005-0000-0000-000085000000}"/>
    <cellStyle name="Normal 2 2 12 4" xfId="114" xr:uid="{00000000-0005-0000-0000-000086000000}"/>
    <cellStyle name="Normal 2 2 12_Book1 (3)" xfId="115" xr:uid="{00000000-0005-0000-0000-000087000000}"/>
    <cellStyle name="Normal 2 2 13" xfId="116" xr:uid="{00000000-0005-0000-0000-000088000000}"/>
    <cellStyle name="Normal 2 2 13 2" xfId="117" xr:uid="{00000000-0005-0000-0000-000089000000}"/>
    <cellStyle name="Normal 2 2 13 3" xfId="118" xr:uid="{00000000-0005-0000-0000-00008A000000}"/>
    <cellStyle name="Normal 2 2 13 4" xfId="119" xr:uid="{00000000-0005-0000-0000-00008B000000}"/>
    <cellStyle name="Normal 2 2 13_Book1 (3)" xfId="120" xr:uid="{00000000-0005-0000-0000-00008C000000}"/>
    <cellStyle name="Normal 2 2 2" xfId="121" xr:uid="{00000000-0005-0000-0000-00008D000000}"/>
    <cellStyle name="Normal 2 2 2 2" xfId="122" xr:uid="{00000000-0005-0000-0000-00008E000000}"/>
    <cellStyle name="Normal 2 2 2 3" xfId="123" xr:uid="{00000000-0005-0000-0000-00008F000000}"/>
    <cellStyle name="Normal 2 2 2 4" xfId="124" xr:uid="{00000000-0005-0000-0000-000090000000}"/>
    <cellStyle name="Normal 2 2 2_Book1 (3)" xfId="125" xr:uid="{00000000-0005-0000-0000-000091000000}"/>
    <cellStyle name="Normal 2 2 3" xfId="126" xr:uid="{00000000-0005-0000-0000-000092000000}"/>
    <cellStyle name="Normal 2 2 3 2" xfId="127" xr:uid="{00000000-0005-0000-0000-000093000000}"/>
    <cellStyle name="Normal 2 2 3 3" xfId="128" xr:uid="{00000000-0005-0000-0000-000094000000}"/>
    <cellStyle name="Normal 2 2 3 4" xfId="129" xr:uid="{00000000-0005-0000-0000-000095000000}"/>
    <cellStyle name="Normal 2 2 3_Book1 (3)" xfId="130" xr:uid="{00000000-0005-0000-0000-000096000000}"/>
    <cellStyle name="Normal 2 2 4" xfId="131" xr:uid="{00000000-0005-0000-0000-000097000000}"/>
    <cellStyle name="Normal 2 2 4 2" xfId="132" xr:uid="{00000000-0005-0000-0000-000098000000}"/>
    <cellStyle name="Normal 2 2 4 3" xfId="133" xr:uid="{00000000-0005-0000-0000-000099000000}"/>
    <cellStyle name="Normal 2 2 4 4" xfId="134" xr:uid="{00000000-0005-0000-0000-00009A000000}"/>
    <cellStyle name="Normal 2 2 4_Book1 (3)" xfId="135" xr:uid="{00000000-0005-0000-0000-00009B000000}"/>
    <cellStyle name="Normal 2 2 5" xfId="136" xr:uid="{00000000-0005-0000-0000-00009C000000}"/>
    <cellStyle name="Normal 2 2 5 2" xfId="137" xr:uid="{00000000-0005-0000-0000-00009D000000}"/>
    <cellStyle name="Normal 2 2 5 3" xfId="138" xr:uid="{00000000-0005-0000-0000-00009E000000}"/>
    <cellStyle name="Normal 2 2 5 4" xfId="139" xr:uid="{00000000-0005-0000-0000-00009F000000}"/>
    <cellStyle name="Normal 2 2 5_Book1 (3)" xfId="140" xr:uid="{00000000-0005-0000-0000-0000A0000000}"/>
    <cellStyle name="Normal 2 2 6" xfId="141" xr:uid="{00000000-0005-0000-0000-0000A1000000}"/>
    <cellStyle name="Normal 2 2 6 2" xfId="142" xr:uid="{00000000-0005-0000-0000-0000A2000000}"/>
    <cellStyle name="Normal 2 2 6 3" xfId="143" xr:uid="{00000000-0005-0000-0000-0000A3000000}"/>
    <cellStyle name="Normal 2 2 6 4" xfId="144" xr:uid="{00000000-0005-0000-0000-0000A4000000}"/>
    <cellStyle name="Normal 2 2 6_Book1 (3)" xfId="145" xr:uid="{00000000-0005-0000-0000-0000A5000000}"/>
    <cellStyle name="Normal 2 2 7" xfId="146" xr:uid="{00000000-0005-0000-0000-0000A6000000}"/>
    <cellStyle name="Normal 2 2 7 2" xfId="147" xr:uid="{00000000-0005-0000-0000-0000A7000000}"/>
    <cellStyle name="Normal 2 2 7 3" xfId="148" xr:uid="{00000000-0005-0000-0000-0000A8000000}"/>
    <cellStyle name="Normal 2 2 7 4" xfId="149" xr:uid="{00000000-0005-0000-0000-0000A9000000}"/>
    <cellStyle name="Normal 2 2 7_Book1 (3)" xfId="150" xr:uid="{00000000-0005-0000-0000-0000AA000000}"/>
    <cellStyle name="Normal 2 2 8" xfId="151" xr:uid="{00000000-0005-0000-0000-0000AB000000}"/>
    <cellStyle name="Normal 2 2 8 2" xfId="152" xr:uid="{00000000-0005-0000-0000-0000AC000000}"/>
    <cellStyle name="Normal 2 2 8 3" xfId="153" xr:uid="{00000000-0005-0000-0000-0000AD000000}"/>
    <cellStyle name="Normal 2 2 8 4" xfId="154" xr:uid="{00000000-0005-0000-0000-0000AE000000}"/>
    <cellStyle name="Normal 2 2 8_Book1 (3)" xfId="155" xr:uid="{00000000-0005-0000-0000-0000AF000000}"/>
    <cellStyle name="Normal 2 2 9" xfId="156" xr:uid="{00000000-0005-0000-0000-0000B0000000}"/>
    <cellStyle name="Normal 2 2 9 2" xfId="157" xr:uid="{00000000-0005-0000-0000-0000B1000000}"/>
    <cellStyle name="Normal 2 2 9 3" xfId="158" xr:uid="{00000000-0005-0000-0000-0000B2000000}"/>
    <cellStyle name="Normal 2 2 9 4" xfId="159" xr:uid="{00000000-0005-0000-0000-0000B3000000}"/>
    <cellStyle name="Normal 2 2 9_Book1 (3)" xfId="160" xr:uid="{00000000-0005-0000-0000-0000B4000000}"/>
    <cellStyle name="Normal 2 20" xfId="161" xr:uid="{00000000-0005-0000-0000-0000B5000000}"/>
    <cellStyle name="Normal 2 21" xfId="162" xr:uid="{00000000-0005-0000-0000-0000B6000000}"/>
    <cellStyle name="Normal 2 22" xfId="163" xr:uid="{00000000-0005-0000-0000-0000B7000000}"/>
    <cellStyle name="Normal 2 23" xfId="164" xr:uid="{00000000-0005-0000-0000-0000B8000000}"/>
    <cellStyle name="Normal 2 24" xfId="165" xr:uid="{00000000-0005-0000-0000-0000B9000000}"/>
    <cellStyle name="Normal 2 24 2" xfId="166" xr:uid="{00000000-0005-0000-0000-0000BA000000}"/>
    <cellStyle name="Normal 2 24_Book1 (3)" xfId="167" xr:uid="{00000000-0005-0000-0000-0000BB000000}"/>
    <cellStyle name="Normal 2 25" xfId="168" xr:uid="{00000000-0005-0000-0000-0000BC000000}"/>
    <cellStyle name="Normal 2 26" xfId="169" xr:uid="{00000000-0005-0000-0000-0000BD000000}"/>
    <cellStyle name="Normal 2 3" xfId="170" xr:uid="{00000000-0005-0000-0000-0000BE000000}"/>
    <cellStyle name="Normal 2 3 2" xfId="171" xr:uid="{00000000-0005-0000-0000-0000BF000000}"/>
    <cellStyle name="Normal 2 3 3" xfId="172" xr:uid="{00000000-0005-0000-0000-0000C0000000}"/>
    <cellStyle name="Normal 2 3 4" xfId="173" xr:uid="{00000000-0005-0000-0000-0000C1000000}"/>
    <cellStyle name="Normal 2 3_Book1 (3)" xfId="174" xr:uid="{00000000-0005-0000-0000-0000C2000000}"/>
    <cellStyle name="Normal 2 4" xfId="175" xr:uid="{00000000-0005-0000-0000-0000C3000000}"/>
    <cellStyle name="Normal 2 4 2" xfId="176" xr:uid="{00000000-0005-0000-0000-0000C4000000}"/>
    <cellStyle name="Normal 2 4 3" xfId="177" xr:uid="{00000000-0005-0000-0000-0000C5000000}"/>
    <cellStyle name="Normal 2 4 4" xfId="178" xr:uid="{00000000-0005-0000-0000-0000C6000000}"/>
    <cellStyle name="Normal 2 4_Book1 (3)" xfId="179" xr:uid="{00000000-0005-0000-0000-0000C7000000}"/>
    <cellStyle name="Normal 2 5" xfId="180" xr:uid="{00000000-0005-0000-0000-0000C8000000}"/>
    <cellStyle name="Normal 2 5 2" xfId="181" xr:uid="{00000000-0005-0000-0000-0000C9000000}"/>
    <cellStyle name="Normal 2 5 3" xfId="182" xr:uid="{00000000-0005-0000-0000-0000CA000000}"/>
    <cellStyle name="Normal 2 5 4" xfId="183" xr:uid="{00000000-0005-0000-0000-0000CB000000}"/>
    <cellStyle name="Normal 2 5_Book1 (3)" xfId="184" xr:uid="{00000000-0005-0000-0000-0000CC000000}"/>
    <cellStyle name="Normal 2 6" xfId="185" xr:uid="{00000000-0005-0000-0000-0000CD000000}"/>
    <cellStyle name="Normal 2 6 2" xfId="186" xr:uid="{00000000-0005-0000-0000-0000CE000000}"/>
    <cellStyle name="Normal 2 6 3" xfId="187" xr:uid="{00000000-0005-0000-0000-0000CF000000}"/>
    <cellStyle name="Normal 2 6 4" xfId="188" xr:uid="{00000000-0005-0000-0000-0000D0000000}"/>
    <cellStyle name="Normal 2 6_Book1 (3)" xfId="189" xr:uid="{00000000-0005-0000-0000-0000D1000000}"/>
    <cellStyle name="Normal 2 7" xfId="190" xr:uid="{00000000-0005-0000-0000-0000D2000000}"/>
    <cellStyle name="Normal 2 7 2" xfId="191" xr:uid="{00000000-0005-0000-0000-0000D3000000}"/>
    <cellStyle name="Normal 2 7 3" xfId="192" xr:uid="{00000000-0005-0000-0000-0000D4000000}"/>
    <cellStyle name="Normal 2 7 4" xfId="193" xr:uid="{00000000-0005-0000-0000-0000D5000000}"/>
    <cellStyle name="Normal 2 7_Book1 (3)" xfId="194" xr:uid="{00000000-0005-0000-0000-0000D6000000}"/>
    <cellStyle name="Normal 2 8" xfId="195" xr:uid="{00000000-0005-0000-0000-0000D7000000}"/>
    <cellStyle name="Normal 2 8 2" xfId="196" xr:uid="{00000000-0005-0000-0000-0000D8000000}"/>
    <cellStyle name="Normal 2 8 3" xfId="197" xr:uid="{00000000-0005-0000-0000-0000D9000000}"/>
    <cellStyle name="Normal 2 8 4" xfId="198" xr:uid="{00000000-0005-0000-0000-0000DA000000}"/>
    <cellStyle name="Normal 2 8_Book1 (3)" xfId="199" xr:uid="{00000000-0005-0000-0000-0000DB000000}"/>
    <cellStyle name="Normal 2 9" xfId="200" xr:uid="{00000000-0005-0000-0000-0000DC000000}"/>
    <cellStyle name="Normal 2 9 2" xfId="201" xr:uid="{00000000-0005-0000-0000-0000DD000000}"/>
    <cellStyle name="Normal 2 9 3" xfId="202" xr:uid="{00000000-0005-0000-0000-0000DE000000}"/>
    <cellStyle name="Normal 2 9 4" xfId="203" xr:uid="{00000000-0005-0000-0000-0000DF000000}"/>
    <cellStyle name="Normal 2 9_Book1 (3)" xfId="204" xr:uid="{00000000-0005-0000-0000-0000E0000000}"/>
    <cellStyle name="Normal 2_Book1 (3)" xfId="205" xr:uid="{00000000-0005-0000-0000-0000E1000000}"/>
    <cellStyle name="Normal 20" xfId="206" xr:uid="{00000000-0005-0000-0000-0000E2000000}"/>
    <cellStyle name="Normal 21" xfId="207" xr:uid="{00000000-0005-0000-0000-0000E3000000}"/>
    <cellStyle name="Normal 22" xfId="208" xr:uid="{00000000-0005-0000-0000-0000E4000000}"/>
    <cellStyle name="Normal 23" xfId="331" xr:uid="{D4129089-B3A4-4B46-87B5-73E7CBAF09AC}"/>
    <cellStyle name="Normal 3" xfId="209" xr:uid="{00000000-0005-0000-0000-0000E5000000}"/>
    <cellStyle name="Normal 3 2" xfId="210" xr:uid="{00000000-0005-0000-0000-0000E6000000}"/>
    <cellStyle name="Normal 3 3" xfId="211" xr:uid="{00000000-0005-0000-0000-0000E7000000}"/>
    <cellStyle name="Normal 3 4" xfId="212" xr:uid="{00000000-0005-0000-0000-0000E8000000}"/>
    <cellStyle name="Normal 3 5" xfId="213" xr:uid="{00000000-0005-0000-0000-0000E9000000}"/>
    <cellStyle name="Normal 4" xfId="214" xr:uid="{00000000-0005-0000-0000-0000EA000000}"/>
    <cellStyle name="Normal 4 10" xfId="215" xr:uid="{00000000-0005-0000-0000-0000EB000000}"/>
    <cellStyle name="Normal 4 11" xfId="216" xr:uid="{00000000-0005-0000-0000-0000EC000000}"/>
    <cellStyle name="Normal 4 12" xfId="217" xr:uid="{00000000-0005-0000-0000-0000ED000000}"/>
    <cellStyle name="Normal 4 13" xfId="218" xr:uid="{00000000-0005-0000-0000-0000EE000000}"/>
    <cellStyle name="Normal 4 14" xfId="219" xr:uid="{00000000-0005-0000-0000-0000EF000000}"/>
    <cellStyle name="Normal 4 15" xfId="220" xr:uid="{00000000-0005-0000-0000-0000F0000000}"/>
    <cellStyle name="Normal 4 2" xfId="221" xr:uid="{00000000-0005-0000-0000-0000F1000000}"/>
    <cellStyle name="Normal 4 3" xfId="222" xr:uid="{00000000-0005-0000-0000-0000F2000000}"/>
    <cellStyle name="Normal 4 4" xfId="223" xr:uid="{00000000-0005-0000-0000-0000F3000000}"/>
    <cellStyle name="Normal 4 5" xfId="224" xr:uid="{00000000-0005-0000-0000-0000F4000000}"/>
    <cellStyle name="Normal 4 6" xfId="225" xr:uid="{00000000-0005-0000-0000-0000F5000000}"/>
    <cellStyle name="Normal 4 7" xfId="226" xr:uid="{00000000-0005-0000-0000-0000F6000000}"/>
    <cellStyle name="Normal 4 8" xfId="227" xr:uid="{00000000-0005-0000-0000-0000F7000000}"/>
    <cellStyle name="Normal 4 9" xfId="228" xr:uid="{00000000-0005-0000-0000-0000F8000000}"/>
    <cellStyle name="Normal 5" xfId="229" xr:uid="{00000000-0005-0000-0000-0000F9000000}"/>
    <cellStyle name="Normal 5 10" xfId="230" xr:uid="{00000000-0005-0000-0000-0000FA000000}"/>
    <cellStyle name="Normal 5 11" xfId="231" xr:uid="{00000000-0005-0000-0000-0000FB000000}"/>
    <cellStyle name="Normal 5 12" xfId="232" xr:uid="{00000000-0005-0000-0000-0000FC000000}"/>
    <cellStyle name="Normal 5 13" xfId="233" xr:uid="{00000000-0005-0000-0000-0000FD000000}"/>
    <cellStyle name="Normal 5 14" xfId="234" xr:uid="{00000000-0005-0000-0000-0000FE000000}"/>
    <cellStyle name="Normal 5 15" xfId="235" xr:uid="{00000000-0005-0000-0000-0000FF000000}"/>
    <cellStyle name="Normal 5 16" xfId="236" xr:uid="{00000000-0005-0000-0000-000000010000}"/>
    <cellStyle name="Normal 5 17" xfId="237" xr:uid="{00000000-0005-0000-0000-000001010000}"/>
    <cellStyle name="Normal 5 2" xfId="238" xr:uid="{00000000-0005-0000-0000-000002010000}"/>
    <cellStyle name="Normal 5 3" xfId="239" xr:uid="{00000000-0005-0000-0000-000003010000}"/>
    <cellStyle name="Normal 5 4" xfId="240" xr:uid="{00000000-0005-0000-0000-000004010000}"/>
    <cellStyle name="Normal 5 5" xfId="241" xr:uid="{00000000-0005-0000-0000-000005010000}"/>
    <cellStyle name="Normal 5 6" xfId="242" xr:uid="{00000000-0005-0000-0000-000006010000}"/>
    <cellStyle name="Normal 5 7" xfId="243" xr:uid="{00000000-0005-0000-0000-000007010000}"/>
    <cellStyle name="Normal 5 8" xfId="244" xr:uid="{00000000-0005-0000-0000-000008010000}"/>
    <cellStyle name="Normal 5 9" xfId="245" xr:uid="{00000000-0005-0000-0000-000009010000}"/>
    <cellStyle name="Normal 6" xfId="246" xr:uid="{00000000-0005-0000-0000-00000A010000}"/>
    <cellStyle name="Normal 6 10" xfId="247" xr:uid="{00000000-0005-0000-0000-00000B010000}"/>
    <cellStyle name="Normal 6 11" xfId="248" xr:uid="{00000000-0005-0000-0000-00000C010000}"/>
    <cellStyle name="Normal 6 12" xfId="249" xr:uid="{00000000-0005-0000-0000-00000D010000}"/>
    <cellStyle name="Normal 6 13" xfId="250" xr:uid="{00000000-0005-0000-0000-00000E010000}"/>
    <cellStyle name="Normal 6 14" xfId="251" xr:uid="{00000000-0005-0000-0000-00000F010000}"/>
    <cellStyle name="Normal 6 15" xfId="252" xr:uid="{00000000-0005-0000-0000-000010010000}"/>
    <cellStyle name="Normal 6 2" xfId="253" xr:uid="{00000000-0005-0000-0000-000011010000}"/>
    <cellStyle name="Normal 6 3" xfId="254" xr:uid="{00000000-0005-0000-0000-000012010000}"/>
    <cellStyle name="Normal 6 4" xfId="255" xr:uid="{00000000-0005-0000-0000-000013010000}"/>
    <cellStyle name="Normal 6 5" xfId="256" xr:uid="{00000000-0005-0000-0000-000014010000}"/>
    <cellStyle name="Normal 6 6" xfId="257" xr:uid="{00000000-0005-0000-0000-000015010000}"/>
    <cellStyle name="Normal 6 7" xfId="258" xr:uid="{00000000-0005-0000-0000-000016010000}"/>
    <cellStyle name="Normal 6 8" xfId="259" xr:uid="{00000000-0005-0000-0000-000017010000}"/>
    <cellStyle name="Normal 6 9" xfId="260" xr:uid="{00000000-0005-0000-0000-000018010000}"/>
    <cellStyle name="Normal 7" xfId="261" xr:uid="{00000000-0005-0000-0000-000019010000}"/>
    <cellStyle name="Normal 7 2" xfId="262" xr:uid="{00000000-0005-0000-0000-00001A010000}"/>
    <cellStyle name="Normal 7 3" xfId="263" xr:uid="{00000000-0005-0000-0000-00001B010000}"/>
    <cellStyle name="Normal 7 4" xfId="264" xr:uid="{00000000-0005-0000-0000-00001C010000}"/>
    <cellStyle name="Normal 7 5" xfId="265" xr:uid="{00000000-0005-0000-0000-00001D010000}"/>
    <cellStyle name="Normal 7 6" xfId="266" xr:uid="{00000000-0005-0000-0000-00001E010000}"/>
    <cellStyle name="Normal 7 7" xfId="267" xr:uid="{00000000-0005-0000-0000-00001F010000}"/>
    <cellStyle name="Normal 7 8" xfId="268" xr:uid="{00000000-0005-0000-0000-000020010000}"/>
    <cellStyle name="Normal 8" xfId="269" xr:uid="{00000000-0005-0000-0000-000021010000}"/>
    <cellStyle name="Normal 8 2" xfId="270" xr:uid="{00000000-0005-0000-0000-000022010000}"/>
    <cellStyle name="Normal 8 2 2" xfId="271" xr:uid="{00000000-0005-0000-0000-000023010000}"/>
    <cellStyle name="Normal 8 2_Book1 (3)" xfId="272" xr:uid="{00000000-0005-0000-0000-000024010000}"/>
    <cellStyle name="Normal 8 3" xfId="273" xr:uid="{00000000-0005-0000-0000-000025010000}"/>
    <cellStyle name="Normal 8 4" xfId="274" xr:uid="{00000000-0005-0000-0000-000026010000}"/>
    <cellStyle name="Normal 8_Book1 (3)" xfId="275" xr:uid="{00000000-0005-0000-0000-000027010000}"/>
    <cellStyle name="Normal 9" xfId="276" xr:uid="{00000000-0005-0000-0000-000028010000}"/>
    <cellStyle name="Normal 9 2" xfId="277" xr:uid="{00000000-0005-0000-0000-000029010000}"/>
    <cellStyle name="Normal 9 3" xfId="278" xr:uid="{00000000-0005-0000-0000-00002A010000}"/>
    <cellStyle name="Normal 9 4" xfId="279" xr:uid="{00000000-0005-0000-0000-00002B010000}"/>
    <cellStyle name="Normal 9 5" xfId="280" xr:uid="{00000000-0005-0000-0000-00002C010000}"/>
    <cellStyle name="Normal 9 6" xfId="281" xr:uid="{00000000-0005-0000-0000-00002D010000}"/>
    <cellStyle name="Normal 9 7" xfId="282" xr:uid="{00000000-0005-0000-0000-00002E010000}"/>
    <cellStyle name="Normal 9 8" xfId="283" xr:uid="{00000000-0005-0000-0000-00002F010000}"/>
    <cellStyle name="Normal," xfId="284" xr:uid="{00000000-0005-0000-0000-000030010000}"/>
    <cellStyle name="Normal, 2" xfId="285" xr:uid="{00000000-0005-0000-0000-000031010000}"/>
    <cellStyle name="Normalblå" xfId="286" xr:uid="{00000000-0005-0000-0000-000032010000}"/>
    <cellStyle name="Normalblåtekst" xfId="287" xr:uid="{00000000-0005-0000-0000-000033010000}"/>
    <cellStyle name="Normalblåtekstcentreret" xfId="288" xr:uid="{00000000-0005-0000-0000-000034010000}"/>
    <cellStyle name="NormalIT" xfId="289" xr:uid="{00000000-0005-0000-0000-000035010000}"/>
    <cellStyle name="Overskrift" xfId="290" xr:uid="{00000000-0005-0000-0000-000036010000}"/>
    <cellStyle name="Percent" xfId="333" builtinId="5"/>
    <cellStyle name="PrisDKK," xfId="291" xr:uid="{00000000-0005-0000-0000-000037010000}"/>
    <cellStyle name="Procent 2" xfId="292" xr:uid="{00000000-0005-0000-0000-000038010000}"/>
    <cellStyle name="Procent 2 2" xfId="293" xr:uid="{00000000-0005-0000-0000-000039010000}"/>
    <cellStyle name="Procent 2 3" xfId="294" xr:uid="{00000000-0005-0000-0000-00003A010000}"/>
    <cellStyle name="Procent 2 3 2" xfId="295" xr:uid="{00000000-0005-0000-0000-00003B010000}"/>
    <cellStyle name="Procent 2 3 3" xfId="296" xr:uid="{00000000-0005-0000-0000-00003C010000}"/>
    <cellStyle name="Procent 2 3 4" xfId="297" xr:uid="{00000000-0005-0000-0000-00003D010000}"/>
    <cellStyle name="Procent 3" xfId="298" xr:uid="{00000000-0005-0000-0000-00003E010000}"/>
    <cellStyle name="Procent 3 2" xfId="299" xr:uid="{00000000-0005-0000-0000-00003F010000}"/>
    <cellStyle name="Procent 4" xfId="300" xr:uid="{00000000-0005-0000-0000-000040010000}"/>
    <cellStyle name="Tekst" xfId="301" xr:uid="{00000000-0005-0000-0000-000041010000}"/>
    <cellStyle name="Tekst 2" xfId="302" xr:uid="{00000000-0005-0000-0000-000042010000}"/>
    <cellStyle name="Title" xfId="1" builtinId="15"/>
    <cellStyle name="ValutaDKK," xfId="303" xr:uid="{00000000-0005-0000-0000-000044010000}"/>
    <cellStyle name="ValutaDKK,00" xfId="304" xr:uid="{00000000-0005-0000-0000-000045010000}"/>
    <cellStyle name="ValutaDKK,00,øre" xfId="305" xr:uid="{00000000-0005-0000-0000-000046010000}"/>
    <cellStyle name="ValutaDKKblå,00" xfId="306" xr:uid="{00000000-0005-0000-0000-000047010000}"/>
    <cellStyle name="ValutaDKKblå,00,øre" xfId="307" xr:uid="{00000000-0005-0000-0000-000048010000}"/>
    <cellStyle name="ValutaEUR" xfId="308" xr:uid="{00000000-0005-0000-0000-000049010000}"/>
    <cellStyle name="ValutaEURblå" xfId="309" xr:uid="{00000000-0005-0000-0000-00004A010000}"/>
    <cellStyle name="ValutaEURkurs" xfId="310" xr:uid="{00000000-0005-0000-0000-00004B010000}"/>
  </cellStyles>
  <dxfs count="276">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s>
  <tableStyles count="0" defaultTableStyle="TableStyleMedium9" defaultPivotStyle="PivotStyleLight16"/>
  <colors>
    <mruColors>
      <color rgb="FFDEEBF7"/>
      <color rgb="FF38777E"/>
      <color rgb="FF7EC9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'Benzin - diesel - hybrid'!$E$129</c:f>
              <c:strCache>
                <c:ptCount val="1"/>
                <c:pt idx="0">
                  <c:v>PRODUKT 1</c:v>
                </c:pt>
              </c:strCache>
            </c:strRef>
          </c:tx>
          <c:spPr>
            <a:ln>
              <a:solidFill>
                <a:srgbClr val="7EC9B7"/>
              </a:solidFill>
            </a:ln>
          </c:spPr>
          <c:marker>
            <c:symbol val="none"/>
          </c:marker>
          <c:xVal>
            <c:strRef>
              <c:f>'IB - B&amp;D&amp;H'!$Z$27:$Z$46</c:f>
              <c:strCache>
                <c:ptCount val="4"/>
                <c:pt idx="0">
                  <c:v>1</c:v>
                </c:pt>
                <c:pt idx="1">
                  <c:v>2</c:v>
                </c:pt>
                <c:pt idx="2">
                  <c:v>3</c:v>
                </c:pt>
                <c:pt idx="3">
                  <c:v>4</c:v>
                </c:pt>
              </c:strCache>
            </c:strRef>
          </c:xVal>
          <c:yVal>
            <c:numRef>
              <c:f>'Benzin - diesel - hybrid'!$E$130:$E$149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DB2A-4181-9981-395F520BCA84}"/>
            </c:ext>
          </c:extLst>
        </c:ser>
        <c:ser>
          <c:idx val="2"/>
          <c:order val="2"/>
          <c:tx>
            <c:strRef>
              <c:f>'Benzin - diesel - hybrid'!$G$129</c:f>
              <c:strCache>
                <c:ptCount val="1"/>
                <c:pt idx="0">
                  <c:v>PRODUKT 2</c:v>
                </c:pt>
              </c:strCache>
            </c:strRef>
          </c:tx>
          <c:spPr>
            <a:ln>
              <a:solidFill>
                <a:srgbClr val="38777E"/>
              </a:solidFill>
            </a:ln>
          </c:spPr>
          <c:marker>
            <c:symbol val="none"/>
          </c:marker>
          <c:xVal>
            <c:strRef>
              <c:f>'IB - B&amp;D&amp;H'!$Z$27:$Z$46</c:f>
              <c:strCache>
                <c:ptCount val="4"/>
                <c:pt idx="0">
                  <c:v>1</c:v>
                </c:pt>
                <c:pt idx="1">
                  <c:v>2</c:v>
                </c:pt>
                <c:pt idx="2">
                  <c:v>3</c:v>
                </c:pt>
                <c:pt idx="3">
                  <c:v>4</c:v>
                </c:pt>
              </c:strCache>
            </c:strRef>
          </c:xVal>
          <c:yVal>
            <c:numRef>
              <c:f>'Benzin - diesel - hybrid'!$G$130:$G$149</c:f>
            </c:numRef>
          </c:yVal>
          <c:smooth val="0"/>
          <c:extLst>
            <c:ext xmlns:c16="http://schemas.microsoft.com/office/drawing/2014/chart" uri="{C3380CC4-5D6E-409C-BE32-E72D297353CC}">
              <c16:uniqueId val="{00000001-DB2A-4181-9981-395F520BCA84}"/>
            </c:ext>
          </c:extLst>
        </c:ser>
        <c:ser>
          <c:idx val="4"/>
          <c:order val="4"/>
          <c:tx>
            <c:strRef>
              <c:f>'Benzin - diesel - hybrid'!$I$129</c:f>
              <c:strCache>
                <c:ptCount val="1"/>
                <c:pt idx="0">
                  <c:v>PRODUKT 3</c:v>
                </c:pt>
              </c:strCache>
            </c:strRef>
          </c:tx>
          <c:marker>
            <c:symbol val="none"/>
          </c:marker>
          <c:xVal>
            <c:strRef>
              <c:f>'IB - B&amp;D&amp;H'!$Z$27:$Z$46</c:f>
              <c:strCache>
                <c:ptCount val="4"/>
                <c:pt idx="0">
                  <c:v>1</c:v>
                </c:pt>
                <c:pt idx="1">
                  <c:v>2</c:v>
                </c:pt>
                <c:pt idx="2">
                  <c:v>3</c:v>
                </c:pt>
                <c:pt idx="3">
                  <c:v>4</c:v>
                </c:pt>
              </c:strCache>
            </c:strRef>
          </c:xVal>
          <c:yVal>
            <c:numRef>
              <c:f>'Benzin - diesel - hybrid'!$I$130:$I$149</c:f>
            </c:numRef>
          </c:yVal>
          <c:smooth val="0"/>
          <c:extLst>
            <c:ext xmlns:c16="http://schemas.microsoft.com/office/drawing/2014/chart" uri="{C3380CC4-5D6E-409C-BE32-E72D297353CC}">
              <c16:uniqueId val="{00000002-DB2A-4181-9981-395F520BCA84}"/>
            </c:ext>
          </c:extLst>
        </c:ser>
        <c:ser>
          <c:idx val="6"/>
          <c:order val="6"/>
          <c:tx>
            <c:strRef>
              <c:f>'Benzin - diesel - hybrid'!$K$129</c:f>
              <c:strCache>
                <c:ptCount val="1"/>
                <c:pt idx="0">
                  <c:v>PRODUKT 4</c:v>
                </c:pt>
              </c:strCache>
            </c:strRef>
          </c:tx>
          <c:marker>
            <c:symbol val="none"/>
          </c:marker>
          <c:xVal>
            <c:strRef>
              <c:f>'IB - B&amp;D&amp;H'!$Z$27:$Z$46</c:f>
              <c:strCache>
                <c:ptCount val="4"/>
                <c:pt idx="0">
                  <c:v>1</c:v>
                </c:pt>
                <c:pt idx="1">
                  <c:v>2</c:v>
                </c:pt>
                <c:pt idx="2">
                  <c:v>3</c:v>
                </c:pt>
                <c:pt idx="3">
                  <c:v>4</c:v>
                </c:pt>
              </c:strCache>
            </c:strRef>
          </c:xVal>
          <c:yVal>
            <c:numRef>
              <c:f>'Benzin - diesel - hybrid'!$K$130:$K$149</c:f>
            </c:numRef>
          </c:yVal>
          <c:smooth val="0"/>
          <c:extLst>
            <c:ext xmlns:c16="http://schemas.microsoft.com/office/drawing/2014/chart" uri="{C3380CC4-5D6E-409C-BE32-E72D297353CC}">
              <c16:uniqueId val="{00000003-DB2A-4181-9981-395F520BCA84}"/>
            </c:ext>
          </c:extLst>
        </c:ser>
        <c:ser>
          <c:idx val="8"/>
          <c:order val="8"/>
          <c:tx>
            <c:strRef>
              <c:f>'Benzin - diesel - hybrid'!$M$129</c:f>
              <c:strCache>
                <c:ptCount val="1"/>
                <c:pt idx="0">
                  <c:v>PRODUKT 5</c:v>
                </c:pt>
              </c:strCache>
            </c:strRef>
          </c:tx>
          <c:marker>
            <c:symbol val="none"/>
          </c:marker>
          <c:xVal>
            <c:strRef>
              <c:f>'IB - B&amp;D&amp;H'!$Z$27:$Z$46</c:f>
              <c:strCache>
                <c:ptCount val="4"/>
                <c:pt idx="0">
                  <c:v>1</c:v>
                </c:pt>
                <c:pt idx="1">
                  <c:v>2</c:v>
                </c:pt>
                <c:pt idx="2">
                  <c:v>3</c:v>
                </c:pt>
                <c:pt idx="3">
                  <c:v>4</c:v>
                </c:pt>
              </c:strCache>
            </c:strRef>
          </c:xVal>
          <c:yVal>
            <c:numRef>
              <c:f>'Benzin - diesel - hybrid'!$M$130:$M$149</c:f>
            </c:numRef>
          </c:yVal>
          <c:smooth val="0"/>
          <c:extLst>
            <c:ext xmlns:c16="http://schemas.microsoft.com/office/drawing/2014/chart" uri="{C3380CC4-5D6E-409C-BE32-E72D297353CC}">
              <c16:uniqueId val="{00000004-DB2A-4181-9981-395F520BCA84}"/>
            </c:ext>
          </c:extLst>
        </c:ser>
        <c:ser>
          <c:idx val="10"/>
          <c:order val="10"/>
          <c:tx>
            <c:strRef>
              <c:f>'Benzin - diesel - hybrid'!$O$129</c:f>
              <c:strCache>
                <c:ptCount val="1"/>
                <c:pt idx="0">
                  <c:v>PRODUKT 6</c:v>
                </c:pt>
              </c:strCache>
            </c:strRef>
          </c:tx>
          <c:marker>
            <c:symbol val="none"/>
          </c:marker>
          <c:xVal>
            <c:strRef>
              <c:f>'IB - B&amp;D&amp;H'!$Z$27:$Z$46</c:f>
              <c:strCache>
                <c:ptCount val="4"/>
                <c:pt idx="0">
                  <c:v>1</c:v>
                </c:pt>
                <c:pt idx="1">
                  <c:v>2</c:v>
                </c:pt>
                <c:pt idx="2">
                  <c:v>3</c:v>
                </c:pt>
                <c:pt idx="3">
                  <c:v>4</c:v>
                </c:pt>
              </c:strCache>
            </c:strRef>
          </c:xVal>
          <c:yVal>
            <c:numRef>
              <c:f>'Benzin - diesel - hybrid'!$O$130:$O$149</c:f>
            </c:numRef>
          </c:yVal>
          <c:smooth val="0"/>
          <c:extLst>
            <c:ext xmlns:c16="http://schemas.microsoft.com/office/drawing/2014/chart" uri="{C3380CC4-5D6E-409C-BE32-E72D297353CC}">
              <c16:uniqueId val="{00000005-DB2A-4181-9981-395F520BCA84}"/>
            </c:ext>
          </c:extLst>
        </c:ser>
        <c:ser>
          <c:idx val="12"/>
          <c:order val="12"/>
          <c:tx>
            <c:strRef>
              <c:f>'Benzin - diesel - hybrid'!$Q$129</c:f>
              <c:strCache>
                <c:ptCount val="1"/>
                <c:pt idx="0">
                  <c:v>PRODUKT 7</c:v>
                </c:pt>
              </c:strCache>
            </c:strRef>
          </c:tx>
          <c:marker>
            <c:symbol val="none"/>
          </c:marker>
          <c:xVal>
            <c:strRef>
              <c:f>'IB - B&amp;D&amp;H'!$Z$27:$Z$46</c:f>
              <c:strCache>
                <c:ptCount val="4"/>
                <c:pt idx="0">
                  <c:v>1</c:v>
                </c:pt>
                <c:pt idx="1">
                  <c:v>2</c:v>
                </c:pt>
                <c:pt idx="2">
                  <c:v>3</c:v>
                </c:pt>
                <c:pt idx="3">
                  <c:v>4</c:v>
                </c:pt>
              </c:strCache>
            </c:strRef>
          </c:xVal>
          <c:yVal>
            <c:numRef>
              <c:f>'Benzin - diesel - hybrid'!$Q$130:$Q$149</c:f>
            </c:numRef>
          </c:yVal>
          <c:smooth val="0"/>
          <c:extLst>
            <c:ext xmlns:c16="http://schemas.microsoft.com/office/drawing/2014/chart" uri="{C3380CC4-5D6E-409C-BE32-E72D297353CC}">
              <c16:uniqueId val="{00000006-DB2A-4181-9981-395F520BCA84}"/>
            </c:ext>
          </c:extLst>
        </c:ser>
        <c:ser>
          <c:idx val="14"/>
          <c:order val="14"/>
          <c:tx>
            <c:strRef>
              <c:f>'Benzin - diesel - hybrid'!$S$129</c:f>
              <c:strCache>
                <c:ptCount val="1"/>
                <c:pt idx="0">
                  <c:v>PRODUKT 8</c:v>
                </c:pt>
              </c:strCache>
            </c:strRef>
          </c:tx>
          <c:marker>
            <c:symbol val="none"/>
          </c:marker>
          <c:xVal>
            <c:strRef>
              <c:f>'IB - B&amp;D&amp;H'!$Z$27:$Z$46</c:f>
              <c:strCache>
                <c:ptCount val="4"/>
                <c:pt idx="0">
                  <c:v>1</c:v>
                </c:pt>
                <c:pt idx="1">
                  <c:v>2</c:v>
                </c:pt>
                <c:pt idx="2">
                  <c:v>3</c:v>
                </c:pt>
                <c:pt idx="3">
                  <c:v>4</c:v>
                </c:pt>
              </c:strCache>
            </c:strRef>
          </c:xVal>
          <c:yVal>
            <c:numRef>
              <c:f>'Benzin - diesel - hybrid'!$S$130:$S$149</c:f>
            </c:numRef>
          </c:yVal>
          <c:smooth val="0"/>
          <c:extLst>
            <c:ext xmlns:c16="http://schemas.microsoft.com/office/drawing/2014/chart" uri="{C3380CC4-5D6E-409C-BE32-E72D297353CC}">
              <c16:uniqueId val="{00000007-DB2A-4181-9981-395F520BCA84}"/>
            </c:ext>
          </c:extLst>
        </c:ser>
        <c:ser>
          <c:idx val="16"/>
          <c:order val="16"/>
          <c:tx>
            <c:strRef>
              <c:f>'Benzin - diesel - hybrid'!$U$8</c:f>
              <c:strCache>
                <c:ptCount val="1"/>
                <c:pt idx="0">
                  <c:v>PRODUKT 9</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2-32E4-4DE5-AD03-F1CDB1BA355B}"/>
            </c:ext>
          </c:extLst>
        </c:ser>
        <c:ser>
          <c:idx val="18"/>
          <c:order val="18"/>
          <c:tx>
            <c:strRef>
              <c:f>'Benzin - diesel - hybrid'!$W$8</c:f>
              <c:strCache>
                <c:ptCount val="1"/>
                <c:pt idx="0">
                  <c:v>PRODUKT 10</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4-32E4-4DE5-AD03-F1CDB1BA355B}"/>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'Benzin - diesel - hybrid'!$F$129</c15:sqref>
                        </c15:formulaRef>
                      </c:ext>
                    </c:extLst>
                    <c:strCache>
                      <c:ptCount val="1"/>
                    </c:strCache>
                  </c:strRef>
                </c:tx>
                <c:marker>
                  <c:symbol val="none"/>
                </c:marker>
                <c:yVal>
                  <c:numRef>
                    <c:extLst>
                      <c:ext uri="{02D57815-91ED-43cb-92C2-25804820EDAC}">
                        <c15:formulaRef>
                          <c15:sqref>'Benzin - diesel - hybrid'!$F$130:$F$149</c15:sqref>
                        </c15:formulaRef>
                      </c:ext>
                    </c:extLst>
                    <c:numCache>
                      <c:formatCode>0</c:formatCode>
                      <c:ptCount val="20"/>
                    </c:numCache>
                  </c:numRef>
                </c:yVal>
                <c:smooth val="0"/>
                <c:extLst>
                  <c:ext xmlns:c16="http://schemas.microsoft.com/office/drawing/2014/chart" uri="{C3380CC4-5D6E-409C-BE32-E72D297353CC}">
                    <c16:uniqueId val="{00000008-DB2A-4181-9981-395F520BCA84}"/>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'Benzin - diesel - hybrid'!$H$129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hybrid'!$H$130:$H$149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9-DB2A-4181-9981-395F520BCA84}"/>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'Benzin - diesel - hybrid'!$J$129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hybrid'!$J$130:$J$149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A-DB2A-4181-9981-395F520BCA84}"/>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'Benzin - diesel - hybrid'!$L$129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hybrid'!$L$130:$L$149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DB2A-4181-9981-395F520BCA84}"/>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'Benzin - diesel - hybrid'!$N$129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hybrid'!$N$130:$N$149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DB2A-4181-9981-395F520BCA84}"/>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'Benzin - diesel - hybrid'!$P$129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hybrid'!$P$130:$P$149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DB2A-4181-9981-395F520BCA84}"/>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'Benzin - diesel - hybrid'!$R$129</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hybrid'!$R$130:$R$149</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DB2A-4181-9981-395F520BCA84}"/>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'Benzin - diesel -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1-32E4-4DE5-AD03-F1CDB1BA355B}"/>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'Benzin - diesel -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3-32E4-4DE5-AD03-F1CDB1BA355B}"/>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4685462125255953"/>
          <c:y val="0.13609833959641668"/>
          <c:w val="0.16702806835442457"/>
          <c:h val="0.58422141408732819"/>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'Benzin - diesel - hybrid'!$C$76</c:f>
              <c:strCache>
                <c:ptCount val="1"/>
                <c:pt idx="0">
                  <c:v>Investeringsomkostning (uden ladestandere/ladebokse)</c:v>
                </c:pt>
              </c:strCache>
            </c:strRef>
          </c:tx>
          <c:spPr>
            <a:solidFill>
              <a:srgbClr val="38777E"/>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hybrid'!$E$76:$S$76</c15:sqref>
                  </c15:fullRef>
                </c:ext>
              </c:extLst>
              <c:f>('Benzin - diesel - hybrid'!$E$76,'Benzin - diesel - hybrid'!$G$76,'Benzin - diesel - hybrid'!$I$76,'Benzin - diesel - hybrid'!$K$76,'Benzin - diesel - hybrid'!$M$76,'Benzin - diesel - hybrid'!$O$76,'Benzin - diesel - hybrid'!$Q$76,'Benzin - diesel - hybrid'!$S$76)</c:f>
              <c:numCache>
                <c:formatCode>_("kr."* #,##0_);_("kr."* \(#,##0\);_("kr."* "-"_);_(@_)</c:formatCode>
                <c:ptCount val="1"/>
                <c:pt idx="0">
                  <c:v>0</c:v>
                </c:pt>
              </c:numCache>
            </c:numRef>
          </c:val>
          <c:extLst>
            <c:ext xmlns:c16="http://schemas.microsoft.com/office/drawing/2014/chart" uri="{C3380CC4-5D6E-409C-BE32-E72D297353CC}">
              <c16:uniqueId val="{00000000-70E2-4BD1-8256-DA0119B51161}"/>
            </c:ext>
          </c:extLst>
        </c:ser>
        <c:ser>
          <c:idx val="1"/>
          <c:order val="1"/>
          <c:tx>
            <c:strRef>
              <c:f>'Benzin - diesel - hybrid'!$C$78</c:f>
              <c:strCache>
                <c:ptCount val="1"/>
                <c:pt idx="0">
                  <c:v>Driftsomkostning i alt</c:v>
                </c:pt>
              </c:strCache>
            </c:strRef>
          </c:tx>
          <c:spPr>
            <a:solidFill>
              <a:srgbClr val="7EC9B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hybrid'!$E$78:$S$78</c15:sqref>
                  </c15:fullRef>
                </c:ext>
              </c:extLst>
              <c:f>('Benzin - diesel - hybrid'!$E$78,'Benzin - diesel - hybrid'!$G$78,'Benzin - diesel - hybrid'!$I$78,'Benzin - diesel - hybrid'!$K$78,'Benzin - diesel - hybrid'!$M$78,'Benzin - diesel - hybrid'!$O$78,'Benzin - diesel - hybrid'!$Q$78,'Benzin - diesel - hybrid'!$S$78)</c:f>
              <c:numCache>
                <c:formatCode>_("kr."* #,##0_);_("kr."* \(#,##0\);_("kr."* "-"_);_(@_)</c:formatCode>
                <c:ptCount val="1"/>
                <c:pt idx="0">
                  <c:v>0</c:v>
                </c:pt>
              </c:numCache>
            </c:numRef>
          </c:val>
          <c:extLst>
            <c:ext xmlns:c16="http://schemas.microsoft.com/office/drawing/2014/chart" uri="{C3380CC4-5D6E-409C-BE32-E72D297353CC}">
              <c16:uniqueId val="{00000001-70E2-4BD1-8256-DA0119B51161}"/>
            </c:ext>
          </c:extLst>
        </c:ser>
        <c:ser>
          <c:idx val="2"/>
          <c:order val="2"/>
          <c:tx>
            <c:strRef>
              <c:f>'Benzin - diesel - hybrid'!$C$79</c:f>
              <c:strCache>
                <c:ptCount val="1"/>
                <c:pt idx="0">
                  <c:v>Service, vedligehold og løbende omkostninger i alt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hybrid'!$E$79:$S$79</c15:sqref>
                  </c15:fullRef>
                </c:ext>
              </c:extLst>
              <c:f>('Benzin - diesel - hybrid'!$E$79,'Benzin - diesel - hybrid'!$G$79,'Benzin - diesel - hybrid'!$I$79,'Benzin - diesel - hybrid'!$K$79,'Benzin - diesel - hybrid'!$M$79,'Benzin - diesel - hybrid'!$O$79,'Benzin - diesel - hybrid'!$Q$79,'Benzin - diesel - hybrid'!$S$79)</c:f>
              <c:numCache>
                <c:formatCode>_("kr."* #,##0_);_("kr."* \(#,##0\);_("kr."* "-"_);_(@_)</c:formatCode>
                <c:ptCount val="1"/>
                <c:pt idx="0">
                  <c:v>0</c:v>
                </c:pt>
              </c:numCache>
            </c:numRef>
          </c:val>
          <c:extLst>
            <c:ext xmlns:c16="http://schemas.microsoft.com/office/drawing/2014/chart" uri="{C3380CC4-5D6E-409C-BE32-E72D297353CC}">
              <c16:uniqueId val="{00000000-387B-4265-A319-C289D36C048C}"/>
            </c:ext>
          </c:extLst>
        </c:ser>
        <c:ser>
          <c:idx val="3"/>
          <c:order val="3"/>
          <c:tx>
            <c:strRef>
              <c:f>'Benzin - diesel - hybrid'!$C$80</c:f>
              <c:strCache>
                <c:ptCount val="1"/>
                <c:pt idx="0">
                  <c:v>Efterbrug - omkostninger og indtægter i alt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hybrid'!$E$80:$S$80</c15:sqref>
                  </c15:fullRef>
                </c:ext>
              </c:extLst>
              <c:f>('Benzin - diesel - hybrid'!$E$80,'Benzin - diesel - hybrid'!$G$80,'Benzin - diesel - hybrid'!$I$80,'Benzin - diesel - hybrid'!$K$80,'Benzin - diesel - hybrid'!$M$80,'Benzin - diesel - hybrid'!$O$80,'Benzin - diesel - hybrid'!$Q$80,'Benzin - diesel - hybrid'!$S$80)</c:f>
              <c:numCache>
                <c:formatCode>_("kr."* #,##0_);_("kr."* \(#,##0\);_("kr."* "-"_);_(@_)</c:formatCode>
                <c:ptCount val="1"/>
                <c:pt idx="0">
                  <c:v>0</c:v>
                </c:pt>
              </c:numCache>
            </c:numRef>
          </c:val>
          <c:extLst>
            <c:ext xmlns:c16="http://schemas.microsoft.com/office/drawing/2014/chart" uri="{C3380CC4-5D6E-409C-BE32-E72D297353CC}">
              <c16:uniqueId val="{00000001-387B-4265-A319-C289D36C048C}"/>
            </c:ext>
          </c:extLst>
        </c:ser>
        <c:ser>
          <c:idx val="4"/>
          <c:order val="4"/>
          <c:tx>
            <c:strRef>
              <c:f>'Benzin - diesel - hybrid'!$C$81</c:f>
              <c:strCache>
                <c:ptCount val="1"/>
                <c:pt idx="0">
                  <c:v>Samfundsøkonomiske omkostninger af eksterne virkninger på miljøet</c:v>
                </c:pt>
              </c:strCache>
            </c:strRef>
          </c:tx>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hybrid'!$E$81:$W$81</c15:sqref>
                  </c15:fullRef>
                </c:ext>
              </c:extLst>
              <c:f>('Benzin - diesel - hybrid'!$E$81,'Benzin - diesel - hybrid'!$G$81,'Benzin - diesel - hybrid'!$I$81,'Benzin - diesel - hybrid'!$K$81,'Benzin - diesel - hybrid'!$M$81,'Benzin - diesel - hybrid'!$O$81,'Benzin - diesel - hybrid'!$Q$81,'Benzin - diesel - hybrid'!$S$81,'Benzin - diesel - hybrid'!$U$81,'Benzin - diesel - hybrid'!$W$81)</c:f>
              <c:numCache>
                <c:formatCode>_("kr."* #,##0_);_("kr."* \(#,##0\);_("kr."* "-"_);_(@_)</c:formatCode>
                <c:ptCount val="1"/>
                <c:pt idx="0">
                  <c:v>0</c:v>
                </c:pt>
              </c:numCache>
            </c:numRef>
          </c:val>
          <c:extLst>
            <c:ext xmlns:c16="http://schemas.microsoft.com/office/drawing/2014/chart" uri="{C3380CC4-5D6E-409C-BE32-E72D297353CC}">
              <c16:uniqueId val="{00000001-577D-415F-839A-7E4CB32C0DD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9.4727339819831849E-2"/>
          <c:y val="0.73571644214622967"/>
          <c:w val="0.84804873421548055"/>
          <c:h val="0.26428348576858746"/>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'Benzin - diesel - hybrid'!$E$8</c:f>
              <c:strCache>
                <c:ptCount val="1"/>
                <c:pt idx="0">
                  <c:v>PRODUKT 1</c:v>
                </c:pt>
              </c:strCache>
            </c:strRef>
          </c:tx>
          <c:invertIfNegative val="0"/>
          <c:val>
            <c:numRef>
              <c:f>'Benzin - diesel - hybrid'!$E$152:$E$171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6-8A27-4469-B624-E6BD38FAB09F}"/>
            </c:ext>
          </c:extLst>
        </c:ser>
        <c:ser>
          <c:idx val="1"/>
          <c:order val="1"/>
          <c:tx>
            <c:strRef>
              <c:f>'Benzin - diesel - hybrid'!$G$151</c:f>
              <c:strCache>
                <c:ptCount val="1"/>
                <c:pt idx="0">
                  <c:v>PRODUKT 2</c:v>
                </c:pt>
              </c:strCache>
            </c:strRef>
          </c:tx>
          <c:invertIfNegative val="0"/>
          <c:val>
            <c:numRef>
              <c:f>'Benzin - diesel - hybrid'!$G$152:$G$171</c:f>
            </c:numRef>
          </c:val>
          <c:extLst>
            <c:ext xmlns:c16="http://schemas.microsoft.com/office/drawing/2014/chart" uri="{C3380CC4-5D6E-409C-BE32-E72D297353CC}">
              <c16:uniqueId val="{00000008-8A27-4469-B624-E6BD38FAB09F}"/>
            </c:ext>
          </c:extLst>
        </c:ser>
        <c:ser>
          <c:idx val="2"/>
          <c:order val="2"/>
          <c:tx>
            <c:strRef>
              <c:f>'Benzin - diesel - hybrid'!$I$151</c:f>
              <c:strCache>
                <c:ptCount val="1"/>
                <c:pt idx="0">
                  <c:v>PRODUKT 3</c:v>
                </c:pt>
              </c:strCache>
            </c:strRef>
          </c:tx>
          <c:invertIfNegative val="0"/>
          <c:val>
            <c:numRef>
              <c:f>'Benzin - diesel - hybrid'!$I$152:$I$171</c:f>
            </c:numRef>
          </c:val>
          <c:extLst>
            <c:ext xmlns:c16="http://schemas.microsoft.com/office/drawing/2014/chart" uri="{C3380CC4-5D6E-409C-BE32-E72D297353CC}">
              <c16:uniqueId val="{00000009-8A27-4469-B624-E6BD38FAB09F}"/>
            </c:ext>
          </c:extLst>
        </c:ser>
        <c:ser>
          <c:idx val="3"/>
          <c:order val="3"/>
          <c:tx>
            <c:strRef>
              <c:f>'Benzin - diesel - hybrid'!$K$8</c:f>
              <c:strCache>
                <c:ptCount val="1"/>
                <c:pt idx="0">
                  <c:v>PRODUKT 4</c:v>
                </c:pt>
              </c:strCache>
            </c:strRef>
          </c:tx>
          <c:invertIfNegative val="0"/>
          <c:val>
            <c:numRef>
              <c:f>'Benzin - diesel - hybrid'!$K$152:$K$171</c:f>
            </c:numRef>
          </c:val>
          <c:extLst>
            <c:ext xmlns:c16="http://schemas.microsoft.com/office/drawing/2014/chart" uri="{C3380CC4-5D6E-409C-BE32-E72D297353CC}">
              <c16:uniqueId val="{0000000A-8A27-4469-B624-E6BD38FAB09F}"/>
            </c:ext>
          </c:extLst>
        </c:ser>
        <c:ser>
          <c:idx val="4"/>
          <c:order val="4"/>
          <c:tx>
            <c:strRef>
              <c:f>'Benzin - diesel - hybrid'!$M$151</c:f>
              <c:strCache>
                <c:ptCount val="1"/>
                <c:pt idx="0">
                  <c:v>PRODUKT 5</c:v>
                </c:pt>
              </c:strCache>
            </c:strRef>
          </c:tx>
          <c:invertIfNegative val="0"/>
          <c:val>
            <c:numRef>
              <c:f>'Benzin - diesel - hybrid'!$M$152:$M$171</c:f>
            </c:numRef>
          </c:val>
          <c:extLst>
            <c:ext xmlns:c16="http://schemas.microsoft.com/office/drawing/2014/chart" uri="{C3380CC4-5D6E-409C-BE32-E72D297353CC}">
              <c16:uniqueId val="{0000000B-8A27-4469-B624-E6BD38FAB09F}"/>
            </c:ext>
          </c:extLst>
        </c:ser>
        <c:ser>
          <c:idx val="5"/>
          <c:order val="5"/>
          <c:tx>
            <c:strRef>
              <c:f>'Benzin - diesel - hybrid'!$O$151</c:f>
              <c:strCache>
                <c:ptCount val="1"/>
                <c:pt idx="0">
                  <c:v>PRODUKT 6</c:v>
                </c:pt>
              </c:strCache>
            </c:strRef>
          </c:tx>
          <c:invertIfNegative val="0"/>
          <c:val>
            <c:numRef>
              <c:f>'Benzin - diesel - hybrid'!$O$152:$O$171</c:f>
            </c:numRef>
          </c:val>
          <c:extLst>
            <c:ext xmlns:c16="http://schemas.microsoft.com/office/drawing/2014/chart" uri="{C3380CC4-5D6E-409C-BE32-E72D297353CC}">
              <c16:uniqueId val="{0000000C-8A27-4469-B624-E6BD38FAB09F}"/>
            </c:ext>
          </c:extLst>
        </c:ser>
        <c:ser>
          <c:idx val="6"/>
          <c:order val="6"/>
          <c:tx>
            <c:strRef>
              <c:f>'Benzin - diesel - hybrid'!$Q$151</c:f>
              <c:strCache>
                <c:ptCount val="1"/>
                <c:pt idx="0">
                  <c:v>PRODUKT 7</c:v>
                </c:pt>
              </c:strCache>
            </c:strRef>
          </c:tx>
          <c:invertIfNegative val="0"/>
          <c:val>
            <c:numRef>
              <c:f>'Benzin - diesel - hybrid'!$Q$152:$Q$171</c:f>
            </c:numRef>
          </c:val>
          <c:extLst>
            <c:ext xmlns:c16="http://schemas.microsoft.com/office/drawing/2014/chart" uri="{C3380CC4-5D6E-409C-BE32-E72D297353CC}">
              <c16:uniqueId val="{0000000D-8A27-4469-B624-E6BD38FAB09F}"/>
            </c:ext>
          </c:extLst>
        </c:ser>
        <c:ser>
          <c:idx val="7"/>
          <c:order val="7"/>
          <c:tx>
            <c:strRef>
              <c:f>'Benzin - diesel - hybrid'!$S$151</c:f>
              <c:strCache>
                <c:ptCount val="1"/>
                <c:pt idx="0">
                  <c:v>PRODUKT 8</c:v>
                </c:pt>
              </c:strCache>
            </c:strRef>
          </c:tx>
          <c:invertIfNegative val="0"/>
          <c:val>
            <c:numRef>
              <c:f>'Benzin - diesel - hybrid'!$S$152:$S$171</c:f>
            </c:numRef>
          </c:val>
          <c:extLst>
            <c:ext xmlns:c16="http://schemas.microsoft.com/office/drawing/2014/chart" uri="{C3380CC4-5D6E-409C-BE32-E72D297353CC}">
              <c16:uniqueId val="{0000000E-8A27-4469-B624-E6BD38FAB09F}"/>
            </c:ext>
          </c:extLst>
        </c:ser>
        <c:ser>
          <c:idx val="8"/>
          <c:order val="8"/>
          <c:tx>
            <c:strRef>
              <c:f>'Benzin - diesel - hybrid'!$U$151</c:f>
              <c:strCache>
                <c:ptCount val="1"/>
                <c:pt idx="0">
                  <c:v>PRODUKT 9</c:v>
                </c:pt>
              </c:strCache>
            </c:strRef>
          </c:tx>
          <c:invertIfNegative val="0"/>
          <c:val>
            <c:numRef>
              <c:f>'Benzin - diesel - hybrid'!$U$152:$U$171</c:f>
            </c:numRef>
          </c:val>
          <c:extLst>
            <c:ext xmlns:c16="http://schemas.microsoft.com/office/drawing/2014/chart" uri="{C3380CC4-5D6E-409C-BE32-E72D297353CC}">
              <c16:uniqueId val="{0000000F-8A27-4469-B624-E6BD38FAB09F}"/>
            </c:ext>
          </c:extLst>
        </c:ser>
        <c:ser>
          <c:idx val="9"/>
          <c:order val="9"/>
          <c:tx>
            <c:strRef>
              <c:f>'Benzin - diesel - hybrid'!$W$151</c:f>
              <c:strCache>
                <c:ptCount val="1"/>
                <c:pt idx="0">
                  <c:v>PRODUKT 10</c:v>
                </c:pt>
              </c:strCache>
            </c:strRef>
          </c:tx>
          <c:invertIfNegative val="0"/>
          <c:val>
            <c:numRef>
              <c:f>'Benzin - diesel - hybrid'!$W$152:$W$171</c:f>
            </c:numRef>
          </c:val>
          <c:extLst>
            <c:ext xmlns:c16="http://schemas.microsoft.com/office/drawing/2014/chart" uri="{C3380CC4-5D6E-409C-BE32-E72D297353CC}">
              <c16:uniqueId val="{00000010-8A27-4469-B624-E6BD38FAB09F}"/>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8772489881"/>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0400193944284088"/>
        </c:manualLayout>
      </c:layout>
      <c:barChart>
        <c:barDir val="col"/>
        <c:grouping val="stacked"/>
        <c:varyColors val="0"/>
        <c:ser>
          <c:idx val="4"/>
          <c:order val="0"/>
          <c:tx>
            <c:strRef>
              <c:f>'Benzin - diesel - hybrid'!$C$86</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hybrid'!$E$86:$W$86</c15:sqref>
                  </c15:fullRef>
                </c:ext>
              </c:extLst>
              <c:f>('Benzin - diesel - hybrid'!$E$86,'Benzin - diesel - hybrid'!$G$86,'Benzin - diesel - hybrid'!$I$86,'Benzin - diesel - hybrid'!$K$86,'Benzin - diesel - hybrid'!$M$86,'Benzin - diesel - hybrid'!$O$86,'Benzin - diesel - hybrid'!$Q$86,'Benzin - diesel - hybrid'!$S$86,'Benzin - diesel - hybrid'!$U$86,'Benzin - diesel - hybrid'!$W$86)</c:f>
              <c:numCache>
                <c:formatCode>#,##0.00</c:formatCode>
                <c:ptCount val="1"/>
                <c:pt idx="0">
                  <c:v>0</c:v>
                </c:pt>
              </c:numCache>
            </c:numRef>
          </c:val>
          <c:extLst>
            <c:ext xmlns:c16="http://schemas.microsoft.com/office/drawing/2014/chart" uri="{C3380CC4-5D6E-409C-BE32-E72D297353CC}">
              <c16:uniqueId val="{00000000-53B3-48B0-8BC5-99D92B0B3BC3}"/>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'El og plugin hybrid'!$E$151</c:f>
              <c:strCache>
                <c:ptCount val="1"/>
                <c:pt idx="0">
                  <c:v>PRODUKT 1 EL</c:v>
                </c:pt>
              </c:strCache>
            </c:strRef>
          </c:tx>
          <c:spPr>
            <a:ln>
              <a:solidFill>
                <a:srgbClr val="7EC9B7"/>
              </a:solidFill>
            </a:ln>
          </c:spPr>
          <c:marker>
            <c:symbol val="none"/>
          </c:marker>
          <c:xVal>
            <c:strRef>
              <c:f>'IB - E&amp;PH'!$Z$27:$Z$46</c:f>
              <c:strCache>
                <c:ptCount val="4"/>
                <c:pt idx="0">
                  <c:v>1</c:v>
                </c:pt>
                <c:pt idx="1">
                  <c:v>2</c:v>
                </c:pt>
                <c:pt idx="2">
                  <c:v>3</c:v>
                </c:pt>
                <c:pt idx="3">
                  <c:v>4</c:v>
                </c:pt>
              </c:strCache>
            </c:strRef>
          </c:xVal>
          <c:yVal>
            <c:numRef>
              <c:f>'El og plugin hybrid'!$E$152:$E$171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1F86-419D-9D15-2F1845D1190C}"/>
            </c:ext>
          </c:extLst>
        </c:ser>
        <c:ser>
          <c:idx val="2"/>
          <c:order val="2"/>
          <c:tx>
            <c:strRef>
              <c:f>'El og plugin hybrid'!$G$151</c:f>
              <c:strCache>
                <c:ptCount val="1"/>
                <c:pt idx="0">
                  <c:v>PRODUKT 2 EL</c:v>
                </c:pt>
              </c:strCache>
            </c:strRef>
          </c:tx>
          <c:spPr>
            <a:ln>
              <a:solidFill>
                <a:srgbClr val="38777E"/>
              </a:solidFill>
            </a:ln>
          </c:spPr>
          <c:marker>
            <c:symbol val="none"/>
          </c:marker>
          <c:xVal>
            <c:strRef>
              <c:f>'IB - E&amp;PH'!$Z$27:$Z$46</c:f>
              <c:strCache>
                <c:ptCount val="4"/>
                <c:pt idx="0">
                  <c:v>1</c:v>
                </c:pt>
                <c:pt idx="1">
                  <c:v>2</c:v>
                </c:pt>
                <c:pt idx="2">
                  <c:v>3</c:v>
                </c:pt>
                <c:pt idx="3">
                  <c:v>4</c:v>
                </c:pt>
              </c:strCache>
            </c:strRef>
          </c:xVal>
          <c:yVal>
            <c:numRef>
              <c:f>'El og plugin hybrid'!$G$152:$G$171</c:f>
            </c:numRef>
          </c:yVal>
          <c:smooth val="0"/>
          <c:extLst>
            <c:ext xmlns:c16="http://schemas.microsoft.com/office/drawing/2014/chart" uri="{C3380CC4-5D6E-409C-BE32-E72D297353CC}">
              <c16:uniqueId val="{00000001-1F86-419D-9D15-2F1845D1190C}"/>
            </c:ext>
          </c:extLst>
        </c:ser>
        <c:ser>
          <c:idx val="4"/>
          <c:order val="4"/>
          <c:tx>
            <c:strRef>
              <c:f>'El og plugin hybrid'!$I$151</c:f>
              <c:strCache>
                <c:ptCount val="1"/>
                <c:pt idx="0">
                  <c:v>PRODUKT 3 EL</c:v>
                </c:pt>
              </c:strCache>
            </c:strRef>
          </c:tx>
          <c:marker>
            <c:symbol val="none"/>
          </c:marker>
          <c:xVal>
            <c:strRef>
              <c:f>'IB - E&amp;PH'!$Z$27:$Z$46</c:f>
              <c:strCache>
                <c:ptCount val="4"/>
                <c:pt idx="0">
                  <c:v>1</c:v>
                </c:pt>
                <c:pt idx="1">
                  <c:v>2</c:v>
                </c:pt>
                <c:pt idx="2">
                  <c:v>3</c:v>
                </c:pt>
                <c:pt idx="3">
                  <c:v>4</c:v>
                </c:pt>
              </c:strCache>
            </c:strRef>
          </c:xVal>
          <c:yVal>
            <c:numRef>
              <c:f>'El og plugin hybrid'!$I$152:$I$171</c:f>
            </c:numRef>
          </c:yVal>
          <c:smooth val="0"/>
          <c:extLst>
            <c:ext xmlns:c16="http://schemas.microsoft.com/office/drawing/2014/chart" uri="{C3380CC4-5D6E-409C-BE32-E72D297353CC}">
              <c16:uniqueId val="{00000002-1F86-419D-9D15-2F1845D1190C}"/>
            </c:ext>
          </c:extLst>
        </c:ser>
        <c:ser>
          <c:idx val="6"/>
          <c:order val="6"/>
          <c:tx>
            <c:strRef>
              <c:f>'El og plugin hybrid'!$K$151</c:f>
              <c:strCache>
                <c:ptCount val="1"/>
                <c:pt idx="0">
                  <c:v>PRODUKT 4 EL</c:v>
                </c:pt>
              </c:strCache>
            </c:strRef>
          </c:tx>
          <c:marker>
            <c:symbol val="none"/>
          </c:marker>
          <c:xVal>
            <c:strRef>
              <c:f>'IB - E&amp;PH'!$Z$27:$Z$46</c:f>
              <c:strCache>
                <c:ptCount val="4"/>
                <c:pt idx="0">
                  <c:v>1</c:v>
                </c:pt>
                <c:pt idx="1">
                  <c:v>2</c:v>
                </c:pt>
                <c:pt idx="2">
                  <c:v>3</c:v>
                </c:pt>
                <c:pt idx="3">
                  <c:v>4</c:v>
                </c:pt>
              </c:strCache>
            </c:strRef>
          </c:xVal>
          <c:yVal>
            <c:numRef>
              <c:f>'El og plugin hybrid'!$K$152:$K$171</c:f>
            </c:numRef>
          </c:yVal>
          <c:smooth val="0"/>
          <c:extLst>
            <c:ext xmlns:c16="http://schemas.microsoft.com/office/drawing/2014/chart" uri="{C3380CC4-5D6E-409C-BE32-E72D297353CC}">
              <c16:uniqueId val="{00000003-1F86-419D-9D15-2F1845D1190C}"/>
            </c:ext>
          </c:extLst>
        </c:ser>
        <c:ser>
          <c:idx val="8"/>
          <c:order val="8"/>
          <c:tx>
            <c:strRef>
              <c:f>'El og plugin hybrid'!$M$151</c:f>
              <c:strCache>
                <c:ptCount val="1"/>
                <c:pt idx="0">
                  <c:v>PRODUKT 5 EL</c:v>
                </c:pt>
              </c:strCache>
            </c:strRef>
          </c:tx>
          <c:marker>
            <c:symbol val="none"/>
          </c:marker>
          <c:xVal>
            <c:strRef>
              <c:f>'IB - E&amp;PH'!$Z$27:$Z$46</c:f>
              <c:strCache>
                <c:ptCount val="4"/>
                <c:pt idx="0">
                  <c:v>1</c:v>
                </c:pt>
                <c:pt idx="1">
                  <c:v>2</c:v>
                </c:pt>
                <c:pt idx="2">
                  <c:v>3</c:v>
                </c:pt>
                <c:pt idx="3">
                  <c:v>4</c:v>
                </c:pt>
              </c:strCache>
            </c:strRef>
          </c:xVal>
          <c:yVal>
            <c:numRef>
              <c:f>'El og plugin hybrid'!$M$152:$M$171</c:f>
            </c:numRef>
          </c:yVal>
          <c:smooth val="0"/>
          <c:extLst>
            <c:ext xmlns:c16="http://schemas.microsoft.com/office/drawing/2014/chart" uri="{C3380CC4-5D6E-409C-BE32-E72D297353CC}">
              <c16:uniqueId val="{00000004-1F86-419D-9D15-2F1845D1190C}"/>
            </c:ext>
          </c:extLst>
        </c:ser>
        <c:ser>
          <c:idx val="10"/>
          <c:order val="10"/>
          <c:tx>
            <c:strRef>
              <c:f>'El og plugin hybrid'!$O$151</c:f>
              <c:strCache>
                <c:ptCount val="1"/>
                <c:pt idx="0">
                  <c:v>PRODUKT 6 EL</c:v>
                </c:pt>
              </c:strCache>
            </c:strRef>
          </c:tx>
          <c:marker>
            <c:symbol val="none"/>
          </c:marker>
          <c:xVal>
            <c:strRef>
              <c:f>'IB - E&amp;PH'!$Z$27:$Z$46</c:f>
              <c:strCache>
                <c:ptCount val="4"/>
                <c:pt idx="0">
                  <c:v>1</c:v>
                </c:pt>
                <c:pt idx="1">
                  <c:v>2</c:v>
                </c:pt>
                <c:pt idx="2">
                  <c:v>3</c:v>
                </c:pt>
                <c:pt idx="3">
                  <c:v>4</c:v>
                </c:pt>
              </c:strCache>
            </c:strRef>
          </c:xVal>
          <c:yVal>
            <c:numRef>
              <c:f>'El og plugin hybrid'!$O$152:$O$171</c:f>
            </c:numRef>
          </c:yVal>
          <c:smooth val="0"/>
          <c:extLst>
            <c:ext xmlns:c16="http://schemas.microsoft.com/office/drawing/2014/chart" uri="{C3380CC4-5D6E-409C-BE32-E72D297353CC}">
              <c16:uniqueId val="{00000005-1F86-419D-9D15-2F1845D1190C}"/>
            </c:ext>
          </c:extLst>
        </c:ser>
        <c:ser>
          <c:idx val="12"/>
          <c:order val="12"/>
          <c:tx>
            <c:strRef>
              <c:f>'El og plugin hybrid'!$Q$151</c:f>
              <c:strCache>
                <c:ptCount val="1"/>
                <c:pt idx="0">
                  <c:v>PRODUKT 7 EL</c:v>
                </c:pt>
              </c:strCache>
            </c:strRef>
          </c:tx>
          <c:marker>
            <c:symbol val="none"/>
          </c:marker>
          <c:xVal>
            <c:strRef>
              <c:f>'IB - E&amp;PH'!$Z$27:$Z$46</c:f>
              <c:strCache>
                <c:ptCount val="4"/>
                <c:pt idx="0">
                  <c:v>1</c:v>
                </c:pt>
                <c:pt idx="1">
                  <c:v>2</c:v>
                </c:pt>
                <c:pt idx="2">
                  <c:v>3</c:v>
                </c:pt>
                <c:pt idx="3">
                  <c:v>4</c:v>
                </c:pt>
              </c:strCache>
            </c:strRef>
          </c:xVal>
          <c:yVal>
            <c:numRef>
              <c:f>'El og plugin hybrid'!$Q$152:$Q$171</c:f>
            </c:numRef>
          </c:yVal>
          <c:smooth val="0"/>
          <c:extLst>
            <c:ext xmlns:c16="http://schemas.microsoft.com/office/drawing/2014/chart" uri="{C3380CC4-5D6E-409C-BE32-E72D297353CC}">
              <c16:uniqueId val="{00000006-1F86-419D-9D15-2F1845D1190C}"/>
            </c:ext>
          </c:extLst>
        </c:ser>
        <c:ser>
          <c:idx val="14"/>
          <c:order val="14"/>
          <c:tx>
            <c:strRef>
              <c:f>'El og plugin hybrid'!$S$151</c:f>
              <c:strCache>
                <c:ptCount val="1"/>
                <c:pt idx="0">
                  <c:v>PRODUKT 8 EL</c:v>
                </c:pt>
              </c:strCache>
            </c:strRef>
          </c:tx>
          <c:marker>
            <c:symbol val="none"/>
          </c:marker>
          <c:xVal>
            <c:strRef>
              <c:f>'IB - E&amp;PH'!$Z$27:$Z$46</c:f>
              <c:strCache>
                <c:ptCount val="4"/>
                <c:pt idx="0">
                  <c:v>1</c:v>
                </c:pt>
                <c:pt idx="1">
                  <c:v>2</c:v>
                </c:pt>
                <c:pt idx="2">
                  <c:v>3</c:v>
                </c:pt>
                <c:pt idx="3">
                  <c:v>4</c:v>
                </c:pt>
              </c:strCache>
            </c:strRef>
          </c:xVal>
          <c:yVal>
            <c:numRef>
              <c:f>'El og plugin hybrid'!$S$152:$S$171</c:f>
            </c:numRef>
          </c:yVal>
          <c:smooth val="0"/>
          <c:extLst>
            <c:ext xmlns:c16="http://schemas.microsoft.com/office/drawing/2014/chart" uri="{C3380CC4-5D6E-409C-BE32-E72D297353CC}">
              <c16:uniqueId val="{00000007-1F86-419D-9D15-2F1845D1190C}"/>
            </c:ext>
          </c:extLst>
        </c:ser>
        <c:ser>
          <c:idx val="16"/>
          <c:order val="16"/>
          <c:tx>
            <c:strRef>
              <c:f>'El og plugin hybrid'!$U$8</c:f>
              <c:strCache>
                <c:ptCount val="1"/>
                <c:pt idx="0">
                  <c:v>PRODUKT 9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8-1F86-419D-9D15-2F1845D1190C}"/>
            </c:ext>
          </c:extLst>
        </c:ser>
        <c:ser>
          <c:idx val="18"/>
          <c:order val="18"/>
          <c:tx>
            <c:strRef>
              <c:f>'El og plugin hybrid'!$W$8</c:f>
              <c:strCache>
                <c:ptCount val="1"/>
                <c:pt idx="0">
                  <c:v>PRODUKT 10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9-1F86-419D-9D15-2F1845D1190C}"/>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'El og plugin hybrid'!$F$151</c15:sqref>
                        </c15:formulaRef>
                      </c:ext>
                    </c:extLst>
                    <c:strCache>
                      <c:ptCount val="1"/>
                    </c:strCache>
                  </c:strRef>
                </c:tx>
                <c:marker>
                  <c:symbol val="none"/>
                </c:marker>
                <c:yVal>
                  <c:numRef>
                    <c:extLst>
                      <c:ext uri="{02D57815-91ED-43cb-92C2-25804820EDAC}">
                        <c15:formulaRef>
                          <c15:sqref>'El og plugin hybrid'!$F$152:$F$171</c15:sqref>
                        </c15:formulaRef>
                      </c:ext>
                    </c:extLst>
                    <c:numCache>
                      <c:formatCode>0</c:formatCode>
                      <c:ptCount val="20"/>
                    </c:numCache>
                  </c:numRef>
                </c:yVal>
                <c:smooth val="0"/>
                <c:extLst>
                  <c:ext xmlns:c16="http://schemas.microsoft.com/office/drawing/2014/chart" uri="{C3380CC4-5D6E-409C-BE32-E72D297353CC}">
                    <c16:uniqueId val="{0000000A-1F86-419D-9D15-2F1845D1190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'El og plugin hybrid'!$H$151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hybrid'!$H$152:$H$171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1F86-419D-9D15-2F1845D1190C}"/>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'El og plugin hybrid'!$J$151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hybrid'!$J$152:$J$171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1F86-419D-9D15-2F1845D1190C}"/>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'El og plugin hybrid'!$L$151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hybrid'!$L$152:$L$171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1F86-419D-9D15-2F1845D1190C}"/>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'El og plugin hybrid'!$N$151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hybrid'!$N$152:$N$171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1F86-419D-9D15-2F1845D1190C}"/>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'El og plugin hybrid'!$P$151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hybrid'!$P$152:$P$171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F-1F86-419D-9D15-2F1845D1190C}"/>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'El og plugin hybrid'!$R$151</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hybrid'!$R$152:$R$171</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10-1F86-419D-9D15-2F1845D1190C}"/>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'El og plugin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1-1F86-419D-9D15-2F1845D1190C}"/>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'El og plugin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2-1F86-419D-9D15-2F1845D1190C}"/>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4685462125255953"/>
          <c:y val="0.13609833959641668"/>
          <c:w val="0.16713483722017411"/>
          <c:h val="0.5815873897217595"/>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'El og plugin hybrid'!$C$98</c:f>
              <c:strCache>
                <c:ptCount val="1"/>
                <c:pt idx="0">
                  <c:v>Investeringsomkostning (uden ladestandere/ladebokse)</c:v>
                </c:pt>
              </c:strCache>
            </c:strRef>
          </c:tx>
          <c:spPr>
            <a:solidFill>
              <a:srgbClr val="38777E"/>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hybrid'!$E$98:$S$98</c15:sqref>
                  </c15:fullRef>
                </c:ext>
              </c:extLst>
              <c:f>('El og plugin hybrid'!$E$98,'El og plugin hybrid'!$G$98,'El og plugin hybrid'!$I$98,'El og plugin hybrid'!$K$98,'El og plugin hybrid'!$M$98,'El og plugin hybrid'!$O$98,'El og plugin hybrid'!$Q$98,'El og plugin hybrid'!$S$98)</c:f>
              <c:numCache>
                <c:formatCode>_("kr."* #,##0_);_("kr."* \(#,##0\);_("kr."* "-"_);_(@_)</c:formatCode>
                <c:ptCount val="1"/>
                <c:pt idx="0">
                  <c:v>0</c:v>
                </c:pt>
              </c:numCache>
            </c:numRef>
          </c:val>
          <c:extLst>
            <c:ext xmlns:c16="http://schemas.microsoft.com/office/drawing/2014/chart" uri="{C3380CC4-5D6E-409C-BE32-E72D297353CC}">
              <c16:uniqueId val="{00000000-6164-449C-A001-2764517DBA75}"/>
            </c:ext>
          </c:extLst>
        </c:ser>
        <c:ser>
          <c:idx val="1"/>
          <c:order val="1"/>
          <c:tx>
            <c:strRef>
              <c:f>'El og plugin hybrid'!$C$100</c:f>
              <c:strCache>
                <c:ptCount val="1"/>
                <c:pt idx="0">
                  <c:v>Driftsomkostning i alt</c:v>
                </c:pt>
              </c:strCache>
            </c:strRef>
          </c:tx>
          <c:spPr>
            <a:solidFill>
              <a:srgbClr val="7EC9B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hybrid'!$E$100:$S$100</c15:sqref>
                  </c15:fullRef>
                </c:ext>
              </c:extLst>
              <c:f>('El og plugin hybrid'!$E$100,'El og plugin hybrid'!$G$100,'El og plugin hybrid'!$I$100,'El og plugin hybrid'!$K$100,'El og plugin hybrid'!$M$100,'El og plugin hybrid'!$O$100,'El og plugin hybrid'!$Q$100,'El og plugin hybrid'!$S$100)</c:f>
              <c:numCache>
                <c:formatCode>_("kr."* #,##0_);_("kr."* \(#,##0\);_("kr."* "-"_);_(@_)</c:formatCode>
                <c:ptCount val="1"/>
                <c:pt idx="0">
                  <c:v>0</c:v>
                </c:pt>
              </c:numCache>
            </c:numRef>
          </c:val>
          <c:extLst>
            <c:ext xmlns:c16="http://schemas.microsoft.com/office/drawing/2014/chart" uri="{C3380CC4-5D6E-409C-BE32-E72D297353CC}">
              <c16:uniqueId val="{00000001-6164-449C-A001-2764517DBA75}"/>
            </c:ext>
          </c:extLst>
        </c:ser>
        <c:ser>
          <c:idx val="2"/>
          <c:order val="2"/>
          <c:tx>
            <c:strRef>
              <c:f>'El og plugin hybrid'!$C$101</c:f>
              <c:strCache>
                <c:ptCount val="1"/>
                <c:pt idx="0">
                  <c:v>Service, vedligehold og løbende omkostninger i alt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hybrid'!$E$101:$S$101</c15:sqref>
                  </c15:fullRef>
                </c:ext>
              </c:extLst>
              <c:f>('El og plugin hybrid'!$E$101,'El og plugin hybrid'!$G$101,'El og plugin hybrid'!$I$101,'El og plugin hybrid'!$K$101,'El og plugin hybrid'!$M$101,'El og plugin hybrid'!$O$101,'El og plugin hybrid'!$Q$101,'El og plugin hybrid'!$S$101)</c:f>
              <c:numCache>
                <c:formatCode>_("kr."* #,##0_);_("kr."* \(#,##0\);_("kr."* "-"_);_(@_)</c:formatCode>
                <c:ptCount val="1"/>
                <c:pt idx="0">
                  <c:v>0</c:v>
                </c:pt>
              </c:numCache>
            </c:numRef>
          </c:val>
          <c:extLst>
            <c:ext xmlns:c16="http://schemas.microsoft.com/office/drawing/2014/chart" uri="{C3380CC4-5D6E-409C-BE32-E72D297353CC}">
              <c16:uniqueId val="{00000002-6164-449C-A001-2764517DBA75}"/>
            </c:ext>
          </c:extLst>
        </c:ser>
        <c:ser>
          <c:idx val="3"/>
          <c:order val="3"/>
          <c:tx>
            <c:strRef>
              <c:f>'El og plugin hybrid'!$C$102</c:f>
              <c:strCache>
                <c:ptCount val="1"/>
                <c:pt idx="0">
                  <c:v>Efterbrug - omkostninger og indtægter i alt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hybrid'!$E$102:$S$102</c15:sqref>
                  </c15:fullRef>
                </c:ext>
              </c:extLst>
              <c:f>('El og plugin hybrid'!$E$102,'El og plugin hybrid'!$G$102,'El og plugin hybrid'!$I$102,'El og plugin hybrid'!$K$102,'El og plugin hybrid'!$M$102,'El og plugin hybrid'!$O$102,'El og plugin hybrid'!$Q$102,'El og plugin hybrid'!$S$102)</c:f>
              <c:numCache>
                <c:formatCode>_("kr."* #,##0_);_("kr."* \(#,##0\);_("kr."* "-"_);_(@_)</c:formatCode>
                <c:ptCount val="1"/>
                <c:pt idx="0">
                  <c:v>0</c:v>
                </c:pt>
              </c:numCache>
            </c:numRef>
          </c:val>
          <c:extLst>
            <c:ext xmlns:c16="http://schemas.microsoft.com/office/drawing/2014/chart" uri="{C3380CC4-5D6E-409C-BE32-E72D297353CC}">
              <c16:uniqueId val="{00000003-6164-449C-A001-2764517DBA75}"/>
            </c:ext>
          </c:extLst>
        </c:ser>
        <c:ser>
          <c:idx val="4"/>
          <c:order val="4"/>
          <c:tx>
            <c:strRef>
              <c:f>'El og plugin hybrid'!$C$103</c:f>
              <c:strCache>
                <c:ptCount val="1"/>
                <c:pt idx="0">
                  <c:v>Samfundsøkonomiske omkostninger af eksterne virkninger på miljøet</c:v>
                </c:pt>
              </c:strCache>
            </c:strRef>
          </c:tx>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hybrid'!$E$103:$W$103</c15:sqref>
                  </c15:fullRef>
                </c:ext>
              </c:extLst>
              <c:f>('El og plugin hybrid'!$E$103,'El og plugin hybrid'!$G$103,'El og plugin hybrid'!$I$103,'El og plugin hybrid'!$K$103,'El og plugin hybrid'!$M$103,'El og plugin hybrid'!$O$103,'El og plugin hybrid'!$Q$103,'El og plugin hybrid'!$S$103,'El og plugin hybrid'!$U$103,'El og plugin hybrid'!$W$103)</c:f>
              <c:numCache>
                <c:formatCode>_("kr."* #,##0_);_("kr."* \(#,##0\);_("kr."* "-"_);_(@_)</c:formatCode>
                <c:ptCount val="1"/>
                <c:pt idx="0">
                  <c:v>0</c:v>
                </c:pt>
              </c:numCache>
            </c:numRef>
          </c:val>
          <c:extLst>
            <c:ext xmlns:c16="http://schemas.microsoft.com/office/drawing/2014/chart" uri="{C3380CC4-5D6E-409C-BE32-E72D297353CC}">
              <c16:uniqueId val="{00000004-6164-449C-A001-2764517DBA7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6.0978997148471784E-2"/>
          <c:y val="0.73571644214622967"/>
          <c:w val="0.80078123801587642"/>
          <c:h val="0.26428347600371294"/>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'El og plugin hybrid'!$E$8</c:f>
              <c:strCache>
                <c:ptCount val="1"/>
                <c:pt idx="0">
                  <c:v>PRODUKT 1 EL</c:v>
                </c:pt>
              </c:strCache>
            </c:strRef>
          </c:tx>
          <c:invertIfNegative val="0"/>
          <c:val>
            <c:numRef>
              <c:f>'El og plugin hybrid'!$E$174:$E$193</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810-4042-AC43-5CFB3B4A5994}"/>
            </c:ext>
          </c:extLst>
        </c:ser>
        <c:ser>
          <c:idx val="1"/>
          <c:order val="1"/>
          <c:tx>
            <c:strRef>
              <c:f>'El og plugin hybrid'!$G$173</c:f>
              <c:strCache>
                <c:ptCount val="1"/>
                <c:pt idx="0">
                  <c:v>PRODUKT 2 EL</c:v>
                </c:pt>
              </c:strCache>
            </c:strRef>
          </c:tx>
          <c:invertIfNegative val="0"/>
          <c:val>
            <c:numRef>
              <c:f>'El og plugin hybrid'!$G$174:$G$193</c:f>
            </c:numRef>
          </c:val>
          <c:extLst>
            <c:ext xmlns:c16="http://schemas.microsoft.com/office/drawing/2014/chart" uri="{C3380CC4-5D6E-409C-BE32-E72D297353CC}">
              <c16:uniqueId val="{00000001-1810-4042-AC43-5CFB3B4A5994}"/>
            </c:ext>
          </c:extLst>
        </c:ser>
        <c:ser>
          <c:idx val="2"/>
          <c:order val="2"/>
          <c:tx>
            <c:strRef>
              <c:f>'El og plugin hybrid'!$I$173</c:f>
              <c:strCache>
                <c:ptCount val="1"/>
                <c:pt idx="0">
                  <c:v>PRODUKT 3 EL</c:v>
                </c:pt>
              </c:strCache>
            </c:strRef>
          </c:tx>
          <c:invertIfNegative val="0"/>
          <c:val>
            <c:numRef>
              <c:f>'El og plugin hybrid'!$I$174:$I$193</c:f>
            </c:numRef>
          </c:val>
          <c:extLst>
            <c:ext xmlns:c16="http://schemas.microsoft.com/office/drawing/2014/chart" uri="{C3380CC4-5D6E-409C-BE32-E72D297353CC}">
              <c16:uniqueId val="{00000002-1810-4042-AC43-5CFB3B4A5994}"/>
            </c:ext>
          </c:extLst>
        </c:ser>
        <c:ser>
          <c:idx val="3"/>
          <c:order val="3"/>
          <c:tx>
            <c:strRef>
              <c:f>'El og plugin hybrid'!$K$8</c:f>
              <c:strCache>
                <c:ptCount val="1"/>
                <c:pt idx="0">
                  <c:v>PRODUKT 4 EL</c:v>
                </c:pt>
              </c:strCache>
            </c:strRef>
          </c:tx>
          <c:invertIfNegative val="0"/>
          <c:val>
            <c:numRef>
              <c:f>'El og plugin hybrid'!$K$174:$K$193</c:f>
            </c:numRef>
          </c:val>
          <c:extLst>
            <c:ext xmlns:c16="http://schemas.microsoft.com/office/drawing/2014/chart" uri="{C3380CC4-5D6E-409C-BE32-E72D297353CC}">
              <c16:uniqueId val="{00000003-1810-4042-AC43-5CFB3B4A5994}"/>
            </c:ext>
          </c:extLst>
        </c:ser>
        <c:ser>
          <c:idx val="4"/>
          <c:order val="4"/>
          <c:tx>
            <c:strRef>
              <c:f>'El og plugin hybrid'!$M$173</c:f>
              <c:strCache>
                <c:ptCount val="1"/>
                <c:pt idx="0">
                  <c:v>PRODUKT 5 EL</c:v>
                </c:pt>
              </c:strCache>
            </c:strRef>
          </c:tx>
          <c:invertIfNegative val="0"/>
          <c:val>
            <c:numRef>
              <c:f>'El og plugin hybrid'!$M$174:$M$193</c:f>
            </c:numRef>
          </c:val>
          <c:extLst>
            <c:ext xmlns:c16="http://schemas.microsoft.com/office/drawing/2014/chart" uri="{C3380CC4-5D6E-409C-BE32-E72D297353CC}">
              <c16:uniqueId val="{00000004-1810-4042-AC43-5CFB3B4A5994}"/>
            </c:ext>
          </c:extLst>
        </c:ser>
        <c:ser>
          <c:idx val="5"/>
          <c:order val="5"/>
          <c:tx>
            <c:strRef>
              <c:f>'El og plugin hybrid'!$O$173</c:f>
              <c:strCache>
                <c:ptCount val="1"/>
                <c:pt idx="0">
                  <c:v>PRODUKT 6 EL</c:v>
                </c:pt>
              </c:strCache>
            </c:strRef>
          </c:tx>
          <c:invertIfNegative val="0"/>
          <c:val>
            <c:numRef>
              <c:f>'El og plugin hybrid'!$O$174:$O$193</c:f>
            </c:numRef>
          </c:val>
          <c:extLst>
            <c:ext xmlns:c16="http://schemas.microsoft.com/office/drawing/2014/chart" uri="{C3380CC4-5D6E-409C-BE32-E72D297353CC}">
              <c16:uniqueId val="{00000005-1810-4042-AC43-5CFB3B4A5994}"/>
            </c:ext>
          </c:extLst>
        </c:ser>
        <c:ser>
          <c:idx val="6"/>
          <c:order val="6"/>
          <c:tx>
            <c:strRef>
              <c:f>'El og plugin hybrid'!$Q$173</c:f>
              <c:strCache>
                <c:ptCount val="1"/>
                <c:pt idx="0">
                  <c:v>PRODUKT 7 EL</c:v>
                </c:pt>
              </c:strCache>
            </c:strRef>
          </c:tx>
          <c:invertIfNegative val="0"/>
          <c:val>
            <c:numRef>
              <c:f>'El og plugin hybrid'!$Q$174:$Q$193</c:f>
            </c:numRef>
          </c:val>
          <c:extLst>
            <c:ext xmlns:c16="http://schemas.microsoft.com/office/drawing/2014/chart" uri="{C3380CC4-5D6E-409C-BE32-E72D297353CC}">
              <c16:uniqueId val="{00000006-1810-4042-AC43-5CFB3B4A5994}"/>
            </c:ext>
          </c:extLst>
        </c:ser>
        <c:ser>
          <c:idx val="7"/>
          <c:order val="7"/>
          <c:tx>
            <c:strRef>
              <c:f>'El og plugin hybrid'!$S$173</c:f>
              <c:strCache>
                <c:ptCount val="1"/>
                <c:pt idx="0">
                  <c:v>PRODUKT 8 EL</c:v>
                </c:pt>
              </c:strCache>
            </c:strRef>
          </c:tx>
          <c:invertIfNegative val="0"/>
          <c:val>
            <c:numRef>
              <c:f>'El og plugin hybrid'!$S$174:$S$193</c:f>
            </c:numRef>
          </c:val>
          <c:extLst>
            <c:ext xmlns:c16="http://schemas.microsoft.com/office/drawing/2014/chart" uri="{C3380CC4-5D6E-409C-BE32-E72D297353CC}">
              <c16:uniqueId val="{00000007-1810-4042-AC43-5CFB3B4A5994}"/>
            </c:ext>
          </c:extLst>
        </c:ser>
        <c:ser>
          <c:idx val="8"/>
          <c:order val="8"/>
          <c:tx>
            <c:strRef>
              <c:f>'El og plugin hybrid'!$U$173</c:f>
              <c:strCache>
                <c:ptCount val="1"/>
                <c:pt idx="0">
                  <c:v>PRODUKT 9 EL</c:v>
                </c:pt>
              </c:strCache>
            </c:strRef>
          </c:tx>
          <c:invertIfNegative val="0"/>
          <c:val>
            <c:numRef>
              <c:f>'El og plugin hybrid'!$U$174:$U$193</c:f>
            </c:numRef>
          </c:val>
          <c:extLst>
            <c:ext xmlns:c16="http://schemas.microsoft.com/office/drawing/2014/chart" uri="{C3380CC4-5D6E-409C-BE32-E72D297353CC}">
              <c16:uniqueId val="{00000008-1810-4042-AC43-5CFB3B4A5994}"/>
            </c:ext>
          </c:extLst>
        </c:ser>
        <c:ser>
          <c:idx val="9"/>
          <c:order val="9"/>
          <c:tx>
            <c:strRef>
              <c:f>'El og plugin hybrid'!$W$173</c:f>
              <c:strCache>
                <c:ptCount val="1"/>
                <c:pt idx="0">
                  <c:v>PRODUKT 10 EL</c:v>
                </c:pt>
              </c:strCache>
            </c:strRef>
          </c:tx>
          <c:invertIfNegative val="0"/>
          <c:val>
            <c:numRef>
              <c:f>'El og plugin hybrid'!$W$174:$W$193</c:f>
            </c:numRef>
          </c:val>
          <c:extLst>
            <c:ext xmlns:c16="http://schemas.microsoft.com/office/drawing/2014/chart" uri="{C3380CC4-5D6E-409C-BE32-E72D297353CC}">
              <c16:uniqueId val="{00000009-1810-4042-AC43-5CFB3B4A5994}"/>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1096674703"/>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8064875875"/>
          <c:y val="5.523008833298491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'El og plugin hybrid'!$C$108</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hybrid'!$E$108:$W$108</c15:sqref>
                  </c15:fullRef>
                </c:ext>
              </c:extLst>
              <c:f>('El og plugin hybrid'!$E$108,'El og plugin hybrid'!$G$108,'El og plugin hybrid'!$I$108,'El og plugin hybrid'!$K$108,'El og plugin hybrid'!$M$108,'El og plugin hybrid'!$O$108,'El og plugin hybrid'!$Q$108,'El og plugin hybrid'!$S$108,'El og plugin hybrid'!$U$108,'El og plugin hybrid'!$W$108)</c:f>
              <c:numCache>
                <c:formatCode>#,##0.00</c:formatCode>
                <c:ptCount val="1"/>
                <c:pt idx="0">
                  <c:v>0</c:v>
                </c:pt>
              </c:numCache>
            </c:numRef>
          </c:val>
          <c:extLst>
            <c:ext xmlns:c16="http://schemas.microsoft.com/office/drawing/2014/chart" uri="{C3380CC4-5D6E-409C-BE32-E72D297353CC}">
              <c16:uniqueId val="{00000000-6ABD-48DD-9257-869C9576A00A}"/>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5335027961140361"/>
          <c:y val="0.80028918384579051"/>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da-DK" sz="1200"/>
              <a:t>Akkumulerede samlede udgifter (nutidsværdi)</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58627889140062805"/>
          <c:h val="0.60453056614356393"/>
        </c:manualLayout>
      </c:layout>
      <c:lineChart>
        <c:grouping val="standard"/>
        <c:varyColors val="0"/>
        <c:ser>
          <c:idx val="0"/>
          <c:order val="0"/>
          <c:tx>
            <c:strRef>
              <c:f>'Sammenligning på tværs'!$E$68</c:f>
              <c:strCache>
                <c:ptCount val="1"/>
                <c:pt idx="0">
                  <c:v>#NUM!</c:v>
                </c:pt>
              </c:strCache>
            </c:strRef>
          </c:tx>
          <c:marker>
            <c:symbol val="none"/>
          </c:marker>
          <c:val>
            <c:numRef>
              <c:f>'Sammenligning på tværs'!$E$69:$E$87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1-6535-4931-BBE6-D6FCB414F81E}"/>
            </c:ext>
          </c:extLst>
        </c:ser>
        <c:ser>
          <c:idx val="1"/>
          <c:order val="1"/>
          <c:tx>
            <c:strRef>
              <c:f>'Sammenligning på tværs'!$G$68</c:f>
              <c:strCache>
                <c:ptCount val="1"/>
                <c:pt idx="0">
                  <c:v>#NUM!</c:v>
                </c:pt>
              </c:strCache>
            </c:strRef>
          </c:tx>
          <c:marker>
            <c:symbol val="none"/>
          </c:marker>
          <c:val>
            <c:numRef>
              <c:f>'Sammenligning på tværs'!$G$69:$G$87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2-6535-4931-BBE6-D6FCB414F81E}"/>
            </c:ext>
          </c:extLst>
        </c:ser>
        <c:ser>
          <c:idx val="2"/>
          <c:order val="2"/>
          <c:tx>
            <c:strRef>
              <c:f>'Sammenligning på tværs'!$I$68</c:f>
              <c:strCache>
                <c:ptCount val="1"/>
                <c:pt idx="0">
                  <c:v>#NUM!</c:v>
                </c:pt>
              </c:strCache>
            </c:strRef>
          </c:tx>
          <c:marker>
            <c:symbol val="none"/>
          </c:marker>
          <c:val>
            <c:numRef>
              <c:f>'Sammenligning på tværs'!$I$69:$I$87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6535-4931-BBE6-D6FCB414F81E}"/>
            </c:ext>
          </c:extLst>
        </c:ser>
        <c:ser>
          <c:idx val="3"/>
          <c:order val="3"/>
          <c:tx>
            <c:strRef>
              <c:f>'Sammenligning på tværs'!$K$68</c:f>
              <c:strCache>
                <c:ptCount val="1"/>
                <c:pt idx="0">
                  <c:v>#NUM!</c:v>
                </c:pt>
              </c:strCache>
            </c:strRef>
          </c:tx>
          <c:marker>
            <c:symbol val="none"/>
          </c:marker>
          <c:val>
            <c:numRef>
              <c:f>'Sammenligning på tværs'!$K$69:$K$87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4-6535-4931-BBE6-D6FCB414F81E}"/>
            </c:ext>
          </c:extLst>
        </c:ser>
        <c:ser>
          <c:idx val="4"/>
          <c:order val="4"/>
          <c:tx>
            <c:strRef>
              <c:f>'Sammenligning på tværs'!$M$68</c:f>
              <c:strCache>
                <c:ptCount val="1"/>
                <c:pt idx="0">
                  <c:v>#NUM!</c:v>
                </c:pt>
              </c:strCache>
            </c:strRef>
          </c:tx>
          <c:marker>
            <c:symbol val="none"/>
          </c:marker>
          <c:val>
            <c:numRef>
              <c:f>'Sammenligning på tværs'!$M$69:$M$87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5-6535-4931-BBE6-D6FCB414F81E}"/>
            </c:ext>
          </c:extLst>
        </c:ser>
        <c:ser>
          <c:idx val="5"/>
          <c:order val="5"/>
          <c:tx>
            <c:strRef>
              <c:f>'Sammenligning på tværs'!$O$68</c:f>
              <c:strCache>
                <c:ptCount val="1"/>
                <c:pt idx="0">
                  <c:v>#NUM!</c:v>
                </c:pt>
              </c:strCache>
            </c:strRef>
          </c:tx>
          <c:marker>
            <c:symbol val="none"/>
          </c:marker>
          <c:val>
            <c:numRef>
              <c:f>'Sammenligning på tværs'!$O$69:$O$87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6-6535-4931-BBE6-D6FCB414F81E}"/>
            </c:ext>
          </c:extLst>
        </c:ser>
        <c:dLbls>
          <c:showLegendKey val="0"/>
          <c:showVal val="0"/>
          <c:showCatName val="0"/>
          <c:showSerName val="0"/>
          <c:showPercent val="0"/>
          <c:showBubbleSize val="0"/>
        </c:dLbls>
        <c:smooth val="0"/>
        <c:axId val="311254432"/>
        <c:axId val="311249336"/>
        <c:extLst/>
      </c:lineChart>
      <c:catAx>
        <c:axId val="311254432"/>
        <c:scaling>
          <c:orientation val="minMax"/>
        </c:scaling>
        <c:delete val="0"/>
        <c:axPos val="b"/>
        <c:title>
          <c:tx>
            <c:rich>
              <a:bodyPr/>
              <a:lstStyle/>
              <a:p>
                <a:pPr>
                  <a:defRPr b="0"/>
                </a:pPr>
                <a:r>
                  <a:rPr lang="da-DK" b="0"/>
                  <a:t>År</a:t>
                </a:r>
              </a:p>
            </c:rich>
          </c:tx>
          <c:layout>
            <c:manualLayout>
              <c:xMode val="edge"/>
              <c:yMode val="edge"/>
              <c:x val="0.4081655665716532"/>
              <c:y val="0.8630442632055324"/>
            </c:manualLayout>
          </c:layout>
          <c:overlay val="0"/>
        </c:title>
        <c:numFmt formatCode="General" sourceLinked="0"/>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da-DK" b="0"/>
                  <a:t>Kroner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4506816209911164"/>
          <c:y val="9.7385640377634045E-2"/>
          <c:w val="0.21087785483496047"/>
          <c:h val="0.36816604987471602"/>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TCO for den angivne tidsperiode</a:t>
            </a:r>
            <a:r>
              <a:rPr lang="da-DK" sz="1200" baseline="0"/>
              <a:t> (nutidsværdi)</a:t>
            </a:r>
            <a:endParaRPr lang="da-DK" sz="1200"/>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2"/>
          <c:order val="0"/>
          <c:tx>
            <c:strRef>
              <c:f>'Sammenligning på tværs'!$C$21</c:f>
              <c:strCache>
                <c:ptCount val="1"/>
                <c:pt idx="0">
                  <c:v>Investeringsomkostning (uden ladestandere/ladebokse)</c:v>
                </c:pt>
              </c:strCache>
            </c:strRef>
          </c:tx>
          <c:spPr>
            <a:solidFill>
              <a:srgbClr val="4A9FA8"/>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tværs'!$E$21:$P$21</c15:sqref>
                  </c15:fullRef>
                </c:ext>
              </c:extLst>
              <c:f>('Sammenligning på tværs'!$E$21,'Sammenligning på tværs'!$G$21,'Sammenligning på tværs'!$I$21:$P$21)</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0-B3A7-4FD4-9CD6-A1FF90099352}"/>
            </c:ext>
          </c:extLst>
        </c:ser>
        <c:ser>
          <c:idx val="0"/>
          <c:order val="1"/>
          <c:tx>
            <c:strRef>
              <c:f>'Sammenligning på tværs'!$C$23</c:f>
              <c:strCache>
                <c:ptCount val="1"/>
                <c:pt idx="0">
                  <c:v>Driftsomkostning i alt</c:v>
                </c:pt>
              </c:strCache>
            </c:strRef>
          </c:tx>
          <c:spPr>
            <a:solidFill>
              <a:schemeClr val="tx2"/>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tværs'!$E$23:$O$23</c15:sqref>
                  </c15:fullRef>
                </c:ext>
              </c:extLst>
              <c:f>('Sammenligning på tværs'!$E$23,'Sammenligning på tværs'!$G$23,'Sammenligning på tværs'!$I$23:$O$23)</c:f>
              <c:numCache>
                <c:formatCode>#,##0</c:formatCode>
                <c:ptCount val="9"/>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1-B3A7-4FD4-9CD6-A1FF90099352}"/>
            </c:ext>
          </c:extLst>
        </c:ser>
        <c:ser>
          <c:idx val="3"/>
          <c:order val="2"/>
          <c:tx>
            <c:strRef>
              <c:f>'Sammenligning på tværs'!$C$24</c:f>
              <c:strCache>
                <c:ptCount val="1"/>
                <c:pt idx="0">
                  <c:v>Service, vedligehold og løbende omkostninger i alt</c:v>
                </c:pt>
              </c:strCache>
            </c:strRef>
          </c:tx>
          <c:spPr>
            <a:solidFill>
              <a:srgbClr val="7EC9B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tværs'!$E$24:$P$24</c15:sqref>
                  </c15:fullRef>
                </c:ext>
              </c:extLst>
              <c:f>('Sammenligning på tværs'!$E$24,'Sammenligning på tværs'!$G$24,'Sammenligning på tværs'!$I$24:$P$24)</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2-B3A7-4FD4-9CD6-A1FF90099352}"/>
            </c:ext>
          </c:extLst>
        </c:ser>
        <c:ser>
          <c:idx val="5"/>
          <c:order val="3"/>
          <c:tx>
            <c:strRef>
              <c:f>'Sammenligning på tværs'!$C$25</c:f>
              <c:strCache>
                <c:ptCount val="1"/>
                <c:pt idx="0">
                  <c:v>Efterbrug - omkostninger og indtægter i alt</c:v>
                </c:pt>
              </c:strCache>
            </c:strRef>
          </c:tx>
          <c:spPr>
            <a:solidFill>
              <a:srgbClr val="B0E6DE"/>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tværs'!$E$25:$P$25</c15:sqref>
                  </c15:fullRef>
                </c:ext>
              </c:extLst>
              <c:f>('Sammenligning på tværs'!$E$25,'Sammenligning på tværs'!$G$25,'Sammenligning på tværs'!$I$25:$P$25)</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3-B3A7-4FD4-9CD6-A1FF90099352}"/>
            </c:ext>
          </c:extLst>
        </c:ser>
        <c:ser>
          <c:idx val="4"/>
          <c:order val="4"/>
          <c:tx>
            <c:strRef>
              <c:f>'Sammenligning på tværs'!$C$26</c:f>
              <c:strCache>
                <c:ptCount val="1"/>
                <c:pt idx="0">
                  <c:v>Samfundsøkonomiske omkostninger af eksterne virkninger på miljøet</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tværs'!$E$26:$P$26</c15:sqref>
                  </c15:fullRef>
                </c:ext>
              </c:extLst>
              <c:f>('Sammenligning på tværs'!$E$26,'Sammenligning på tværs'!$G$26,'Sammenligning på tværs'!$I$26:$P$26)</c:f>
              <c:numCache>
                <c:formatCode>#,##0</c:formatCode>
                <c:ptCount val="10"/>
                <c:pt idx="0" formatCode="_(&quot;kr.&quot;* #,##0.00_);_(&quot;kr.&quot;* \(#,##0.00\);_(&quot;kr.&quot;* &quot;-&quot;??_);_(@_)">
                  <c:v>0</c:v>
                </c:pt>
                <c:pt idx="1" formatCode="_(&quot;kr.&quot;* #,##0.00_);_(&quot;kr.&quot;* \(#,##0.00\);_(&quot;kr.&quot;* &quot;-&quot;??_);_(@_)">
                  <c:v>0</c:v>
                </c:pt>
                <c:pt idx="2" formatCode="_(&quot;kr.&quot;* #,##0.00_);_(&quot;kr.&quot;* \(#,##0.00\);_(&quot;kr.&quot;* &quot;-&quot;??_);_(@_)">
                  <c:v>0</c:v>
                </c:pt>
                <c:pt idx="4" formatCode="_(&quot;kr.&quot;* #,##0.00_);_(&quot;kr.&quot;* \(#,##0.00\);_(&quot;kr.&quot;* &quot;-&quot;??_);_(@_)">
                  <c:v>0</c:v>
                </c:pt>
                <c:pt idx="6" formatCode="_(&quot;kr.&quot;* #,##0.00_);_(&quot;kr.&quot;* \(#,##0.00\);_(&quot;kr.&quot;* &quot;-&quot;??_);_(@_)">
                  <c:v>0</c:v>
                </c:pt>
                <c:pt idx="8" formatCode="_(&quot;kr.&quot;* #,##0.00_);_(&quot;kr.&quot;* \(#,##0.00\);_(&quot;kr.&quot;* &quot;-&quot;??_);_(@_)">
                  <c:v>0</c:v>
                </c:pt>
              </c:numCache>
            </c:numRef>
          </c:val>
          <c:extLst>
            <c:ext xmlns:c16="http://schemas.microsoft.com/office/drawing/2014/chart" uri="{C3380CC4-5D6E-409C-BE32-E72D297353CC}">
              <c16:uniqueId val="{00000004-B3A7-4FD4-9CD6-A1FF90099352}"/>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Kroner</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Gennemsnitlige årlige omkostninger</a:t>
            </a:r>
          </a:p>
          <a:p>
            <a:pPr>
              <a:defRPr sz="1200"/>
            </a:pPr>
            <a:r>
              <a:rPr lang="en-US" sz="1200"/>
              <a:t>(relation til levetid)</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64346533788945426"/>
          <c:h val="0.6549548625045738"/>
        </c:manualLayout>
      </c:layout>
      <c:barChart>
        <c:barDir val="col"/>
        <c:grouping val="clustered"/>
        <c:varyColors val="0"/>
        <c:ser>
          <c:idx val="0"/>
          <c:order val="0"/>
          <c:tx>
            <c:strRef>
              <c:f>'Sammenligning på tværs'!$E$90</c:f>
              <c:strCache>
                <c:ptCount val="1"/>
                <c:pt idx="0">
                  <c:v>#NUM!</c:v>
                </c:pt>
              </c:strCache>
            </c:strRef>
          </c:tx>
          <c:invertIfNegative val="0"/>
          <c:val>
            <c:numRef>
              <c:f>'Sammenligning på tværs'!$E$91:$E$109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3918-4C3A-8B28-338B1FA3C80B}"/>
            </c:ext>
          </c:extLst>
        </c:ser>
        <c:ser>
          <c:idx val="1"/>
          <c:order val="1"/>
          <c:tx>
            <c:strRef>
              <c:f>'Sammenligning på tværs'!$G$90</c:f>
              <c:strCache>
                <c:ptCount val="1"/>
                <c:pt idx="0">
                  <c:v>#NUM!</c:v>
                </c:pt>
              </c:strCache>
            </c:strRef>
          </c:tx>
          <c:invertIfNegative val="0"/>
          <c:val>
            <c:numRef>
              <c:f>'Sammenligning på tværs'!$G$91:$G$109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3918-4C3A-8B28-338B1FA3C80B}"/>
            </c:ext>
          </c:extLst>
        </c:ser>
        <c:ser>
          <c:idx val="2"/>
          <c:order val="2"/>
          <c:tx>
            <c:strRef>
              <c:f>'Sammenligning på tværs'!$I$90</c:f>
              <c:strCache>
                <c:ptCount val="1"/>
                <c:pt idx="0">
                  <c:v>#NUM!</c:v>
                </c:pt>
              </c:strCache>
            </c:strRef>
          </c:tx>
          <c:invertIfNegative val="0"/>
          <c:val>
            <c:numRef>
              <c:f>'Sammenligning på tværs'!$I$91:$I$109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3918-4C3A-8B28-338B1FA3C80B}"/>
            </c:ext>
          </c:extLst>
        </c:ser>
        <c:ser>
          <c:idx val="3"/>
          <c:order val="3"/>
          <c:tx>
            <c:strRef>
              <c:f>'Sammenligning på tværs'!$K$90</c:f>
              <c:strCache>
                <c:ptCount val="1"/>
                <c:pt idx="0">
                  <c:v>#NUM!</c:v>
                </c:pt>
              </c:strCache>
            </c:strRef>
          </c:tx>
          <c:invertIfNegative val="0"/>
          <c:val>
            <c:numRef>
              <c:f>'Sammenligning på tværs'!$K$91:$K$109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4-3918-4C3A-8B28-338B1FA3C80B}"/>
            </c:ext>
          </c:extLst>
        </c:ser>
        <c:ser>
          <c:idx val="4"/>
          <c:order val="4"/>
          <c:tx>
            <c:strRef>
              <c:f>'Sammenligning på tværs'!$M$90</c:f>
              <c:strCache>
                <c:ptCount val="1"/>
                <c:pt idx="0">
                  <c:v>#NUM!</c:v>
                </c:pt>
              </c:strCache>
            </c:strRef>
          </c:tx>
          <c:invertIfNegative val="0"/>
          <c:val>
            <c:numRef>
              <c:f>'Sammenligning på tværs'!$M$91:$M$109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3918-4C3A-8B28-338B1FA3C80B}"/>
            </c:ext>
          </c:extLst>
        </c:ser>
        <c:ser>
          <c:idx val="5"/>
          <c:order val="5"/>
          <c:tx>
            <c:strRef>
              <c:f>'Sammenligning på tværs'!$O$90</c:f>
              <c:strCache>
                <c:ptCount val="1"/>
                <c:pt idx="0">
                  <c:v>#NUM!</c:v>
                </c:pt>
              </c:strCache>
            </c:strRef>
          </c:tx>
          <c:invertIfNegative val="0"/>
          <c:val>
            <c:numRef>
              <c:f>'Sammenligning på tværs'!$O$91:$O$109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6-3918-4C3A-8B28-338B1FA3C80B}"/>
            </c:ext>
          </c:extLst>
        </c:ser>
        <c:dLbls>
          <c:showLegendKey val="0"/>
          <c:showVal val="0"/>
          <c:showCatName val="0"/>
          <c:showSerName val="0"/>
          <c:showPercent val="0"/>
          <c:showBubbleSize val="0"/>
        </c:dLbls>
        <c:gapWidth val="150"/>
        <c:axId val="311254432"/>
        <c:axId val="311249336"/>
        <c:extLst/>
      </c:barChart>
      <c:catAx>
        <c:axId val="311254432"/>
        <c:scaling>
          <c:orientation val="minMax"/>
        </c:scaling>
        <c:delete val="0"/>
        <c:axPos val="b"/>
        <c:title>
          <c:tx>
            <c:rich>
              <a:bodyPr/>
              <a:lstStyle/>
              <a:p>
                <a:pPr>
                  <a:defRPr b="0"/>
                </a:pPr>
                <a:r>
                  <a:rPr lang="da-DK" b="0"/>
                  <a:t>År</a:t>
                </a:r>
              </a:p>
            </c:rich>
          </c:tx>
          <c:layout>
            <c:manualLayout>
              <c:xMode val="edge"/>
              <c:yMode val="edge"/>
              <c:x val="0.43800194758894823"/>
              <c:y val="0.92898365350138568"/>
            </c:manualLayout>
          </c:layout>
          <c:overlay val="0"/>
        </c:title>
        <c:numFmt formatCode="General" sourceLinked="1"/>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en-US" b="0"/>
                  <a:t>Kroner/år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9666411765097433"/>
          <c:y val="0.15718348625534403"/>
          <c:w val="0.17865994223048154"/>
          <c:h val="0.33739988588638925"/>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a:t>
            </a:r>
            <a:r>
              <a:rPr lang="da-DK" sz="1200" baseline="0"/>
              <a:t> </a:t>
            </a:r>
            <a:r>
              <a:rPr lang="da-DK" sz="1200"/>
              <a:t>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'Sammenligning på tværs'!$C$31</c:f>
              <c:strCache>
                <c:ptCount val="1"/>
                <c:pt idx="0">
                  <c:v>Samlede eksterne virkninger på miljøet fra brugsfasen</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tværs'!$E$31:$O$31</c15:sqref>
                  </c15:fullRef>
                </c:ext>
              </c:extLst>
              <c:f>('Sammenligning på tværs'!$E$31,'Sammenligning på tværs'!$G$31,'Sammenligning på tværs'!$I$31:$O$31)</c:f>
              <c:numCache>
                <c:formatCode>0.00</c:formatCode>
                <c:ptCount val="9"/>
                <c:pt idx="0">
                  <c:v>0</c:v>
                </c:pt>
                <c:pt idx="1">
                  <c:v>0</c:v>
                </c:pt>
                <c:pt idx="2">
                  <c:v>0</c:v>
                </c:pt>
                <c:pt idx="4">
                  <c:v>0</c:v>
                </c:pt>
                <c:pt idx="6">
                  <c:v>0</c:v>
                </c:pt>
                <c:pt idx="8">
                  <c:v>0</c:v>
                </c:pt>
              </c:numCache>
            </c:numRef>
          </c:val>
          <c:extLst>
            <c:ext xmlns:c16="http://schemas.microsoft.com/office/drawing/2014/chart" uri="{C3380CC4-5D6E-409C-BE32-E72D297353CC}">
              <c16:uniqueId val="{00000004-674A-4043-9DFA-E0CBC3727676}"/>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Elpris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strRef>
              <c:f>'ENS udvikling i elpris'!$B$4</c:f>
              <c:strCache>
                <c:ptCount val="1"/>
                <c:pt idx="0">
                  <c:v>Rå samfundsøkonomisk pris på el</c:v>
                </c:pt>
              </c:strCache>
            </c:strRef>
          </c:tx>
          <c:marker>
            <c:symbol val="none"/>
          </c:marker>
          <c:cat>
            <c:numRef>
              <c:f>'ENS udvikling i elpris'!$A$5:$A$21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elpris'!$B$5:$B$21</c:f>
              <c:numCache>
                <c:formatCode>0</c:formatCode>
                <c:ptCount val="17"/>
                <c:pt idx="0">
                  <c:v>350</c:v>
                </c:pt>
                <c:pt idx="1">
                  <c:v>370</c:v>
                </c:pt>
                <c:pt idx="2">
                  <c:v>360</c:v>
                </c:pt>
                <c:pt idx="3">
                  <c:v>360</c:v>
                </c:pt>
                <c:pt idx="4">
                  <c:v>380</c:v>
                </c:pt>
                <c:pt idx="5">
                  <c:v>390</c:v>
                </c:pt>
                <c:pt idx="6">
                  <c:v>400</c:v>
                </c:pt>
                <c:pt idx="7">
                  <c:v>390</c:v>
                </c:pt>
                <c:pt idx="8">
                  <c:v>390</c:v>
                </c:pt>
                <c:pt idx="9">
                  <c:v>390</c:v>
                </c:pt>
                <c:pt idx="10">
                  <c:v>380</c:v>
                </c:pt>
                <c:pt idx="11">
                  <c:v>380</c:v>
                </c:pt>
                <c:pt idx="12">
                  <c:v>380</c:v>
                </c:pt>
                <c:pt idx="13">
                  <c:v>380</c:v>
                </c:pt>
                <c:pt idx="14">
                  <c:v>370</c:v>
                </c:pt>
                <c:pt idx="15">
                  <c:v>380</c:v>
                </c:pt>
                <c:pt idx="16">
                  <c:v>370</c:v>
                </c:pt>
              </c:numCache>
            </c:numRef>
          </c:val>
          <c:smooth val="0"/>
          <c:extLst>
            <c:ext xmlns:c16="http://schemas.microsoft.com/office/drawing/2014/chart" uri="{C3380CC4-5D6E-409C-BE32-E72D297353CC}">
              <c16:uniqueId val="{00000000-0B53-4B90-9E73-710D3F34326F}"/>
            </c:ext>
          </c:extLst>
        </c:ser>
        <c:ser>
          <c:idx val="1"/>
          <c:order val="1"/>
          <c:tx>
            <c:v>An virksomhed</c:v>
          </c:tx>
          <c:marker>
            <c:symbol val="none"/>
          </c:marker>
          <c:val>
            <c:numRef>
              <c:f>'ENS udvikling i elpris'!$C$5:$C$21</c:f>
              <c:numCache>
                <c:formatCode>0</c:formatCode>
                <c:ptCount val="17"/>
                <c:pt idx="0">
                  <c:v>491.04027223076099</c:v>
                </c:pt>
                <c:pt idx="1">
                  <c:v>512.26056969585852</c:v>
                </c:pt>
                <c:pt idx="2">
                  <c:v>501.63687146843711</c:v>
                </c:pt>
                <c:pt idx="3">
                  <c:v>501.62868763702522</c:v>
                </c:pt>
                <c:pt idx="4">
                  <c:v>522.85155531929979</c:v>
                </c:pt>
                <c:pt idx="5">
                  <c:v>533.46187389034321</c:v>
                </c:pt>
                <c:pt idx="6">
                  <c:v>544.07395991253111</c:v>
                </c:pt>
                <c:pt idx="7">
                  <c:v>533.47661210050194</c:v>
                </c:pt>
                <c:pt idx="8">
                  <c:v>533.4912983062361</c:v>
                </c:pt>
                <c:pt idx="9">
                  <c:v>533.50800983662907</c:v>
                </c:pt>
                <c:pt idx="10">
                  <c:v>522.90800951562835</c:v>
                </c:pt>
                <c:pt idx="11">
                  <c:v>522.92238996038088</c:v>
                </c:pt>
                <c:pt idx="12">
                  <c:v>522.92238996038088</c:v>
                </c:pt>
                <c:pt idx="13">
                  <c:v>522.92238996038088</c:v>
                </c:pt>
                <c:pt idx="14">
                  <c:v>512.30667870772697</c:v>
                </c:pt>
                <c:pt idx="15">
                  <c:v>522.92238996038088</c:v>
                </c:pt>
                <c:pt idx="16">
                  <c:v>512.30667870772697</c:v>
                </c:pt>
              </c:numCache>
            </c:numRef>
          </c:val>
          <c:smooth val="0"/>
          <c:extLst>
            <c:ext xmlns:c16="http://schemas.microsoft.com/office/drawing/2014/chart" uri="{C3380CC4-5D6E-409C-BE32-E72D297353CC}">
              <c16:uniqueId val="{00000001-0B53-4B90-9E73-710D3F34326F}"/>
            </c:ext>
          </c:extLst>
        </c:ser>
        <c:ser>
          <c:idx val="2"/>
          <c:order val="2"/>
          <c:tx>
            <c:v>An husholdning</c:v>
          </c:tx>
          <c:marker>
            <c:symbol val="none"/>
          </c:marker>
          <c:val>
            <c:numRef>
              <c:f>'ENS udvikling i elpris'!$D$5:$D$21</c:f>
              <c:numCache>
                <c:formatCode>0</c:formatCode>
                <c:ptCount val="17"/>
                <c:pt idx="0">
                  <c:v>675.27079961678908</c:v>
                </c:pt>
                <c:pt idx="1">
                  <c:v>696.49109708188655</c:v>
                </c:pt>
                <c:pt idx="2">
                  <c:v>685.86739885446525</c:v>
                </c:pt>
                <c:pt idx="3">
                  <c:v>685.85921502305325</c:v>
                </c:pt>
                <c:pt idx="4">
                  <c:v>707.08208270532782</c:v>
                </c:pt>
                <c:pt idx="5">
                  <c:v>717.69240127637124</c:v>
                </c:pt>
                <c:pt idx="6">
                  <c:v>728.30448729855914</c:v>
                </c:pt>
                <c:pt idx="7">
                  <c:v>717.70713948652997</c:v>
                </c:pt>
                <c:pt idx="8">
                  <c:v>717.72182569226413</c:v>
                </c:pt>
                <c:pt idx="9">
                  <c:v>717.7385372226571</c:v>
                </c:pt>
                <c:pt idx="10">
                  <c:v>707.13853690165638</c:v>
                </c:pt>
                <c:pt idx="11">
                  <c:v>707.15291734640891</c:v>
                </c:pt>
                <c:pt idx="12">
                  <c:v>707.15291734640891</c:v>
                </c:pt>
                <c:pt idx="13">
                  <c:v>707.15291734640891</c:v>
                </c:pt>
                <c:pt idx="14">
                  <c:v>696.537206093755</c:v>
                </c:pt>
                <c:pt idx="15">
                  <c:v>707.15291734640891</c:v>
                </c:pt>
                <c:pt idx="16">
                  <c:v>696.537206093755</c:v>
                </c:pt>
              </c:numCache>
            </c:numRef>
          </c:val>
          <c:smooth val="0"/>
          <c:extLst>
            <c:ext xmlns:c16="http://schemas.microsoft.com/office/drawing/2014/chart" uri="{C3380CC4-5D6E-409C-BE32-E72D297353CC}">
              <c16:uniqueId val="{00000002-0B53-4B90-9E73-710D3F34326F}"/>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elpris'!$A$4</c:f>
              <c:strCache>
                <c:ptCount val="1"/>
                <c:pt idx="0">
                  <c:v>2019-priser kr./MWh</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 sourceLinked="1"/>
        <c:majorTickMark val="out"/>
        <c:minorTickMark val="none"/>
        <c:tickLblPos val="nextTo"/>
        <c:crossAx val="200287360"/>
        <c:crosses val="autoZero"/>
        <c:crossBetween val="between"/>
      </c:valAx>
    </c:plotArea>
    <c:legend>
      <c:legendPos val="b"/>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Brændstofpris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v>Rå samfundsøkonomisk importpris på råolie (kr./GJ)</c:v>
          </c:tx>
          <c:marker>
            <c:symbol val="none"/>
          </c:marker>
          <c:cat>
            <c:numRef>
              <c:f>'ENS udvikling i brændstofspris'!$A$5:$A$21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brændstofspris'!$B$5:$B$21</c:f>
              <c:numCache>
                <c:formatCode>0.0</c:formatCode>
                <c:ptCount val="17"/>
                <c:pt idx="0">
                  <c:v>73.900000000000006</c:v>
                </c:pt>
                <c:pt idx="1">
                  <c:v>75.900000000000006</c:v>
                </c:pt>
                <c:pt idx="2">
                  <c:v>77.7</c:v>
                </c:pt>
                <c:pt idx="3">
                  <c:v>79.3</c:v>
                </c:pt>
                <c:pt idx="4">
                  <c:v>81</c:v>
                </c:pt>
                <c:pt idx="5">
                  <c:v>82.7</c:v>
                </c:pt>
                <c:pt idx="6">
                  <c:v>84.1</c:v>
                </c:pt>
                <c:pt idx="7">
                  <c:v>86.7</c:v>
                </c:pt>
                <c:pt idx="8">
                  <c:v>88.2</c:v>
                </c:pt>
                <c:pt idx="9">
                  <c:v>89.6</c:v>
                </c:pt>
                <c:pt idx="10">
                  <c:v>90.9</c:v>
                </c:pt>
                <c:pt idx="11">
                  <c:v>92.1</c:v>
                </c:pt>
                <c:pt idx="12">
                  <c:v>93.7</c:v>
                </c:pt>
                <c:pt idx="13">
                  <c:v>95.6</c:v>
                </c:pt>
                <c:pt idx="14">
                  <c:v>97.3</c:v>
                </c:pt>
                <c:pt idx="15">
                  <c:v>99</c:v>
                </c:pt>
                <c:pt idx="16">
                  <c:v>100.6</c:v>
                </c:pt>
              </c:numCache>
            </c:numRef>
          </c:val>
          <c:smooth val="0"/>
          <c:extLst>
            <c:ext xmlns:c16="http://schemas.microsoft.com/office/drawing/2014/chart" uri="{C3380CC4-5D6E-409C-BE32-E72D297353CC}">
              <c16:uniqueId val="{00000000-581D-48E0-A5E2-9967CA5C317E}"/>
            </c:ext>
          </c:extLst>
        </c:ser>
        <c:ser>
          <c:idx val="1"/>
          <c:order val="1"/>
          <c:tx>
            <c:v>An forbruger - benzin (kr./GJ)</c:v>
          </c:tx>
          <c:marker>
            <c:symbol val="none"/>
          </c:marker>
          <c:val>
            <c:numRef>
              <c:f>'ENS udvikling i brændstofspris'!$C$5:$C$21</c:f>
              <c:numCache>
                <c:formatCode>0.0</c:formatCode>
                <c:ptCount val="17"/>
                <c:pt idx="0">
                  <c:v>123.6</c:v>
                </c:pt>
                <c:pt idx="1">
                  <c:v>125.7</c:v>
                </c:pt>
                <c:pt idx="2">
                  <c:v>127.4</c:v>
                </c:pt>
                <c:pt idx="3">
                  <c:v>129</c:v>
                </c:pt>
                <c:pt idx="4">
                  <c:v>130.80000000000001</c:v>
                </c:pt>
                <c:pt idx="5">
                  <c:v>132.4</c:v>
                </c:pt>
                <c:pt idx="6">
                  <c:v>133.80000000000001</c:v>
                </c:pt>
                <c:pt idx="7">
                  <c:v>136.4</c:v>
                </c:pt>
                <c:pt idx="8">
                  <c:v>137.9</c:v>
                </c:pt>
                <c:pt idx="9">
                  <c:v>139.30000000000001</c:v>
                </c:pt>
                <c:pt idx="10">
                  <c:v>140.69999999999999</c:v>
                </c:pt>
                <c:pt idx="11">
                  <c:v>141.9</c:v>
                </c:pt>
                <c:pt idx="12">
                  <c:v>143.4</c:v>
                </c:pt>
                <c:pt idx="13">
                  <c:v>145.30000000000001</c:v>
                </c:pt>
                <c:pt idx="14">
                  <c:v>147.1</c:v>
                </c:pt>
                <c:pt idx="15">
                  <c:v>148.69999999999999</c:v>
                </c:pt>
                <c:pt idx="16">
                  <c:v>150.30000000000001</c:v>
                </c:pt>
              </c:numCache>
            </c:numRef>
          </c:val>
          <c:smooth val="0"/>
          <c:extLst>
            <c:ext xmlns:c16="http://schemas.microsoft.com/office/drawing/2014/chart" uri="{C3380CC4-5D6E-409C-BE32-E72D297353CC}">
              <c16:uniqueId val="{00000001-581D-48E0-A5E2-9967CA5C317E}"/>
            </c:ext>
          </c:extLst>
        </c:ser>
        <c:ser>
          <c:idx val="2"/>
          <c:order val="2"/>
          <c:tx>
            <c:v>An forbruger - diesel (kr./GJ)</c:v>
          </c:tx>
          <c:marker>
            <c:symbol val="none"/>
          </c:marker>
          <c:val>
            <c:numRef>
              <c:f>'ENS udvikling i brændstofspris'!$D$5:$D$21</c:f>
              <c:numCache>
                <c:formatCode>0</c:formatCode>
                <c:ptCount val="17"/>
                <c:pt idx="0">
                  <c:v>118.1</c:v>
                </c:pt>
                <c:pt idx="1">
                  <c:v>120.1</c:v>
                </c:pt>
                <c:pt idx="2">
                  <c:v>121.9</c:v>
                </c:pt>
                <c:pt idx="3">
                  <c:v>123.5</c:v>
                </c:pt>
                <c:pt idx="4">
                  <c:v>125.2</c:v>
                </c:pt>
                <c:pt idx="5">
                  <c:v>126.9</c:v>
                </c:pt>
                <c:pt idx="6">
                  <c:v>128.19999999999999</c:v>
                </c:pt>
                <c:pt idx="7">
                  <c:v>130.9</c:v>
                </c:pt>
                <c:pt idx="8">
                  <c:v>132.4</c:v>
                </c:pt>
                <c:pt idx="9">
                  <c:v>133.80000000000001</c:v>
                </c:pt>
                <c:pt idx="10">
                  <c:v>135.1</c:v>
                </c:pt>
                <c:pt idx="11">
                  <c:v>136.30000000000001</c:v>
                </c:pt>
                <c:pt idx="12">
                  <c:v>137.9</c:v>
                </c:pt>
                <c:pt idx="13">
                  <c:v>139.69999999999999</c:v>
                </c:pt>
                <c:pt idx="14">
                  <c:v>141.5</c:v>
                </c:pt>
                <c:pt idx="15">
                  <c:v>143.19999999999999</c:v>
                </c:pt>
                <c:pt idx="16">
                  <c:v>144.80000000000001</c:v>
                </c:pt>
              </c:numCache>
            </c:numRef>
          </c:val>
          <c:smooth val="0"/>
          <c:extLst>
            <c:ext xmlns:c16="http://schemas.microsoft.com/office/drawing/2014/chart" uri="{C3380CC4-5D6E-409C-BE32-E72D297353CC}">
              <c16:uniqueId val="{00000002-581D-48E0-A5E2-9967CA5C317E}"/>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brændstofspris'!$A$4</c:f>
              <c:strCache>
                <c:ptCount val="1"/>
                <c:pt idx="0">
                  <c:v>2019-priser</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0" sourceLinked="1"/>
        <c:majorTickMark val="out"/>
        <c:minorTickMark val="none"/>
        <c:tickLblPos val="nextTo"/>
        <c:crossAx val="200287360"/>
        <c:crosses val="autoZero"/>
        <c:crossBetween val="between"/>
      </c:valAx>
    </c:plotArea>
    <c:legend>
      <c:legendPos val="b"/>
      <c:layout>
        <c:manualLayout>
          <c:xMode val="edge"/>
          <c:yMode val="edge"/>
          <c:x val="0.13203368328958881"/>
          <c:y val="0.77646947977656644"/>
          <c:w val="0.8275990813648294"/>
          <c:h val="0.19306518309142981"/>
        </c:manualLayout>
      </c:layout>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image" Target="../media/image1.png"/><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9524</xdr:rowOff>
    </xdr:from>
    <xdr:to>
      <xdr:col>10</xdr:col>
      <xdr:colOff>472440</xdr:colOff>
      <xdr:row>40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 y="9524"/>
          <a:ext cx="6978015" cy="7362826"/>
        </a:xfrm>
        <a:prstGeom prst="rect">
          <a:avLst/>
        </a:prstGeom>
        <a:solidFill>
          <a:srgbClr val="DEEBF7"/>
        </a:solidFill>
        <a:ln w="12700">
          <a:solidFill>
            <a:sysClr val="windowText" lastClr="000000"/>
          </a:solidFill>
        </a:ln>
        <a:effectLst/>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r>
            <a:rPr lang="da-DK" sz="2200" b="1">
              <a:solidFill>
                <a:sysClr val="windowText" lastClr="000000"/>
              </a:solidFill>
              <a:latin typeface="Arial" panose="020B0604020202020204" pitchFamily="34" charset="0"/>
              <a:cs typeface="Arial" panose="020B0604020202020204" pitchFamily="34" charset="0"/>
            </a:rPr>
            <a:t>Introduktion</a:t>
          </a:r>
        </a:p>
        <a:p>
          <a:endParaRPr lang="da-DK" sz="1300">
            <a:solidFill>
              <a:sysClr val="windowText" lastClr="000000"/>
            </a:solidFill>
            <a:latin typeface="Arial" panose="020B0604020202020204" pitchFamily="34" charset="0"/>
            <a:cs typeface="Arial" panose="020B0604020202020204" pitchFamily="34" charset="0"/>
          </a:endParaRPr>
        </a:p>
        <a:p>
          <a:r>
            <a:rPr lang="da-DK" sz="1400">
              <a:solidFill>
                <a:sysClr val="windowText" lastClr="000000"/>
              </a:solidFill>
              <a:latin typeface="Arial" panose="020B0604020202020204" pitchFamily="34" charset="0"/>
              <a:cs typeface="Arial" panose="020B0604020202020204" pitchFamily="34" charset="0"/>
            </a:rPr>
            <a:t>Dette værktøj til TCO-beregning for motorkøretøjer indeholder</a:t>
          </a:r>
          <a:r>
            <a:rPr lang="da-DK" sz="1400" baseline="0">
              <a:solidFill>
                <a:sysClr val="windowText" lastClr="000000"/>
              </a:solidFill>
              <a:latin typeface="Arial" panose="020B0604020202020204" pitchFamily="34" charset="0"/>
              <a:cs typeface="Arial" panose="020B0604020202020204" pitchFamily="34" charset="0"/>
            </a:rPr>
            <a:t> seks faneblade: </a:t>
          </a:r>
        </a:p>
        <a:p>
          <a:r>
            <a:rPr lang="da-DK" sz="1400" b="0" i="1" baseline="0">
              <a:solidFill>
                <a:sysClr val="windowText" lastClr="000000"/>
              </a:solidFill>
              <a:latin typeface="Arial" panose="020B0604020202020204" pitchFamily="34" charset="0"/>
              <a:cs typeface="Arial" panose="020B0604020202020204" pitchFamily="34" charset="0"/>
            </a:rPr>
            <a:t>- </a:t>
          </a:r>
          <a:r>
            <a:rPr lang="da-DK" sz="1400" b="1" i="1" baseline="0">
              <a:solidFill>
                <a:sysClr val="windowText" lastClr="000000"/>
              </a:solidFill>
              <a:latin typeface="Arial" panose="020B0604020202020204" pitchFamily="34" charset="0"/>
              <a:cs typeface="Arial" panose="020B0604020202020204" pitchFamily="34" charset="0"/>
            </a:rPr>
            <a:t>Introduktion</a:t>
          </a:r>
          <a:r>
            <a:rPr lang="da-DK" sz="1400" baseline="0">
              <a:solidFill>
                <a:sysClr val="windowText" lastClr="000000"/>
              </a:solidFill>
              <a:latin typeface="Arial" panose="020B0604020202020204" pitchFamily="34" charset="0"/>
              <a:cs typeface="Arial" panose="020B0604020202020204" pitchFamily="34" charset="0"/>
            </a:rPr>
            <a:t>, som kort skitserer værktøjet.</a:t>
          </a:r>
        </a:p>
        <a:p>
          <a:r>
            <a:rPr lang="da-DK" sz="1400" b="1" i="1" baseline="0">
              <a:solidFill>
                <a:sysClr val="windowText" lastClr="000000"/>
              </a:solidFill>
              <a:latin typeface="Arial" panose="020B0604020202020204" pitchFamily="34" charset="0"/>
              <a:ea typeface="+mn-ea"/>
              <a:cs typeface="Arial" panose="020B0604020202020204" pitchFamily="34" charset="0"/>
            </a:rPr>
            <a:t>- Benzin - diesel - hybrid (uden opladning),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El og plugin hybrid,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Sammenligning på tværs</a:t>
          </a:r>
          <a:r>
            <a:rPr lang="da-DK" sz="1400" baseline="0">
              <a:solidFill>
                <a:sysClr val="windowText" lastClr="000000"/>
              </a:solidFill>
              <a:latin typeface="Arial" panose="020B0604020202020204" pitchFamily="34" charset="0"/>
              <a:ea typeface="+mn-ea"/>
              <a:cs typeface="Arial" panose="020B0604020202020204" pitchFamily="34" charset="0"/>
            </a:rPr>
            <a:t>, som giver mulighed for at sammenligne to motorkøretøjer på tværs af brændstoftyper. </a:t>
          </a:r>
          <a:endParaRPr lang="en-US" sz="140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Beregningsmetode, </a:t>
          </a:r>
          <a:r>
            <a:rPr lang="da-DK" sz="1400" baseline="0">
              <a:solidFill>
                <a:sysClr val="windowText" lastClr="000000"/>
              </a:solidFill>
              <a:latin typeface="Arial" panose="020B0604020202020204" pitchFamily="34" charset="0"/>
              <a:ea typeface="+mn-ea"/>
              <a:cs typeface="Arial" panose="020B0604020202020204" pitchFamily="34" charset="0"/>
            </a:rPr>
            <a:t>som forklarer, hvordan værktøjet beregner </a:t>
          </a:r>
          <a:r>
            <a:rPr lang="da-DK" sz="1400" i="0" baseline="0">
              <a:solidFill>
                <a:sysClr val="windowText" lastClr="000000"/>
              </a:solidFill>
              <a:latin typeface="Arial" panose="020B0604020202020204" pitchFamily="34" charset="0"/>
              <a:ea typeface="+mn-ea"/>
              <a:cs typeface="Arial" panose="020B0604020202020204" pitchFamily="34" charset="0"/>
            </a:rPr>
            <a:t>totalomkostningerne.</a:t>
          </a:r>
          <a:endParaRPr lang="en-DK" sz="1400" i="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Fremskrivning, </a:t>
          </a:r>
          <a:r>
            <a:rPr lang="da-DK" sz="1400" i="0" baseline="0">
              <a:solidFill>
                <a:sysClr val="windowText" lastClr="000000"/>
              </a:solidFill>
              <a:latin typeface="Arial" panose="020B0604020202020204" pitchFamily="34" charset="0"/>
              <a:ea typeface="+mn-ea"/>
              <a:cs typeface="Arial" panose="020B0604020202020204" pitchFamily="34" charset="0"/>
            </a:rPr>
            <a:t>som forklarer hvordan beregningsværktøjernes standardværdier for elpris, vandpris og emissionsfaktor er fremskrevet. </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Værktøjet kan anvendes til overvejelser om valg af produkttyper og udbudskrav ligesom det kan anvendes i selve tilbudsfasen. </a:t>
          </a:r>
        </a:p>
        <a:p>
          <a:endParaRPr lang="da-DK" sz="1400" i="0" baseline="0">
            <a:solidFill>
              <a:sysClr val="windowText" lastClr="000000"/>
            </a:solidFill>
            <a:latin typeface="Arial" panose="020B0604020202020204" pitchFamily="34" charset="0"/>
            <a:ea typeface="+mn-ea"/>
            <a:cs typeface="Arial" panose="020B0604020202020204" pitchFamily="34" charset="0"/>
          </a:endParaRPr>
        </a:p>
        <a:p>
          <a:r>
            <a:rPr lang="da-DK" sz="1400" i="0" baseline="0">
              <a:solidFill>
                <a:sysClr val="windowText" lastClr="000000"/>
              </a:solidFill>
              <a:latin typeface="Arial" panose="020B0604020202020204" pitchFamily="34" charset="0"/>
              <a:ea typeface="+mn-ea"/>
              <a:cs typeface="Arial" panose="020B0604020202020204" pitchFamily="34" charset="0"/>
            </a:rPr>
            <a:t>Ved brug som parameter for tildeling i udbuddet kan værktøjet offentliggøres sammen med udbudsmaterialet, hvor ordregiver forinden offentliggørelse indtaster udbuddets specifikationer. Dette gælder f.eks. oplysninger om brug og efterbrug af produktet, som skal være ens for alle de produkter, der sammenlignes, for at kunne give et retvisende resultat. Det er også i fanebladet </a:t>
          </a:r>
          <a:r>
            <a:rPr lang="da-DK" sz="1400" i="1" baseline="0">
              <a:solidFill>
                <a:sysClr val="windowText" lastClr="000000"/>
              </a:solidFill>
              <a:latin typeface="Arial" panose="020B0604020202020204" pitchFamily="34" charset="0"/>
              <a:ea typeface="+mn-ea"/>
              <a:cs typeface="Arial" panose="020B0604020202020204" pitchFamily="34" charset="0"/>
            </a:rPr>
            <a:t>Benzin - diesel - hybrid </a:t>
          </a:r>
          <a:r>
            <a:rPr lang="da-DK" sz="1400" b="0" i="0" baseline="0">
              <a:solidFill>
                <a:sysClr val="windowText" lastClr="000000"/>
              </a:solidFill>
              <a:latin typeface="Arial" panose="020B0604020202020204" pitchFamily="34" charset="0"/>
              <a:ea typeface="+mn-ea"/>
              <a:cs typeface="Arial" panose="020B0604020202020204" pitchFamily="34" charset="0"/>
            </a:rPr>
            <a:t>og/eller </a:t>
          </a:r>
          <a:r>
            <a:rPr lang="da-DK" sz="1400" i="1" baseline="0">
              <a:solidFill>
                <a:sysClr val="windowText" lastClr="000000"/>
              </a:solidFill>
              <a:latin typeface="Arial" panose="020B0604020202020204" pitchFamily="34" charset="0"/>
              <a:ea typeface="+mn-ea"/>
              <a:cs typeface="Arial" panose="020B0604020202020204" pitchFamily="34" charset="0"/>
            </a:rPr>
            <a:t>El og plugin hybrid</a:t>
          </a:r>
          <a:r>
            <a:rPr lang="da-DK" sz="1400" i="0" baseline="0">
              <a:solidFill>
                <a:sysClr val="windowText" lastClr="000000"/>
              </a:solidFill>
              <a:latin typeface="Arial" panose="020B0604020202020204" pitchFamily="34" charset="0"/>
              <a:ea typeface="+mn-ea"/>
              <a:cs typeface="Arial" panose="020B0604020202020204" pitchFamily="34" charset="0"/>
            </a:rPr>
            <a:t>, at tilbudsgiver indtaster de tilbudte produkters eller løsningers tekniske specifikationer.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chemeClr val="tx1"/>
              </a:solidFill>
              <a:latin typeface="Arial" panose="020B0604020202020204" pitchFamily="34" charset="0"/>
              <a:cs typeface="Arial" panose="020B0604020202020204" pitchFamily="34" charset="0"/>
            </a:rPr>
            <a:t>Fanebladet </a:t>
          </a:r>
          <a:r>
            <a:rPr lang="da-DK" sz="1400" i="1" baseline="0">
              <a:solidFill>
                <a:schemeClr val="tx1"/>
              </a:solidFill>
              <a:latin typeface="Arial" panose="020B0604020202020204" pitchFamily="34" charset="0"/>
              <a:cs typeface="Arial" panose="020B0604020202020204" pitchFamily="34" charset="0"/>
            </a:rPr>
            <a:t>Beregningsmetode</a:t>
          </a:r>
          <a:r>
            <a:rPr lang="da-DK" sz="1400" i="0" baseline="0">
              <a:solidFill>
                <a:schemeClr val="tx1"/>
              </a:solidFill>
              <a:latin typeface="Arial" panose="020B0604020202020204" pitchFamily="34" charset="0"/>
              <a:cs typeface="Arial" panose="020B0604020202020204" pitchFamily="34" charset="0"/>
            </a:rPr>
            <a:t> </a:t>
          </a:r>
          <a:r>
            <a:rPr lang="da-DK" sz="1400" i="0" baseline="0">
              <a:solidFill>
                <a:sysClr val="windowText" lastClr="000000"/>
              </a:solidFill>
              <a:latin typeface="Arial" panose="020B0604020202020204" pitchFamily="34" charset="0"/>
              <a:cs typeface="Arial" panose="020B0604020202020204" pitchFamily="34" charset="0"/>
            </a:rPr>
            <a:t>indeholder en trinvis forklaring på, hvordan værktøjet beregner totalomkostningerne.</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Til værktøjet er der udarbejdet en separat vejledning, der beskriver, hvordan du skal bruge værktøjet. Hent vejledningen på csr-indkob.dk under TCO-værktøjer.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b="1" i="0" baseline="0">
              <a:solidFill>
                <a:sysClr val="windowText" lastClr="000000"/>
              </a:solidFill>
              <a:latin typeface="Arial" panose="020B0604020202020204" pitchFamily="34" charset="0"/>
              <a:cs typeface="Arial" panose="020B0604020202020204" pitchFamily="34" charset="0"/>
            </a:rPr>
            <a:t>God fornøjelse med brugen af TCO-værktøjet for motorkøretøjer.</a:t>
          </a:r>
          <a:endParaRPr lang="da-DK" sz="1400" b="0" i="0" baseline="0">
            <a:solidFill>
              <a:sysClr val="windowText" lastClr="000000"/>
            </a:solidFill>
            <a:latin typeface="Arial" panose="020B0604020202020204" pitchFamily="34" charset="0"/>
            <a:cs typeface="Arial" panose="020B0604020202020204" pitchFamily="34" charset="0"/>
          </a:endParaRPr>
        </a:p>
        <a:p>
          <a:endParaRPr lang="da-DK" sz="1000" b="0" i="0" baseline="0">
            <a:solidFill>
              <a:sysClr val="windowText" lastClr="000000"/>
            </a:solidFill>
            <a:latin typeface="Arial" panose="020B0604020202020204" pitchFamily="34" charset="0"/>
            <a:cs typeface="Arial" panose="020B0604020202020204" pitchFamily="34" charset="0"/>
          </a:endParaRPr>
        </a:p>
        <a:p>
          <a:r>
            <a:rPr lang="da-DK" sz="1000" b="0" i="0" baseline="0">
              <a:solidFill>
                <a:sysClr val="windowText" lastClr="000000"/>
              </a:solidFill>
              <a:latin typeface="Arial" panose="020B0604020202020204" pitchFamily="34" charset="0"/>
              <a:cs typeface="Arial" panose="020B0604020202020204" pitchFamily="34" charset="0"/>
            </a:rPr>
            <a:t>Version: Juni 2021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rot="20376796">
          <a:off x="3269916" y="946511"/>
          <a:ext cx="619586"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rot="20376796">
          <a:off x="4954253" y="983817"/>
          <a:ext cx="619585"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rot="20376796">
          <a:off x="7903826" y="927207"/>
          <a:ext cx="623818"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xdr:col>
      <xdr:colOff>64498</xdr:colOff>
      <xdr:row>86</xdr:row>
      <xdr:rowOff>76846</xdr:rowOff>
    </xdr:from>
    <xdr:to>
      <xdr:col>3</xdr:col>
      <xdr:colOff>665788</xdr:colOff>
      <xdr:row>103</xdr:row>
      <xdr:rowOff>121559</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406369</xdr:colOff>
      <xdr:row>86</xdr:row>
      <xdr:rowOff>187606</xdr:rowOff>
    </xdr:from>
    <xdr:to>
      <xdr:col>24</xdr:col>
      <xdr:colOff>65560</xdr:colOff>
      <xdr:row>105</xdr:row>
      <xdr:rowOff>121227</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25</xdr:col>
      <xdr:colOff>166286</xdr:colOff>
      <xdr:row>6</xdr:row>
      <xdr:rowOff>285750</xdr:rowOff>
    </xdr:from>
    <xdr:to>
      <xdr:col>30</xdr:col>
      <xdr:colOff>58013</xdr:colOff>
      <xdr:row>8</xdr:row>
      <xdr:rowOff>0</xdr:rowOff>
    </xdr:to>
    <xdr:sp macro="" textlink="">
      <xdr:nvSpPr>
        <xdr:cNvPr id="33" name="Rectangular Callout 32">
          <a:extLst>
            <a:ext uri="{FF2B5EF4-FFF2-40B4-BE49-F238E27FC236}">
              <a16:creationId xmlns:a16="http://schemas.microsoft.com/office/drawing/2014/main" id="{00000000-0008-0000-0100-000021000000}"/>
            </a:ext>
          </a:extLst>
        </xdr:cNvPr>
        <xdr:cNvSpPr/>
      </xdr:nvSpPr>
      <xdr:spPr>
        <a:xfrm>
          <a:off x="11682877" y="2069523"/>
          <a:ext cx="7200000" cy="216477"/>
        </a:xfrm>
        <a:prstGeom prst="wedgeRectCallout">
          <a:avLst>
            <a:gd name="adj1" fmla="val -62755"/>
            <a:gd name="adj2" fmla="val -908667"/>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95250</xdr:colOff>
      <xdr:row>104</xdr:row>
      <xdr:rowOff>6348</xdr:rowOff>
    </xdr:from>
    <xdr:to>
      <xdr:col>3</xdr:col>
      <xdr:colOff>742950</xdr:colOff>
      <xdr:row>121</xdr:row>
      <xdr:rowOff>1694089</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166286</xdr:colOff>
      <xdr:row>84</xdr:row>
      <xdr:rowOff>155112</xdr:rowOff>
    </xdr:from>
    <xdr:to>
      <xdr:col>30</xdr:col>
      <xdr:colOff>58013</xdr:colOff>
      <xdr:row>86</xdr:row>
      <xdr:rowOff>70994</xdr:rowOff>
    </xdr:to>
    <xdr:sp macro="" textlink="">
      <xdr:nvSpPr>
        <xdr:cNvPr id="39" name="Rectangular Callout 45">
          <a:extLst>
            <a:ext uri="{FF2B5EF4-FFF2-40B4-BE49-F238E27FC236}">
              <a16:creationId xmlns:a16="http://schemas.microsoft.com/office/drawing/2014/main" id="{00000000-0008-0000-0100-000027000000}"/>
            </a:ext>
          </a:extLst>
        </xdr:cNvPr>
        <xdr:cNvSpPr/>
      </xdr:nvSpPr>
      <xdr:spPr>
        <a:xfrm>
          <a:off x="12703789" y="17335609"/>
          <a:ext cx="9215578" cy="294515"/>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25</xdr:col>
      <xdr:colOff>166286</xdr:colOff>
      <xdr:row>87</xdr:row>
      <xdr:rowOff>130042</xdr:rowOff>
    </xdr:from>
    <xdr:to>
      <xdr:col>30</xdr:col>
      <xdr:colOff>58013</xdr:colOff>
      <xdr:row>89</xdr:row>
      <xdr:rowOff>165760</xdr:rowOff>
    </xdr:to>
    <xdr:sp macro="" textlink="">
      <xdr:nvSpPr>
        <xdr:cNvPr id="40" name="Rectangular Callout 45">
          <a:extLst>
            <a:ext uri="{FF2B5EF4-FFF2-40B4-BE49-F238E27FC236}">
              <a16:creationId xmlns:a16="http://schemas.microsoft.com/office/drawing/2014/main" id="{00000000-0008-0000-0100-000028000000}"/>
            </a:ext>
          </a:extLst>
        </xdr:cNvPr>
        <xdr:cNvSpPr/>
      </xdr:nvSpPr>
      <xdr:spPr>
        <a:xfrm>
          <a:off x="11682877" y="17950451"/>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25</xdr:col>
      <xdr:colOff>166286</xdr:colOff>
      <xdr:row>102</xdr:row>
      <xdr:rowOff>175966</xdr:rowOff>
    </xdr:from>
    <xdr:to>
      <xdr:col>30</xdr:col>
      <xdr:colOff>58013</xdr:colOff>
      <xdr:row>105</xdr:row>
      <xdr:rowOff>56795</xdr:rowOff>
    </xdr:to>
    <xdr:sp macro="" textlink="">
      <xdr:nvSpPr>
        <xdr:cNvPr id="41" name="Rectangular Callout 45">
          <a:extLst>
            <a:ext uri="{FF2B5EF4-FFF2-40B4-BE49-F238E27FC236}">
              <a16:creationId xmlns:a16="http://schemas.microsoft.com/office/drawing/2014/main" id="{00000000-0008-0000-0100-000029000000}"/>
            </a:ext>
          </a:extLst>
        </xdr:cNvPr>
        <xdr:cNvSpPr/>
      </xdr:nvSpPr>
      <xdr:spPr>
        <a:xfrm>
          <a:off x="12703789" y="20764165"/>
          <a:ext cx="9215578" cy="448779"/>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25</xdr:col>
      <xdr:colOff>166286</xdr:colOff>
      <xdr:row>27</xdr:row>
      <xdr:rowOff>59829</xdr:rowOff>
    </xdr:from>
    <xdr:to>
      <xdr:col>30</xdr:col>
      <xdr:colOff>58013</xdr:colOff>
      <xdr:row>28</xdr:row>
      <xdr:rowOff>184412</xdr:rowOff>
    </xdr:to>
    <xdr:sp macro="" textlink="">
      <xdr:nvSpPr>
        <xdr:cNvPr id="42" name="Rectangular Callout 20">
          <a:extLst>
            <a:ext uri="{FF2B5EF4-FFF2-40B4-BE49-F238E27FC236}">
              <a16:creationId xmlns:a16="http://schemas.microsoft.com/office/drawing/2014/main" id="{B02D9D63-9F62-4B65-AC85-5F0D5D5E5B8B}"/>
            </a:ext>
          </a:extLst>
        </xdr:cNvPr>
        <xdr:cNvSpPr/>
      </xdr:nvSpPr>
      <xdr:spPr>
        <a:xfrm>
          <a:off x="11685933" y="5965329"/>
          <a:ext cx="7209168" cy="438348"/>
        </a:xfrm>
        <a:prstGeom prst="wedgeRectCallout">
          <a:avLst>
            <a:gd name="adj1" fmla="val -60308"/>
            <a:gd name="adj2" fmla="val 8613"/>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25</xdr:col>
      <xdr:colOff>166286</xdr:colOff>
      <xdr:row>35</xdr:row>
      <xdr:rowOff>156500</xdr:rowOff>
    </xdr:from>
    <xdr:to>
      <xdr:col>30</xdr:col>
      <xdr:colOff>58013</xdr:colOff>
      <xdr:row>40</xdr:row>
      <xdr:rowOff>16566</xdr:rowOff>
    </xdr:to>
    <xdr:sp macro="" textlink="">
      <xdr:nvSpPr>
        <xdr:cNvPr id="44" name="Rectangular Callout 20">
          <a:extLst>
            <a:ext uri="{FF2B5EF4-FFF2-40B4-BE49-F238E27FC236}">
              <a16:creationId xmlns:a16="http://schemas.microsoft.com/office/drawing/2014/main" id="{75EFD17D-08C7-4AC5-8C41-DF828C5B154E}"/>
            </a:ext>
          </a:extLst>
        </xdr:cNvPr>
        <xdr:cNvSpPr/>
      </xdr:nvSpPr>
      <xdr:spPr>
        <a:xfrm>
          <a:off x="11985569" y="7710239"/>
          <a:ext cx="8687857" cy="812566"/>
        </a:xfrm>
        <a:prstGeom prst="wedgeRectCallout">
          <a:avLst>
            <a:gd name="adj1" fmla="val -60250"/>
            <a:gd name="adj2" fmla="val -564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25</xdr:col>
      <xdr:colOff>166286</xdr:colOff>
      <xdr:row>29</xdr:row>
      <xdr:rowOff>30119</xdr:rowOff>
    </xdr:from>
    <xdr:to>
      <xdr:col>30</xdr:col>
      <xdr:colOff>58013</xdr:colOff>
      <xdr:row>35</xdr:row>
      <xdr:rowOff>54966</xdr:rowOff>
    </xdr:to>
    <xdr:sp macro="" textlink="">
      <xdr:nvSpPr>
        <xdr:cNvPr id="47" name="Rectangular Callout 20">
          <a:extLst>
            <a:ext uri="{FF2B5EF4-FFF2-40B4-BE49-F238E27FC236}">
              <a16:creationId xmlns:a16="http://schemas.microsoft.com/office/drawing/2014/main" id="{0FEB090F-5808-4245-B825-1840BE218B1C}"/>
            </a:ext>
          </a:extLst>
        </xdr:cNvPr>
        <xdr:cNvSpPr/>
      </xdr:nvSpPr>
      <xdr:spPr>
        <a:xfrm>
          <a:off x="11685933" y="6439884"/>
          <a:ext cx="7209168" cy="1167847"/>
        </a:xfrm>
        <a:prstGeom prst="wedgeRectCallout">
          <a:avLst>
            <a:gd name="adj1" fmla="val -59621"/>
            <a:gd name="adj2" fmla="val -19141"/>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25</xdr:col>
      <xdr:colOff>166286</xdr:colOff>
      <xdr:row>54</xdr:row>
      <xdr:rowOff>67236</xdr:rowOff>
    </xdr:from>
    <xdr:to>
      <xdr:col>30</xdr:col>
      <xdr:colOff>58013</xdr:colOff>
      <xdr:row>59</xdr:row>
      <xdr:rowOff>179368</xdr:rowOff>
    </xdr:to>
    <xdr:sp macro="" textlink="">
      <xdr:nvSpPr>
        <xdr:cNvPr id="50" name="Rectangular Callout 17">
          <a:extLst>
            <a:ext uri="{FF2B5EF4-FFF2-40B4-BE49-F238E27FC236}">
              <a16:creationId xmlns:a16="http://schemas.microsoft.com/office/drawing/2014/main" id="{97F237D3-C24B-4F7B-9F64-45668843D769}"/>
            </a:ext>
          </a:extLst>
        </xdr:cNvPr>
        <xdr:cNvSpPr/>
      </xdr:nvSpPr>
      <xdr:spPr>
        <a:xfrm>
          <a:off x="11685933" y="11486030"/>
          <a:ext cx="7209168" cy="1064632"/>
        </a:xfrm>
        <a:prstGeom prst="wedgeRectCallout">
          <a:avLst>
            <a:gd name="adj1" fmla="val -59788"/>
            <a:gd name="adj2" fmla="val -1379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3</xdr:col>
      <xdr:colOff>533400</xdr:colOff>
      <xdr:row>104</xdr:row>
      <xdr:rowOff>136071</xdr:rowOff>
    </xdr:from>
    <xdr:to>
      <xdr:col>22</xdr:col>
      <xdr:colOff>0</xdr:colOff>
      <xdr:row>121</xdr:row>
      <xdr:rowOff>1228724</xdr:rowOff>
    </xdr:to>
    <xdr:graphicFrame macro="">
      <xdr:nvGraphicFramePr>
        <xdr:cNvPr id="46" name="Chart 45">
          <a:extLst>
            <a:ext uri="{FF2B5EF4-FFF2-40B4-BE49-F238E27FC236}">
              <a16:creationId xmlns:a16="http://schemas.microsoft.com/office/drawing/2014/main" id="{F1D5AAB4-3178-47C0-A180-CBD34759A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166286</xdr:colOff>
      <xdr:row>46</xdr:row>
      <xdr:rowOff>47625</xdr:rowOff>
    </xdr:from>
    <xdr:to>
      <xdr:col>30</xdr:col>
      <xdr:colOff>58013</xdr:colOff>
      <xdr:row>49</xdr:row>
      <xdr:rowOff>107024</xdr:rowOff>
    </xdr:to>
    <xdr:sp macro="" textlink="">
      <xdr:nvSpPr>
        <xdr:cNvPr id="52" name="Rectangular Callout 20">
          <a:extLst>
            <a:ext uri="{FF2B5EF4-FFF2-40B4-BE49-F238E27FC236}">
              <a16:creationId xmlns:a16="http://schemas.microsoft.com/office/drawing/2014/main" id="{3A17A4CC-3A78-4619-B251-A983AF6E7332}"/>
            </a:ext>
          </a:extLst>
        </xdr:cNvPr>
        <xdr:cNvSpPr/>
      </xdr:nvSpPr>
      <xdr:spPr>
        <a:xfrm>
          <a:off x="11986811" y="9820275"/>
          <a:ext cx="8683302" cy="754724"/>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twoCellAnchor>
    <xdr:from>
      <xdr:col>25</xdr:col>
      <xdr:colOff>166286</xdr:colOff>
      <xdr:row>49</xdr:row>
      <xdr:rowOff>186574</xdr:rowOff>
    </xdr:from>
    <xdr:to>
      <xdr:col>30</xdr:col>
      <xdr:colOff>58013</xdr:colOff>
      <xdr:row>52</xdr:row>
      <xdr:rowOff>16329</xdr:rowOff>
    </xdr:to>
    <xdr:sp macro="" textlink="">
      <xdr:nvSpPr>
        <xdr:cNvPr id="53" name="Rectangular Callout 21">
          <a:extLst>
            <a:ext uri="{FF2B5EF4-FFF2-40B4-BE49-F238E27FC236}">
              <a16:creationId xmlns:a16="http://schemas.microsoft.com/office/drawing/2014/main" id="{1DD41693-8026-41BD-AB7B-C0906027AE34}"/>
            </a:ext>
          </a:extLst>
        </xdr:cNvPr>
        <xdr:cNvSpPr/>
      </xdr:nvSpPr>
      <xdr:spPr>
        <a:xfrm>
          <a:off x="12706629" y="10658631"/>
          <a:ext cx="9220784" cy="401255"/>
        </a:xfrm>
        <a:prstGeom prst="wedgeRectCallout">
          <a:avLst>
            <a:gd name="adj1" fmla="val -58665"/>
            <a:gd name="adj2" fmla="val 2328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25</xdr:col>
      <xdr:colOff>166286</xdr:colOff>
      <xdr:row>69</xdr:row>
      <xdr:rowOff>117298</xdr:rowOff>
    </xdr:from>
    <xdr:to>
      <xdr:col>30</xdr:col>
      <xdr:colOff>58013</xdr:colOff>
      <xdr:row>71</xdr:row>
      <xdr:rowOff>72604</xdr:rowOff>
    </xdr:to>
    <xdr:sp macro="" textlink="">
      <xdr:nvSpPr>
        <xdr:cNvPr id="54" name="Rectangular Callout 24">
          <a:extLst>
            <a:ext uri="{FF2B5EF4-FFF2-40B4-BE49-F238E27FC236}">
              <a16:creationId xmlns:a16="http://schemas.microsoft.com/office/drawing/2014/main" id="{16889983-ED4D-440E-BBFB-43F0EFF05D10}"/>
            </a:ext>
          </a:extLst>
        </xdr:cNvPr>
        <xdr:cNvSpPr/>
      </xdr:nvSpPr>
      <xdr:spPr>
        <a:xfrm>
          <a:off x="11682877" y="14387480"/>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25</xdr:col>
      <xdr:colOff>166286</xdr:colOff>
      <xdr:row>67</xdr:row>
      <xdr:rowOff>114367</xdr:rowOff>
    </xdr:from>
    <xdr:to>
      <xdr:col>30</xdr:col>
      <xdr:colOff>58013</xdr:colOff>
      <xdr:row>69</xdr:row>
      <xdr:rowOff>69673</xdr:rowOff>
    </xdr:to>
    <xdr:sp macro="" textlink="">
      <xdr:nvSpPr>
        <xdr:cNvPr id="57" name="Rectangular Callout 24">
          <a:extLst>
            <a:ext uri="{FF2B5EF4-FFF2-40B4-BE49-F238E27FC236}">
              <a16:creationId xmlns:a16="http://schemas.microsoft.com/office/drawing/2014/main" id="{683D3120-7007-4540-8F9A-0C5A7028132A}"/>
            </a:ext>
          </a:extLst>
        </xdr:cNvPr>
        <xdr:cNvSpPr/>
      </xdr:nvSpPr>
      <xdr:spPr>
        <a:xfrm>
          <a:off x="11682877" y="14003549"/>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25</xdr:col>
      <xdr:colOff>166286</xdr:colOff>
      <xdr:row>60</xdr:row>
      <xdr:rowOff>179293</xdr:rowOff>
    </xdr:from>
    <xdr:to>
      <xdr:col>30</xdr:col>
      <xdr:colOff>58013</xdr:colOff>
      <xdr:row>66</xdr:row>
      <xdr:rowOff>165760</xdr:rowOff>
    </xdr:to>
    <xdr:sp macro="" textlink="">
      <xdr:nvSpPr>
        <xdr:cNvPr id="59" name="Rectangular Callout 17">
          <a:extLst>
            <a:ext uri="{FF2B5EF4-FFF2-40B4-BE49-F238E27FC236}">
              <a16:creationId xmlns:a16="http://schemas.microsoft.com/office/drawing/2014/main" id="{E0947141-8BD8-45A2-B0EC-25BAED8A5A30}"/>
            </a:ext>
          </a:extLst>
        </xdr:cNvPr>
        <xdr:cNvSpPr/>
      </xdr:nvSpPr>
      <xdr:spPr>
        <a:xfrm>
          <a:off x="11685933" y="12741087"/>
          <a:ext cx="7209168" cy="1129467"/>
        </a:xfrm>
        <a:prstGeom prst="wedgeRectCallout">
          <a:avLst>
            <a:gd name="adj1" fmla="val -58544"/>
            <a:gd name="adj2" fmla="val -1944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25</xdr:col>
      <xdr:colOff>166286</xdr:colOff>
      <xdr:row>22</xdr:row>
      <xdr:rowOff>141784</xdr:rowOff>
    </xdr:from>
    <xdr:to>
      <xdr:col>30</xdr:col>
      <xdr:colOff>58013</xdr:colOff>
      <xdr:row>24</xdr:row>
      <xdr:rowOff>135191</xdr:rowOff>
    </xdr:to>
    <xdr:sp macro="" textlink="">
      <xdr:nvSpPr>
        <xdr:cNvPr id="60" name="Rectangular Callout 16">
          <a:extLst>
            <a:ext uri="{FF2B5EF4-FFF2-40B4-BE49-F238E27FC236}">
              <a16:creationId xmlns:a16="http://schemas.microsoft.com/office/drawing/2014/main" id="{5016E1DB-49E2-4762-BEDF-8A607FD34456}"/>
            </a:ext>
          </a:extLst>
        </xdr:cNvPr>
        <xdr:cNvSpPr/>
      </xdr:nvSpPr>
      <xdr:spPr>
        <a:xfrm>
          <a:off x="11682877" y="5094784"/>
          <a:ext cx="7200000" cy="374407"/>
        </a:xfrm>
        <a:prstGeom prst="wedgeRectCallout">
          <a:avLst>
            <a:gd name="adj1" fmla="val -59661"/>
            <a:gd name="adj2" fmla="val 833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indtastes en bindende tilbagekøbspris efter endt brugsperiode i overensstemmelse med specifikationerne (antal år og antal kørte kilometer) angivet i kravspecifikationen. </a:t>
          </a:r>
        </a:p>
      </xdr:txBody>
    </xdr:sp>
    <xdr:clientData/>
  </xdr:twoCellAnchor>
  <xdr:twoCellAnchor>
    <xdr:from>
      <xdr:col>25</xdr:col>
      <xdr:colOff>166286</xdr:colOff>
      <xdr:row>12</xdr:row>
      <xdr:rowOff>9302</xdr:rowOff>
    </xdr:from>
    <xdr:to>
      <xdr:col>30</xdr:col>
      <xdr:colOff>58013</xdr:colOff>
      <xdr:row>15</xdr:row>
      <xdr:rowOff>5639</xdr:rowOff>
    </xdr:to>
    <xdr:sp macro="" textlink="">
      <xdr:nvSpPr>
        <xdr:cNvPr id="61" name="Rectangular Callout 15">
          <a:extLst>
            <a:ext uri="{FF2B5EF4-FFF2-40B4-BE49-F238E27FC236}">
              <a16:creationId xmlns:a16="http://schemas.microsoft.com/office/drawing/2014/main" id="{CA628513-7660-4955-8476-A979696D4D16}"/>
            </a:ext>
          </a:extLst>
        </xdr:cNvPr>
        <xdr:cNvSpPr/>
      </xdr:nvSpPr>
      <xdr:spPr>
        <a:xfrm>
          <a:off x="11685933" y="3057302"/>
          <a:ext cx="7209168" cy="567837"/>
        </a:xfrm>
        <a:prstGeom prst="wedgeRectCallout">
          <a:avLst>
            <a:gd name="adj1" fmla="val -60681"/>
            <a:gd name="adj2" fmla="val 37555"/>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25</xdr:col>
      <xdr:colOff>166286</xdr:colOff>
      <xdr:row>9</xdr:row>
      <xdr:rowOff>0</xdr:rowOff>
    </xdr:from>
    <xdr:to>
      <xdr:col>30</xdr:col>
      <xdr:colOff>58013</xdr:colOff>
      <xdr:row>10</xdr:row>
      <xdr:rowOff>39343</xdr:rowOff>
    </xdr:to>
    <xdr:sp macro="" textlink="">
      <xdr:nvSpPr>
        <xdr:cNvPr id="62" name="Rectangular Callout 15">
          <a:extLst>
            <a:ext uri="{FF2B5EF4-FFF2-40B4-BE49-F238E27FC236}">
              <a16:creationId xmlns:a16="http://schemas.microsoft.com/office/drawing/2014/main" id="{3690A7D4-7889-4F37-BF4C-EE5BF5D0A651}"/>
            </a:ext>
          </a:extLst>
        </xdr:cNvPr>
        <xdr:cNvSpPr/>
      </xdr:nvSpPr>
      <xdr:spPr>
        <a:xfrm>
          <a:off x="11682877" y="2476500"/>
          <a:ext cx="7200000" cy="229843"/>
        </a:xfrm>
        <a:prstGeom prst="wedgeRectCallout">
          <a:avLst>
            <a:gd name="adj1" fmla="val -59947"/>
            <a:gd name="adj2" fmla="val 22583"/>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a:t>
          </a: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anskaffes ved finansiel leasing, sættes investeringsomkostningen til nul med </a:t>
          </a:r>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mindre der indgår en førstegangsydelse. </a:t>
          </a:r>
        </a:p>
      </xdr:txBody>
    </xdr:sp>
    <xdr:clientData/>
  </xdr:twoCellAnchor>
  <xdr:twoCellAnchor>
    <xdr:from>
      <xdr:col>25</xdr:col>
      <xdr:colOff>166286</xdr:colOff>
      <xdr:row>10</xdr:row>
      <xdr:rowOff>85501</xdr:rowOff>
    </xdr:from>
    <xdr:to>
      <xdr:col>30</xdr:col>
      <xdr:colOff>58013</xdr:colOff>
      <xdr:row>11</xdr:row>
      <xdr:rowOff>161702</xdr:rowOff>
    </xdr:to>
    <xdr:sp macro="" textlink="">
      <xdr:nvSpPr>
        <xdr:cNvPr id="63" name="Rectangular Callout 15">
          <a:extLst>
            <a:ext uri="{FF2B5EF4-FFF2-40B4-BE49-F238E27FC236}">
              <a16:creationId xmlns:a16="http://schemas.microsoft.com/office/drawing/2014/main" id="{E2CF45EE-882B-42A6-AB72-3A5BDD963535}"/>
            </a:ext>
          </a:extLst>
        </xdr:cNvPr>
        <xdr:cNvSpPr/>
      </xdr:nvSpPr>
      <xdr:spPr>
        <a:xfrm>
          <a:off x="11685933" y="2752501"/>
          <a:ext cx="7209168" cy="266701"/>
        </a:xfrm>
        <a:prstGeom prst="wedgeRectCallout">
          <a:avLst>
            <a:gd name="adj1" fmla="val -60336"/>
            <a:gd name="adj2" fmla="val 44073"/>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Garantiperioden skal være ens for alle køretøjer, der sammenlignes. </a:t>
          </a:r>
        </a:p>
      </xdr:txBody>
    </xdr:sp>
    <xdr:clientData/>
  </xdr:twoCellAnchor>
  <xdr:twoCellAnchor>
    <xdr:from>
      <xdr:col>25</xdr:col>
      <xdr:colOff>166286</xdr:colOff>
      <xdr:row>20</xdr:row>
      <xdr:rowOff>91497</xdr:rowOff>
    </xdr:from>
    <xdr:to>
      <xdr:col>30</xdr:col>
      <xdr:colOff>58013</xdr:colOff>
      <xdr:row>22</xdr:row>
      <xdr:rowOff>67317</xdr:rowOff>
    </xdr:to>
    <xdr:sp macro="" textlink="">
      <xdr:nvSpPr>
        <xdr:cNvPr id="64" name="Rectangular Callout 16">
          <a:extLst>
            <a:ext uri="{FF2B5EF4-FFF2-40B4-BE49-F238E27FC236}">
              <a16:creationId xmlns:a16="http://schemas.microsoft.com/office/drawing/2014/main" id="{34FADF1F-AEFC-48DC-AD2A-A70E7D37187C}"/>
            </a:ext>
          </a:extLst>
        </xdr:cNvPr>
        <xdr:cNvSpPr/>
      </xdr:nvSpPr>
      <xdr:spPr>
        <a:xfrm>
          <a:off x="11682877" y="4663497"/>
          <a:ext cx="7200000" cy="356820"/>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25</xdr:col>
      <xdr:colOff>166286</xdr:colOff>
      <xdr:row>15</xdr:row>
      <xdr:rowOff>86591</xdr:rowOff>
    </xdr:from>
    <xdr:to>
      <xdr:col>30</xdr:col>
      <xdr:colOff>58013</xdr:colOff>
      <xdr:row>18</xdr:row>
      <xdr:rowOff>138545</xdr:rowOff>
    </xdr:to>
    <xdr:sp macro="" textlink="">
      <xdr:nvSpPr>
        <xdr:cNvPr id="65" name="Rectangular Callout 16">
          <a:extLst>
            <a:ext uri="{FF2B5EF4-FFF2-40B4-BE49-F238E27FC236}">
              <a16:creationId xmlns:a16="http://schemas.microsoft.com/office/drawing/2014/main" id="{DE8D1394-650B-4AE4-8310-E982B9B30A83}"/>
            </a:ext>
          </a:extLst>
        </xdr:cNvPr>
        <xdr:cNvSpPr/>
      </xdr:nvSpPr>
      <xdr:spPr>
        <a:xfrm>
          <a:off x="11685933" y="3706091"/>
          <a:ext cx="7209168" cy="623454"/>
        </a:xfrm>
        <a:prstGeom prst="wedgeRectCallout">
          <a:avLst>
            <a:gd name="adj1" fmla="val -60104"/>
            <a:gd name="adj2" fmla="val 35307"/>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xdr:from>
      <xdr:col>25</xdr:col>
      <xdr:colOff>166286</xdr:colOff>
      <xdr:row>18</xdr:row>
      <xdr:rowOff>174290</xdr:rowOff>
    </xdr:from>
    <xdr:to>
      <xdr:col>30</xdr:col>
      <xdr:colOff>58013</xdr:colOff>
      <xdr:row>20</xdr:row>
      <xdr:rowOff>34346</xdr:rowOff>
    </xdr:to>
    <xdr:sp macro="" textlink="">
      <xdr:nvSpPr>
        <xdr:cNvPr id="66" name="Rectangular Callout 16">
          <a:extLst>
            <a:ext uri="{FF2B5EF4-FFF2-40B4-BE49-F238E27FC236}">
              <a16:creationId xmlns:a16="http://schemas.microsoft.com/office/drawing/2014/main" id="{6CBDD79F-0439-4494-AC3B-20FCC31A3E9B}"/>
            </a:ext>
          </a:extLst>
        </xdr:cNvPr>
        <xdr:cNvSpPr/>
      </xdr:nvSpPr>
      <xdr:spPr>
        <a:xfrm>
          <a:off x="11682877" y="4365290"/>
          <a:ext cx="7200000" cy="241056"/>
        </a:xfrm>
        <a:prstGeom prst="wedgeRectCallout">
          <a:avLst>
            <a:gd name="adj1" fmla="val -60513"/>
            <a:gd name="adj2" fmla="val -145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ikke anskaffes ved finansiel leasing sættes denne værdi til nul.</a:t>
          </a:r>
        </a:p>
      </xdr:txBody>
    </xdr:sp>
    <xdr:clientData/>
  </xdr:twoCellAnchor>
  <xdr:twoCellAnchor editAs="oneCell">
    <xdr:from>
      <xdr:col>4</xdr:col>
      <xdr:colOff>750793</xdr:colOff>
      <xdr:row>1</xdr:row>
      <xdr:rowOff>78440</xdr:rowOff>
    </xdr:from>
    <xdr:to>
      <xdr:col>21</xdr:col>
      <xdr:colOff>183587</xdr:colOff>
      <xdr:row>2</xdr:row>
      <xdr:rowOff>608959</xdr:rowOff>
    </xdr:to>
    <xdr:pic>
      <xdr:nvPicPr>
        <xdr:cNvPr id="3" name="Picture 2">
          <a:extLst>
            <a:ext uri="{FF2B5EF4-FFF2-40B4-BE49-F238E27FC236}">
              <a16:creationId xmlns:a16="http://schemas.microsoft.com/office/drawing/2014/main" id="{69B12B29-9C14-4397-91B4-F47075C12554}"/>
            </a:ext>
          </a:extLst>
        </xdr:cNvPr>
        <xdr:cNvPicPr>
          <a:picLocks noChangeAspect="1"/>
        </xdr:cNvPicPr>
      </xdr:nvPicPr>
      <xdr:blipFill>
        <a:blip xmlns:r="http://schemas.openxmlformats.org/officeDocument/2006/relationships" r:embed="rId5"/>
        <a:stretch>
          <a:fillRect/>
        </a:stretch>
      </xdr:blipFill>
      <xdr:spPr>
        <a:xfrm>
          <a:off x="8113058" y="313764"/>
          <a:ext cx="2818129" cy="720000"/>
        </a:xfrm>
        <a:prstGeom prst="rect">
          <a:avLst/>
        </a:prstGeom>
      </xdr:spPr>
    </xdr:pic>
    <xdr:clientData/>
  </xdr:twoCellAnchor>
  <xdr:twoCellAnchor>
    <xdr:from>
      <xdr:col>25</xdr:col>
      <xdr:colOff>121227</xdr:colOff>
      <xdr:row>1</xdr:row>
      <xdr:rowOff>51954</xdr:rowOff>
    </xdr:from>
    <xdr:to>
      <xdr:col>27</xdr:col>
      <xdr:colOff>3838451</xdr:colOff>
      <xdr:row>6</xdr:row>
      <xdr:rowOff>11206</xdr:rowOff>
    </xdr:to>
    <xdr:sp macro="" textlink="">
      <xdr:nvSpPr>
        <xdr:cNvPr id="37" name="TextBox 36">
          <a:extLst>
            <a:ext uri="{FF2B5EF4-FFF2-40B4-BE49-F238E27FC236}">
              <a16:creationId xmlns:a16="http://schemas.microsoft.com/office/drawing/2014/main" id="{17562224-FB2A-43F0-950D-1C85330E4ACB}"/>
            </a:ext>
          </a:extLst>
        </xdr:cNvPr>
        <xdr:cNvSpPr txBox="1"/>
      </xdr:nvSpPr>
      <xdr:spPr>
        <a:xfrm>
          <a:off x="11708109" y="242454"/>
          <a:ext cx="4501636" cy="1550487"/>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25</xdr:col>
      <xdr:colOff>166286</xdr:colOff>
      <xdr:row>42</xdr:row>
      <xdr:rowOff>208840</xdr:rowOff>
    </xdr:from>
    <xdr:to>
      <xdr:col>30</xdr:col>
      <xdr:colOff>58013</xdr:colOff>
      <xdr:row>44</xdr:row>
      <xdr:rowOff>70293</xdr:rowOff>
    </xdr:to>
    <xdr:sp macro="" textlink="">
      <xdr:nvSpPr>
        <xdr:cNvPr id="38" name="Rectangular Callout 20">
          <a:extLst>
            <a:ext uri="{FF2B5EF4-FFF2-40B4-BE49-F238E27FC236}">
              <a16:creationId xmlns:a16="http://schemas.microsoft.com/office/drawing/2014/main" id="{BA860C78-F58D-4172-8964-E58CF7F12731}"/>
            </a:ext>
          </a:extLst>
        </xdr:cNvPr>
        <xdr:cNvSpPr/>
      </xdr:nvSpPr>
      <xdr:spPr>
        <a:xfrm>
          <a:off x="11685933" y="9095105"/>
          <a:ext cx="7209168" cy="365717"/>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25</xdr:col>
      <xdr:colOff>166286</xdr:colOff>
      <xdr:row>52</xdr:row>
      <xdr:rowOff>66214</xdr:rowOff>
    </xdr:from>
    <xdr:to>
      <xdr:col>30</xdr:col>
      <xdr:colOff>58013</xdr:colOff>
      <xdr:row>53</xdr:row>
      <xdr:rowOff>180021</xdr:rowOff>
    </xdr:to>
    <xdr:sp macro="" textlink="">
      <xdr:nvSpPr>
        <xdr:cNvPr id="43" name="Rectangular Callout 24">
          <a:extLst>
            <a:ext uri="{FF2B5EF4-FFF2-40B4-BE49-F238E27FC236}">
              <a16:creationId xmlns:a16="http://schemas.microsoft.com/office/drawing/2014/main" id="{7BAF083B-29DE-415C-A044-2A1C6E5154A9}"/>
            </a:ext>
          </a:extLst>
        </xdr:cNvPr>
        <xdr:cNvSpPr/>
      </xdr:nvSpPr>
      <xdr:spPr>
        <a:xfrm>
          <a:off x="11685933" y="11104008"/>
          <a:ext cx="7209168" cy="304307"/>
        </a:xfrm>
        <a:prstGeom prst="wedgeRectCallout">
          <a:avLst>
            <a:gd name="adj1" fmla="val -59069"/>
            <a:gd name="adj2" fmla="val -954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et benzin- eller dieseldrevet motorkøretøj, der skal evalueres.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2" name="TextBox 1">
          <a:extLst>
            <a:ext uri="{FF2B5EF4-FFF2-40B4-BE49-F238E27FC236}">
              <a16:creationId xmlns:a16="http://schemas.microsoft.com/office/drawing/2014/main" id="{6705650D-B747-4889-A83A-68D18F92C056}"/>
            </a:ext>
          </a:extLst>
        </xdr:cNvPr>
        <xdr:cNvSpPr txBox="1"/>
      </xdr:nvSpPr>
      <xdr:spPr>
        <a:xfrm rot="20376796">
          <a:off x="6251241" y="470261"/>
          <a:ext cx="619586"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3" name="TextBox 2">
          <a:extLst>
            <a:ext uri="{FF2B5EF4-FFF2-40B4-BE49-F238E27FC236}">
              <a16:creationId xmlns:a16="http://schemas.microsoft.com/office/drawing/2014/main" id="{DAC6EBE7-FB99-4FBA-B3E1-F66EB1FBE887}"/>
            </a:ext>
          </a:extLst>
        </xdr:cNvPr>
        <xdr:cNvSpPr txBox="1"/>
      </xdr:nvSpPr>
      <xdr:spPr>
        <a:xfrm rot="20376796">
          <a:off x="723072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4" name="TextBox 3">
          <a:extLst>
            <a:ext uri="{FF2B5EF4-FFF2-40B4-BE49-F238E27FC236}">
              <a16:creationId xmlns:a16="http://schemas.microsoft.com/office/drawing/2014/main" id="{73C5FB61-1306-45F7-AB2C-7FC199575117}"/>
            </a:ext>
          </a:extLst>
        </xdr:cNvPr>
        <xdr:cNvSpPr txBox="1"/>
      </xdr:nvSpPr>
      <xdr:spPr>
        <a:xfrm rot="20376796">
          <a:off x="835150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xdr:col>
      <xdr:colOff>116452</xdr:colOff>
      <xdr:row>108</xdr:row>
      <xdr:rowOff>59528</xdr:rowOff>
    </xdr:from>
    <xdr:to>
      <xdr:col>3</xdr:col>
      <xdr:colOff>994833</xdr:colOff>
      <xdr:row>125</xdr:row>
      <xdr:rowOff>104241</xdr:rowOff>
    </xdr:to>
    <xdr:graphicFrame macro="">
      <xdr:nvGraphicFramePr>
        <xdr:cNvPr id="5" name="Chart 4">
          <a:extLst>
            <a:ext uri="{FF2B5EF4-FFF2-40B4-BE49-F238E27FC236}">
              <a16:creationId xmlns:a16="http://schemas.microsoft.com/office/drawing/2014/main" id="{10A81B12-113F-42B1-B07E-E1542C87B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198551</xdr:colOff>
      <xdr:row>109</xdr:row>
      <xdr:rowOff>31743</xdr:rowOff>
    </xdr:from>
    <xdr:to>
      <xdr:col>23</xdr:col>
      <xdr:colOff>204106</xdr:colOff>
      <xdr:row>127</xdr:row>
      <xdr:rowOff>37035</xdr:rowOff>
    </xdr:to>
    <xdr:graphicFrame macro="">
      <xdr:nvGraphicFramePr>
        <xdr:cNvPr id="6" name="Chart 5">
          <a:extLst>
            <a:ext uri="{FF2B5EF4-FFF2-40B4-BE49-F238E27FC236}">
              <a16:creationId xmlns:a16="http://schemas.microsoft.com/office/drawing/2014/main" id="{CD961AE2-8226-46E8-8DCD-17E84ECBF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7" name="TextBox 6">
          <a:extLst>
            <a:ext uri="{FF2B5EF4-FFF2-40B4-BE49-F238E27FC236}">
              <a16:creationId xmlns:a16="http://schemas.microsoft.com/office/drawing/2014/main" id="{69191CD7-48E5-461E-8330-7AD9CC8E300D}"/>
            </a:ext>
          </a:extLst>
        </xdr:cNvPr>
        <xdr:cNvSpPr txBox="1"/>
      </xdr:nvSpPr>
      <xdr:spPr>
        <a:xfrm rot="20376796">
          <a:off x="10010775" y="469467"/>
          <a:ext cx="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8" name="TextBox 7">
          <a:extLst>
            <a:ext uri="{FF2B5EF4-FFF2-40B4-BE49-F238E27FC236}">
              <a16:creationId xmlns:a16="http://schemas.microsoft.com/office/drawing/2014/main" id="{7A40727C-1EFE-449B-AC56-CBF2C88950B3}"/>
            </a:ext>
          </a:extLst>
        </xdr:cNvPr>
        <xdr:cNvSpPr txBox="1"/>
      </xdr:nvSpPr>
      <xdr:spPr>
        <a:xfrm rot="20376796">
          <a:off x="10970876"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9" name="TextBox 8">
          <a:extLst>
            <a:ext uri="{FF2B5EF4-FFF2-40B4-BE49-F238E27FC236}">
              <a16:creationId xmlns:a16="http://schemas.microsoft.com/office/drawing/2014/main" id="{A43BEE6D-07B8-45DF-84E5-48E4E2B652CF}"/>
            </a:ext>
          </a:extLst>
        </xdr:cNvPr>
        <xdr:cNvSpPr txBox="1"/>
      </xdr:nvSpPr>
      <xdr:spPr>
        <a:xfrm rot="20376796">
          <a:off x="124694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10" name="TextBox 9">
          <a:extLst>
            <a:ext uri="{FF2B5EF4-FFF2-40B4-BE49-F238E27FC236}">
              <a16:creationId xmlns:a16="http://schemas.microsoft.com/office/drawing/2014/main" id="{E6B20DCB-BC57-4A49-8A74-84F368D2C7CF}"/>
            </a:ext>
          </a:extLst>
        </xdr:cNvPr>
        <xdr:cNvSpPr txBox="1"/>
      </xdr:nvSpPr>
      <xdr:spPr>
        <a:xfrm rot="20376796">
          <a:off x="135902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11" name="TextBox 10">
          <a:extLst>
            <a:ext uri="{FF2B5EF4-FFF2-40B4-BE49-F238E27FC236}">
              <a16:creationId xmlns:a16="http://schemas.microsoft.com/office/drawing/2014/main" id="{953BDEF1-4F1F-460F-8E70-3D723222C3F4}"/>
            </a:ext>
          </a:extLst>
        </xdr:cNvPr>
        <xdr:cNvSpPr txBox="1"/>
      </xdr:nvSpPr>
      <xdr:spPr>
        <a:xfrm rot="20376796">
          <a:off x="152126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12" name="TextBox 11">
          <a:extLst>
            <a:ext uri="{FF2B5EF4-FFF2-40B4-BE49-F238E27FC236}">
              <a16:creationId xmlns:a16="http://schemas.microsoft.com/office/drawing/2014/main" id="{B2367078-0FEA-4923-8D13-912E468EED3A}"/>
            </a:ext>
          </a:extLst>
        </xdr:cNvPr>
        <xdr:cNvSpPr txBox="1"/>
      </xdr:nvSpPr>
      <xdr:spPr>
        <a:xfrm rot="20376796">
          <a:off x="163334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49212</xdr:colOff>
      <xdr:row>6</xdr:row>
      <xdr:rowOff>285750</xdr:rowOff>
    </xdr:from>
    <xdr:to>
      <xdr:col>30</xdr:col>
      <xdr:colOff>131439</xdr:colOff>
      <xdr:row>8</xdr:row>
      <xdr:rowOff>0</xdr:rowOff>
    </xdr:to>
    <xdr:sp macro="" textlink="">
      <xdr:nvSpPr>
        <xdr:cNvPr id="13" name="Rectangular Callout 32">
          <a:extLst>
            <a:ext uri="{FF2B5EF4-FFF2-40B4-BE49-F238E27FC236}">
              <a16:creationId xmlns:a16="http://schemas.microsoft.com/office/drawing/2014/main" id="{55E5B40F-E812-43C8-BEC6-668D87D2FBF8}"/>
            </a:ext>
          </a:extLst>
        </xdr:cNvPr>
        <xdr:cNvSpPr/>
      </xdr:nvSpPr>
      <xdr:spPr>
        <a:xfrm>
          <a:off x="10855757" y="1982932"/>
          <a:ext cx="8672046" cy="216477"/>
        </a:xfrm>
        <a:prstGeom prst="wedgeRectCallout">
          <a:avLst>
            <a:gd name="adj1" fmla="val -60898"/>
            <a:gd name="adj2" fmla="val -89997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xdr:col>
      <xdr:colOff>95251</xdr:colOff>
      <xdr:row>126</xdr:row>
      <xdr:rowOff>6348</xdr:rowOff>
    </xdr:from>
    <xdr:to>
      <xdr:col>3</xdr:col>
      <xdr:colOff>56030</xdr:colOff>
      <xdr:row>143</xdr:row>
      <xdr:rowOff>1694089</xdr:rowOff>
    </xdr:to>
    <xdr:graphicFrame macro="">
      <xdr:nvGraphicFramePr>
        <xdr:cNvPr id="16" name="Chart 15">
          <a:extLst>
            <a:ext uri="{FF2B5EF4-FFF2-40B4-BE49-F238E27FC236}">
              <a16:creationId xmlns:a16="http://schemas.microsoft.com/office/drawing/2014/main" id="{AB18483A-07A9-4814-A9FE-AD8D57408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49212</xdr:colOff>
      <xdr:row>107</xdr:row>
      <xdr:rowOff>16566</xdr:rowOff>
    </xdr:from>
    <xdr:to>
      <xdr:col>30</xdr:col>
      <xdr:colOff>131439</xdr:colOff>
      <xdr:row>108</xdr:row>
      <xdr:rowOff>104124</xdr:rowOff>
    </xdr:to>
    <xdr:sp macro="" textlink="">
      <xdr:nvSpPr>
        <xdr:cNvPr id="17" name="Rectangular Callout 45">
          <a:extLst>
            <a:ext uri="{FF2B5EF4-FFF2-40B4-BE49-F238E27FC236}">
              <a16:creationId xmlns:a16="http://schemas.microsoft.com/office/drawing/2014/main" id="{3FA552AA-8066-411A-A02A-374B2659F9D8}"/>
            </a:ext>
          </a:extLst>
        </xdr:cNvPr>
        <xdr:cNvSpPr/>
      </xdr:nvSpPr>
      <xdr:spPr>
        <a:xfrm>
          <a:off x="12515722" y="21745398"/>
          <a:ext cx="9202561" cy="276875"/>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a:t>
          </a:r>
        </a:p>
      </xdr:txBody>
    </xdr:sp>
    <xdr:clientData/>
  </xdr:twoCellAnchor>
  <xdr:twoCellAnchor>
    <xdr:from>
      <xdr:col>26</xdr:col>
      <xdr:colOff>49212</xdr:colOff>
      <xdr:row>109</xdr:row>
      <xdr:rowOff>181996</xdr:rowOff>
    </xdr:from>
    <xdr:to>
      <xdr:col>30</xdr:col>
      <xdr:colOff>131439</xdr:colOff>
      <xdr:row>112</xdr:row>
      <xdr:rowOff>27214</xdr:rowOff>
    </xdr:to>
    <xdr:sp macro="" textlink="">
      <xdr:nvSpPr>
        <xdr:cNvPr id="18" name="Rectangular Callout 45">
          <a:extLst>
            <a:ext uri="{FF2B5EF4-FFF2-40B4-BE49-F238E27FC236}">
              <a16:creationId xmlns:a16="http://schemas.microsoft.com/office/drawing/2014/main" id="{310016EC-7083-4866-B2DA-EC673694AA05}"/>
            </a:ext>
          </a:extLst>
        </xdr:cNvPr>
        <xdr:cNvSpPr/>
      </xdr:nvSpPr>
      <xdr:spPr>
        <a:xfrm>
          <a:off x="11981439" y="22228041"/>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14575</xdr:colOff>
      <xdr:row>124</xdr:row>
      <xdr:rowOff>124012</xdr:rowOff>
    </xdr:from>
    <xdr:to>
      <xdr:col>30</xdr:col>
      <xdr:colOff>96802</xdr:colOff>
      <xdr:row>126</xdr:row>
      <xdr:rowOff>151454</xdr:rowOff>
    </xdr:to>
    <xdr:sp macro="" textlink="">
      <xdr:nvSpPr>
        <xdr:cNvPr id="19" name="Rectangular Callout 45">
          <a:extLst>
            <a:ext uri="{FF2B5EF4-FFF2-40B4-BE49-F238E27FC236}">
              <a16:creationId xmlns:a16="http://schemas.microsoft.com/office/drawing/2014/main" id="{EC489C1C-1BB2-49C3-A1E6-673A7D34F639}"/>
            </a:ext>
          </a:extLst>
        </xdr:cNvPr>
        <xdr:cNvSpPr/>
      </xdr:nvSpPr>
      <xdr:spPr>
        <a:xfrm>
          <a:off x="12481085" y="25071229"/>
          <a:ext cx="9202561" cy="406076"/>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49212</xdr:colOff>
      <xdr:row>31</xdr:row>
      <xdr:rowOff>129102</xdr:rowOff>
    </xdr:from>
    <xdr:to>
      <xdr:col>30</xdr:col>
      <xdr:colOff>131439</xdr:colOff>
      <xdr:row>33</xdr:row>
      <xdr:rowOff>63185</xdr:rowOff>
    </xdr:to>
    <xdr:sp macro="" textlink="">
      <xdr:nvSpPr>
        <xdr:cNvPr id="20" name="Rectangular Callout 20">
          <a:extLst>
            <a:ext uri="{FF2B5EF4-FFF2-40B4-BE49-F238E27FC236}">
              <a16:creationId xmlns:a16="http://schemas.microsoft.com/office/drawing/2014/main" id="{3D81F755-A26C-4379-BE77-26A5187D8DAA}"/>
            </a:ext>
          </a:extLst>
        </xdr:cNvPr>
        <xdr:cNvSpPr/>
      </xdr:nvSpPr>
      <xdr:spPr>
        <a:xfrm>
          <a:off x="11969069" y="6837423"/>
          <a:ext cx="8681941" cy="437548"/>
        </a:xfrm>
        <a:prstGeom prst="wedgeRectCallout">
          <a:avLst>
            <a:gd name="adj1" fmla="val -60267"/>
            <a:gd name="adj2" fmla="val 3507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49212</xdr:colOff>
      <xdr:row>34</xdr:row>
      <xdr:rowOff>95746</xdr:rowOff>
    </xdr:from>
    <xdr:to>
      <xdr:col>30</xdr:col>
      <xdr:colOff>131439</xdr:colOff>
      <xdr:row>37</xdr:row>
      <xdr:rowOff>83198</xdr:rowOff>
    </xdr:to>
    <xdr:sp macro="" textlink="">
      <xdr:nvSpPr>
        <xdr:cNvPr id="21" name="Rectangular Callout 20">
          <a:extLst>
            <a:ext uri="{FF2B5EF4-FFF2-40B4-BE49-F238E27FC236}">
              <a16:creationId xmlns:a16="http://schemas.microsoft.com/office/drawing/2014/main" id="{724E41CB-9CEC-4298-A0E0-D249FCB122CB}"/>
            </a:ext>
          </a:extLst>
        </xdr:cNvPr>
        <xdr:cNvSpPr/>
      </xdr:nvSpPr>
      <xdr:spPr>
        <a:xfrm>
          <a:off x="11969069" y="7498032"/>
          <a:ext cx="8681941" cy="558952"/>
        </a:xfrm>
        <a:prstGeom prst="wedgeRectCallout">
          <a:avLst>
            <a:gd name="adj1" fmla="val -60600"/>
            <a:gd name="adj2" fmla="val 21294"/>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elproduktionen, fx hvis organisationen har en el-leveringsaftale med lave CO2-emissioner. Standard-emissionsfaktoren er fastlagt efter Energistyrelsens rapport, 'Samfundsøkonomiske beregningsforudsætninger for energipriser og emissioner, oktober 2019' inkl. fremskrivningen heraf. Hvis egen emissionsfaktor angives, bruges den samme for hvert år i evalueringsperioden. </a:t>
          </a:r>
          <a:endParaRPr lang="da-DK" sz="800">
            <a:solidFill>
              <a:schemeClr val="tx1">
                <a:lumMod val="65000"/>
                <a:lumOff val="35000"/>
              </a:schemeClr>
            </a:solidFill>
            <a:latin typeface="Arial"/>
            <a:cs typeface="Arial"/>
          </a:endParaRPr>
        </a:p>
      </xdr:txBody>
    </xdr:sp>
    <xdr:clientData/>
  </xdr:twoCellAnchor>
  <xdr:twoCellAnchor>
    <xdr:from>
      <xdr:col>26</xdr:col>
      <xdr:colOff>35605</xdr:colOff>
      <xdr:row>44</xdr:row>
      <xdr:rowOff>149077</xdr:rowOff>
    </xdr:from>
    <xdr:to>
      <xdr:col>30</xdr:col>
      <xdr:colOff>117832</xdr:colOff>
      <xdr:row>48</xdr:row>
      <xdr:rowOff>165653</xdr:rowOff>
    </xdr:to>
    <xdr:sp macro="" textlink="">
      <xdr:nvSpPr>
        <xdr:cNvPr id="22" name="Rectangular Callout 20">
          <a:extLst>
            <a:ext uri="{FF2B5EF4-FFF2-40B4-BE49-F238E27FC236}">
              <a16:creationId xmlns:a16="http://schemas.microsoft.com/office/drawing/2014/main" id="{9DE16A53-41BE-403D-874D-AD7DE465A13C}"/>
            </a:ext>
          </a:extLst>
        </xdr:cNvPr>
        <xdr:cNvSpPr/>
      </xdr:nvSpPr>
      <xdr:spPr>
        <a:xfrm>
          <a:off x="11772062" y="9467012"/>
          <a:ext cx="8687857" cy="778576"/>
        </a:xfrm>
        <a:prstGeom prst="wedgeRectCallout">
          <a:avLst>
            <a:gd name="adj1" fmla="val -60040"/>
            <a:gd name="adj2" fmla="val -25359"/>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49212</xdr:colOff>
      <xdr:row>38</xdr:row>
      <xdr:rowOff>85786</xdr:rowOff>
    </xdr:from>
    <xdr:to>
      <xdr:col>30</xdr:col>
      <xdr:colOff>131439</xdr:colOff>
      <xdr:row>43</xdr:row>
      <xdr:rowOff>81644</xdr:rowOff>
    </xdr:to>
    <xdr:sp macro="" textlink="">
      <xdr:nvSpPr>
        <xdr:cNvPr id="23" name="Rectangular Callout 20">
          <a:extLst>
            <a:ext uri="{FF2B5EF4-FFF2-40B4-BE49-F238E27FC236}">
              <a16:creationId xmlns:a16="http://schemas.microsoft.com/office/drawing/2014/main" id="{8AFB9746-D10B-4F69-A3BF-0FCD84E087CF}"/>
            </a:ext>
          </a:extLst>
        </xdr:cNvPr>
        <xdr:cNvSpPr/>
      </xdr:nvSpPr>
      <xdr:spPr>
        <a:xfrm>
          <a:off x="11969069" y="8250072"/>
          <a:ext cx="8681941" cy="948358"/>
        </a:xfrm>
        <a:prstGeom prst="wedgeRectCallout">
          <a:avLst>
            <a:gd name="adj1" fmla="val -60284"/>
            <a:gd name="adj2" fmla="val -10963"/>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49212</xdr:colOff>
      <xdr:row>70</xdr:row>
      <xdr:rowOff>0</xdr:rowOff>
    </xdr:from>
    <xdr:to>
      <xdr:col>30</xdr:col>
      <xdr:colOff>131439</xdr:colOff>
      <xdr:row>75</xdr:row>
      <xdr:rowOff>122465</xdr:rowOff>
    </xdr:to>
    <xdr:sp macro="" textlink="">
      <xdr:nvSpPr>
        <xdr:cNvPr id="24" name="Rectangular Callout 17">
          <a:extLst>
            <a:ext uri="{FF2B5EF4-FFF2-40B4-BE49-F238E27FC236}">
              <a16:creationId xmlns:a16="http://schemas.microsoft.com/office/drawing/2014/main" id="{BF31F01A-1457-471D-8E35-80194E921A5C}"/>
            </a:ext>
          </a:extLst>
        </xdr:cNvPr>
        <xdr:cNvSpPr/>
      </xdr:nvSpPr>
      <xdr:spPr>
        <a:xfrm>
          <a:off x="11969069" y="14654893"/>
          <a:ext cx="8681941" cy="1074965"/>
        </a:xfrm>
        <a:prstGeom prst="wedgeRectCallout">
          <a:avLst>
            <a:gd name="adj1" fmla="val -59478"/>
            <a:gd name="adj2" fmla="val -213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Standard-elprisen er sat ud fra 1. år for brugsperioden, Energistyrelsens 'Samfundsøkonomiske beregningsforudsætninger for energipriser og emissioner, oktober 2019' og fastsættelse af tariffer og afgifter fra Energistyrelsens hjemmeside, www.ens.dk. I 2021 er elprisen sat til 1,85 kr./kWh ekskl. moms. Der er muligt at bruge egen elpris og elprisstigning ved at vælge 'Nej' til anvendelse af standardelpriser med gennemsnitlig fremskrivning. </a:t>
          </a:r>
        </a:p>
        <a:p>
          <a:endParaRPr lang="da-DK" sz="800">
            <a:solidFill>
              <a:schemeClr val="tx1">
                <a:lumMod val="65000"/>
                <a:lumOff val="35000"/>
              </a:schemeClr>
            </a:solidFill>
            <a:latin typeface="Arial"/>
            <a:ea typeface="+mn-ea"/>
            <a:cs typeface="Arial"/>
          </a:endParaRPr>
        </a:p>
        <a:p>
          <a:pPr marL="0" marR="0" lvl="0" indent="0" defTabSz="914400" eaLnBrk="1" fontAlgn="auto" latinLnBrk="0" hangingPunct="1">
            <a:lnSpc>
              <a:spcPct val="100000"/>
            </a:lnSpc>
            <a:spcBef>
              <a:spcPts val="0"/>
            </a:spcBef>
            <a:spcAft>
              <a:spcPts val="0"/>
            </a:spcAft>
            <a:buClrTx/>
            <a:buSzTx/>
            <a:buFontTx/>
            <a:buNone/>
            <a:tabLst/>
            <a:defRPr/>
          </a:pPr>
          <a:r>
            <a:rPr lang="da-DK" sz="800">
              <a:solidFill>
                <a:schemeClr val="tx1">
                  <a:lumMod val="65000"/>
                  <a:lumOff val="35000"/>
                </a:schemeClr>
              </a:solidFill>
              <a:latin typeface="Arial"/>
              <a:ea typeface="+mn-ea"/>
              <a:cs typeface="Arial"/>
            </a:rPr>
            <a:t>Elprisen fremskrives over TCO-evalueringsperioden med den gennemsnitlige årlige elprisstigning fra Energistyrelsen, 1,67 %, ud fra Energistyrelsens 'Samfundsøkonomiske beregningsforudsætninger for energipriser og emissioner, oktober 2019'. Elprisstigningen kan ændres, hvis det ønskes.</a:t>
          </a:r>
          <a:endParaRPr lang="en-DK" sz="800">
            <a:solidFill>
              <a:schemeClr val="tx1">
                <a:lumMod val="65000"/>
                <a:lumOff val="35000"/>
              </a:schemeClr>
            </a:solidFill>
            <a:latin typeface="Arial"/>
            <a:ea typeface="+mn-ea"/>
            <a:cs typeface="Arial"/>
          </a:endParaRPr>
        </a:p>
        <a:p>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49212</xdr:colOff>
      <xdr:row>76</xdr:row>
      <xdr:rowOff>86591</xdr:rowOff>
    </xdr:from>
    <xdr:to>
      <xdr:col>30</xdr:col>
      <xdr:colOff>131439</xdr:colOff>
      <xdr:row>82</xdr:row>
      <xdr:rowOff>40821</xdr:rowOff>
    </xdr:to>
    <xdr:sp macro="" textlink="">
      <xdr:nvSpPr>
        <xdr:cNvPr id="25" name="Rectangular Callout 17">
          <a:extLst>
            <a:ext uri="{FF2B5EF4-FFF2-40B4-BE49-F238E27FC236}">
              <a16:creationId xmlns:a16="http://schemas.microsoft.com/office/drawing/2014/main" id="{281D2F47-C2FE-4D47-97FC-DFE22ECE6C2C}"/>
            </a:ext>
          </a:extLst>
        </xdr:cNvPr>
        <xdr:cNvSpPr/>
      </xdr:nvSpPr>
      <xdr:spPr>
        <a:xfrm>
          <a:off x="11981439" y="15724909"/>
          <a:ext cx="8672045" cy="1097230"/>
        </a:xfrm>
        <a:prstGeom prst="wedgeRectCallout">
          <a:avLst>
            <a:gd name="adj1" fmla="val -57328"/>
            <a:gd name="adj2" fmla="val -1010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xdr:col>
      <xdr:colOff>4681658</xdr:colOff>
      <xdr:row>127</xdr:row>
      <xdr:rowOff>54428</xdr:rowOff>
    </xdr:from>
    <xdr:to>
      <xdr:col>23</xdr:col>
      <xdr:colOff>20011</xdr:colOff>
      <xdr:row>143</xdr:row>
      <xdr:rowOff>1251857</xdr:rowOff>
    </xdr:to>
    <xdr:graphicFrame macro="">
      <xdr:nvGraphicFramePr>
        <xdr:cNvPr id="26" name="Chart 25">
          <a:extLst>
            <a:ext uri="{FF2B5EF4-FFF2-40B4-BE49-F238E27FC236}">
              <a16:creationId xmlns:a16="http://schemas.microsoft.com/office/drawing/2014/main" id="{D9052237-37A3-4983-975E-510B76204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49212</xdr:colOff>
      <xdr:row>59</xdr:row>
      <xdr:rowOff>64322</xdr:rowOff>
    </xdr:from>
    <xdr:to>
      <xdr:col>30</xdr:col>
      <xdr:colOff>131439</xdr:colOff>
      <xdr:row>61</xdr:row>
      <xdr:rowOff>121228</xdr:rowOff>
    </xdr:to>
    <xdr:sp macro="" textlink="">
      <xdr:nvSpPr>
        <xdr:cNvPr id="28" name="Rectangular Callout 21">
          <a:extLst>
            <a:ext uri="{FF2B5EF4-FFF2-40B4-BE49-F238E27FC236}">
              <a16:creationId xmlns:a16="http://schemas.microsoft.com/office/drawing/2014/main" id="{C9976905-AE6F-403F-BA4D-54108C32C298}"/>
            </a:ext>
          </a:extLst>
        </xdr:cNvPr>
        <xdr:cNvSpPr/>
      </xdr:nvSpPr>
      <xdr:spPr>
        <a:xfrm>
          <a:off x="11981439" y="12464140"/>
          <a:ext cx="8672045" cy="437906"/>
        </a:xfrm>
        <a:prstGeom prst="wedgeRectCallout">
          <a:avLst>
            <a:gd name="adj1" fmla="val -58201"/>
            <a:gd name="adj2" fmla="val 23367"/>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49212</xdr:colOff>
      <xdr:row>91</xdr:row>
      <xdr:rowOff>169252</xdr:rowOff>
    </xdr:from>
    <xdr:to>
      <xdr:col>30</xdr:col>
      <xdr:colOff>131439</xdr:colOff>
      <xdr:row>93</xdr:row>
      <xdr:rowOff>124558</xdr:rowOff>
    </xdr:to>
    <xdr:sp macro="" textlink="">
      <xdr:nvSpPr>
        <xdr:cNvPr id="29" name="Rectangular Callout 24">
          <a:extLst>
            <a:ext uri="{FF2B5EF4-FFF2-40B4-BE49-F238E27FC236}">
              <a16:creationId xmlns:a16="http://schemas.microsoft.com/office/drawing/2014/main" id="{D3EBF332-2F86-4FED-A328-FFB9FBA6D778}"/>
            </a:ext>
          </a:extLst>
        </xdr:cNvPr>
        <xdr:cNvSpPr/>
      </xdr:nvSpPr>
      <xdr:spPr>
        <a:xfrm>
          <a:off x="11981439" y="18665070"/>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49212</xdr:colOff>
      <xdr:row>89</xdr:row>
      <xdr:rowOff>166321</xdr:rowOff>
    </xdr:from>
    <xdr:to>
      <xdr:col>30</xdr:col>
      <xdr:colOff>131439</xdr:colOff>
      <xdr:row>91</xdr:row>
      <xdr:rowOff>121627</xdr:rowOff>
    </xdr:to>
    <xdr:sp macro="" textlink="">
      <xdr:nvSpPr>
        <xdr:cNvPr id="30" name="Rectangular Callout 24">
          <a:extLst>
            <a:ext uri="{FF2B5EF4-FFF2-40B4-BE49-F238E27FC236}">
              <a16:creationId xmlns:a16="http://schemas.microsoft.com/office/drawing/2014/main" id="{8BC97D1A-3F14-48FD-8B51-20AC6050168E}"/>
            </a:ext>
          </a:extLst>
        </xdr:cNvPr>
        <xdr:cNvSpPr/>
      </xdr:nvSpPr>
      <xdr:spPr>
        <a:xfrm>
          <a:off x="11981439" y="18281139"/>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49212</xdr:colOff>
      <xdr:row>83</xdr:row>
      <xdr:rowOff>86590</xdr:rowOff>
    </xdr:from>
    <xdr:to>
      <xdr:col>30</xdr:col>
      <xdr:colOff>131439</xdr:colOff>
      <xdr:row>88</xdr:row>
      <xdr:rowOff>173181</xdr:rowOff>
    </xdr:to>
    <xdr:sp macro="" textlink="">
      <xdr:nvSpPr>
        <xdr:cNvPr id="31" name="Rectangular Callout 17">
          <a:extLst>
            <a:ext uri="{FF2B5EF4-FFF2-40B4-BE49-F238E27FC236}">
              <a16:creationId xmlns:a16="http://schemas.microsoft.com/office/drawing/2014/main" id="{3E2BF8E0-E152-4576-8C93-B28F5C679006}"/>
            </a:ext>
          </a:extLst>
        </xdr:cNvPr>
        <xdr:cNvSpPr/>
      </xdr:nvSpPr>
      <xdr:spPr>
        <a:xfrm>
          <a:off x="11981439" y="17058408"/>
          <a:ext cx="8672045" cy="1039091"/>
        </a:xfrm>
        <a:prstGeom prst="wedgeRectCallout">
          <a:avLst>
            <a:gd name="adj1" fmla="val -57927"/>
            <a:gd name="adj2" fmla="val -23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49212</xdr:colOff>
      <xdr:row>22</xdr:row>
      <xdr:rowOff>37877</xdr:rowOff>
    </xdr:from>
    <xdr:to>
      <xdr:col>30</xdr:col>
      <xdr:colOff>131439</xdr:colOff>
      <xdr:row>24</xdr:row>
      <xdr:rowOff>112059</xdr:rowOff>
    </xdr:to>
    <xdr:sp macro="" textlink="">
      <xdr:nvSpPr>
        <xdr:cNvPr id="32" name="Rectangular Callout 16">
          <a:extLst>
            <a:ext uri="{FF2B5EF4-FFF2-40B4-BE49-F238E27FC236}">
              <a16:creationId xmlns:a16="http://schemas.microsoft.com/office/drawing/2014/main" id="{C0CD134C-38B4-4CD4-A203-AABF654BCB9E}"/>
            </a:ext>
          </a:extLst>
        </xdr:cNvPr>
        <xdr:cNvSpPr/>
      </xdr:nvSpPr>
      <xdr:spPr>
        <a:xfrm>
          <a:off x="11981439" y="4904286"/>
          <a:ext cx="7200000" cy="455182"/>
        </a:xfrm>
        <a:prstGeom prst="wedgeRectCallout">
          <a:avLst>
            <a:gd name="adj1" fmla="val -59661"/>
            <a:gd name="adj2" fmla="val 833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indtastes en bindende tilbagekøbspris efter endt brugsperiode i overensstemmelse med specifikationerne (antal år og antal kørte kilometer) angivet i kravspecifikationen. </a:t>
          </a:r>
        </a:p>
      </xdr:txBody>
    </xdr:sp>
    <xdr:clientData/>
  </xdr:twoCellAnchor>
  <xdr:twoCellAnchor>
    <xdr:from>
      <xdr:col>26</xdr:col>
      <xdr:colOff>49212</xdr:colOff>
      <xdr:row>9</xdr:row>
      <xdr:rowOff>0</xdr:rowOff>
    </xdr:from>
    <xdr:to>
      <xdr:col>30</xdr:col>
      <xdr:colOff>131439</xdr:colOff>
      <xdr:row>10</xdr:row>
      <xdr:rowOff>39343</xdr:rowOff>
    </xdr:to>
    <xdr:sp macro="" textlink="">
      <xdr:nvSpPr>
        <xdr:cNvPr id="34" name="Rectangular Callout 15">
          <a:extLst>
            <a:ext uri="{FF2B5EF4-FFF2-40B4-BE49-F238E27FC236}">
              <a16:creationId xmlns:a16="http://schemas.microsoft.com/office/drawing/2014/main" id="{AF760A2A-3F71-4A96-9A95-F2C1C65EDB1D}"/>
            </a:ext>
          </a:extLst>
        </xdr:cNvPr>
        <xdr:cNvSpPr/>
      </xdr:nvSpPr>
      <xdr:spPr>
        <a:xfrm>
          <a:off x="11981439" y="2389909"/>
          <a:ext cx="7200000" cy="229843"/>
        </a:xfrm>
        <a:prstGeom prst="wedgeRectCallout">
          <a:avLst>
            <a:gd name="adj1" fmla="val -60909"/>
            <a:gd name="adj2" fmla="val 113001"/>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a:t>
          </a: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anskaffes ved finansiel leasing, sættes investeringsomkostningen til nul med </a:t>
          </a:r>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mindre der indgår en førstegangsydelse. </a:t>
          </a:r>
        </a:p>
      </xdr:txBody>
    </xdr:sp>
    <xdr:clientData/>
  </xdr:twoCellAnchor>
  <xdr:twoCellAnchor>
    <xdr:from>
      <xdr:col>26</xdr:col>
      <xdr:colOff>49212</xdr:colOff>
      <xdr:row>10</xdr:row>
      <xdr:rowOff>85501</xdr:rowOff>
    </xdr:from>
    <xdr:to>
      <xdr:col>30</xdr:col>
      <xdr:colOff>131439</xdr:colOff>
      <xdr:row>11</xdr:row>
      <xdr:rowOff>161702</xdr:rowOff>
    </xdr:to>
    <xdr:sp macro="" textlink="">
      <xdr:nvSpPr>
        <xdr:cNvPr id="35" name="Rectangular Callout 15">
          <a:extLst>
            <a:ext uri="{FF2B5EF4-FFF2-40B4-BE49-F238E27FC236}">
              <a16:creationId xmlns:a16="http://schemas.microsoft.com/office/drawing/2014/main" id="{6CF36D4B-B4A2-4CBF-B2CC-CBBC04E28BDF}"/>
            </a:ext>
          </a:extLst>
        </xdr:cNvPr>
        <xdr:cNvSpPr/>
      </xdr:nvSpPr>
      <xdr:spPr>
        <a:xfrm>
          <a:off x="11981439" y="2665910"/>
          <a:ext cx="7200000" cy="266701"/>
        </a:xfrm>
        <a:prstGeom prst="wedgeRectCallout">
          <a:avLst>
            <a:gd name="adj1" fmla="val -61113"/>
            <a:gd name="adj2" fmla="val 83034"/>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Garantiperioden skal være ens for alle køretøjer, der sammenlignes. </a:t>
          </a:r>
        </a:p>
      </xdr:txBody>
    </xdr:sp>
    <xdr:clientData/>
  </xdr:twoCellAnchor>
  <xdr:twoCellAnchor>
    <xdr:from>
      <xdr:col>26</xdr:col>
      <xdr:colOff>49212</xdr:colOff>
      <xdr:row>20</xdr:row>
      <xdr:rowOff>4907</xdr:rowOff>
    </xdr:from>
    <xdr:to>
      <xdr:col>30</xdr:col>
      <xdr:colOff>131439</xdr:colOff>
      <xdr:row>21</xdr:row>
      <xdr:rowOff>171227</xdr:rowOff>
    </xdr:to>
    <xdr:sp macro="" textlink="">
      <xdr:nvSpPr>
        <xdr:cNvPr id="36" name="Rectangular Callout 16">
          <a:extLst>
            <a:ext uri="{FF2B5EF4-FFF2-40B4-BE49-F238E27FC236}">
              <a16:creationId xmlns:a16="http://schemas.microsoft.com/office/drawing/2014/main" id="{B948E7BD-4FA1-42DA-92A9-095466479E77}"/>
            </a:ext>
          </a:extLst>
        </xdr:cNvPr>
        <xdr:cNvSpPr/>
      </xdr:nvSpPr>
      <xdr:spPr>
        <a:xfrm>
          <a:off x="11981439" y="4490316"/>
          <a:ext cx="7200000" cy="356820"/>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49212</xdr:colOff>
      <xdr:row>15</xdr:row>
      <xdr:rowOff>29304</xdr:rowOff>
    </xdr:from>
    <xdr:to>
      <xdr:col>30</xdr:col>
      <xdr:colOff>131439</xdr:colOff>
      <xdr:row>18</xdr:row>
      <xdr:rowOff>44690</xdr:rowOff>
    </xdr:to>
    <xdr:sp macro="" textlink="">
      <xdr:nvSpPr>
        <xdr:cNvPr id="37" name="Rectangular Callout 16">
          <a:extLst>
            <a:ext uri="{FF2B5EF4-FFF2-40B4-BE49-F238E27FC236}">
              <a16:creationId xmlns:a16="http://schemas.microsoft.com/office/drawing/2014/main" id="{12F682DE-CD32-4517-88B7-B938A8A608AA}"/>
            </a:ext>
          </a:extLst>
        </xdr:cNvPr>
        <xdr:cNvSpPr/>
      </xdr:nvSpPr>
      <xdr:spPr>
        <a:xfrm>
          <a:off x="12515722" y="3560061"/>
          <a:ext cx="9202561" cy="583337"/>
        </a:xfrm>
        <a:prstGeom prst="wedgeRectCallout">
          <a:avLst>
            <a:gd name="adj1" fmla="val -61192"/>
            <a:gd name="adj2" fmla="val 5687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xdr:from>
      <xdr:col>26</xdr:col>
      <xdr:colOff>49212</xdr:colOff>
      <xdr:row>18</xdr:row>
      <xdr:rowOff>87700</xdr:rowOff>
    </xdr:from>
    <xdr:to>
      <xdr:col>30</xdr:col>
      <xdr:colOff>131439</xdr:colOff>
      <xdr:row>19</xdr:row>
      <xdr:rowOff>138256</xdr:rowOff>
    </xdr:to>
    <xdr:sp macro="" textlink="">
      <xdr:nvSpPr>
        <xdr:cNvPr id="38" name="Rectangular Callout 16">
          <a:extLst>
            <a:ext uri="{FF2B5EF4-FFF2-40B4-BE49-F238E27FC236}">
              <a16:creationId xmlns:a16="http://schemas.microsoft.com/office/drawing/2014/main" id="{9D64A99E-E28A-4822-B2DC-C7DBF32DADFF}"/>
            </a:ext>
          </a:extLst>
        </xdr:cNvPr>
        <xdr:cNvSpPr/>
      </xdr:nvSpPr>
      <xdr:spPr>
        <a:xfrm>
          <a:off x="11981439" y="4192109"/>
          <a:ext cx="7200000" cy="241056"/>
        </a:xfrm>
        <a:prstGeom prst="wedgeRectCallout">
          <a:avLst>
            <a:gd name="adj1" fmla="val -60513"/>
            <a:gd name="adj2" fmla="val -145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køretøjet ikke anskaffes ved finansiel leasing sættes denne værdi til nul.</a:t>
          </a:r>
        </a:p>
      </xdr:txBody>
    </xdr:sp>
    <xdr:clientData/>
  </xdr:twoCellAnchor>
  <xdr:twoCellAnchor>
    <xdr:from>
      <xdr:col>26</xdr:col>
      <xdr:colOff>49212</xdr:colOff>
      <xdr:row>26</xdr:row>
      <xdr:rowOff>0</xdr:rowOff>
    </xdr:from>
    <xdr:to>
      <xdr:col>30</xdr:col>
      <xdr:colOff>131439</xdr:colOff>
      <xdr:row>28</xdr:row>
      <xdr:rowOff>186837</xdr:rowOff>
    </xdr:to>
    <xdr:sp macro="" textlink="">
      <xdr:nvSpPr>
        <xdr:cNvPr id="39" name="Rectangular Callout 15">
          <a:extLst>
            <a:ext uri="{FF2B5EF4-FFF2-40B4-BE49-F238E27FC236}">
              <a16:creationId xmlns:a16="http://schemas.microsoft.com/office/drawing/2014/main" id="{F698C6A2-79EB-4259-8183-36EF6E346546}"/>
            </a:ext>
          </a:extLst>
        </xdr:cNvPr>
        <xdr:cNvSpPr/>
      </xdr:nvSpPr>
      <xdr:spPr>
        <a:xfrm>
          <a:off x="11981439" y="5749636"/>
          <a:ext cx="7200000" cy="567837"/>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49212</xdr:colOff>
      <xdr:row>12</xdr:row>
      <xdr:rowOff>0</xdr:rowOff>
    </xdr:from>
    <xdr:to>
      <xdr:col>30</xdr:col>
      <xdr:colOff>131439</xdr:colOff>
      <xdr:row>15</xdr:row>
      <xdr:rowOff>0</xdr:rowOff>
    </xdr:to>
    <xdr:sp macro="" textlink="">
      <xdr:nvSpPr>
        <xdr:cNvPr id="40" name="Rectangular Callout 15">
          <a:extLst>
            <a:ext uri="{FF2B5EF4-FFF2-40B4-BE49-F238E27FC236}">
              <a16:creationId xmlns:a16="http://schemas.microsoft.com/office/drawing/2014/main" id="{E50A6896-7133-4174-BD31-B97A904A1FF0}"/>
            </a:ext>
          </a:extLst>
        </xdr:cNvPr>
        <xdr:cNvSpPr/>
      </xdr:nvSpPr>
      <xdr:spPr>
        <a:xfrm>
          <a:off x="11981439" y="2961409"/>
          <a:ext cx="7200000" cy="571500"/>
        </a:xfrm>
        <a:prstGeom prst="wedgeRectCallout">
          <a:avLst>
            <a:gd name="adj1" fmla="val -60834"/>
            <a:gd name="adj2" fmla="val 41739"/>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Elforbruget for lette køretøjer (for både el og plugin hybrid) måles efter metoderne i WLTP ("Worldwide Harmonized Light Vehicle Test Procedure") som angivet i Kommisionens Forordning 2017/1151 af 1. juni 2017 om supplerende regler til typegodkendelse af motorkøretøjer (se COC-dokumentet). For tunge køretøjer måles efter metoderne i VECTO ("Vehicle Energy Consumption calculation Tool") (https://ec.europa.eu/clima/policies/transport/vehicles/vecto_en).  </a:t>
          </a:r>
        </a:p>
      </xdr:txBody>
    </xdr:sp>
    <xdr:clientData/>
  </xdr:twoCellAnchor>
  <xdr:twoCellAnchor>
    <xdr:from>
      <xdr:col>26</xdr:col>
      <xdr:colOff>49212</xdr:colOff>
      <xdr:row>64</xdr:row>
      <xdr:rowOff>86590</xdr:rowOff>
    </xdr:from>
    <xdr:to>
      <xdr:col>30</xdr:col>
      <xdr:colOff>131439</xdr:colOff>
      <xdr:row>66</xdr:row>
      <xdr:rowOff>86590</xdr:rowOff>
    </xdr:to>
    <xdr:sp macro="" textlink="">
      <xdr:nvSpPr>
        <xdr:cNvPr id="41" name="Rectangular Callout 24">
          <a:extLst>
            <a:ext uri="{FF2B5EF4-FFF2-40B4-BE49-F238E27FC236}">
              <a16:creationId xmlns:a16="http://schemas.microsoft.com/office/drawing/2014/main" id="{D73365FB-46A3-475B-AACE-89EF245DAC8A}"/>
            </a:ext>
          </a:extLst>
        </xdr:cNvPr>
        <xdr:cNvSpPr/>
      </xdr:nvSpPr>
      <xdr:spPr>
        <a:xfrm>
          <a:off x="11981439" y="13438908"/>
          <a:ext cx="8672045" cy="381000"/>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Ifølge Energistyrelsen (2013) "Et velfungerende marked for opladning af elbiler" antages en ladestander at have en levetid på 10 år. Der kan indtastes en anden forventet levetid, hvis I har andre informationer.  </a:t>
          </a:r>
        </a:p>
      </xdr:txBody>
    </xdr:sp>
    <xdr:clientData/>
  </xdr:twoCellAnchor>
  <xdr:twoCellAnchor>
    <xdr:from>
      <xdr:col>26</xdr:col>
      <xdr:colOff>49212</xdr:colOff>
      <xdr:row>62</xdr:row>
      <xdr:rowOff>0</xdr:rowOff>
    </xdr:from>
    <xdr:to>
      <xdr:col>30</xdr:col>
      <xdr:colOff>131439</xdr:colOff>
      <xdr:row>63</xdr:row>
      <xdr:rowOff>180975</xdr:rowOff>
    </xdr:to>
    <xdr:sp macro="" textlink="">
      <xdr:nvSpPr>
        <xdr:cNvPr id="42" name="Rectangular Callout 15">
          <a:extLst>
            <a:ext uri="{FF2B5EF4-FFF2-40B4-BE49-F238E27FC236}">
              <a16:creationId xmlns:a16="http://schemas.microsoft.com/office/drawing/2014/main" id="{538C4A45-450E-43FA-9B79-B4206EC11290}"/>
            </a:ext>
          </a:extLst>
        </xdr:cNvPr>
        <xdr:cNvSpPr/>
      </xdr:nvSpPr>
      <xdr:spPr>
        <a:xfrm>
          <a:off x="11981439" y="12971318"/>
          <a:ext cx="8672045" cy="371475"/>
        </a:xfrm>
        <a:prstGeom prst="wedgeRectCallout">
          <a:avLst>
            <a:gd name="adj1" fmla="val -57398"/>
            <a:gd name="adj2" fmla="val 2011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latin typeface="Arial"/>
              <a:ea typeface="+mn-ea"/>
              <a:cs typeface="Arial"/>
            </a:rPr>
            <a:t>Oplysninger om udgifter indhentes fra ladeoperatører: Den samlede anskaffelsespris for det nødvendige antal ladestandere divideres med antallet af køretøjer der indkøbes.  </a:t>
          </a:r>
        </a:p>
      </xdr:txBody>
    </xdr:sp>
    <xdr:clientData/>
  </xdr:twoCellAnchor>
  <xdr:twoCellAnchor editAs="oneCell">
    <xdr:from>
      <xdr:col>4</xdr:col>
      <xdr:colOff>145677</xdr:colOff>
      <xdr:row>0</xdr:row>
      <xdr:rowOff>212913</xdr:rowOff>
    </xdr:from>
    <xdr:to>
      <xdr:col>23</xdr:col>
      <xdr:colOff>166273</xdr:colOff>
      <xdr:row>2</xdr:row>
      <xdr:rowOff>647883</xdr:rowOff>
    </xdr:to>
    <xdr:pic>
      <xdr:nvPicPr>
        <xdr:cNvPr id="43" name="Picture 42">
          <a:extLst>
            <a:ext uri="{FF2B5EF4-FFF2-40B4-BE49-F238E27FC236}">
              <a16:creationId xmlns:a16="http://schemas.microsoft.com/office/drawing/2014/main" id="{10EFEC4D-C932-42C1-A323-7D5585924A5E}"/>
            </a:ext>
          </a:extLst>
        </xdr:cNvPr>
        <xdr:cNvPicPr>
          <a:picLocks noChangeAspect="1"/>
        </xdr:cNvPicPr>
      </xdr:nvPicPr>
      <xdr:blipFill>
        <a:blip xmlns:r="http://schemas.openxmlformats.org/officeDocument/2006/relationships" r:embed="rId5"/>
        <a:stretch>
          <a:fillRect/>
        </a:stretch>
      </xdr:blipFill>
      <xdr:spPr>
        <a:xfrm>
          <a:off x="8154148" y="212913"/>
          <a:ext cx="3191256" cy="815543"/>
        </a:xfrm>
        <a:prstGeom prst="rect">
          <a:avLst/>
        </a:prstGeom>
      </xdr:spPr>
    </xdr:pic>
    <xdr:clientData/>
  </xdr:twoCellAnchor>
  <xdr:twoCellAnchor>
    <xdr:from>
      <xdr:col>26</xdr:col>
      <xdr:colOff>58140</xdr:colOff>
      <xdr:row>0</xdr:row>
      <xdr:rowOff>85229</xdr:rowOff>
    </xdr:from>
    <xdr:to>
      <xdr:col>28</xdr:col>
      <xdr:colOff>86591</xdr:colOff>
      <xdr:row>5</xdr:row>
      <xdr:rowOff>155863</xdr:rowOff>
    </xdr:to>
    <xdr:sp macro="" textlink="">
      <xdr:nvSpPr>
        <xdr:cNvPr id="44" name="TextBox 43">
          <a:extLst>
            <a:ext uri="{FF2B5EF4-FFF2-40B4-BE49-F238E27FC236}">
              <a16:creationId xmlns:a16="http://schemas.microsoft.com/office/drawing/2014/main" id="{2570D593-7A8F-4864-8DC9-F0BB6D7343CE}"/>
            </a:ext>
          </a:extLst>
        </xdr:cNvPr>
        <xdr:cNvSpPr txBox="1"/>
      </xdr:nvSpPr>
      <xdr:spPr>
        <a:xfrm>
          <a:off x="11990367" y="85229"/>
          <a:ext cx="4496542" cy="1577316"/>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13608</xdr:colOff>
      <xdr:row>51</xdr:row>
      <xdr:rowOff>264720</xdr:rowOff>
    </xdr:from>
    <xdr:to>
      <xdr:col>30</xdr:col>
      <xdr:colOff>134836</xdr:colOff>
      <xdr:row>53</xdr:row>
      <xdr:rowOff>126174</xdr:rowOff>
    </xdr:to>
    <xdr:sp macro="" textlink="">
      <xdr:nvSpPr>
        <xdr:cNvPr id="45" name="Rectangular Callout 20">
          <a:extLst>
            <a:ext uri="{FF2B5EF4-FFF2-40B4-BE49-F238E27FC236}">
              <a16:creationId xmlns:a16="http://schemas.microsoft.com/office/drawing/2014/main" id="{063E7B46-6FFD-4D6B-90D1-18AC5C531473}"/>
            </a:ext>
          </a:extLst>
        </xdr:cNvPr>
        <xdr:cNvSpPr/>
      </xdr:nvSpPr>
      <xdr:spPr>
        <a:xfrm>
          <a:off x="11933465" y="10905506"/>
          <a:ext cx="8720942" cy="364918"/>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34367</xdr:colOff>
      <xdr:row>66</xdr:row>
      <xdr:rowOff>144729</xdr:rowOff>
    </xdr:from>
    <xdr:to>
      <xdr:col>30</xdr:col>
      <xdr:colOff>116594</xdr:colOff>
      <xdr:row>68</xdr:row>
      <xdr:rowOff>68036</xdr:rowOff>
    </xdr:to>
    <xdr:sp macro="" textlink="">
      <xdr:nvSpPr>
        <xdr:cNvPr id="46" name="Rectangular Callout 24">
          <a:extLst>
            <a:ext uri="{FF2B5EF4-FFF2-40B4-BE49-F238E27FC236}">
              <a16:creationId xmlns:a16="http://schemas.microsoft.com/office/drawing/2014/main" id="{8B673DF9-A70B-436A-BC2F-67C8741A243D}"/>
            </a:ext>
          </a:extLst>
        </xdr:cNvPr>
        <xdr:cNvSpPr/>
      </xdr:nvSpPr>
      <xdr:spPr>
        <a:xfrm>
          <a:off x="11954224" y="13887943"/>
          <a:ext cx="8681941" cy="304307"/>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Angiv den årlige pris pr. køretøj for at have et opladningsabonnement</a:t>
          </a:r>
        </a:p>
      </xdr:txBody>
    </xdr:sp>
    <xdr:clientData/>
  </xdr:twoCellAnchor>
  <xdr:twoCellAnchor>
    <xdr:from>
      <xdr:col>26</xdr:col>
      <xdr:colOff>64303</xdr:colOff>
      <xdr:row>68</xdr:row>
      <xdr:rowOff>161058</xdr:rowOff>
    </xdr:from>
    <xdr:to>
      <xdr:col>30</xdr:col>
      <xdr:colOff>146530</xdr:colOff>
      <xdr:row>69</xdr:row>
      <xdr:rowOff>274865</xdr:rowOff>
    </xdr:to>
    <xdr:sp macro="" textlink="">
      <xdr:nvSpPr>
        <xdr:cNvPr id="47" name="Rectangular Callout 24">
          <a:extLst>
            <a:ext uri="{FF2B5EF4-FFF2-40B4-BE49-F238E27FC236}">
              <a16:creationId xmlns:a16="http://schemas.microsoft.com/office/drawing/2014/main" id="{574AC4D9-3267-4628-A832-BBD6539CBFB3}"/>
            </a:ext>
          </a:extLst>
        </xdr:cNvPr>
        <xdr:cNvSpPr/>
      </xdr:nvSpPr>
      <xdr:spPr>
        <a:xfrm>
          <a:off x="11984160" y="14285272"/>
          <a:ext cx="8681941" cy="304307"/>
        </a:xfrm>
        <a:prstGeom prst="wedgeRectCallout">
          <a:avLst>
            <a:gd name="adj1" fmla="val -57981"/>
            <a:gd name="adj2" fmla="val -205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en el-bil, en plugin hybrid-benzin eller en plugin hybrid-diesel, der skal evalueres. </a:t>
          </a:r>
        </a:p>
      </xdr:txBody>
    </xdr:sp>
    <xdr:clientData/>
  </xdr:twoCellAnchor>
  <xdr:twoCellAnchor>
    <xdr:from>
      <xdr:col>26</xdr:col>
      <xdr:colOff>38100</xdr:colOff>
      <xdr:row>55</xdr:row>
      <xdr:rowOff>133350</xdr:rowOff>
    </xdr:from>
    <xdr:to>
      <xdr:col>30</xdr:col>
      <xdr:colOff>120327</xdr:colOff>
      <xdr:row>59</xdr:row>
      <xdr:rowOff>2249</xdr:rowOff>
    </xdr:to>
    <xdr:sp macro="" textlink="">
      <xdr:nvSpPr>
        <xdr:cNvPr id="48" name="Rectangular Callout 20">
          <a:extLst>
            <a:ext uri="{FF2B5EF4-FFF2-40B4-BE49-F238E27FC236}">
              <a16:creationId xmlns:a16="http://schemas.microsoft.com/office/drawing/2014/main" id="{03795836-D88C-4D5B-8480-A3D63294892B}"/>
            </a:ext>
          </a:extLst>
        </xdr:cNvPr>
        <xdr:cNvSpPr/>
      </xdr:nvSpPr>
      <xdr:spPr>
        <a:xfrm>
          <a:off x="11772900" y="11668125"/>
          <a:ext cx="8683302" cy="754724"/>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152400</xdr:colOff>
      <xdr:row>17</xdr:row>
      <xdr:rowOff>28574</xdr:rowOff>
    </xdr:from>
    <xdr:to>
      <xdr:col>23</xdr:col>
      <xdr:colOff>2400300</xdr:colOff>
      <xdr:row>31</xdr:row>
      <xdr:rowOff>0</xdr:rowOff>
    </xdr:to>
    <xdr:sp macro="" textlink="">
      <xdr:nvSpPr>
        <xdr:cNvPr id="2" name="Rectangular Callout 15">
          <a:extLst>
            <a:ext uri="{FF2B5EF4-FFF2-40B4-BE49-F238E27FC236}">
              <a16:creationId xmlns:a16="http://schemas.microsoft.com/office/drawing/2014/main" id="{F74EF37A-590F-4E1A-9854-4A2E856309CB}"/>
            </a:ext>
          </a:extLst>
        </xdr:cNvPr>
        <xdr:cNvSpPr/>
      </xdr:nvSpPr>
      <xdr:spPr>
        <a:xfrm>
          <a:off x="10944225" y="2790824"/>
          <a:ext cx="6477000" cy="2371726"/>
        </a:xfrm>
        <a:prstGeom prst="wedgeRectCallout">
          <a:avLst>
            <a:gd name="adj1" fmla="val -49476"/>
            <a:gd name="adj2" fmla="val 17367"/>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Bemærk at denne sammenligning </a:t>
          </a:r>
          <a:r>
            <a:rPr lang="da-DK" sz="1200" b="0" i="0" u="none" baseline="0">
              <a:solidFill>
                <a:schemeClr val="tx1">
                  <a:lumMod val="65000"/>
                  <a:lumOff val="35000"/>
                </a:schemeClr>
              </a:solidFill>
              <a:effectLst/>
              <a:latin typeface="Arial" panose="020B0604020202020204" pitchFamily="34" charset="0"/>
              <a:ea typeface="+mn-ea"/>
              <a:cs typeface="Arial" panose="020B0604020202020204" pitchFamily="34" charset="0"/>
            </a:rPr>
            <a:t>ikke bør anvendes</a:t>
          </a:r>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 i specifikke udbud, hvor beregningen indgår i tildelingen af en ordre. Forskellen på traditionelle køretøjer og el-drevne køretøjer medfører nogle usikkerheder i TCO-beregningen, der kan føre til en skævvridning til fordel for enten det traditionelle eller det el-drevne køretøj. Dette gælder især udgifter forbundet med ladestandere. </a:t>
          </a:r>
        </a:p>
        <a:p>
          <a:pPr marL="0" indent="0" algn="l"/>
          <a:endPar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endParaRPr>
        </a:p>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Af ovenstående årsag bør sammenligninger på tværs af forskellige typer køretøjer udelukkende anvendes internt hos den offentlige instans. Sammenligninger kan eksempelvis indgå i myndighedens strategiske overvejelser omkring en fremtidig prioritering af forskellige typer motorkøretøjer.  </a:t>
          </a:r>
        </a:p>
      </xdr:txBody>
    </xdr:sp>
    <xdr:clientData/>
  </xdr:twoCellAnchor>
  <xdr:twoCellAnchor>
    <xdr:from>
      <xdr:col>1</xdr:col>
      <xdr:colOff>111371</xdr:colOff>
      <xdr:row>32</xdr:row>
      <xdr:rowOff>7620</xdr:rowOff>
    </xdr:from>
    <xdr:to>
      <xdr:col>3</xdr:col>
      <xdr:colOff>459105</xdr:colOff>
      <xdr:row>46</xdr:row>
      <xdr:rowOff>32239</xdr:rowOff>
    </xdr:to>
    <xdr:graphicFrame macro="">
      <xdr:nvGraphicFramePr>
        <xdr:cNvPr id="3" name="Chart 2">
          <a:extLst>
            <a:ext uri="{FF2B5EF4-FFF2-40B4-BE49-F238E27FC236}">
              <a16:creationId xmlns:a16="http://schemas.microsoft.com/office/drawing/2014/main" id="{51B02E4A-0F4A-4238-823D-392735022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382732</xdr:colOff>
      <xdr:row>31</xdr:row>
      <xdr:rowOff>214991</xdr:rowOff>
    </xdr:from>
    <xdr:to>
      <xdr:col>16</xdr:col>
      <xdr:colOff>30307</xdr:colOff>
      <xdr:row>49</xdr:row>
      <xdr:rowOff>37234</xdr:rowOff>
    </xdr:to>
    <xdr:graphicFrame macro="">
      <xdr:nvGraphicFramePr>
        <xdr:cNvPr id="4" name="Chart 3">
          <a:extLst>
            <a:ext uri="{FF2B5EF4-FFF2-40B4-BE49-F238E27FC236}">
              <a16:creationId xmlns:a16="http://schemas.microsoft.com/office/drawing/2014/main" id="{439974DB-1FE8-44D3-B756-CAC9CA24D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104811</xdr:colOff>
      <xdr:row>1</xdr:row>
      <xdr:rowOff>270255</xdr:rowOff>
    </xdr:from>
    <xdr:to>
      <xdr:col>23</xdr:col>
      <xdr:colOff>114300</xdr:colOff>
      <xdr:row>3</xdr:row>
      <xdr:rowOff>628650</xdr:rowOff>
    </xdr:to>
    <xdr:sp macro="" textlink="">
      <xdr:nvSpPr>
        <xdr:cNvPr id="5" name="TextBox 4">
          <a:extLst>
            <a:ext uri="{FF2B5EF4-FFF2-40B4-BE49-F238E27FC236}">
              <a16:creationId xmlns:a16="http://schemas.microsoft.com/office/drawing/2014/main" id="{C3CCAACE-D3FB-47F7-ABEF-B494E49CCEC4}"/>
            </a:ext>
          </a:extLst>
        </xdr:cNvPr>
        <xdr:cNvSpPr txBox="1"/>
      </xdr:nvSpPr>
      <xdr:spPr>
        <a:xfrm>
          <a:off x="16859286" y="460755"/>
          <a:ext cx="4238589" cy="1044195"/>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bg2">
                  <a:lumMod val="75000"/>
                </a:schemeClr>
              </a:solidFill>
              <a:latin typeface="Arial"/>
              <a:ea typeface="+mn-ea"/>
              <a:cs typeface="Arial"/>
            </a:rPr>
            <a:t>Brunt område udfyldes med produktnavne</a:t>
          </a:r>
        </a:p>
        <a:p>
          <a:r>
            <a:rPr lang="da-DK" sz="1400" b="1">
              <a:solidFill>
                <a:schemeClr val="bg1">
                  <a:lumMod val="65000"/>
                </a:schemeClr>
              </a:solidFill>
              <a:latin typeface="Arial"/>
              <a:ea typeface="+mn-ea"/>
              <a:cs typeface="Arial"/>
            </a:rPr>
            <a:t>Gråt område viser resultatdata fra de andre ark</a:t>
          </a:r>
        </a:p>
      </xdr:txBody>
    </xdr:sp>
    <xdr:clientData/>
  </xdr:twoCellAnchor>
  <xdr:twoCellAnchor>
    <xdr:from>
      <xdr:col>1</xdr:col>
      <xdr:colOff>233363</xdr:colOff>
      <xdr:row>47</xdr:row>
      <xdr:rowOff>1</xdr:rowOff>
    </xdr:from>
    <xdr:to>
      <xdr:col>3</xdr:col>
      <xdr:colOff>400123</xdr:colOff>
      <xdr:row>57</xdr:row>
      <xdr:rowOff>1447800</xdr:rowOff>
    </xdr:to>
    <xdr:graphicFrame macro="">
      <xdr:nvGraphicFramePr>
        <xdr:cNvPr id="9" name="Chart 8">
          <a:extLst>
            <a:ext uri="{FF2B5EF4-FFF2-40B4-BE49-F238E27FC236}">
              <a16:creationId xmlns:a16="http://schemas.microsoft.com/office/drawing/2014/main" id="{8258470C-59F5-40CB-9F42-4977767DF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152400</xdr:colOff>
      <xdr:row>10</xdr:row>
      <xdr:rowOff>161924</xdr:rowOff>
    </xdr:from>
    <xdr:to>
      <xdr:col>23</xdr:col>
      <xdr:colOff>2400300</xdr:colOff>
      <xdr:row>12</xdr:row>
      <xdr:rowOff>190499</xdr:rowOff>
    </xdr:to>
    <xdr:sp macro="" textlink="">
      <xdr:nvSpPr>
        <xdr:cNvPr id="11" name="Rectangular Callout 15">
          <a:extLst>
            <a:ext uri="{FF2B5EF4-FFF2-40B4-BE49-F238E27FC236}">
              <a16:creationId xmlns:a16="http://schemas.microsoft.com/office/drawing/2014/main" id="{6E03F900-BB41-47DA-A1B9-BB6C6D2D2D39}"/>
            </a:ext>
          </a:extLst>
        </xdr:cNvPr>
        <xdr:cNvSpPr/>
      </xdr:nvSpPr>
      <xdr:spPr>
        <a:xfrm>
          <a:off x="16916400" y="3028949"/>
          <a:ext cx="6477000" cy="447675"/>
        </a:xfrm>
        <a:prstGeom prst="wedgeRectCallout">
          <a:avLst>
            <a:gd name="adj1" fmla="val -59329"/>
            <a:gd name="adj2" fmla="val 1306"/>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udvælger sammenligner værktøjet automatisk de tre billigste tilbud fra hhv. "Benzin - Diesel - Hybrid" og "El og plugin hybrid". Derefter er op til brugeren sammenligne på de forskellige parametre og gøre brug af graferne i bunden af siden.</a:t>
          </a:r>
        </a:p>
      </xdr:txBody>
    </xdr:sp>
    <xdr:clientData/>
  </xdr:twoCellAnchor>
  <xdr:twoCellAnchor>
    <xdr:from>
      <xdr:col>3</xdr:col>
      <xdr:colOff>394607</xdr:colOff>
      <xdr:row>48</xdr:row>
      <xdr:rowOff>81643</xdr:rowOff>
    </xdr:from>
    <xdr:to>
      <xdr:col>16</xdr:col>
      <xdr:colOff>42182</xdr:colOff>
      <xdr:row>57</xdr:row>
      <xdr:rowOff>1496785</xdr:rowOff>
    </xdr:to>
    <xdr:graphicFrame macro="">
      <xdr:nvGraphicFramePr>
        <xdr:cNvPr id="12" name="Chart 11">
          <a:extLst>
            <a:ext uri="{FF2B5EF4-FFF2-40B4-BE49-F238E27FC236}">
              <a16:creationId xmlns:a16="http://schemas.microsoft.com/office/drawing/2014/main" id="{D7B51433-9E03-4C5C-9FB1-257EE1099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381000</xdr:colOff>
      <xdr:row>3</xdr:row>
      <xdr:rowOff>31750</xdr:rowOff>
    </xdr:from>
    <xdr:to>
      <xdr:col>16</xdr:col>
      <xdr:colOff>182879</xdr:colOff>
      <xdr:row>4</xdr:row>
      <xdr:rowOff>100875</xdr:rowOff>
    </xdr:to>
    <xdr:pic>
      <xdr:nvPicPr>
        <xdr:cNvPr id="7" name="Picture 6">
          <a:extLst>
            <a:ext uri="{FF2B5EF4-FFF2-40B4-BE49-F238E27FC236}">
              <a16:creationId xmlns:a16="http://schemas.microsoft.com/office/drawing/2014/main" id="{8C51DCF7-6442-4A7C-A3DB-F54135A0599E}"/>
            </a:ext>
          </a:extLst>
        </xdr:cNvPr>
        <xdr:cNvPicPr>
          <a:picLocks noChangeAspect="1"/>
        </xdr:cNvPicPr>
      </xdr:nvPicPr>
      <xdr:blipFill>
        <a:blip xmlns:r="http://schemas.openxmlformats.org/officeDocument/2006/relationships" r:embed="rId5"/>
        <a:stretch>
          <a:fillRect/>
        </a:stretch>
      </xdr:blipFill>
      <xdr:spPr>
        <a:xfrm>
          <a:off x="13176250" y="904875"/>
          <a:ext cx="2818129" cy="72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19048</xdr:colOff>
      <xdr:row>0</xdr:row>
      <xdr:rowOff>19048</xdr:rowOff>
    </xdr:from>
    <xdr:to>
      <xdr:col>11</xdr:col>
      <xdr:colOff>99060</xdr:colOff>
      <xdr:row>73</xdr:row>
      <xdr:rowOff>168728</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8"/>
              <a:ext cx="8940983" cy="13658851"/>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𝐓𝐂𝐎</m:t>
                  </m:r>
                  <m:r>
                    <a:rPr lang="da-DK" sz="1000" b="0" i="0">
                      <a:latin typeface="Cambria Math" panose="02040503050406030204" pitchFamily="18" charset="0"/>
                    </a:rPr>
                    <m:t>=</m:t>
                  </m:r>
                  <m:r>
                    <m:rPr>
                      <m:sty m:val="p"/>
                    </m:rPr>
                    <a:rPr lang="da-DK" sz="1000" b="0" i="0">
                      <a:latin typeface="Cambria Math" panose="02040503050406030204" pitchFamily="18" charset="0"/>
                    </a:rPr>
                    <m:t>Investeringsomkostning</m:t>
                  </m:r>
                  <m:r>
                    <a:rPr lang="da-DK" sz="1000" b="0" i="0">
                      <a:latin typeface="Cambria Math" panose="02040503050406030204" pitchFamily="18" charset="0"/>
                    </a:rPr>
                    <m:t>+</m:t>
                  </m:r>
                  <m:r>
                    <m:rPr>
                      <m:sty m:val="p"/>
                    </m:rPr>
                    <a:rPr lang="da-DK" sz="1000" b="0" i="0">
                      <a:latin typeface="Cambria Math" panose="02040503050406030204" pitchFamily="18" charset="0"/>
                    </a:rPr>
                    <m:t>summen</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nutidsv</m:t>
                  </m:r>
                  <m:r>
                    <a:rPr lang="da-DK" sz="1000" b="0" i="0">
                      <a:latin typeface="Cambria Math" panose="02040503050406030204" pitchFamily="18" charset="0"/>
                    </a:rPr>
                    <m:t>æ</m:t>
                  </m:r>
                  <m:r>
                    <m:rPr>
                      <m:sty m:val="p"/>
                    </m:rPr>
                    <a:rPr lang="da-DK" sz="1000" b="0" i="0">
                      <a:latin typeface="Cambria Math" panose="02040503050406030204" pitchFamily="18" charset="0"/>
                    </a:rPr>
                    <m:t>rdi</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driftsomkostningerne</m:t>
                  </m:r>
                  <m:r>
                    <a:rPr lang="da-DK" sz="1000" b="0" i="0">
                      <a:latin typeface="Cambria Math" panose="02040503050406030204" pitchFamily="18" charset="0"/>
                    </a:rPr>
                    <m:t> </m:t>
                  </m:r>
                  <m:r>
                    <m:rPr>
                      <m:sty m:val="p"/>
                    </m:rPr>
                    <a:rPr lang="da-DK" sz="1000" b="0" i="0">
                      <a:latin typeface="Cambria Math" panose="02040503050406030204" pitchFamily="18" charset="0"/>
                    </a:rPr>
                    <m:t>i</m:t>
                  </m:r>
                  <m:r>
                    <a:rPr lang="da-DK" sz="1000" b="0" i="0">
                      <a:latin typeface="Cambria Math" panose="02040503050406030204" pitchFamily="18" charset="0"/>
                    </a:rPr>
                    <m:t> </m:t>
                  </m:r>
                  <m:r>
                    <m:rPr>
                      <m:sty m:val="p"/>
                    </m:rPr>
                    <a:rPr lang="da-DK" sz="1000" b="0" i="0">
                      <a:latin typeface="Cambria Math" panose="02040503050406030204" pitchFamily="18" charset="0"/>
                    </a:rPr>
                    <m:t>alle</m:t>
                  </m:r>
                  <m:r>
                    <a:rPr lang="da-DK" sz="1000" b="0" i="0">
                      <a:latin typeface="Cambria Math" panose="02040503050406030204" pitchFamily="18" charset="0"/>
                    </a:rPr>
                    <m:t> å</m:t>
                  </m:r>
                  <m:r>
                    <m:rPr>
                      <m:sty m:val="p"/>
                    </m:rPr>
                    <a:rPr lang="da-DK" sz="1000" b="0" i="0">
                      <a:latin typeface="Cambria Math" panose="02040503050406030204" pitchFamily="18" charset="0"/>
                    </a:rPr>
                    <m:t>r</m:t>
                  </m:r>
                </m:oMath>
              </a14:m>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𝐈𝐧𝐯𝐞𝐬𝐭𝐞𝐫𝐢𝐧𝐠𝐬𝐨𝐦𝐤𝐨𝐬𝐭𝐧𝐢𝐧𝐠</m:t>
                  </m:r>
                  <m:r>
                    <a:rPr lang="da-DK" sz="1000" b="0" i="0">
                      <a:latin typeface="Cambria Math" panose="02040503050406030204" pitchFamily="18" charset="0"/>
                    </a:rPr>
                    <m:t>=</m:t>
                  </m:r>
                </m:oMath>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chemeClr val="dk1"/>
                            </a:solidFill>
                            <a:latin typeface="Cambria Math" panose="02040503050406030204" pitchFamily="18" charset="0"/>
                            <a:ea typeface="+mn-ea"/>
                            <a:cs typeface="+mn-cs"/>
                          </a:rPr>
                        </m:ctrlPr>
                      </m:dPr>
                      <m:e>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ret</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j</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ekstra</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garantiperiode</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til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r>
                          <a:rPr lang="da-DK" sz="1000" b="0" i="0">
                            <a:solidFill>
                              <a:schemeClr val="dk1"/>
                            </a:solidFill>
                            <a:latin typeface="Cambria Math" panose="02040503050406030204" pitchFamily="18" charset="0"/>
                            <a:ea typeface="+mn-ea"/>
                            <a:cs typeface="+mn-cs"/>
                          </a:rPr>
                          <m:t> </m:t>
                        </m:r>
                        <m:r>
                          <a:rPr lang="da-DK" sz="1000" b="0" i="1">
                            <a:solidFill>
                              <a:schemeClr val="dk1"/>
                            </a:solidFill>
                            <a:latin typeface="Cambria Math" panose="02040503050406030204" pitchFamily="18" charset="0"/>
                            <a:ea typeface="Cambria Math" panose="02040503050406030204" pitchFamily="18" charset="0"/>
                            <a:cs typeface="+mn-cs"/>
                          </a:rPr>
                          <m:t>×</m:t>
                        </m:r>
                        <m:r>
                          <a:rPr lang="da-DK" sz="1000" b="0" i="0">
                            <a:solidFill>
                              <a:schemeClr val="dk1"/>
                            </a:solidFill>
                            <a:latin typeface="Cambria Math" panose="02040503050406030204" pitchFamily="18" charset="0"/>
                            <a:ea typeface="+mn-ea"/>
                            <a:cs typeface="+mn-cs"/>
                          </a:rPr>
                          <m:t> </m:t>
                        </m:r>
                        <m:f>
                          <m:fPr>
                            <m:ctrlPr>
                              <a:rPr lang="da-DK" sz="1000" b="0" i="1">
                                <a:solidFill>
                                  <a:schemeClr val="dk1"/>
                                </a:solidFill>
                                <a:latin typeface="Cambria Math" panose="02040503050406030204" pitchFamily="18" charset="0"/>
                                <a:ea typeface="+mn-ea"/>
                                <a:cs typeface="+mn-cs"/>
                              </a:rPr>
                            </m:ctrlPr>
                          </m:fPr>
                          <m:num>
                            <m:r>
                              <m:rPr>
                                <m:sty m:val="p"/>
                              </m:rPr>
                              <a:rPr lang="da-DK" sz="1000" b="0" i="0">
                                <a:solidFill>
                                  <a:schemeClr val="dk1"/>
                                </a:solidFill>
                                <a:latin typeface="Cambria Math" panose="02040503050406030204" pitchFamily="18" charset="0"/>
                                <a:ea typeface="+mn-ea"/>
                                <a:cs typeface="+mn-cs"/>
                              </a:rPr>
                              <m:t>TCO</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evalueringsperiode</m:t>
                            </m:r>
                          </m:num>
                          <m:den>
                            <m:r>
                              <m:rPr>
                                <m:sty m:val="p"/>
                              </m:rPr>
                              <a:rPr lang="da-DK" sz="1000" b="0" i="0">
                                <a:solidFill>
                                  <a:schemeClr val="dk1"/>
                                </a:solidFill>
                                <a:latin typeface="Cambria Math" panose="02040503050406030204" pitchFamily="18" charset="0"/>
                                <a:ea typeface="+mn-ea"/>
                                <a:cs typeface="+mn-cs"/>
                              </a:rPr>
                              <m:t>levetid</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for</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den>
                        </m:f>
                        <m:r>
                          <a:rPr lang="da-DK" sz="1000" b="0" i="0">
                            <a:solidFill>
                              <a:schemeClr val="dk1"/>
                            </a:solidFill>
                            <a:latin typeface="Cambria Math" panose="02040503050406030204" pitchFamily="18" charset="0"/>
                            <a:ea typeface="+mn-ea"/>
                            <a:cs typeface="+mn-cs"/>
                          </a:rPr>
                          <m:t>)</m:t>
                        </m:r>
                      </m:e>
                    </m:d>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antal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produkter</m:t>
                    </m:r>
                  </m:oMath>
                </m:oMathPara>
              </a14:m>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𝐊</m:t>
                    </m:r>
                    <m:r>
                      <a:rPr lang="da-DK" sz="1000" b="1" i="0">
                        <a:latin typeface="Cambria Math" panose="02040503050406030204" pitchFamily="18" charset="0"/>
                      </a:rPr>
                      <m:t>ø</m:t>
                    </m:r>
                    <m:r>
                      <a:rPr lang="da-DK" sz="1000" b="1" i="0">
                        <a:latin typeface="Cambria Math" panose="02040503050406030204" pitchFamily="18" charset="0"/>
                      </a:rPr>
                      <m:t>𝐫𝐞𝐭</m:t>
                    </m:r>
                    <m:r>
                      <a:rPr lang="da-DK" sz="1000" b="1" i="0">
                        <a:latin typeface="Cambria Math" panose="02040503050406030204" pitchFamily="18" charset="0"/>
                      </a:rPr>
                      <m:t>ø</m:t>
                    </m:r>
                    <m:r>
                      <a:rPr lang="da-DK" sz="1000" b="1" i="0">
                        <a:latin typeface="Cambria Math" panose="02040503050406030204" pitchFamily="18" charset="0"/>
                      </a:rPr>
                      <m:t>𝐣𝐞𝐭𝐬</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1" i="0">
                        <a:latin typeface="Cambria Math" panose="02040503050406030204" pitchFamily="18" charset="0"/>
                      </a:rPr>
                      <m:t> </m:t>
                    </m:r>
                    <m:r>
                      <a:rPr lang="da-DK" sz="1000" b="0" i="0">
                        <a:latin typeface="Cambria Math" panose="02040503050406030204" pitchFamily="18" charset="0"/>
                      </a:rPr>
                      <m:t>=</m:t>
                    </m:r>
                  </m:oMath>
                </m:oMathPara>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ysClr val="windowText" lastClr="000000"/>
                            </a:solidFill>
                            <a:latin typeface="Cambria Math" panose="02040503050406030204" pitchFamily="18" charset="0"/>
                          </a:rPr>
                        </m:ctrlPr>
                      </m:dPr>
                      <m:e>
                        <m:r>
                          <m:rPr>
                            <m:sty m:val="p"/>
                          </m:rPr>
                          <a:rPr lang="da-DK" sz="1000" b="0" i="0">
                            <a:solidFill>
                              <a:sysClr val="windowText" lastClr="000000"/>
                            </a:solidFill>
                            <a:latin typeface="Cambria Math" panose="02040503050406030204" pitchFamily="18" charset="0"/>
                          </a:rPr>
                          <m:t>K</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ret</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jets</m:t>
                        </m:r>
                        <m:r>
                          <a:rPr lang="da-DK" sz="1000" b="0" i="0">
                            <a:solidFill>
                              <a:sysClr val="windowText" lastClr="000000"/>
                            </a:solidFill>
                            <a:latin typeface="Cambria Math" panose="02040503050406030204" pitchFamily="18" charset="0"/>
                          </a:rPr>
                          <m:t> å</m:t>
                        </m:r>
                        <m:r>
                          <m:rPr>
                            <m:sty m:val="p"/>
                          </m:rPr>
                          <a:rPr lang="da-DK" sz="1000" b="0" i="0">
                            <a:solidFill>
                              <a:sysClr val="windowText" lastClr="000000"/>
                            </a:solidFill>
                            <a:latin typeface="Cambria Math" panose="02040503050406030204" pitchFamily="18" charset="0"/>
                          </a:rPr>
                          <m:t>rlige</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forbrug</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af</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drivmiddel</m:t>
                        </m:r>
                        <m:r>
                          <a:rPr lang="da-DK" sz="1000" b="0" i="0">
                            <a:solidFill>
                              <a:sysClr val="windowText" lastClr="000000"/>
                            </a:solidFill>
                            <a:latin typeface="Cambria Math" panose="02040503050406030204" pitchFamily="18" charset="0"/>
                          </a:rPr>
                          <m:t> </m:t>
                        </m:r>
                        <m:r>
                          <a:rPr lang="da-DK" sz="1000" b="0" i="1">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pris</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m:t>
                        </m:r>
                        <m:r>
                          <a:rPr lang="da-DK" sz="1000" b="0" i="0">
                            <a:solidFill>
                              <a:sysClr val="windowText" lastClr="000000"/>
                            </a:solidFill>
                            <a:latin typeface="Cambria Math" panose="02040503050406030204" pitchFamily="18" charset="0"/>
                            <a:ea typeface="Cambria Math" panose="02040503050406030204" pitchFamily="18" charset="0"/>
                          </a:rPr>
                          <m:t>å </m:t>
                        </m:r>
                        <m:r>
                          <m:rPr>
                            <m:sty m:val="p"/>
                          </m:rPr>
                          <a:rPr lang="da-DK" sz="1000" b="0" i="0">
                            <a:solidFill>
                              <a:sysClr val="windowText" lastClr="000000"/>
                            </a:solidFill>
                            <a:latin typeface="Cambria Math" panose="02040503050406030204" pitchFamily="18" charset="0"/>
                            <a:ea typeface="Cambria Math" panose="02040503050406030204" pitchFamily="18" charset="0"/>
                          </a:rPr>
                          <m:t>drivmidlet</m:t>
                        </m:r>
                      </m:e>
                    </m:d>
                    <m:r>
                      <a:rPr lang="da-DK" sz="1000" b="0" i="0">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antal</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produkter</m:t>
                    </m:r>
                  </m:oMath>
                </m:oMathPara>
              </a14:m>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mn-ea"/>
                        <a:cs typeface="+mn-cs"/>
                      </a:rPr>
                      <m:t>Å</m:t>
                    </m:r>
                    <m:r>
                      <a:rPr lang="da-DK" sz="1000" b="1" i="0">
                        <a:solidFill>
                          <a:schemeClr val="dk1"/>
                        </a:solidFill>
                        <a:effectLst/>
                        <a:latin typeface="Cambria Math" panose="02040503050406030204" pitchFamily="18" charset="0"/>
                        <a:ea typeface="+mn-ea"/>
                        <a:cs typeface="+mn-cs"/>
                      </a:rPr>
                      <m:t>𝐫𝐥𝐢𝐠𝐭</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𝐛𝐫</m:t>
                    </m:r>
                    <m:r>
                      <a:rPr lang="da-DK" sz="1000" b="1" i="0">
                        <a:solidFill>
                          <a:schemeClr val="dk1"/>
                        </a:solidFill>
                        <a:effectLst/>
                        <a:latin typeface="Cambria Math" panose="02040503050406030204" pitchFamily="18" charset="0"/>
                        <a:ea typeface="+mn-ea"/>
                        <a:cs typeface="+mn-cs"/>
                      </a:rPr>
                      <m:t>æ</m:t>
                    </m:r>
                    <m:r>
                      <a:rPr lang="da-DK" sz="1000" b="1" i="0">
                        <a:solidFill>
                          <a:schemeClr val="dk1"/>
                        </a:solidFill>
                        <a:effectLst/>
                        <a:latin typeface="Cambria Math" panose="02040503050406030204" pitchFamily="18" charset="0"/>
                        <a:ea typeface="+mn-ea"/>
                        <a:cs typeface="+mn-cs"/>
                      </a:rPr>
                      <m:t>𝐧𝐝𝐬𝐭𝐨𝐟𝐟𝐨𝐫𝐛𝐫𝐮𝐠</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𝐯𝐞𝐝</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𝐛𝐞𝐧𝐳𝐢𝐧</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𝐝𝐢𝐞𝐬𝐞𝐥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𝐡𝐲𝐛𝐫𝐢𝐝</m:t>
                    </m:r>
                    <m:r>
                      <a:rPr lang="da-DK" sz="1000" b="1" i="0">
                        <a:solidFill>
                          <a:schemeClr val="dk1"/>
                        </a:solidFill>
                        <a:effectLst/>
                        <a:latin typeface="Cambria Math" panose="02040503050406030204" pitchFamily="18" charset="0"/>
                        <a:ea typeface="+mn-ea"/>
                        <a:cs typeface="+mn-cs"/>
                      </a:rPr>
                      <m:t>) </m:t>
                    </m:r>
                    <m:r>
                      <a:rPr lang="da-DK" sz="1000" b="0" i="0">
                        <a:solidFill>
                          <a:schemeClr val="dk1"/>
                        </a:solidFill>
                        <a:effectLst/>
                        <a:latin typeface="Cambria Math" panose="02040503050406030204" pitchFamily="18" charset="0"/>
                        <a:ea typeface="+mn-ea"/>
                        <a:cs typeface="+mn-cs"/>
                      </a:rPr>
                      <m:t>=</m:t>
                    </m:r>
                    <m:f>
                      <m:fPr>
                        <m:ctrlPr>
                          <a:rPr lang="da-DK" sz="1000" b="0" i="1">
                            <a:solidFill>
                              <a:schemeClr val="dk1"/>
                            </a:solidFill>
                            <a:effectLst/>
                            <a:latin typeface="Cambria Math" panose="02040503050406030204" pitchFamily="18" charset="0"/>
                            <a:ea typeface="+mn-ea"/>
                            <a:cs typeface="+mn-cs"/>
                          </a:rPr>
                        </m:ctrlPr>
                      </m:fPr>
                      <m:num>
                        <m:r>
                          <a:rPr lang="da-DK" sz="1000" b="0" i="0">
                            <a:solidFill>
                              <a:schemeClr val="dk1"/>
                            </a:solidFill>
                            <a:effectLst/>
                            <a:latin typeface="Cambria Math" panose="02040503050406030204" pitchFamily="18" charset="0"/>
                            <a:ea typeface="+mn-ea"/>
                            <a:cs typeface="+mn-cs"/>
                          </a:rPr>
                          <m:t>å</m:t>
                        </m:r>
                        <m:r>
                          <m:rPr>
                            <m:sty m:val="p"/>
                          </m:rPr>
                          <a:rPr lang="da-DK" sz="1000" b="0" i="0">
                            <a:solidFill>
                              <a:schemeClr val="dk1"/>
                            </a:solidFill>
                            <a:effectLst/>
                            <a:latin typeface="Cambria Math" panose="02040503050406030204" pitchFamily="18" charset="0"/>
                            <a:ea typeface="+mn-ea"/>
                            <a:cs typeface="+mn-cs"/>
                          </a:rPr>
                          <m:t>rligt</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rselsforbrug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m:t>
                        </m:r>
                        <m:r>
                          <a:rPr lang="da-DK" sz="1000" b="0" i="0">
                            <a:solidFill>
                              <a:schemeClr val="dk1"/>
                            </a:solidFill>
                            <a:effectLst/>
                            <a:latin typeface="Cambria Math" panose="02040503050406030204" pitchFamily="18" charset="0"/>
                            <a:ea typeface="+mn-ea"/>
                            <a:cs typeface="+mn-cs"/>
                          </a:rPr>
                          <m:t>)</m:t>
                        </m:r>
                      </m:num>
                      <m:den>
                        <m:r>
                          <m:rPr>
                            <m:sty m:val="p"/>
                          </m:rPr>
                          <a:rPr lang="da-DK" sz="1000" b="0" i="0">
                            <a:solidFill>
                              <a:schemeClr val="dk1"/>
                            </a:solidFill>
                            <a:effectLst/>
                            <a:latin typeface="Cambria Math" panose="02040503050406030204" pitchFamily="18" charset="0"/>
                            <a:ea typeface="+mn-ea"/>
                            <a:cs typeface="+mn-cs"/>
                          </a:rPr>
                          <m:t>br</m:t>
                        </m:r>
                        <m:r>
                          <a:rPr lang="da-DK" sz="1000" b="0" i="0">
                            <a:solidFill>
                              <a:schemeClr val="dk1"/>
                            </a:solidFill>
                            <a:effectLst/>
                            <a:latin typeface="Cambria Math" panose="02040503050406030204" pitchFamily="18" charset="0"/>
                            <a:ea typeface="+mn-ea"/>
                            <a:cs typeface="+mn-cs"/>
                          </a:rPr>
                          <m:t>æ</m:t>
                        </m:r>
                        <m:r>
                          <m:rPr>
                            <m:sty m:val="p"/>
                          </m:rPr>
                          <a:rPr lang="da-DK" sz="1000" b="0" i="0">
                            <a:solidFill>
                              <a:schemeClr val="dk1"/>
                            </a:solidFill>
                            <a:effectLst/>
                            <a:latin typeface="Cambria Math" panose="02040503050406030204" pitchFamily="18" charset="0"/>
                            <a:ea typeface="+mn-ea"/>
                            <a:cs typeface="+mn-cs"/>
                          </a:rPr>
                          <m:t>ndstofforbrug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if</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lge</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WLTP</m:t>
                        </m:r>
                        <m:r>
                          <a:rPr lang="da-DK" sz="1000" b="0" i="0">
                            <a:solidFill>
                              <a:schemeClr val="dk1"/>
                            </a:solidFill>
                            <a:effectLst/>
                            <a:latin typeface="Cambria Math" panose="02040503050406030204" pitchFamily="18" charset="0"/>
                            <a:ea typeface="+mn-ea"/>
                            <a:cs typeface="+mn-cs"/>
                          </a:rPr>
                          <m:t> (</m:t>
                        </m:r>
                        <m:f>
                          <m:fPr>
                            <m:ctrlPr>
                              <a:rPr lang="da-DK" sz="1000" b="0" i="1">
                                <a:solidFill>
                                  <a:schemeClr val="dk1"/>
                                </a:solidFill>
                                <a:effectLst/>
                                <a:latin typeface="Cambria Math" panose="02040503050406030204" pitchFamily="18" charset="0"/>
                                <a:ea typeface="+mn-ea"/>
                                <a:cs typeface="+mn-cs"/>
                              </a:rPr>
                            </m:ctrlPr>
                          </m:fPr>
                          <m:num>
                            <m:r>
                              <m:rPr>
                                <m:sty m:val="p"/>
                              </m:rPr>
                              <a:rPr lang="da-DK" sz="1000" b="0" i="0">
                                <a:solidFill>
                                  <a:schemeClr val="dk1"/>
                                </a:solidFill>
                                <a:effectLst/>
                                <a:latin typeface="Cambria Math" panose="02040503050406030204" pitchFamily="18" charset="0"/>
                                <a:ea typeface="+mn-ea"/>
                                <a:cs typeface="+mn-cs"/>
                              </a:rPr>
                              <m:t>km</m:t>
                            </m:r>
                          </m:num>
                          <m:den>
                            <m:r>
                              <m:rPr>
                                <m:sty m:val="p"/>
                              </m:rPr>
                              <a:rPr lang="da-DK" sz="1000" b="0" i="0">
                                <a:solidFill>
                                  <a:schemeClr val="dk1"/>
                                </a:solidFill>
                                <a:effectLst/>
                                <a:latin typeface="Cambria Math" panose="02040503050406030204" pitchFamily="18" charset="0"/>
                                <a:ea typeface="+mn-ea"/>
                                <a:cs typeface="+mn-cs"/>
                              </a:rPr>
                              <m:t>liter</m:t>
                            </m:r>
                          </m:den>
                        </m:f>
                        <m:r>
                          <a:rPr lang="da-DK" sz="1000" b="0" i="0">
                            <a:solidFill>
                              <a:schemeClr val="dk1"/>
                            </a:solidFill>
                            <a:effectLst/>
                            <a:latin typeface="Cambria Math" panose="02040503050406030204" pitchFamily="18" charset="0"/>
                            <a:ea typeface="+mn-ea"/>
                            <a:cs typeface="+mn-cs"/>
                          </a:rPr>
                          <m:t>)</m:t>
                        </m:r>
                      </m:den>
                    </m:f>
                  </m:oMath>
                </m:oMathPara>
              </a14:m>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14:m>
                <m:oMath xmlns:m="http://schemas.openxmlformats.org/officeDocument/2006/math">
                  <m:r>
                    <a:rPr lang="da-DK" sz="1000" b="1" i="0">
                      <a:solidFill>
                        <a:sysClr val="windowText" lastClr="000000"/>
                      </a:solidFill>
                      <a:effectLst/>
                      <a:latin typeface="Cambria Math" panose="02040503050406030204" pitchFamily="18" charset="0"/>
                      <a:ea typeface="+mn-ea"/>
                      <a:cs typeface="+mn-cs"/>
                    </a:rPr>
                    <m:t>Å</m:t>
                  </m:r>
                  <m:r>
                    <a:rPr lang="da-DK" sz="1000" b="1" i="0">
                      <a:solidFill>
                        <a:sysClr val="windowText" lastClr="000000"/>
                      </a:solidFill>
                      <a:effectLst/>
                      <a:latin typeface="Cambria Math" panose="02040503050406030204" pitchFamily="18" charset="0"/>
                      <a:ea typeface="+mn-ea"/>
                      <a:cs typeface="+mn-cs"/>
                    </a:rPr>
                    <m:t>𝐫𝐥𝐢𝐠𝐭</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𝐟𝐨𝐫𝐛𝐫𝐮𝐠</m:t>
                  </m:r>
                  <m:r>
                    <a:rPr lang="da-DK" sz="1000" b="1" i="0">
                      <a:solidFill>
                        <a:sysClr val="windowText" lastClr="000000"/>
                      </a:solidFill>
                      <a:effectLst/>
                      <a:latin typeface="Cambria Math" panose="02040503050406030204" pitchFamily="18" charset="0"/>
                      <a:ea typeface="+mn-ea"/>
                      <a:cs typeface="+mn-cs"/>
                    </a:rPr>
                    <m:t> </m:t>
                  </m:r>
                  <m:d>
                    <m:dPr>
                      <m:ctrlPr>
                        <a:rPr lang="da-DK" sz="1000" b="1" i="1">
                          <a:solidFill>
                            <a:sysClr val="windowText" lastClr="000000"/>
                          </a:solidFill>
                          <a:effectLst/>
                          <a:latin typeface="Cambria Math" panose="02040503050406030204" pitchFamily="18" charset="0"/>
                          <a:ea typeface="+mn-ea"/>
                          <a:cs typeface="+mn-cs"/>
                        </a:rPr>
                      </m:ctrlPr>
                    </m:dPr>
                    <m:e>
                      <m:r>
                        <a:rPr lang="da-DK" sz="1000" b="1" i="0">
                          <a:solidFill>
                            <a:sysClr val="windowText" lastClr="000000"/>
                          </a:solidFill>
                          <a:effectLst/>
                          <a:latin typeface="Cambria Math" panose="02040503050406030204" pitchFamily="18" charset="0"/>
                          <a:ea typeface="+mn-ea"/>
                          <a:cs typeface="+mn-cs"/>
                        </a:rPr>
                        <m:t>𝐯𝐞𝐝</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𝐞𝐥</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𝐮𝐝𝐞𝐧</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𝐚𝐛𝐨𝐧𝐧𝐞𝐦𝐞𝐧𝐭</m:t>
                      </m:r>
                    </m:e>
                  </m:d>
                  <m:r>
                    <a:rPr lang="da-DK" sz="1000" b="1" i="0">
                      <a:solidFill>
                        <a:sysClr val="windowText" lastClr="000000"/>
                      </a:solidFill>
                      <a:effectLst/>
                      <a:latin typeface="Cambria Math" panose="02040503050406030204" pitchFamily="18" charset="0"/>
                      <a:ea typeface="+mn-ea"/>
                      <a:cs typeface="+mn-cs"/>
                    </a:rPr>
                    <m:t>=</m:t>
                  </m:r>
                </m:oMath>
              </a14:m>
              <a:r>
                <a:rPr lang="da-DK" sz="1000" b="1" i="0">
                  <a:solidFill>
                    <a:sysClr val="windowText" lastClr="000000"/>
                  </a:solidFill>
                  <a:effectLst/>
                  <a:latin typeface="Arial" panose="020B0604020202020204" pitchFamily="34" charset="0"/>
                  <a:ea typeface="+mn-ea"/>
                  <a:cs typeface="Arial" panose="020B0604020202020204" pitchFamily="34" charset="0"/>
                </a:rPr>
                <a:t> </a:t>
              </a:r>
              <a14:m>
                <m:oMath xmlns:m="http://schemas.openxmlformats.org/officeDocument/2006/math">
                  <m:r>
                    <a:rPr lang="da-DK" sz="1000" b="0" i="0">
                      <a:solidFill>
                        <a:sysClr val="windowText" lastClr="000000"/>
                      </a:solidFill>
                      <a:effectLst/>
                      <a:latin typeface="Cambria Math" panose="02040503050406030204" pitchFamily="18" charset="0"/>
                      <a:ea typeface="+mn-ea"/>
                      <a:cs typeface="+mn-cs"/>
                    </a:rPr>
                    <m:t>å</m:t>
                  </m:r>
                  <m:r>
                    <m:rPr>
                      <m:sty m:val="p"/>
                    </m:rPr>
                    <a:rPr lang="da-DK" sz="1000" b="0" i="0">
                      <a:solidFill>
                        <a:sysClr val="windowText" lastClr="000000"/>
                      </a:solidFill>
                      <a:effectLst/>
                      <a:latin typeface="Cambria Math" panose="02040503050406030204" pitchFamily="18" charset="0"/>
                      <a:ea typeface="+mn-ea"/>
                      <a:cs typeface="+mn-cs"/>
                    </a:rPr>
                    <m:t>rligt</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k</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rselsforbrug</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r>
                        <m:rPr>
                          <m:sty m:val="p"/>
                        </m:rPr>
                        <a:rPr lang="da-DK" sz="1000" b="0" i="0">
                          <a:solidFill>
                            <a:sysClr val="windowText" lastClr="000000"/>
                          </a:solidFill>
                          <a:effectLst/>
                          <a:latin typeface="Cambria Math" panose="02040503050406030204" pitchFamily="18" charset="0"/>
                          <a:ea typeface="+mn-ea"/>
                          <a:cs typeface="+mn-cs"/>
                        </a:rPr>
                        <m:t>km</m:t>
                      </m:r>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m:t>
                  </m:r>
                  <m:r>
                    <m:rPr>
                      <m:sty m:val="p"/>
                    </m:rPr>
                    <a:rPr lang="da-DK" sz="1000" b="0" i="0">
                      <a:solidFill>
                        <a:sysClr val="windowText" lastClr="000000"/>
                      </a:solidFill>
                      <a:effectLst/>
                      <a:latin typeface="Cambria Math" panose="02040503050406030204" pitchFamily="18" charset="0"/>
                      <a:ea typeface="+mn-ea"/>
                      <a:cs typeface="+mn-cs"/>
                    </a:rPr>
                    <m:t>elforbrug</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if</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lge</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WLTP</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f>
                        <m:fPr>
                          <m:ctrlPr>
                            <a:rPr lang="da-DK" sz="1000" b="0" i="1">
                              <a:solidFill>
                                <a:sysClr val="windowText" lastClr="000000"/>
                              </a:solidFill>
                              <a:effectLst/>
                              <a:latin typeface="Cambria Math" panose="02040503050406030204" pitchFamily="18" charset="0"/>
                              <a:ea typeface="+mn-ea"/>
                              <a:cs typeface="+mn-cs"/>
                            </a:rPr>
                          </m:ctrlPr>
                        </m:fPr>
                        <m:num>
                          <m:r>
                            <m:rPr>
                              <m:sty m:val="p"/>
                            </m:rPr>
                            <a:rPr lang="da-DK" sz="1000" b="0" i="0">
                              <a:solidFill>
                                <a:sysClr val="windowText" lastClr="000000"/>
                              </a:solidFill>
                              <a:effectLst/>
                              <a:latin typeface="Cambria Math" panose="02040503050406030204" pitchFamily="18" charset="0"/>
                              <a:ea typeface="+mn-ea"/>
                              <a:cs typeface="+mn-cs"/>
                            </a:rPr>
                            <m:t>Wh</m:t>
                          </m:r>
                        </m:num>
                        <m:den>
                          <m:r>
                            <m:rPr>
                              <m:sty m:val="p"/>
                            </m:rPr>
                            <a:rPr lang="da-DK" sz="1000" b="0" i="0">
                              <a:solidFill>
                                <a:sysClr val="windowText" lastClr="000000"/>
                              </a:solidFill>
                              <a:effectLst/>
                              <a:latin typeface="Cambria Math" panose="02040503050406030204" pitchFamily="18" charset="0"/>
                              <a:ea typeface="+mn-ea"/>
                              <a:cs typeface="+mn-cs"/>
                            </a:rPr>
                            <m:t>km</m:t>
                          </m:r>
                        </m:den>
                      </m:f>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 </m:t>
                  </m:r>
                </m:oMath>
              </a14:m>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𝐫𝐥𝐢𝐠𝐭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𝐟𝐨𝐫𝐛𝐫𝐮𝐠</m:t>
                    </m:r>
                    <m:r>
                      <a:rPr lang="da-DK" sz="1000" b="1" i="0">
                        <a:solidFill>
                          <a:schemeClr val="dk1"/>
                        </a:solidFill>
                        <a:effectLst/>
                        <a:latin typeface="Cambria Math" panose="02040503050406030204" pitchFamily="18" charset="0"/>
                        <a:ea typeface="Cambria Math" panose="02040503050406030204" pitchFamily="18" charset="0"/>
                        <a:cs typeface="+mn-cs"/>
                      </a:rPr>
                      <m:t> </m:t>
                    </m:r>
                    <m:d>
                      <m:dPr>
                        <m:ctrlPr>
                          <a:rPr lang="da-DK" sz="1000" b="1" i="1">
                            <a:solidFill>
                              <a:schemeClr val="dk1"/>
                            </a:solidFill>
                            <a:effectLst/>
                            <a:latin typeface="Cambria Math" panose="02040503050406030204" pitchFamily="18" charset="0"/>
                            <a:ea typeface="Cambria Math" panose="02040503050406030204" pitchFamily="18" charset="0"/>
                            <a:cs typeface="+mn-cs"/>
                          </a:rPr>
                        </m:ctrlPr>
                      </m:dPr>
                      <m:e>
                        <m:r>
                          <a:rPr lang="da-DK" sz="1000" b="1" i="0">
                            <a:solidFill>
                              <a:schemeClr val="dk1"/>
                            </a:solidFill>
                            <a:effectLst/>
                            <a:latin typeface="Cambria Math" panose="02040503050406030204" pitchFamily="18" charset="0"/>
                            <a:ea typeface="Cambria Math" panose="02040503050406030204" pitchFamily="18" charset="0"/>
                            <a:cs typeface="+mn-cs"/>
                          </a:rPr>
                          <m:t>𝐯𝐞𝐝</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𝐩𝐥𝐮𝐠𝐢𝐧</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𝐡𝐲𝐛𝐫𝐢𝐝</m:t>
                        </m:r>
                      </m:e>
                    </m:d>
                    <m:r>
                      <a:rPr lang="da-DK" sz="1000" b="1" i="0">
                        <a:solidFill>
                          <a:schemeClr val="dk1"/>
                        </a:solidFill>
                        <a:effectLst/>
                        <a:latin typeface="Cambria Math" panose="02040503050406030204" pitchFamily="18" charset="0"/>
                        <a:ea typeface="Cambria Math" panose="02040503050406030204" pitchFamily="18" charset="0"/>
                        <a:cs typeface="+mn-cs"/>
                      </a:rPr>
                      <m:t>=</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a:rPr lang="da-DK" sz="1000" b="0" i="0">
                            <a:solidFill>
                              <a:schemeClr val="dk1"/>
                            </a:solidFill>
                            <a:effectLst/>
                            <a:latin typeface="Cambria Math" panose="02040503050406030204" pitchFamily="18" charset="0"/>
                            <a:ea typeface="Cambria Math" panose="02040503050406030204" pitchFamily="18" charset="0"/>
                            <a:cs typeface="+mn-cs"/>
                          </a:rPr>
                          <m:t>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rligt</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t>
                        </m:r>
                        <m:r>
                          <a:rPr lang="da-DK" sz="1000" b="0"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rselsforbrug</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p</m:t>
                        </m:r>
                        <m:r>
                          <a:rPr lang="da-DK" sz="1000" b="0" i="0">
                            <a:solidFill>
                              <a:schemeClr val="dk1"/>
                            </a:solidFill>
                            <a:effectLst/>
                            <a:latin typeface="Cambria Math" panose="02040503050406030204" pitchFamily="18" charset="0"/>
                            <a:ea typeface="Cambria Math" panose="02040503050406030204" pitchFamily="18" charset="0"/>
                            <a:cs typeface="+mn-cs"/>
                          </a:rPr>
                          <m:t>å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m:t>
                        </m:r>
                        <m:r>
                          <a:rPr lang="da-DK" sz="1000" b="0" i="0">
                            <a:solidFill>
                              <a:schemeClr val="dk1"/>
                            </a:solidFill>
                            <a:effectLst/>
                            <a:latin typeface="Cambria Math" panose="02040503050406030204" pitchFamily="18" charset="0"/>
                            <a:ea typeface="Cambria Math" panose="02040503050406030204" pitchFamily="18" charset="0"/>
                            <a:cs typeface="+mn-cs"/>
                          </a:rPr>
                          <m:t> </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m:t>
                            </m:r>
                          </m:e>
                        </m:d>
                        <m:r>
                          <a:rPr lang="da-DK" sz="1000" b="0" i="0">
                            <a:solidFill>
                              <a:schemeClr val="dk1"/>
                            </a:solidFill>
                            <a:effectLst/>
                            <a:latin typeface="Cambria Math" panose="02040503050406030204" pitchFamily="18" charset="0"/>
                            <a:ea typeface="Cambria Math" panose="02040503050406030204" pitchFamily="18" charset="0"/>
                            <a:cs typeface="+mn-cs"/>
                          </a:rPr>
                          <m:t> </m:t>
                        </m:r>
                      </m:num>
                      <m:den>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br</m:t>
                        </m:r>
                        <m:r>
                          <a:rPr lang="da-DK" sz="1000" b="1"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ndstofforbrug</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if</m:t>
                        </m:r>
                        <m:r>
                          <a:rPr lang="da-DK" sz="1000" b="1"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lge</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WLTP</m:t>
                        </m:r>
                        <m:r>
                          <a:rPr lang="da-DK" sz="1000" b="1" i="0">
                            <a:solidFill>
                              <a:schemeClr val="dk1"/>
                            </a:solidFill>
                            <a:effectLst/>
                            <a:latin typeface="Cambria Math" panose="02040503050406030204" pitchFamily="18" charset="0"/>
                            <a:ea typeface="Cambria Math" panose="02040503050406030204" pitchFamily="18" charset="0"/>
                            <a:cs typeface="+mn-cs"/>
                          </a:rPr>
                          <m:t> (</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km</m:t>
                            </m:r>
                          </m:num>
                          <m:den>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liter</m:t>
                            </m:r>
                          </m:den>
                        </m:f>
                        <m:r>
                          <a:rPr lang="da-DK" sz="1000" b="1" i="0">
                            <a:solidFill>
                              <a:schemeClr val="dk1"/>
                            </a:solidFill>
                            <a:effectLst/>
                            <a:latin typeface="Cambria Math" panose="02040503050406030204" pitchFamily="18" charset="0"/>
                            <a:ea typeface="Cambria Math" panose="02040503050406030204" pitchFamily="18" charset="0"/>
                            <a:cs typeface="+mn-cs"/>
                          </a:rPr>
                          <m:t>)</m:t>
                        </m:r>
                      </m:den>
                    </m:f>
                    <m:r>
                      <a:rPr lang="da-DK" sz="1000" b="1" i="1">
                        <a:solidFill>
                          <a:schemeClr val="dk1"/>
                        </a:solidFill>
                        <a:effectLst/>
                        <a:latin typeface="Cambria Math" panose="02040503050406030204" pitchFamily="18" charset="0"/>
                        <a:ea typeface="Cambria Math" panose="02040503050406030204" pitchFamily="18" charset="0"/>
                        <a:cs typeface="+mn-cs"/>
                      </a:rPr>
                      <m:t>+</m:t>
                    </m:r>
                    <m:r>
                      <m:rPr>
                        <m:nor/>
                      </m:rPr>
                      <a:rPr lang="da-DK" sz="1000" b="1"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rligt</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forbrug</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p</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 </m:t>
                    </m:r>
                    <m:r>
                      <m:rPr>
                        <m:nor/>
                      </m:rP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m:t>el</m:t>
                    </m:r>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𝐁𝐫</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𝐧𝐝𝐬𝐭𝐨𝐟𝐩𝐫𝐢𝐬</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𝐢</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𝐝𝐞𝐭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m:t>
                    </m:r>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𝐠</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𝐥𝐝𝐞𝐧𝐝𝐞</m:t>
                    </m:r>
                    <m:r>
                      <a:rPr lang="da-DK" sz="1000" b="1" i="0">
                        <a:solidFill>
                          <a:schemeClr val="dk1"/>
                        </a:solidFill>
                        <a:effectLst/>
                        <a:latin typeface="Cambria Math" panose="02040503050406030204" pitchFamily="18" charset="0"/>
                        <a:ea typeface="Cambria Math" panose="02040503050406030204" pitchFamily="18" charset="0"/>
                        <a:cs typeface="+mn-cs"/>
                      </a:rPr>
                      <m:t> å</m:t>
                    </m:r>
                    <m:r>
                      <a:rPr lang="da-DK" sz="1000" b="1" i="0">
                        <a:solidFill>
                          <a:schemeClr val="dk1"/>
                        </a:solidFill>
                        <a:effectLst/>
                        <a:latin typeface="Cambria Math" panose="02040503050406030204" pitchFamily="18" charset="0"/>
                        <a:ea typeface="Cambria Math" panose="02040503050406030204" pitchFamily="18" charset="0"/>
                        <a:cs typeface="+mn-cs"/>
                      </a:rPr>
                      <m:t>𝐫</m:t>
                    </m:r>
                    <m:r>
                      <a:rPr lang="da-DK" sz="1000" b="0" i="0">
                        <a:solidFill>
                          <a:schemeClr val="dk1"/>
                        </a:solidFill>
                        <a:effectLst/>
                        <a:latin typeface="Cambria Math" panose="02040503050406030204" pitchFamily="18" charset="0"/>
                        <a:ea typeface="Cambria Math" panose="02040503050406030204" pitchFamily="18" charset="0"/>
                        <a:cs typeface="+mn-cs"/>
                      </a:rPr>
                      <m:t>=</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m:t>
                    </m:r>
                    <m:r>
                      <a:rPr lang="da-DK" sz="1000" b="0" i="0">
                        <a:solidFill>
                          <a:schemeClr val="dk1"/>
                        </a:solidFill>
                        <a:effectLst/>
                        <a:latin typeface="Cambria Math" panose="02040503050406030204" pitchFamily="18" charset="0"/>
                        <a:ea typeface="Cambria Math" panose="02040503050406030204" pitchFamily="18" charset="0"/>
                        <a:cs typeface="+mn-cs"/>
                      </a:rPr>
                      <m:t> 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x</m:t>
                    </m:r>
                    <m:r>
                      <a:rPr lang="da-DK" sz="1000" b="0" i="0">
                        <a:solidFill>
                          <a:schemeClr val="dk1"/>
                        </a:solidFill>
                        <a:effectLst/>
                        <a:latin typeface="Cambria Math" panose="02040503050406030204" pitchFamily="18" charset="0"/>
                        <a:ea typeface="Cambria Math" panose="02040503050406030204" pitchFamily="18" charset="0"/>
                        <a:cs typeface="+mn-cs"/>
                      </a:rPr>
                      <m:t>−1)×</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a:rPr lang="da-DK" sz="1000" b="0" i="0">
                            <a:solidFill>
                              <a:schemeClr val="dk1"/>
                            </a:solidFill>
                            <a:effectLst/>
                            <a:latin typeface="Cambria Math" panose="02040503050406030204" pitchFamily="18" charset="0"/>
                            <a:ea typeface="Cambria Math" panose="02040503050406030204" pitchFamily="18" charset="0"/>
                            <a:cs typeface="+mn-cs"/>
                          </a:rPr>
                          <m:t>1+</m:t>
                        </m:r>
                        <m:f>
                          <m:fPr>
                            <m:ctrlPr>
                              <a:rPr lang="da-DK" sz="1000" b="0"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ndstofprisstigning</m:t>
                            </m:r>
                            <m:r>
                              <a:rPr lang="da-DK" sz="1000" b="0" i="0">
                                <a:solidFill>
                                  <a:schemeClr val="dk1"/>
                                </a:solidFill>
                                <a:effectLst/>
                                <a:latin typeface="Cambria Math" panose="02040503050406030204" pitchFamily="18" charset="0"/>
                                <a:ea typeface="Cambria Math" panose="02040503050406030204" pitchFamily="18" charset="0"/>
                                <a:cs typeface="+mn-cs"/>
                              </a:rPr>
                              <m:t> %</m:t>
                            </m:r>
                          </m:num>
                          <m:den>
                            <m:r>
                              <a:rPr lang="da-DK" sz="1000" b="0" i="0">
                                <a:solidFill>
                                  <a:schemeClr val="dk1"/>
                                </a:solidFill>
                                <a:effectLst/>
                                <a:latin typeface="Cambria Math" panose="02040503050406030204" pitchFamily="18" charset="0"/>
                                <a:ea typeface="Cambria Math" panose="02040503050406030204" pitchFamily="18" charset="0"/>
                                <a:cs typeface="+mn-cs"/>
                              </a:rPr>
                              <m:t>100</m:t>
                            </m:r>
                          </m:den>
                        </m:f>
                      </m:e>
                    </m:d>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𝐄𝐥𝐩𝐫𝐢𝐬</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Elpris</m:t>
                    </m:r>
                    <m:r>
                      <a:rPr lang="da-DK" sz="1000" b="0" i="0">
                        <a:latin typeface="Cambria Math" panose="02040503050406030204" pitchFamily="18" charset="0"/>
                      </a:rPr>
                      <m:t> å</m:t>
                    </m:r>
                    <m:r>
                      <m:rPr>
                        <m:sty m:val="p"/>
                      </m:rPr>
                      <a:rPr lang="da-DK" sz="1000" b="0" i="0">
                        <a:latin typeface="Cambria Math" panose="02040503050406030204" pitchFamily="18" charset="0"/>
                      </a:rPr>
                      <m:t>r</m:t>
                    </m:r>
                    <m:r>
                      <a:rPr lang="da-DK" sz="1000" b="0" i="0">
                        <a:latin typeface="Cambria Math" panose="02040503050406030204" pitchFamily="18" charset="0"/>
                      </a:rPr>
                      <m:t> (</m:t>
                    </m:r>
                    <m:r>
                      <m:rPr>
                        <m:sty m:val="p"/>
                      </m:rPr>
                      <a:rPr lang="da-DK" sz="1000" b="0" i="0">
                        <a:latin typeface="Cambria Math" panose="02040503050406030204" pitchFamily="18" charset="0"/>
                      </a:rPr>
                      <m:t>x</m:t>
                    </m:r>
                    <m:r>
                      <a:rPr lang="da-DK" sz="1000" b="0" i="0">
                        <a:latin typeface="Cambria Math" panose="02040503050406030204" pitchFamily="18" charset="0"/>
                      </a:rPr>
                      <m:t>−1)×</m:t>
                    </m:r>
                    <m:d>
                      <m:dPr>
                        <m:ctrlPr>
                          <a:rPr lang="da-DK" sz="1000" b="0" i="1">
                            <a:latin typeface="Cambria Math" panose="02040503050406030204" pitchFamily="18" charset="0"/>
                          </a:rPr>
                        </m:ctrlPr>
                      </m:dPr>
                      <m:e>
                        <m:r>
                          <a:rPr lang="da-DK" sz="1000" b="0" i="0">
                            <a:latin typeface="Cambria Math" panose="02040503050406030204" pitchFamily="18" charset="0"/>
                          </a:rPr>
                          <m:t>1+</m:t>
                        </m:r>
                        <m:f>
                          <m:fPr>
                            <m:ctrlPr>
                              <a:rPr lang="da-DK" sz="1000" b="0" i="1">
                                <a:latin typeface="Cambria Math" panose="02040503050406030204" pitchFamily="18" charset="0"/>
                              </a:rPr>
                            </m:ctrlPr>
                          </m:fPr>
                          <m:num>
                            <m:r>
                              <m:rPr>
                                <m:sty m:val="p"/>
                              </m:rPr>
                              <a:rPr lang="da-DK" sz="1000" b="0" i="0">
                                <a:latin typeface="Cambria Math" panose="02040503050406030204" pitchFamily="18" charset="0"/>
                              </a:rPr>
                              <m:t>Elprisstigning</m:t>
                            </m:r>
                            <m:r>
                              <a:rPr lang="da-DK" sz="1000" b="0" i="0">
                                <a:latin typeface="Cambria Math" panose="02040503050406030204" pitchFamily="18" charset="0"/>
                              </a:rPr>
                              <m:t> %</m:t>
                            </m:r>
                          </m:num>
                          <m:den>
                            <m:r>
                              <a:rPr lang="da-DK" sz="1000" b="0" i="0">
                                <a:latin typeface="Cambria Math" panose="02040503050406030204" pitchFamily="18" charset="0"/>
                              </a:rPr>
                              <m:t>100</m:t>
                            </m:r>
                          </m:den>
                        </m:f>
                      </m:e>
                    </m:d>
                  </m:oMath>
                </m:oMathPara>
              </a14:m>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𝐛𝐞𝐧𝐳𝐢𝐧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𝐝𝐢𝐞𝐬𝐞𝐥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r>
                    <a:rPr lang="da-DK"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oMath>
              </a14:m>
              <a:r>
                <a:rPr lang="da-DK">
                  <a:effectLst/>
                  <a:latin typeface="Arial" panose="020B0604020202020204" pitchFamily="34" charset="0"/>
                  <a:cs typeface="Arial" panose="020B0604020202020204" pitchFamily="34" charset="0"/>
                </a:rPr>
                <a:t> </a:t>
              </a:r>
              <a14:m>
                <m:oMath xmlns:m="http://schemas.openxmlformats.org/officeDocument/2006/math">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𝐞𝐥</m:t>
                      </m:r>
                    </m:e>
                  </m:d>
                </m:oMath>
              </a14:m>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𝐫𝐥𝐢𝐠𝐭</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𝐟𝐨𝐫𝐛𝐫𝐮𝐠</m:t>
                  </m:r>
                  <m:r>
                    <a:rPr lang="da-DK"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𝐩𝐥𝐮𝐠𝐢𝐧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e>
                  </m:d>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14:m>
                <m:oMath xmlns:m="http://schemas.openxmlformats.org/officeDocument/2006/math">
                  <m:r>
                    <a:rPr lang="en-US" sz="1100" b="1" i="0">
                      <a:solidFill>
                        <a:schemeClr val="dk1"/>
                      </a:solidFill>
                      <a:effectLst/>
                      <a:latin typeface="Cambria Math" panose="02040503050406030204" pitchFamily="18" charset="0"/>
                      <a:ea typeface="+mn-ea"/>
                      <a:cs typeface="+mn-cs"/>
                    </a:rPr>
                    <m:t>𝐒𝐚𝐦𝐟𝐮𝐧𝐝𝐬</m:t>
                  </m:r>
                  <m:r>
                    <a:rPr lang="en-US" sz="1100" b="1" i="0">
                      <a:solidFill>
                        <a:schemeClr val="dk1"/>
                      </a:solidFill>
                      <a:effectLst/>
                      <a:latin typeface="Cambria Math" panose="02040503050406030204" pitchFamily="18" charset="0"/>
                      <a:ea typeface="+mn-ea"/>
                      <a:cs typeface="+mn-cs"/>
                    </a:rPr>
                    <m:t>ø</m:t>
                  </m:r>
                  <m:r>
                    <a:rPr lang="en-US" sz="1100" b="1" i="0">
                      <a:solidFill>
                        <a:schemeClr val="dk1"/>
                      </a:solidFill>
                      <a:effectLst/>
                      <a:latin typeface="Cambria Math" panose="02040503050406030204" pitchFamily="18" charset="0"/>
                      <a:ea typeface="+mn-ea"/>
                      <a:cs typeface="+mn-cs"/>
                    </a:rPr>
                    <m:t>𝐤𝐨𝐧𝐨𝐦𝐢𝐬𝐤𝐞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𝐨𝐦𝐤𝐨𝐬𝐭𝐧𝐢𝐧𝐠𝐞𝐫</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𝐟𝐨𝐫𝐛𝐮𝐧𝐝𝐞𝐭</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𝐦𝐞𝐝</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𝐛𝐫𝐮𝐠𝐬𝐟𝐚𝐬𝐞𝐧𝐬</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𝐮𝐝𝐥𝐞𝐝𝐧𝐢𝐧𝐠𝐞𝐫</m:t>
                  </m:r>
                  <m:r>
                    <a:rPr lang="en-US"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Samlet</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udledning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emissioner</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fra</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brugsfasen</m:t>
                  </m:r>
                  <m:r>
                    <a:rPr lang="en-US" sz="1100" b="0" i="0">
                      <a:solidFill>
                        <a:schemeClr val="dk1"/>
                      </a:solidFill>
                      <a:effectLst/>
                      <a:latin typeface="Cambria Math" panose="02040503050406030204" pitchFamily="18" charset="0"/>
                      <a:ea typeface="+mn-ea"/>
                      <a:cs typeface="+mn-cs"/>
                    </a:rPr>
                    <m:t> </m:t>
                  </m:r>
                  <m:d>
                    <m:dPr>
                      <m:ctrlPr>
                        <a:rPr lang="en-US" sz="1100" b="0" i="1">
                          <a:solidFill>
                            <a:schemeClr val="dk1"/>
                          </a:solidFill>
                          <a:effectLst/>
                          <a:latin typeface="Cambria Math" panose="02040503050406030204" pitchFamily="18" charset="0"/>
                          <a:ea typeface="+mn-ea"/>
                          <a:cs typeface="+mn-cs"/>
                        </a:rPr>
                      </m:ctrlPr>
                    </m:dPr>
                    <m:e>
                      <m:r>
                        <m:rPr>
                          <m:sty m:val="p"/>
                        </m:rPr>
                        <a:rPr lang="en-US" sz="1100" b="0" i="0">
                          <a:solidFill>
                            <a:schemeClr val="dk1"/>
                          </a:solidFill>
                          <a:effectLst/>
                          <a:latin typeface="Cambria Math" panose="02040503050406030204" pitchFamily="18" charset="0"/>
                          <a:ea typeface="+mn-ea"/>
                          <a:cs typeface="+mn-cs"/>
                        </a:rPr>
                        <m:t>tons</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e>
                  </m:d>
                  <m:r>
                    <a:rPr lang="en-US" sz="1100" b="0"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omkostningsfaktor</m:t>
                  </m:r>
                  <m:r>
                    <a:rPr lang="en-US" sz="1100" b="0" i="0">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m:t>
                  </m:r>
                  <m:f>
                    <m:fPr>
                      <m:ctrlPr>
                        <a:rPr lang="en-US" sz="1100" b="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𝑘𝑟</m:t>
                      </m:r>
                      <m:r>
                        <a:rPr lang="en-US" sz="1100" b="0" i="1">
                          <a:solidFill>
                            <a:schemeClr val="dk1"/>
                          </a:solidFill>
                          <a:effectLst/>
                          <a:latin typeface="Cambria Math" panose="02040503050406030204" pitchFamily="18" charset="0"/>
                          <a:ea typeface="+mn-ea"/>
                          <a:cs typeface="+mn-cs"/>
                        </a:rPr>
                        <m:t>.</m:t>
                      </m:r>
                    </m:num>
                    <m:den>
                      <m:r>
                        <a:rPr lang="en-US" sz="1100" b="0" i="1">
                          <a:solidFill>
                            <a:schemeClr val="dk1"/>
                          </a:solidFill>
                          <a:effectLst/>
                          <a:latin typeface="Cambria Math" panose="02040503050406030204" pitchFamily="18" charset="0"/>
                          <a:ea typeface="+mn-ea"/>
                          <a:cs typeface="+mn-cs"/>
                        </a:rPr>
                        <m:t>𝑇𝑜𝑛𝑠</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𝐶𝑂</m:t>
                      </m:r>
                      <m:r>
                        <a:rPr lang="en-US" sz="1100" b="0" i="1">
                          <a:solidFill>
                            <a:schemeClr val="dk1"/>
                          </a:solidFill>
                          <a:effectLst/>
                          <a:latin typeface="Cambria Math" panose="02040503050406030204" pitchFamily="18" charset="0"/>
                          <a:ea typeface="+mn-ea"/>
                          <a:cs typeface="+mn-cs"/>
                        </a:rPr>
                        <m:t>2</m:t>
                      </m:r>
                      <m:r>
                        <a:rPr lang="en-US" sz="1100" b="0" i="1">
                          <a:solidFill>
                            <a:schemeClr val="dk1"/>
                          </a:solidFill>
                          <a:effectLst/>
                          <a:latin typeface="Cambria Math" panose="02040503050406030204" pitchFamily="18" charset="0"/>
                          <a:ea typeface="+mn-ea"/>
                          <a:cs typeface="+mn-cs"/>
                        </a:rPr>
                        <m:t>𝑒</m:t>
                      </m:r>
                      <m:r>
                        <a:rPr lang="en-US" sz="1100" b="0" i="0">
                          <a:solidFill>
                            <a:schemeClr val="dk1"/>
                          </a:solidFill>
                          <a:effectLst/>
                          <a:latin typeface="Cambria Math" panose="02040503050406030204" pitchFamily="18" charset="0"/>
                          <a:ea typeface="+mn-ea"/>
                          <a:cs typeface="+mn-cs"/>
                        </a:rPr>
                        <m:t> </m:t>
                      </m:r>
                    </m:den>
                  </m:f>
                </m:oMath>
              </a14:m>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𝐍𝐮𝐭𝐢𝐝𝐬𝐯</m:t>
                    </m:r>
                    <m:r>
                      <a:rPr lang="da-DK" sz="1000" b="1" i="0">
                        <a:latin typeface="Cambria Math" panose="02040503050406030204" pitchFamily="18" charset="0"/>
                      </a:rPr>
                      <m:t>æ</m:t>
                    </m:r>
                    <m:r>
                      <a:rPr lang="da-DK" sz="1000" b="1" i="0">
                        <a:latin typeface="Cambria Math" panose="02040503050406030204" pitchFamily="18" charset="0"/>
                      </a:rPr>
                      <m:t>𝐫𝐝𝐢𝐞𝐧</m:t>
                    </m:r>
                    <m:r>
                      <a:rPr lang="da-DK" sz="1000" b="1" i="0">
                        <a:latin typeface="Cambria Math" panose="02040503050406030204" pitchFamily="18" charset="0"/>
                      </a:rPr>
                      <m:t> </m:t>
                    </m:r>
                    <m:r>
                      <a:rPr lang="da-DK" sz="1000" b="1" i="0">
                        <a:latin typeface="Cambria Math" panose="02040503050406030204" pitchFamily="18" charset="0"/>
                      </a:rPr>
                      <m:t>𝐚𝐟</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𝐝𝐫𝐢𝐟𝐭𝐬𝐨𝐦𝐤𝐨𝐬𝐭𝐧𝐢𝐧𝐠𝐞𝐧</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Driftsomkostning</m:t>
                    </m:r>
                    <m:r>
                      <a:rPr lang="da-DK" sz="1000" b="0" i="0">
                        <a:latin typeface="Cambria Math" panose="02040503050406030204" pitchFamily="18" charset="0"/>
                      </a:rPr>
                      <m:t> </m:t>
                    </m:r>
                    <m:r>
                      <m:rPr>
                        <m:sty m:val="p"/>
                      </m:rPr>
                      <a:rPr lang="da-DK" sz="1000" b="0" i="0">
                        <a:latin typeface="Cambria Math" panose="02040503050406030204" pitchFamily="18" charset="0"/>
                      </a:rPr>
                      <m:t>i</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Sup>
                      <m:sSupPr>
                        <m:ctrlPr>
                          <a:rPr lang="da-DK" sz="1000" b="0" i="1">
                            <a:latin typeface="Cambria Math" panose="02040503050406030204" pitchFamily="18" charset="0"/>
                          </a:rPr>
                        </m:ctrlPr>
                      </m:sSupPr>
                      <m:e>
                        <m:r>
                          <a:rPr lang="da-DK" sz="1000" b="0" i="0">
                            <a:latin typeface="Cambria Math" panose="02040503050406030204" pitchFamily="18" charset="0"/>
                            <a:ea typeface="Cambria Math" panose="02040503050406030204" pitchFamily="18" charset="0"/>
                          </a:rPr>
                          <m:t>×</m:t>
                        </m:r>
                        <m:r>
                          <a:rPr lang="da-DK" sz="1000" b="0" i="0">
                            <a:latin typeface="Cambria Math" panose="02040503050406030204" pitchFamily="18" charset="0"/>
                          </a:rPr>
                          <m:t>(1+</m:t>
                        </m:r>
                        <m:r>
                          <m:rPr>
                            <m:sty m:val="p"/>
                          </m:rPr>
                          <a:rPr lang="da-DK" sz="1000" b="0" i="0">
                            <a:latin typeface="Cambria Math" panose="02040503050406030204" pitchFamily="18" charset="0"/>
                          </a:rPr>
                          <m:t>diskonteringsrente</m:t>
                        </m:r>
                        <m:r>
                          <a:rPr lang="da-DK" sz="1000" b="0" i="0">
                            <a:latin typeface="Cambria Math" panose="02040503050406030204" pitchFamily="18" charset="0"/>
                          </a:rPr>
                          <m:t>)</m:t>
                        </m:r>
                      </m:e>
                      <m:sup>
                        <m:r>
                          <a:rPr lang="da-DK" sz="1000" b="0" i="0">
                            <a:latin typeface="Cambria Math" panose="02040503050406030204" pitchFamily="18" charset="0"/>
                          </a:rPr>
                          <m:t>−</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up>
                    </m:sSup>
                  </m:oMath>
                </m:oMathPara>
              </a14:m>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latin typeface="Cambria Math" panose="02040503050406030204" pitchFamily="18" charset="0"/>
                        <a:ea typeface="+mn-ea"/>
                        <a:cs typeface="+mn-cs"/>
                      </a:rPr>
                      <m:t>𝐆𝐞𝐧𝐧𝐞𝐦𝐬𝐧𝐢𝐭𝐥𝐢𝐠𝐞</m:t>
                    </m:r>
                    <m:r>
                      <a:rPr lang="da-DK" sz="1000" b="1" i="0">
                        <a:solidFill>
                          <a:schemeClr val="dk1"/>
                        </a:solidFill>
                        <a:latin typeface="Cambria Math" panose="02040503050406030204" pitchFamily="18" charset="0"/>
                        <a:ea typeface="+mn-ea"/>
                        <a:cs typeface="+mn-cs"/>
                      </a:rPr>
                      <m:t> å</m:t>
                    </m:r>
                    <m:r>
                      <a:rPr lang="da-DK" sz="1000" b="1" i="0">
                        <a:solidFill>
                          <a:schemeClr val="dk1"/>
                        </a:solidFill>
                        <a:latin typeface="Cambria Math" panose="02040503050406030204" pitchFamily="18" charset="0"/>
                        <a:ea typeface="+mn-ea"/>
                        <a:cs typeface="+mn-cs"/>
                      </a:rPr>
                      <m:t>𝐫𝐥𝐢𝐠𝐞</m:t>
                    </m:r>
                    <m:r>
                      <a:rPr lang="da-DK" sz="1000" b="1" i="0">
                        <a:solidFill>
                          <a:schemeClr val="dk1"/>
                        </a:solidFill>
                        <a:latin typeface="Cambria Math" panose="02040503050406030204" pitchFamily="18" charset="0"/>
                        <a:ea typeface="+mn-ea"/>
                        <a:cs typeface="+mn-cs"/>
                      </a:rPr>
                      <m:t> </m:t>
                    </m:r>
                    <m:r>
                      <a:rPr lang="da-DK" sz="1000" b="1" i="0">
                        <a:solidFill>
                          <a:schemeClr val="dk1"/>
                        </a:solidFill>
                        <a:latin typeface="Cambria Math" panose="02040503050406030204" pitchFamily="18" charset="0"/>
                        <a:ea typeface="+mn-ea"/>
                        <a:cs typeface="+mn-cs"/>
                      </a:rPr>
                      <m:t>𝐨𝐦𝐤𝐨𝐬𝐭𝐧𝐢𝐧𝐠𝐞𝐫</m:t>
                    </m:r>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Nutidsv</m:t>
                    </m:r>
                    <m:r>
                      <a:rPr lang="da-DK" sz="1000" b="1" i="0">
                        <a:solidFill>
                          <a:schemeClr val="dk1"/>
                        </a:solidFill>
                        <a:latin typeface="Cambria Math" panose="02040503050406030204" pitchFamily="18" charset="0"/>
                        <a:ea typeface="+mn-ea"/>
                        <a:cs typeface="+mn-cs"/>
                      </a:rPr>
                      <m:t>æ</m:t>
                    </m:r>
                    <m:r>
                      <m:rPr>
                        <m:sty m:val="p"/>
                      </m:rPr>
                      <a:rPr lang="da-DK" sz="1000" b="1" i="0">
                        <a:solidFill>
                          <a:schemeClr val="dk1"/>
                        </a:solidFill>
                        <a:latin typeface="Cambria Math" panose="02040503050406030204" pitchFamily="18" charset="0"/>
                        <a:ea typeface="+mn-ea"/>
                        <a:cs typeface="+mn-cs"/>
                      </a:rPr>
                      <m:t>rdi</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af</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omkostninger</m:t>
                    </m:r>
                    <m:r>
                      <a:rPr lang="da-DK" sz="1000" b="1" i="0">
                        <a:solidFill>
                          <a:schemeClr val="dk1"/>
                        </a:solidFill>
                        <a:latin typeface="Cambria Math" panose="02040503050406030204" pitchFamily="18" charset="0"/>
                        <a:ea typeface="+mn-ea"/>
                        <a:cs typeface="+mn-cs"/>
                      </a:rPr>
                      <m:t> × </m:t>
                    </m:r>
                    <m:sSup>
                      <m:sSupPr>
                        <m:ctrlPr>
                          <a:rPr lang="da-DK" sz="1000" b="1" i="1">
                            <a:solidFill>
                              <a:schemeClr val="dk1"/>
                            </a:solidFill>
                            <a:latin typeface="Cambria Math" panose="02040503050406030204" pitchFamily="18" charset="0"/>
                            <a:ea typeface="+mn-ea"/>
                            <a:cs typeface="+mn-cs"/>
                          </a:rPr>
                        </m:ctrlPr>
                      </m:sSupPr>
                      <m:e>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/(1−(1+</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m:t>
                        </m:r>
                      </m:e>
                      <m:sup>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𝐓𝐂𝐎</m:t>
                        </m:r>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𝐞𝐯𝐚𝐥𝐮𝐞𝐫𝐢𝐧𝐠𝐬𝐩𝐞𝐫𝐢𝐨𝐝𝐞</m:t>
                        </m:r>
                        <m:r>
                          <a:rPr lang="da-DK" sz="1000" b="1" i="0">
                            <a:solidFill>
                              <a:schemeClr val="dk1"/>
                            </a:solidFill>
                            <a:latin typeface="Cambria Math" panose="02040503050406030204" pitchFamily="18" charset="0"/>
                            <a:ea typeface="+mn-ea"/>
                            <a:cs typeface="+mn-cs"/>
                          </a:rPr>
                          <m:t> </m:t>
                        </m:r>
                      </m:sup>
                    </m:sSup>
                  </m:oMath>
                </m:oMathPara>
              </a14:m>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Choice>
      <mc:Fallback xmlns="">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8"/>
              <a:ext cx="8940983" cy="13658851"/>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r>
                <a:rPr lang="da-DK" sz="1000" b="1" i="0">
                  <a:latin typeface="Cambria Math" panose="02040503050406030204" pitchFamily="18" charset="0"/>
                </a:rPr>
                <a:t>𝐓𝐂𝐎</a:t>
              </a:r>
              <a:r>
                <a:rPr lang="da-DK" sz="1000" b="0" i="0">
                  <a:latin typeface="Cambria Math" panose="02040503050406030204" pitchFamily="18" charset="0"/>
                </a:rPr>
                <a:t>=Investeringsomkostning+summen af nutidsværdi af driftsomkostningerne i alle år</a:t>
              </a:r>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r>
                <a:rPr lang="da-DK" sz="1000" b="1" i="0">
                  <a:latin typeface="Cambria Math" panose="02040503050406030204" pitchFamily="18" charset="0"/>
                </a:rPr>
                <a:t>𝐈𝐧𝐯𝐞𝐬𝐭𝐞𝐫𝐢𝐧𝐠𝐬𝐨𝐦𝐤𝐨𝐬𝐭𝐧𝐢𝐧𝐠</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chemeClr val="dk1"/>
                  </a:solidFill>
                  <a:latin typeface="Cambria Math" panose="02040503050406030204" pitchFamily="18" charset="0"/>
                  <a:ea typeface="+mn-ea"/>
                  <a:cs typeface="+mn-cs"/>
                </a:rPr>
                <a:t>(indkøbspris køretøj+indkøbspris evt. ekstra garantiperiode+(evt. indkøbspris til ladestandere </a:t>
              </a:r>
              <a:r>
                <a:rPr lang="da-DK" sz="1000" b="0" i="0">
                  <a:solidFill>
                    <a:schemeClr val="dk1"/>
                  </a:solidFill>
                  <a:latin typeface="Cambria Math" panose="02040503050406030204" pitchFamily="18" charset="0"/>
                  <a:ea typeface="Cambria Math" panose="02040503050406030204" pitchFamily="18" charset="0"/>
                  <a:cs typeface="+mn-cs"/>
                </a:rPr>
                <a:t>×</a:t>
              </a:r>
              <a:r>
                <a:rPr lang="da-DK" sz="1000" b="0" i="0">
                  <a:solidFill>
                    <a:schemeClr val="dk1"/>
                  </a:solidFill>
                  <a:latin typeface="Cambria Math" panose="02040503050406030204" pitchFamily="18" charset="0"/>
                  <a:ea typeface="+mn-ea"/>
                  <a:cs typeface="+mn-cs"/>
                </a:rPr>
                <a:t> (TCO evalueringsperiode)/(levetid for ladestandere)))×antal produkter</a:t>
              </a:r>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𝐊ø𝐫𝐞𝐭ø𝐣𝐞𝐭𝐬 𝐝𝐫𝐢𝐟𝐭𝐬𝐨𝐦𝐤𝐨𝐬𝐭𝐧𝐢𝐧𝐠 𝐢 𝐝𝐞𝐭 𝐩å𝐠æ𝐥𝐝𝐞𝐧𝐝𝐞 å𝐫 </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ysClr val="windowText" lastClr="000000"/>
                  </a:solidFill>
                  <a:latin typeface="Cambria Math" panose="02040503050406030204" pitchFamily="18" charset="0"/>
                </a:rPr>
                <a:t>(Køretøjets årlige forbrug af drivmiddel </a:t>
              </a:r>
              <a:r>
                <a:rPr lang="da-DK" sz="1000" b="0" i="0">
                  <a:solidFill>
                    <a:sysClr val="windowText" lastClr="000000"/>
                  </a:solidFill>
                  <a:latin typeface="Cambria Math" panose="02040503050406030204" pitchFamily="18" charset="0"/>
                  <a:ea typeface="Cambria Math" panose="02040503050406030204" pitchFamily="18" charset="0"/>
                </a:rPr>
                <a:t>×pris på drivmidlet)×antal produkter</a:t>
              </a:r>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mn-ea"/>
                  <a:cs typeface="+mn-cs"/>
                </a:rPr>
                <a:t>Å𝐫𝐥𝐢𝐠𝐭 𝐛𝐫æ𝐧𝐝𝐬𝐭𝐨𝐟𝐟𝐨𝐫𝐛𝐫𝐮𝐠 (𝐯𝐞𝐝 𝐛𝐞𝐧𝐳𝐢𝐧 𝐞𝐥. 𝐝𝐢𝐞𝐬𝐞𝐥 𝐞𝐥. 𝐡𝐲𝐛𝐫𝐢𝐝) </a:t>
              </a:r>
              <a:r>
                <a:rPr lang="da-DK" sz="1000" b="0" i="0">
                  <a:solidFill>
                    <a:schemeClr val="dk1"/>
                  </a:solidFill>
                  <a:effectLst/>
                  <a:latin typeface="Cambria Math" panose="02040503050406030204" pitchFamily="18" charset="0"/>
                  <a:ea typeface="+mn-ea"/>
                  <a:cs typeface="+mn-cs"/>
                </a:rPr>
                <a:t>=(årligt kørselsforbrug (km))/(brændstofforbrug ifølge WLTP (km/liter))</a:t>
              </a:r>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r>
                <a:rPr lang="da-DK" sz="1000" b="1" i="0">
                  <a:solidFill>
                    <a:sysClr val="windowText" lastClr="000000"/>
                  </a:solidFill>
                  <a:effectLst/>
                  <a:latin typeface="Cambria Math" panose="02040503050406030204" pitchFamily="18" charset="0"/>
                  <a:ea typeface="+mn-ea"/>
                  <a:cs typeface="+mn-cs"/>
                </a:rPr>
                <a:t>Å𝐫𝐥𝐢𝐠𝐭 𝐟𝐨𝐫𝐛𝐫𝐮𝐠 (𝐯𝐞𝐝 𝐞𝐥 𝐮𝐝𝐞𝐧 𝐚𝐛𝐨𝐧𝐧𝐞𝐦𝐞𝐧𝐭)=</a:t>
              </a:r>
              <a:r>
                <a:rPr lang="da-DK" sz="1000" b="1" i="0">
                  <a:solidFill>
                    <a:sysClr val="windowText" lastClr="000000"/>
                  </a:solidFill>
                  <a:effectLst/>
                  <a:latin typeface="Arial" panose="020B0604020202020204" pitchFamily="34" charset="0"/>
                  <a:ea typeface="+mn-ea"/>
                  <a:cs typeface="Arial" panose="020B0604020202020204" pitchFamily="34" charset="0"/>
                </a:rPr>
                <a:t> </a:t>
              </a:r>
              <a:r>
                <a:rPr lang="da-DK" sz="1000" b="0" i="0">
                  <a:solidFill>
                    <a:sysClr val="windowText" lastClr="000000"/>
                  </a:solidFill>
                  <a:effectLst/>
                  <a:latin typeface="Cambria Math" panose="02040503050406030204" pitchFamily="18" charset="0"/>
                  <a:ea typeface="+mn-ea"/>
                  <a:cs typeface="+mn-cs"/>
                </a:rPr>
                <a:t>årligt kørselsforbrug (km)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a:t>
              </a:r>
              <a:r>
                <a:rPr lang="da-DK" sz="1000" b="0" i="0">
                  <a:solidFill>
                    <a:sysClr val="windowText" lastClr="000000"/>
                  </a:solidFill>
                  <a:effectLst/>
                  <a:latin typeface="Cambria Math" panose="02040503050406030204" pitchFamily="18" charset="0"/>
                  <a:ea typeface="+mn-ea"/>
                  <a:cs typeface="+mn-cs"/>
                </a:rPr>
                <a:t>elforbrug ifølge WLTP (Wh/km)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  </a:t>
              </a:r>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000" b="1" i="0">
                  <a:solidFill>
                    <a:schemeClr val="dk1"/>
                  </a:solidFill>
                  <a:effectLst/>
                  <a:latin typeface="Cambria Math" panose="02040503050406030204" pitchFamily="18" charset="0"/>
                  <a:ea typeface="Cambria Math" panose="02040503050406030204" pitchFamily="18" charset="0"/>
                  <a:cs typeface="+mn-cs"/>
                </a:rPr>
                <a:t>Å𝐫𝐥𝐢𝐠𝐭 𝐟𝐨𝐫𝐛𝐫𝐮𝐠 (𝐯𝐞𝐝 𝐩𝐥𝐮𝐠𝐢𝐧 𝐡𝐲𝐛𝐫𝐢𝐝)=(</a:t>
              </a:r>
              <a:r>
                <a:rPr lang="da-DK" sz="1000" b="0" i="0">
                  <a:solidFill>
                    <a:schemeClr val="dk1"/>
                  </a:solidFill>
                  <a:effectLst/>
                  <a:latin typeface="Cambria Math" panose="02040503050406030204" pitchFamily="18" charset="0"/>
                  <a:ea typeface="Cambria Math" panose="02040503050406030204" pitchFamily="18" charset="0"/>
                  <a:cs typeface="+mn-cs"/>
                </a:rPr>
                <a:t>årligt kørselsforbrug på brændstof (km)  </a:t>
              </a:r>
              <a:r>
                <a:rPr lang="da-DK" sz="1000" b="1" i="0">
                  <a:solidFill>
                    <a:schemeClr val="dk1"/>
                  </a:solidFill>
                  <a:effectLst/>
                  <a:latin typeface="Cambria Math" panose="02040503050406030204" pitchFamily="18" charset="0"/>
                  <a:ea typeface="Cambria Math" panose="02040503050406030204" pitchFamily="18" charset="0"/>
                  <a:cs typeface="+mn-cs"/>
                </a:rPr>
                <a:t>)/(brændstofforbrug ifølge WLTP (km/</a:t>
              </a:r>
              <a:r>
                <a:rPr lang="da-DK" sz="1000" b="0" i="0">
                  <a:solidFill>
                    <a:schemeClr val="dk1"/>
                  </a:solidFill>
                  <a:effectLst/>
                  <a:latin typeface="Cambria Math" panose="02040503050406030204" pitchFamily="18" charset="0"/>
                  <a:ea typeface="Cambria Math" panose="02040503050406030204" pitchFamily="18" charset="0"/>
                  <a:cs typeface="+mn-cs"/>
                </a:rPr>
                <a:t>liter</a:t>
              </a:r>
              <a:r>
                <a:rPr lang="da-DK" sz="1000" b="1" i="0">
                  <a:solidFill>
                    <a:schemeClr val="dk1"/>
                  </a:solidFill>
                  <a:effectLst/>
                  <a:latin typeface="Cambria Math" panose="02040503050406030204" pitchFamily="18" charset="0"/>
                  <a:ea typeface="Cambria Math" panose="02040503050406030204" pitchFamily="18" charset="0"/>
                  <a:cs typeface="+mn-cs"/>
                </a:rPr>
                <a:t>))+"</a:t>
              </a:r>
              <a:r>
                <a:rPr lang="da-DK" sz="1000" b="1"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 </a:t>
              </a:r>
              <a:r>
                <a:rPr lang="da-DK" sz="1000" b="0"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årligt forbrug på </a:t>
              </a:r>
              <a:r>
                <a:rPr lang="da-DK" sz="1000" b="0" i="0" baseline="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el</a:t>
              </a:r>
              <a:r>
                <a:rPr lang="en-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a:t>"</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Cambria Math" panose="02040503050406030204" pitchFamily="18" charset="0"/>
                  <a:cs typeface="+mn-cs"/>
                </a:rPr>
                <a:t>𝐁𝐫æ𝐧𝐝𝐬𝐭𝐨𝐟𝐩𝐫𝐢𝐬 𝐢 𝐝𝐞𝐭 𝐩å𝐠æ𝐥𝐝𝐞𝐧𝐝𝐞 å𝐫</a:t>
              </a:r>
              <a:r>
                <a:rPr lang="da-DK" sz="1000" b="0" i="0">
                  <a:solidFill>
                    <a:schemeClr val="dk1"/>
                  </a:solidFill>
                  <a:effectLst/>
                  <a:latin typeface="Cambria Math" panose="02040503050406030204" pitchFamily="18" charset="0"/>
                  <a:ea typeface="Cambria Math" panose="02040503050406030204" pitchFamily="18" charset="0"/>
                  <a:cs typeface="+mn-cs"/>
                </a:rPr>
                <a:t>=Brændstofpris år (x−1)×(1+(Brændstofprisstigning %)/100)</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r>
                <a:rPr lang="da-DK" sz="1000" b="1" i="0">
                  <a:latin typeface="Cambria Math" panose="02040503050406030204" pitchFamily="18" charset="0"/>
                </a:rPr>
                <a:t>𝐄𝐥𝐩𝐫𝐢𝐬 𝐢 𝐝𝐞𝐭 𝐩å𝐠æ𝐥𝐝𝐞𝐧𝐝𝐞 å𝐫</a:t>
              </a:r>
              <a:r>
                <a:rPr lang="da-DK" sz="1000" b="0" i="0">
                  <a:latin typeface="Cambria Math" panose="02040503050406030204" pitchFamily="18" charset="0"/>
                </a:rPr>
                <a:t>=Elpris år (x−1)×(1+(Elprisstigning %)/100)</a:t>
              </a:r>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𝐛𝐞𝐧𝐳𝐢𝐧 𝐞𝐥. 𝐝𝐢𝐞𝐬𝐞𝐥 𝐞𝐥. 𝐡𝐲𝐛𝐫𝐢𝐝) </a:t>
              </a:r>
              <a:r>
                <a:rPr lang="da-DK" sz="1100" b="0" i="0">
                  <a:solidFill>
                    <a:schemeClr val="dk1"/>
                  </a:solidFill>
                  <a:effectLst/>
                  <a:latin typeface="Cambria Math" panose="02040503050406030204" pitchFamily="18" charset="0"/>
                  <a:ea typeface="+mn-ea"/>
                  <a:cs typeface="+mn-cs"/>
                </a:rPr>
                <a:t>=</a:t>
              </a:r>
              <a:r>
                <a:rPr lang="da-DK">
                  <a:effectLst/>
                  <a:latin typeface="Arial" panose="020B0604020202020204" pitchFamily="34" charset="0"/>
                  <a:cs typeface="Arial" panose="020B0604020202020204" pitchFamily="34" charset="0"/>
                </a:rPr>
                <a:t> </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a:t>
              </a:r>
              <a:r>
                <a:rPr lang="en-US" sz="1100" b="1" i="0">
                  <a:solidFill>
                    <a:schemeClr val="dk1"/>
                  </a:solidFill>
                  <a:effectLst/>
                  <a:latin typeface="Cambria Math" panose="02040503050406030204" pitchFamily="18" charset="0"/>
                  <a:ea typeface="+mn-ea"/>
                  <a:cs typeface="+mn-cs"/>
                </a:rPr>
                <a:t>𝐞𝐥)</a:t>
              </a:r>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Å𝐫𝐥𝐢𝐠𝐭 𝐟𝐨𝐫𝐛𝐫𝐮𝐠 (𝐯𝐞𝐝 𝐩𝐥𝐮𝐠𝐢𝐧 𝐡𝐲𝐛𝐫𝐢𝐝)</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r>
                <a:rPr lang="en-US" sz="1100" b="1" i="0">
                  <a:solidFill>
                    <a:schemeClr val="dk1"/>
                  </a:solidFill>
                  <a:effectLst/>
                  <a:latin typeface="Cambria Math" panose="02040503050406030204" pitchFamily="18" charset="0"/>
                  <a:ea typeface="+mn-ea"/>
                  <a:cs typeface="+mn-cs"/>
                </a:rPr>
                <a:t>𝐒𝐚𝐦𝐟𝐮𝐧𝐝𝐬ø𝐤𝐨𝐧𝐨𝐦𝐢𝐬𝐤𝐞 𝐨𝐦𝐤𝐨𝐬𝐭𝐧𝐢𝐧𝐠𝐞𝐫 𝐟𝐨𝐫𝐛𝐮𝐧𝐝𝐞𝐭 𝐦𝐞𝐝 𝐛𝐫𝐮𝐠𝐬𝐟𝐚𝐬𝐞𝐧𝐬 𝐮𝐝𝐥𝐞𝐝𝐧𝐢𝐧𝐠𝐞𝐫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Samlet udledning af emissioner fra brugsfasen (tons CO2e)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omkostningsfaktor ((𝑘𝑟.)/(𝑇𝑜𝑛𝑠 𝐶𝑂2𝑒 )</a:t>
              </a:r>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𝐍𝐮𝐭𝐢𝐝𝐬𝐯æ𝐫𝐝𝐢𝐞𝐧 𝐚𝐟 𝐝𝐫𝐢𝐟𝐭𝐬𝐨𝐦𝐤𝐨𝐬𝐭𝐧𝐢𝐧𝐠𝐞𝐧 𝐢 𝐝𝐞𝐭 𝐩å𝐠æ𝐥𝐝𝐞𝐧𝐝𝐞 å𝐫</a:t>
              </a:r>
              <a:r>
                <a:rPr lang="da-DK" sz="1000" b="0" i="0">
                  <a:latin typeface="Cambria Math" panose="02040503050406030204" pitchFamily="18" charset="0"/>
                </a:rPr>
                <a:t>=Driftsomkostning i det⁡〖pågældende 〗 år 〖</a:t>
              </a:r>
              <a:r>
                <a:rPr lang="da-DK" sz="1000" b="0" i="0">
                  <a:latin typeface="Cambria Math" panose="02040503050406030204" pitchFamily="18" charset="0"/>
                  <a:ea typeface="Cambria Math" panose="02040503050406030204" pitchFamily="18" charset="0"/>
                </a:rPr>
                <a:t>×</a:t>
              </a:r>
              <a:r>
                <a:rPr lang="da-DK" sz="1000" b="0" i="0">
                  <a:latin typeface="Cambria Math" panose="02040503050406030204" pitchFamily="18" charset="0"/>
                </a:rPr>
                <a:t>(1+diskonteringsrente)〗^(−det⁡〖pågældende 〗 år )</a:t>
              </a:r>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r>
                <a:rPr lang="da-DK" sz="1000" b="1" i="0">
                  <a:solidFill>
                    <a:schemeClr val="dk1"/>
                  </a:solidFill>
                  <a:latin typeface="Cambria Math" panose="02040503050406030204" pitchFamily="18" charset="0"/>
                  <a:ea typeface="+mn-ea"/>
                  <a:cs typeface="+mn-cs"/>
                </a:rPr>
                <a:t>𝐆𝐞𝐧𝐧𝐞𝐦𝐬𝐧𝐢𝐭𝐥𝐢𝐠𝐞 å𝐫𝐥𝐢𝐠𝐞 𝐨𝐦𝐤𝐨𝐬𝐭𝐧𝐢𝐧𝐠𝐞𝐫=Nutidsværdi af omkostninger × 〖(diskonteringsrente/(1−(1+diskonteringsrente)〗^(−𝐓𝐂𝐎−𝐞𝐯𝐚𝐥𝐮𝐞𝐫𝐢𝐧𝐠𝐬𝐩𝐞𝐫𝐢𝐨𝐝𝐞 )</a:t>
              </a:r>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657225</xdr:colOff>
      <xdr:row>2</xdr:row>
      <xdr:rowOff>180975</xdr:rowOff>
    </xdr:from>
    <xdr:to>
      <xdr:col>11</xdr:col>
      <xdr:colOff>800100</xdr:colOff>
      <xdr:row>15</xdr:row>
      <xdr:rowOff>133350</xdr:rowOff>
    </xdr:to>
    <xdr:graphicFrame macro="">
      <xdr:nvGraphicFramePr>
        <xdr:cNvPr id="2" name="Diagram 3">
          <a:extLst>
            <a:ext uri="{FF2B5EF4-FFF2-40B4-BE49-F238E27FC236}">
              <a16:creationId xmlns:a16="http://schemas.microsoft.com/office/drawing/2014/main" id="{536C79B9-E389-4A2C-BFBD-3C55F4FED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657225</xdr:colOff>
      <xdr:row>2</xdr:row>
      <xdr:rowOff>180974</xdr:rowOff>
    </xdr:from>
    <xdr:to>
      <xdr:col>15</xdr:col>
      <xdr:colOff>800100</xdr:colOff>
      <xdr:row>18</xdr:row>
      <xdr:rowOff>47624</xdr:rowOff>
    </xdr:to>
    <xdr:graphicFrame macro="">
      <xdr:nvGraphicFramePr>
        <xdr:cNvPr id="2" name="Diagram 3">
          <a:extLst>
            <a:ext uri="{FF2B5EF4-FFF2-40B4-BE49-F238E27FC236}">
              <a16:creationId xmlns:a16="http://schemas.microsoft.com/office/drawing/2014/main" id="{7AEB019F-9C9E-4BA2-BD5E-C3E599ADF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KEO\Modelgruppen\Br&#230;ndselspriser\Br&#230;ndselspriser%202017\Back-up%20regneark%20for%20fossile%20br&#230;ndselspriser\Br&#230;ndselspriser%20BF2018%20-%20WEO17_endelige%20priser%20f&#248;r%20kvalitetssikr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sfile02.ens.local/03%20Team%20Modeller%20og%20analyser/Br&#230;ndselspriser/Br&#230;ndselspriser%202011/Regneark/Br&#230;ndselspriser%202010%20El%20og%20fjernvarme%20V12%20-%20endelig-endeli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Fremskrivninger\RAMSES\Simuleringer\2012\BF2012\2012-08-30%20BASIS%20ENDELIG\ElDHPriceToEMMA_30-08-2012.xls"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miljoestyrelsen-tco-vaerktoej-motorkoeretoejer-koeb-og-finansiel-leasing-2020-07-02-final.xlsm?1049F721" TargetMode="External"/><Relationship Id="rId1" Type="http://schemas.openxmlformats.org/officeDocument/2006/relationships/externalLinkPath" Target="file:///\\1049F721\miljoestyrelsen-tco-vaerktoej-motorkoeretoejer-koeb-og-finansiel-leasing-2020-07-02-fin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Fremskrivninger\RAMSES\Simuleringer\2012\BF2012\2012-10-08%20BASIS%20ENDELIG\ElDHPriceToEMMA_08-10-20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Info og Centrale forudsætninger"/>
      <sheetName val="Output til TIMES"/>
      <sheetName val="Output til RAMSES"/>
      <sheetName val="CO2-kvotepris"/>
      <sheetName val="Slutpriser - Centralt"/>
      <sheetName val="Slutpriser - Forward"/>
      <sheetName val="Slutpriser - IEA"/>
      <sheetName val="Tillæg an forbrugssted"/>
      <sheetName val="Naturgastariffer"/>
      <sheetName val="Historiske DK priser"/>
      <sheetName val="Historiske IEA priser"/>
      <sheetName val="Sammenligning - Råprisforløb"/>
      <sheetName val="Konvergenspriser (Centralt)"/>
      <sheetName val="Forwardpriser"/>
      <sheetName val="IEA-priser"/>
      <sheetName val="FM-priser"/>
      <sheetName val="EU-priser"/>
      <sheetName val="Omregningsfaktorer"/>
      <sheetName val="Deflator og Valutakurser"/>
    </sheetNames>
    <sheetDataSet>
      <sheetData sheetId="0"/>
      <sheetData sheetId="1">
        <row r="8">
          <cell r="B8">
            <v>2018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side"/>
      <sheetName val="Fossile priser (imp)"/>
      <sheetName val="Biomasse priser (imp)"/>
      <sheetName val="Koefficienter brændsler (imp)"/>
      <sheetName val="Fossile priser (omr)"/>
      <sheetName val="Biomasse priser (omr)"/>
      <sheetName val="Koefficienter brændsler (omr)"/>
      <sheetName val="RAMSES elpriser (imp)"/>
      <sheetName val="RAMSES el og varme (imp)"/>
      <sheetName val="Koefficienter el (imp)"/>
      <sheetName val="Koefficienter varme (imp)"/>
      <sheetName val="Emissionsfaktorer stationære an"/>
      <sheetName val="Emissionsfaktorer transport"/>
      <sheetName val="Emissionspriser etc (imp)"/>
      <sheetName val="Elpriser (omr)"/>
      <sheetName val="Fjernvarmepriser (omr)"/>
      <sheetName val="El-emissioner (omr)"/>
      <sheetName val="Fjernvarme-emissioner (omr)"/>
      <sheetName val="Emissionsfaktorer DMU (omr)"/>
      <sheetName val="Emissionspriser (omr)"/>
      <sheetName val="Figur 1 fossile priser"/>
      <sheetName val="Tabel 1"/>
      <sheetName val="Tabel 2"/>
      <sheetName val="Tabel 3"/>
      <sheetName val="Tabel 4"/>
      <sheetName val="Tabel 5"/>
      <sheetName val="Tabel 6"/>
      <sheetName val="Tabel 7"/>
      <sheetName val="Tabel 8"/>
      <sheetName val="tabel 9"/>
      <sheetName val="tabel pris SO2 og NOx"/>
    </sheetNames>
    <sheetDataSet>
      <sheetData sheetId="0" refreshError="1">
        <row r="3">
          <cell r="B3">
            <v>2000</v>
          </cell>
        </row>
      </sheetData>
      <sheetData sheetId="1" refreshError="1">
        <row r="3">
          <cell r="A3">
            <v>2000</v>
          </cell>
          <cell r="B3" t="e">
            <v>#N/A</v>
          </cell>
          <cell r="C3" t="e">
            <v>#N/A</v>
          </cell>
          <cell r="D3" t="e">
            <v>#N/A</v>
          </cell>
          <cell r="E3">
            <v>1</v>
          </cell>
          <cell r="F3">
            <v>5.95</v>
          </cell>
        </row>
        <row r="4">
          <cell r="A4">
            <v>2001</v>
          </cell>
          <cell r="B4" t="e">
            <v>#N/A</v>
          </cell>
          <cell r="C4" t="e">
            <v>#N/A</v>
          </cell>
          <cell r="D4" t="e">
            <v>#N/A</v>
          </cell>
          <cell r="E4">
            <v>1.02441</v>
          </cell>
          <cell r="F4">
            <v>5.95</v>
          </cell>
        </row>
        <row r="5">
          <cell r="A5">
            <v>2002</v>
          </cell>
          <cell r="B5" t="e">
            <v>#N/A</v>
          </cell>
          <cell r="C5" t="e">
            <v>#N/A</v>
          </cell>
          <cell r="D5" t="e">
            <v>#N/A</v>
          </cell>
          <cell r="E5">
            <v>1.04714</v>
          </cell>
          <cell r="F5">
            <v>5.95</v>
          </cell>
        </row>
        <row r="6">
          <cell r="A6">
            <v>2003</v>
          </cell>
          <cell r="B6" t="e">
            <v>#N/A</v>
          </cell>
          <cell r="C6" t="e">
            <v>#N/A</v>
          </cell>
          <cell r="D6" t="e">
            <v>#N/A</v>
          </cell>
          <cell r="E6">
            <v>1.06595</v>
          </cell>
          <cell r="F6">
            <v>5.95</v>
          </cell>
        </row>
        <row r="7">
          <cell r="A7">
            <v>2004</v>
          </cell>
          <cell r="B7" t="e">
            <v>#N/A</v>
          </cell>
          <cell r="C7" t="e">
            <v>#N/A</v>
          </cell>
          <cell r="D7" t="e">
            <v>#N/A</v>
          </cell>
          <cell r="E7">
            <v>1.0950800000000001</v>
          </cell>
          <cell r="F7">
            <v>5.95</v>
          </cell>
        </row>
        <row r="8">
          <cell r="A8">
            <v>2005</v>
          </cell>
          <cell r="B8" t="e">
            <v>#N/A</v>
          </cell>
          <cell r="C8" t="e">
            <v>#N/A</v>
          </cell>
          <cell r="D8" t="e">
            <v>#N/A</v>
          </cell>
          <cell r="E8">
            <v>1.1268400000000001</v>
          </cell>
          <cell r="F8">
            <v>5.95</v>
          </cell>
        </row>
        <row r="9">
          <cell r="A9">
            <v>2006</v>
          </cell>
          <cell r="B9" t="e">
            <v>#N/A</v>
          </cell>
          <cell r="C9" t="e">
            <v>#N/A</v>
          </cell>
          <cell r="D9" t="e">
            <v>#N/A</v>
          </cell>
          <cell r="E9">
            <v>1.1510899999999999</v>
          </cell>
          <cell r="F9">
            <v>5.95</v>
          </cell>
        </row>
        <row r="10">
          <cell r="A10">
            <v>2007</v>
          </cell>
          <cell r="B10">
            <v>67.391897953192839</v>
          </cell>
          <cell r="C10">
            <v>37.80337665932381</v>
          </cell>
          <cell r="D10">
            <v>16.441115571654571</v>
          </cell>
          <cell r="E10">
            <v>1.1722300000000001</v>
          </cell>
          <cell r="F10">
            <v>5.45</v>
          </cell>
        </row>
        <row r="11">
          <cell r="A11">
            <v>2008</v>
          </cell>
          <cell r="B11">
            <v>84.85219547945205</v>
          </cell>
          <cell r="C11">
            <v>49.843666331962936</v>
          </cell>
          <cell r="D11">
            <v>24.447117200795226</v>
          </cell>
          <cell r="E11">
            <v>1.2210000000000001</v>
          </cell>
          <cell r="F11">
            <v>5.0986399999999996</v>
          </cell>
        </row>
        <row r="12">
          <cell r="A12">
            <v>2009</v>
          </cell>
          <cell r="B12">
            <v>56.079073272356275</v>
          </cell>
          <cell r="C12">
            <v>32.887688526633134</v>
          </cell>
          <cell r="D12">
            <v>18.264807293858464</v>
          </cell>
          <cell r="E12">
            <v>1.2303299999999999</v>
          </cell>
          <cell r="F12">
            <v>5.3520000000000003</v>
          </cell>
        </row>
        <row r="13">
          <cell r="A13">
            <v>2010</v>
          </cell>
          <cell r="B13">
            <v>68.744351846057185</v>
          </cell>
          <cell r="C13">
            <v>41.199297981402147</v>
          </cell>
          <cell r="D13">
            <v>21.337313025623914</v>
          </cell>
          <cell r="E13">
            <v>1.25159</v>
          </cell>
          <cell r="F13">
            <v>5.0199999999999996</v>
          </cell>
        </row>
        <row r="14">
          <cell r="A14">
            <v>2011</v>
          </cell>
          <cell r="B14">
            <v>72.352425868187026</v>
          </cell>
          <cell r="C14">
            <v>44.312490869461399</v>
          </cell>
          <cell r="D14">
            <v>21.401501526010371</v>
          </cell>
          <cell r="E14">
            <v>1.27332</v>
          </cell>
          <cell r="F14">
            <v>5.0199999999999996</v>
          </cell>
        </row>
        <row r="15">
          <cell r="A15">
            <v>2012</v>
          </cell>
          <cell r="B15">
            <v>75.539762087183973</v>
          </cell>
          <cell r="C15">
            <v>47.279072762224672</v>
          </cell>
          <cell r="D15">
            <v>21.293899537672008</v>
          </cell>
          <cell r="E15">
            <v>1.30589</v>
          </cell>
          <cell r="F15">
            <v>5.0199999999999996</v>
          </cell>
        </row>
        <row r="16">
          <cell r="A16">
            <v>2013</v>
          </cell>
          <cell r="B16">
            <v>78.985643961473144</v>
          </cell>
          <cell r="C16">
            <v>50.519817488961138</v>
          </cell>
          <cell r="D16">
            <v>21.218573915769124</v>
          </cell>
          <cell r="E16">
            <v>1.3372900000000001</v>
          </cell>
          <cell r="F16">
            <v>5.2469999999999999</v>
          </cell>
        </row>
        <row r="17">
          <cell r="A17">
            <v>2014</v>
          </cell>
          <cell r="B17">
            <v>82.400682591266488</v>
          </cell>
          <cell r="C17">
            <v>53.8597943434633</v>
          </cell>
          <cell r="D17">
            <v>21.095376390209761</v>
          </cell>
          <cell r="E17">
            <v>1.3725700000000001</v>
          </cell>
          <cell r="F17">
            <v>5.4729999999999999</v>
          </cell>
        </row>
        <row r="18">
          <cell r="A18">
            <v>2015</v>
          </cell>
          <cell r="B18">
            <v>85.971963679725334</v>
          </cell>
          <cell r="C18">
            <v>57.426321735259528</v>
          </cell>
          <cell r="D18">
            <v>20.974989708500487</v>
          </cell>
          <cell r="E18">
            <v>1.4086399999999999</v>
          </cell>
          <cell r="F18">
            <v>5.7</v>
          </cell>
        </row>
        <row r="19">
          <cell r="A19">
            <v>2016</v>
          </cell>
          <cell r="B19">
            <v>87.841567549695782</v>
          </cell>
          <cell r="C19">
            <v>58.695755300234225</v>
          </cell>
          <cell r="D19">
            <v>21.39411617548712</v>
          </cell>
          <cell r="E19">
            <v>1.4513100000000001</v>
          </cell>
          <cell r="F19">
            <v>5.7</v>
          </cell>
        </row>
        <row r="20">
          <cell r="A20">
            <v>2017</v>
          </cell>
          <cell r="B20">
            <v>89.670423400982301</v>
          </cell>
          <cell r="C20">
            <v>59.938835850057657</v>
          </cell>
          <cell r="D20">
            <v>21.80182531818145</v>
          </cell>
          <cell r="E20">
            <v>1.4966299999999999</v>
          </cell>
          <cell r="F20">
            <v>5.7</v>
          </cell>
        </row>
        <row r="21">
          <cell r="A21">
            <v>2018</v>
          </cell>
          <cell r="B21">
            <v>92.356894071460403</v>
          </cell>
          <cell r="C21">
            <v>61.75624303490239</v>
          </cell>
          <cell r="D21">
            <v>22.416216748170736</v>
          </cell>
          <cell r="E21">
            <v>1.5296700000000001</v>
          </cell>
          <cell r="F21">
            <v>5.7</v>
          </cell>
        </row>
        <row r="22">
          <cell r="A22">
            <v>2019</v>
          </cell>
          <cell r="B22">
            <v>95.09340163743363</v>
          </cell>
          <cell r="C22">
            <v>63.608389001876525</v>
          </cell>
          <cell r="D22">
            <v>23.040544789667358</v>
          </cell>
          <cell r="E22">
            <v>1.5639400000000001</v>
          </cell>
          <cell r="F22">
            <v>5.7</v>
          </cell>
        </row>
        <row r="23">
          <cell r="A23">
            <v>2020</v>
          </cell>
          <cell r="B23">
            <v>97.920040352281617</v>
          </cell>
          <cell r="C23">
            <v>65.522138311352563</v>
          </cell>
          <cell r="D23">
            <v>23.684450168698785</v>
          </cell>
          <cell r="E23">
            <v>1.59883</v>
          </cell>
          <cell r="F23">
            <v>5.7</v>
          </cell>
        </row>
        <row r="24">
          <cell r="A24">
            <v>2021</v>
          </cell>
          <cell r="B24">
            <v>99.412766357449229</v>
          </cell>
          <cell r="C24">
            <v>66.611877593125953</v>
          </cell>
          <cell r="D24">
            <v>23.833210960533762</v>
          </cell>
          <cell r="E24">
            <v>1.63452</v>
          </cell>
          <cell r="F24">
            <v>5.7</v>
          </cell>
        </row>
        <row r="25">
          <cell r="A25">
            <v>2022</v>
          </cell>
          <cell r="B25">
            <v>100.86768491254816</v>
          </cell>
          <cell r="C25">
            <v>67.679105054407373</v>
          </cell>
          <cell r="D25">
            <v>23.968514913623302</v>
          </cell>
          <cell r="E25">
            <v>1.67201</v>
          </cell>
          <cell r="F25">
            <v>5.7</v>
          </cell>
        </row>
        <row r="26">
          <cell r="A26">
            <v>2023</v>
          </cell>
          <cell r="B26">
            <v>102.47210248628954</v>
          </cell>
          <cell r="C26">
            <v>68.849571068152216</v>
          </cell>
          <cell r="D26">
            <v>24.134782795921193</v>
          </cell>
          <cell r="E26">
            <v>1.7082200000000001</v>
          </cell>
          <cell r="F26">
            <v>5.7</v>
          </cell>
        </row>
        <row r="27">
          <cell r="A27">
            <v>2024</v>
          </cell>
          <cell r="B27">
            <v>104.17093285161619</v>
          </cell>
          <cell r="C27">
            <v>70.086630798548171</v>
          </cell>
          <cell r="D27">
            <v>24.318286784005348</v>
          </cell>
          <cell r="E27">
            <v>1.7440599999999999</v>
          </cell>
          <cell r="F27">
            <v>5.7</v>
          </cell>
        </row>
        <row r="28">
          <cell r="A28">
            <v>2025</v>
          </cell>
          <cell r="B28">
            <v>105.81722392053364</v>
          </cell>
          <cell r="C28">
            <v>71.291545784777469</v>
          </cell>
          <cell r="D28">
            <v>24.484512479446806</v>
          </cell>
          <cell r="E28">
            <v>1.7820100000000001</v>
          </cell>
          <cell r="F28">
            <v>5.7</v>
          </cell>
        </row>
        <row r="29">
          <cell r="A29">
            <v>2026</v>
          </cell>
          <cell r="B29">
            <v>107.42113538714111</v>
          </cell>
          <cell r="C29">
            <v>72.380611582854925</v>
          </cell>
          <cell r="D29">
            <v>24.626299330486681</v>
          </cell>
          <cell r="E29">
            <v>1.82016</v>
          </cell>
          <cell r="F29">
            <v>5.7</v>
          </cell>
        </row>
        <row r="30">
          <cell r="A30">
            <v>2027</v>
          </cell>
          <cell r="B30">
            <v>108.96418124004363</v>
          </cell>
          <cell r="C30">
            <v>73.428915216213369</v>
          </cell>
          <cell r="D30">
            <v>24.74956065615029</v>
          </cell>
          <cell r="E30">
            <v>1.8605799999999999</v>
          </cell>
          <cell r="F30">
            <v>5.7</v>
          </cell>
        </row>
        <row r="31">
          <cell r="A31">
            <v>2028</v>
          </cell>
          <cell r="B31">
            <v>110.60194439640382</v>
          </cell>
          <cell r="C31">
            <v>74.541299003919207</v>
          </cell>
          <cell r="D31">
            <v>24.889766043805704</v>
          </cell>
          <cell r="E31">
            <v>1.90065</v>
          </cell>
          <cell r="F31">
            <v>5.7</v>
          </cell>
        </row>
        <row r="32">
          <cell r="A32">
            <v>2029</v>
          </cell>
          <cell r="B32">
            <v>112.24657300730988</v>
          </cell>
          <cell r="C32">
            <v>75.658569835713664</v>
          </cell>
          <cell r="D32">
            <v>25.026807967059366</v>
          </cell>
          <cell r="E32">
            <v>1.9418899999999999</v>
          </cell>
          <cell r="F32">
            <v>5.7</v>
          </cell>
        </row>
        <row r="33">
          <cell r="A33">
            <v>2030</v>
          </cell>
          <cell r="B33">
            <v>113.79605892029734</v>
          </cell>
          <cell r="C33">
            <v>76.711963857695679</v>
          </cell>
          <cell r="D33">
            <v>25.138184572572218</v>
          </cell>
          <cell r="E33">
            <v>1.98611</v>
          </cell>
          <cell r="F33">
            <v>5.7</v>
          </cell>
        </row>
      </sheetData>
      <sheetData sheetId="2" refreshError="1"/>
      <sheetData sheetId="3" refreshError="1">
        <row r="2">
          <cell r="A2" t="str">
            <v>Råolie</v>
          </cell>
          <cell r="B2">
            <v>5.84</v>
          </cell>
          <cell r="C2" t="str">
            <v>GJ/tønde</v>
          </cell>
        </row>
        <row r="3">
          <cell r="A3" t="str">
            <v>Råolie (ton)</v>
          </cell>
          <cell r="B3">
            <v>43</v>
          </cell>
          <cell r="C3" t="str">
            <v>GJ/ton</v>
          </cell>
        </row>
        <row r="4">
          <cell r="A4" t="str">
            <v>Naturgas</v>
          </cell>
          <cell r="B4">
            <v>39.6</v>
          </cell>
          <cell r="C4" t="str">
            <v>GJ/1000Nm3</v>
          </cell>
        </row>
        <row r="5">
          <cell r="A5" t="str">
            <v>Kul</v>
          </cell>
          <cell r="B5">
            <v>25.15</v>
          </cell>
          <cell r="C5" t="str">
            <v>GJ/ton</v>
          </cell>
        </row>
        <row r="6">
          <cell r="A6" t="str">
            <v>Fuelolie</v>
          </cell>
          <cell r="B6">
            <v>40.65</v>
          </cell>
          <cell r="C6" t="str">
            <v>GJ/ton</v>
          </cell>
        </row>
        <row r="7">
          <cell r="A7" t="str">
            <v>Gasolie</v>
          </cell>
          <cell r="B7">
            <v>42.7</v>
          </cell>
          <cell r="C7" t="str">
            <v>GJ/ton</v>
          </cell>
        </row>
        <row r="8">
          <cell r="A8" t="str">
            <v>Benzin</v>
          </cell>
          <cell r="B8">
            <v>43.8</v>
          </cell>
          <cell r="C8" t="str">
            <v>GJ/ton</v>
          </cell>
        </row>
        <row r="9">
          <cell r="A9" t="str">
            <v>JP1</v>
          </cell>
          <cell r="B9">
            <v>43.5</v>
          </cell>
          <cell r="C9" t="str">
            <v>GJ/ton</v>
          </cell>
        </row>
        <row r="10">
          <cell r="A10" t="str">
            <v>Halm</v>
          </cell>
          <cell r="B10">
            <v>14.5</v>
          </cell>
          <cell r="C10" t="str">
            <v>GJ/ton</v>
          </cell>
        </row>
        <row r="11">
          <cell r="A11" t="str">
            <v>Halmpiller</v>
          </cell>
          <cell r="B11">
            <v>14.5</v>
          </cell>
          <cell r="C11" t="str">
            <v>GJ/ton</v>
          </cell>
        </row>
        <row r="12">
          <cell r="A12" t="str">
            <v>Træflis</v>
          </cell>
          <cell r="B12">
            <v>9.5</v>
          </cell>
          <cell r="C12" t="str">
            <v>GJ/ton</v>
          </cell>
        </row>
        <row r="13">
          <cell r="A13" t="str">
            <v>Træpiller</v>
          </cell>
          <cell r="B13">
            <v>17.5</v>
          </cell>
          <cell r="C13" t="str">
            <v>GJ/ton</v>
          </cell>
        </row>
        <row r="14">
          <cell r="A14" t="str">
            <v>Energiafgrøder, pil</v>
          </cell>
          <cell r="B14">
            <v>14.4</v>
          </cell>
          <cell r="C14" t="str">
            <v>GJ/ton</v>
          </cell>
        </row>
        <row r="15">
          <cell r="A15" t="str">
            <v>Energiafgrøder, triticale</v>
          </cell>
          <cell r="B15">
            <v>13.8</v>
          </cell>
          <cell r="C15" t="str">
            <v>GJ/ton</v>
          </cell>
        </row>
        <row r="16">
          <cell r="A16" t="str">
            <v>Affald</v>
          </cell>
          <cell r="B16">
            <v>10.5</v>
          </cell>
          <cell r="C16" t="str">
            <v>GJ/ton</v>
          </cell>
        </row>
      </sheetData>
      <sheetData sheetId="4" refreshError="1">
        <row r="4">
          <cell r="A4">
            <v>2000</v>
          </cell>
          <cell r="B4">
            <v>0.81900081900081889</v>
          </cell>
          <cell r="C4" t="e">
            <v>#N/A</v>
          </cell>
          <cell r="D4" t="e">
            <v>#N/A</v>
          </cell>
          <cell r="E4" t="e">
            <v>#N/A</v>
          </cell>
          <cell r="F4" t="e">
            <v>#N/A</v>
          </cell>
          <cell r="G4" t="e">
            <v>#N/A</v>
          </cell>
          <cell r="H4" t="e">
            <v>#N/A</v>
          </cell>
          <cell r="I4" t="e">
            <v>#N/A</v>
          </cell>
          <cell r="J4" t="e">
            <v>#N/A</v>
          </cell>
        </row>
        <row r="5">
          <cell r="A5">
            <v>2001</v>
          </cell>
          <cell r="B5">
            <v>0.83899262899262894</v>
          </cell>
          <cell r="C5" t="e">
            <v>#N/A</v>
          </cell>
          <cell r="D5" t="e">
            <v>#N/A</v>
          </cell>
          <cell r="E5" t="e">
            <v>#N/A</v>
          </cell>
          <cell r="F5" t="e">
            <v>#N/A</v>
          </cell>
          <cell r="G5" t="e">
            <v>#N/A</v>
          </cell>
          <cell r="H5" t="e">
            <v>#N/A</v>
          </cell>
          <cell r="I5" t="e">
            <v>#N/A</v>
          </cell>
          <cell r="J5" t="e">
            <v>#N/A</v>
          </cell>
        </row>
        <row r="6">
          <cell r="A6">
            <v>2002</v>
          </cell>
          <cell r="B6">
            <v>0.85760851760851753</v>
          </cell>
          <cell r="C6" t="e">
            <v>#N/A</v>
          </cell>
          <cell r="D6" t="e">
            <v>#N/A</v>
          </cell>
          <cell r="E6" t="e">
            <v>#N/A</v>
          </cell>
          <cell r="F6" t="e">
            <v>#N/A</v>
          </cell>
          <cell r="G6" t="e">
            <v>#N/A</v>
          </cell>
          <cell r="H6" t="e">
            <v>#N/A</v>
          </cell>
          <cell r="I6" t="e">
            <v>#N/A</v>
          </cell>
          <cell r="J6" t="e">
            <v>#N/A</v>
          </cell>
        </row>
        <row r="7">
          <cell r="A7">
            <v>2003</v>
          </cell>
          <cell r="B7">
            <v>0.87301392301392289</v>
          </cell>
          <cell r="C7" t="e">
            <v>#N/A</v>
          </cell>
          <cell r="D7" t="e">
            <v>#N/A</v>
          </cell>
          <cell r="E7" t="e">
            <v>#N/A</v>
          </cell>
          <cell r="F7" t="e">
            <v>#N/A</v>
          </cell>
          <cell r="G7" t="e">
            <v>#N/A</v>
          </cell>
          <cell r="H7" t="e">
            <v>#N/A</v>
          </cell>
          <cell r="I7" t="e">
            <v>#N/A</v>
          </cell>
          <cell r="J7" t="e">
            <v>#N/A</v>
          </cell>
        </row>
        <row r="8">
          <cell r="A8">
            <v>2004</v>
          </cell>
          <cell r="B8">
            <v>0.8968714168714168</v>
          </cell>
          <cell r="C8" t="e">
            <v>#N/A</v>
          </cell>
          <cell r="D8" t="e">
            <v>#N/A</v>
          </cell>
          <cell r="E8" t="e">
            <v>#N/A</v>
          </cell>
          <cell r="F8" t="e">
            <v>#N/A</v>
          </cell>
          <cell r="G8" t="e">
            <v>#N/A</v>
          </cell>
          <cell r="H8" t="e">
            <v>#N/A</v>
          </cell>
          <cell r="I8" t="e">
            <v>#N/A</v>
          </cell>
          <cell r="J8" t="e">
            <v>#N/A</v>
          </cell>
        </row>
        <row r="9">
          <cell r="A9">
            <v>2005</v>
          </cell>
          <cell r="B9">
            <v>0.92288288288288289</v>
          </cell>
          <cell r="C9" t="e">
            <v>#N/A</v>
          </cell>
          <cell r="D9" t="e">
            <v>#N/A</v>
          </cell>
          <cell r="E9" t="e">
            <v>#N/A</v>
          </cell>
          <cell r="F9" t="e">
            <v>#N/A</v>
          </cell>
          <cell r="G9" t="e">
            <v>#N/A</v>
          </cell>
          <cell r="H9" t="e">
            <v>#N/A</v>
          </cell>
          <cell r="I9" t="e">
            <v>#N/A</v>
          </cell>
          <cell r="J9" t="e">
            <v>#N/A</v>
          </cell>
        </row>
        <row r="10">
          <cell r="A10">
            <v>2006</v>
          </cell>
          <cell r="B10">
            <v>0.94274365274365268</v>
          </cell>
          <cell r="C10" t="e">
            <v>#N/A</v>
          </cell>
          <cell r="D10" t="e">
            <v>#N/A</v>
          </cell>
          <cell r="E10" t="e">
            <v>#N/A</v>
          </cell>
          <cell r="F10" t="e">
            <v>#N/A</v>
          </cell>
          <cell r="G10" t="e">
            <v>#N/A</v>
          </cell>
          <cell r="H10" t="e">
            <v>#N/A</v>
          </cell>
          <cell r="I10" t="e">
            <v>#N/A</v>
          </cell>
          <cell r="J10" t="e">
            <v>#N/A</v>
          </cell>
        </row>
        <row r="11">
          <cell r="A11">
            <v>2007</v>
          </cell>
          <cell r="B11">
            <v>0.96005733005733007</v>
          </cell>
          <cell r="C11">
            <v>67.391897953192839</v>
          </cell>
          <cell r="D11">
            <v>37.80337665932381</v>
          </cell>
          <cell r="E11">
            <v>16.441115571654571</v>
          </cell>
          <cell r="F11">
            <v>47.174328567234987</v>
          </cell>
          <cell r="G11">
            <v>84.239872441491045</v>
          </cell>
          <cell r="H11">
            <v>84.239872441491045</v>
          </cell>
          <cell r="I11">
            <v>89.631224277746483</v>
          </cell>
          <cell r="J11">
            <v>89.631224277746483</v>
          </cell>
        </row>
        <row r="12">
          <cell r="A12">
            <v>2008</v>
          </cell>
          <cell r="B12">
            <v>1</v>
          </cell>
          <cell r="C12">
            <v>84.85219547945205</v>
          </cell>
          <cell r="D12">
            <v>49.843666331962936</v>
          </cell>
          <cell r="E12">
            <v>24.447117200795226</v>
          </cell>
          <cell r="F12">
            <v>59.39653683561643</v>
          </cell>
          <cell r="G12">
            <v>106.06524434931507</v>
          </cell>
          <cell r="H12">
            <v>106.06524434931507</v>
          </cell>
          <cell r="I12">
            <v>112.85341998767123</v>
          </cell>
          <cell r="J12">
            <v>112.85341998767123</v>
          </cell>
        </row>
        <row r="13">
          <cell r="A13">
            <v>2009</v>
          </cell>
          <cell r="B13">
            <v>1.0076412776412775</v>
          </cell>
          <cell r="C13">
            <v>56.079073272356275</v>
          </cell>
          <cell r="D13">
            <v>32.887688526633134</v>
          </cell>
          <cell r="E13">
            <v>18.264807293858464</v>
          </cell>
          <cell r="F13">
            <v>39.255351290649394</v>
          </cell>
          <cell r="G13">
            <v>70.098841590445346</v>
          </cell>
          <cell r="H13">
            <v>70.098841590445346</v>
          </cell>
          <cell r="I13">
            <v>74.585167452233847</v>
          </cell>
          <cell r="J13">
            <v>74.585167452233847</v>
          </cell>
        </row>
        <row r="14">
          <cell r="A14">
            <v>2010</v>
          </cell>
          <cell r="B14">
            <v>1.0250532350532349</v>
          </cell>
          <cell r="C14">
            <v>68.744351846057185</v>
          </cell>
          <cell r="D14">
            <v>41.199297981402147</v>
          </cell>
          <cell r="E14">
            <v>21.337313025623914</v>
          </cell>
          <cell r="F14">
            <v>48.121046292240024</v>
          </cell>
          <cell r="G14">
            <v>85.930439807571474</v>
          </cell>
          <cell r="H14">
            <v>85.930439807571474</v>
          </cell>
          <cell r="I14">
            <v>91.429987955256067</v>
          </cell>
          <cell r="J14">
            <v>91.429987955256067</v>
          </cell>
        </row>
        <row r="15">
          <cell r="A15">
            <v>2011</v>
          </cell>
          <cell r="B15">
            <v>1.0428501228501228</v>
          </cell>
          <cell r="C15">
            <v>72.352425868187026</v>
          </cell>
          <cell r="D15">
            <v>44.312490869461399</v>
          </cell>
          <cell r="E15">
            <v>21.401501526010371</v>
          </cell>
          <cell r="F15">
            <v>50.646698107730913</v>
          </cell>
          <cell r="G15">
            <v>90.440532335233783</v>
          </cell>
          <cell r="H15">
            <v>90.440532335233783</v>
          </cell>
          <cell r="I15">
            <v>96.228726404688757</v>
          </cell>
          <cell r="J15">
            <v>96.228726404688757</v>
          </cell>
        </row>
        <row r="16">
          <cell r="A16">
            <v>2012</v>
          </cell>
          <cell r="B16">
            <v>1.0695249795249795</v>
          </cell>
          <cell r="C16">
            <v>75.539762087183973</v>
          </cell>
          <cell r="D16">
            <v>47.279072762224672</v>
          </cell>
          <cell r="E16">
            <v>21.293899537672008</v>
          </cell>
          <cell r="F16">
            <v>52.877833461028779</v>
          </cell>
          <cell r="G16">
            <v>94.42470260897997</v>
          </cell>
          <cell r="H16">
            <v>94.42470260897997</v>
          </cell>
          <cell r="I16">
            <v>100.46788357595469</v>
          </cell>
          <cell r="J16">
            <v>100.46788357595469</v>
          </cell>
        </row>
        <row r="17">
          <cell r="A17">
            <v>2013</v>
          </cell>
          <cell r="B17">
            <v>1.0952416052416052</v>
          </cell>
          <cell r="C17">
            <v>78.985643961473144</v>
          </cell>
          <cell r="D17">
            <v>50.519817488961138</v>
          </cell>
          <cell r="E17">
            <v>21.218573915769124</v>
          </cell>
          <cell r="F17">
            <v>55.289950773031201</v>
          </cell>
          <cell r="G17">
            <v>98.732054951841434</v>
          </cell>
          <cell r="H17">
            <v>98.732054951841434</v>
          </cell>
          <cell r="I17">
            <v>105.05090646875929</v>
          </cell>
          <cell r="J17">
            <v>105.05090646875929</v>
          </cell>
        </row>
        <row r="18">
          <cell r="A18">
            <v>2014</v>
          </cell>
          <cell r="B18">
            <v>1.1241359541359541</v>
          </cell>
          <cell r="C18">
            <v>82.400682591266488</v>
          </cell>
          <cell r="D18">
            <v>53.859794343463307</v>
          </cell>
          <cell r="E18">
            <v>21.095376390209761</v>
          </cell>
          <cell r="F18">
            <v>57.68047781388654</v>
          </cell>
          <cell r="G18">
            <v>103.00085323908311</v>
          </cell>
          <cell r="H18">
            <v>103.00085323908311</v>
          </cell>
          <cell r="I18">
            <v>109.59290784638443</v>
          </cell>
          <cell r="J18">
            <v>109.59290784638443</v>
          </cell>
        </row>
        <row r="19">
          <cell r="A19">
            <v>2015</v>
          </cell>
          <cell r="B19">
            <v>1.1536773136773135</v>
          </cell>
          <cell r="C19">
            <v>85.971963679725334</v>
          </cell>
          <cell r="D19">
            <v>57.426321735259521</v>
          </cell>
          <cell r="E19">
            <v>20.974989708500487</v>
          </cell>
          <cell r="F19">
            <v>60.180374575807733</v>
          </cell>
          <cell r="G19">
            <v>107.46495459965666</v>
          </cell>
          <cell r="H19">
            <v>107.46495459965666</v>
          </cell>
          <cell r="I19">
            <v>114.3427116940347</v>
          </cell>
          <cell r="J19">
            <v>114.3427116940347</v>
          </cell>
        </row>
        <row r="20">
          <cell r="A20">
            <v>2016</v>
          </cell>
          <cell r="B20">
            <v>1.1886240786240787</v>
          </cell>
          <cell r="C20">
            <v>87.841567549695782</v>
          </cell>
          <cell r="D20">
            <v>58.695755300234225</v>
          </cell>
          <cell r="E20">
            <v>21.39411617548712</v>
          </cell>
          <cell r="F20">
            <v>61.489097284787043</v>
          </cell>
          <cell r="G20">
            <v>109.80195943711973</v>
          </cell>
          <cell r="H20">
            <v>109.80195943711973</v>
          </cell>
          <cell r="I20">
            <v>116.8292848410954</v>
          </cell>
          <cell r="J20">
            <v>116.8292848410954</v>
          </cell>
        </row>
        <row r="21">
          <cell r="A21">
            <v>2017</v>
          </cell>
          <cell r="B21">
            <v>1.2257411957411957</v>
          </cell>
          <cell r="C21">
            <v>89.670423400982301</v>
          </cell>
          <cell r="D21">
            <v>59.938835850057657</v>
          </cell>
          <cell r="E21">
            <v>21.80182531818145</v>
          </cell>
          <cell r="F21">
            <v>62.769296380687607</v>
          </cell>
          <cell r="G21">
            <v>112.08802925122788</v>
          </cell>
          <cell r="H21">
            <v>112.08802925122788</v>
          </cell>
          <cell r="I21">
            <v>119.26166312330646</v>
          </cell>
          <cell r="J21">
            <v>119.26166312330646</v>
          </cell>
        </row>
        <row r="22">
          <cell r="A22">
            <v>2018</v>
          </cell>
          <cell r="B22">
            <v>1.2528009828009827</v>
          </cell>
          <cell r="C22">
            <v>92.356894071460403</v>
          </cell>
          <cell r="D22">
            <v>61.756243034902383</v>
          </cell>
          <cell r="E22">
            <v>22.416216748170736</v>
          </cell>
          <cell r="F22">
            <v>64.649825850022282</v>
          </cell>
          <cell r="G22">
            <v>115.4461175893255</v>
          </cell>
          <cell r="H22">
            <v>115.4461175893255</v>
          </cell>
          <cell r="I22">
            <v>122.83466911504235</v>
          </cell>
          <cell r="J22">
            <v>122.83466911504235</v>
          </cell>
        </row>
        <row r="23">
          <cell r="A23">
            <v>2019</v>
          </cell>
          <cell r="B23">
            <v>1.2808681408681408</v>
          </cell>
          <cell r="C23">
            <v>95.09340163743363</v>
          </cell>
          <cell r="D23">
            <v>63.608389001876525</v>
          </cell>
          <cell r="E23">
            <v>23.040544789667358</v>
          </cell>
          <cell r="F23">
            <v>66.565381146203535</v>
          </cell>
          <cell r="G23">
            <v>118.86675204679204</v>
          </cell>
          <cell r="H23">
            <v>118.86675204679204</v>
          </cell>
          <cell r="I23">
            <v>126.47422417778674</v>
          </cell>
          <cell r="J23">
            <v>126.47422417778674</v>
          </cell>
        </row>
        <row r="24">
          <cell r="A24">
            <v>2020</v>
          </cell>
          <cell r="B24">
            <v>1.3094430794430794</v>
          </cell>
          <cell r="C24">
            <v>97.920040352281617</v>
          </cell>
          <cell r="D24">
            <v>65.522138311352563</v>
          </cell>
          <cell r="E24">
            <v>23.684450168698785</v>
          </cell>
          <cell r="F24">
            <v>68.544028246597122</v>
          </cell>
          <cell r="G24">
            <v>122.40005044035202</v>
          </cell>
          <cell r="H24">
            <v>122.40005044035202</v>
          </cell>
          <cell r="I24">
            <v>130.23365366853457</v>
          </cell>
          <cell r="J24">
            <v>130.23365366853457</v>
          </cell>
        </row>
        <row r="25">
          <cell r="A25">
            <v>2021</v>
          </cell>
          <cell r="B25">
            <v>1.3386732186732186</v>
          </cell>
          <cell r="C25">
            <v>99.412766357449229</v>
          </cell>
          <cell r="D25">
            <v>66.611877593125953</v>
          </cell>
          <cell r="E25">
            <v>23.833210960533762</v>
          </cell>
          <cell r="F25">
            <v>69.588936450214462</v>
          </cell>
          <cell r="G25">
            <v>124.26595794681154</v>
          </cell>
          <cell r="H25">
            <v>124.26595794681154</v>
          </cell>
          <cell r="I25">
            <v>132.21897925540748</v>
          </cell>
          <cell r="J25">
            <v>132.21897925540748</v>
          </cell>
        </row>
        <row r="26">
          <cell r="A26">
            <v>2022</v>
          </cell>
          <cell r="B26">
            <v>1.3693775593775592</v>
          </cell>
          <cell r="C26">
            <v>100.86768491254816</v>
          </cell>
          <cell r="D26">
            <v>67.679105054407373</v>
          </cell>
          <cell r="E26">
            <v>23.968514913623302</v>
          </cell>
          <cell r="F26">
            <v>70.60737943878371</v>
          </cell>
          <cell r="G26">
            <v>126.0846061406852</v>
          </cell>
          <cell r="H26">
            <v>126.0846061406852</v>
          </cell>
          <cell r="I26">
            <v>134.15402093368905</v>
          </cell>
          <cell r="J26">
            <v>134.15402093368905</v>
          </cell>
        </row>
        <row r="27">
          <cell r="A27">
            <v>2023</v>
          </cell>
          <cell r="B27">
            <v>1.3990335790335791</v>
          </cell>
          <cell r="C27">
            <v>102.47210248628954</v>
          </cell>
          <cell r="D27">
            <v>68.849571068152216</v>
          </cell>
          <cell r="E27">
            <v>24.134782795921193</v>
          </cell>
          <cell r="F27">
            <v>71.730471740402677</v>
          </cell>
          <cell r="G27">
            <v>128.09012810786191</v>
          </cell>
          <cell r="H27">
            <v>128.09012810786191</v>
          </cell>
          <cell r="I27">
            <v>136.28789630676511</v>
          </cell>
          <cell r="J27">
            <v>136.28789630676511</v>
          </cell>
        </row>
        <row r="28">
          <cell r="A28">
            <v>2024</v>
          </cell>
          <cell r="B28">
            <v>1.4283865683865682</v>
          </cell>
          <cell r="C28">
            <v>104.17093285161619</v>
          </cell>
          <cell r="D28">
            <v>70.086630798548171</v>
          </cell>
          <cell r="E28">
            <v>24.318286784005348</v>
          </cell>
          <cell r="F28">
            <v>72.919652996131319</v>
          </cell>
          <cell r="G28">
            <v>130.21366606452023</v>
          </cell>
          <cell r="H28">
            <v>130.21366606452023</v>
          </cell>
          <cell r="I28">
            <v>138.54734069264953</v>
          </cell>
          <cell r="J28">
            <v>138.54734069264953</v>
          </cell>
        </row>
        <row r="29">
          <cell r="A29">
            <v>2025</v>
          </cell>
          <cell r="B29">
            <v>1.4594676494676495</v>
          </cell>
          <cell r="C29">
            <v>105.81722392053364</v>
          </cell>
          <cell r="D29">
            <v>71.291545784777469</v>
          </cell>
          <cell r="E29">
            <v>24.484512479446806</v>
          </cell>
          <cell r="F29">
            <v>74.07205674437354</v>
          </cell>
          <cell r="G29">
            <v>132.27152990066705</v>
          </cell>
          <cell r="H29">
            <v>132.27152990066705</v>
          </cell>
          <cell r="I29">
            <v>140.73690781430975</v>
          </cell>
          <cell r="J29">
            <v>140.73690781430975</v>
          </cell>
        </row>
        <row r="30">
          <cell r="A30">
            <v>2026</v>
          </cell>
          <cell r="B30">
            <v>1.4907125307125306</v>
          </cell>
          <cell r="C30">
            <v>107.42113538714111</v>
          </cell>
          <cell r="D30">
            <v>72.380611582854925</v>
          </cell>
          <cell r="E30">
            <v>24.626299330486681</v>
          </cell>
          <cell r="F30">
            <v>75.194794770998769</v>
          </cell>
          <cell r="G30">
            <v>134.27641923392639</v>
          </cell>
          <cell r="H30">
            <v>134.27641923392639</v>
          </cell>
          <cell r="I30">
            <v>142.87011006489769</v>
          </cell>
          <cell r="J30">
            <v>142.87011006489769</v>
          </cell>
        </row>
        <row r="31">
          <cell r="A31">
            <v>2027</v>
          </cell>
          <cell r="B31">
            <v>1.5238165438165436</v>
          </cell>
          <cell r="C31">
            <v>108.96418124004362</v>
          </cell>
          <cell r="D31">
            <v>73.428915216213369</v>
          </cell>
          <cell r="E31">
            <v>24.74956065615029</v>
          </cell>
          <cell r="F31">
            <v>76.274926868030519</v>
          </cell>
          <cell r="G31">
            <v>136.20522655005453</v>
          </cell>
          <cell r="H31">
            <v>136.20522655005453</v>
          </cell>
          <cell r="I31">
            <v>144.92236104925803</v>
          </cell>
          <cell r="J31">
            <v>144.92236104925803</v>
          </cell>
        </row>
        <row r="32">
          <cell r="A32">
            <v>2028</v>
          </cell>
          <cell r="B32">
            <v>1.5566339066339065</v>
          </cell>
          <cell r="C32">
            <v>110.60194439640382</v>
          </cell>
          <cell r="D32">
            <v>74.541299003919207</v>
          </cell>
          <cell r="E32">
            <v>24.889766043805704</v>
          </cell>
          <cell r="F32">
            <v>77.421361077482672</v>
          </cell>
          <cell r="G32">
            <v>138.25243049550477</v>
          </cell>
          <cell r="H32">
            <v>138.25243049550477</v>
          </cell>
          <cell r="I32">
            <v>147.10058604721709</v>
          </cell>
          <cell r="J32">
            <v>147.10058604721709</v>
          </cell>
        </row>
        <row r="33">
          <cell r="A33">
            <v>2029</v>
          </cell>
          <cell r="B33">
            <v>1.5904095004095002</v>
          </cell>
          <cell r="C33">
            <v>112.24657300730988</v>
          </cell>
          <cell r="D33">
            <v>75.658569835713664</v>
          </cell>
          <cell r="E33">
            <v>25.026807967059366</v>
          </cell>
          <cell r="F33">
            <v>78.572601105116902</v>
          </cell>
          <cell r="G33">
            <v>140.30821625913734</v>
          </cell>
          <cell r="H33">
            <v>140.30821625913734</v>
          </cell>
          <cell r="I33">
            <v>149.28794209972213</v>
          </cell>
          <cell r="J33">
            <v>149.28794209972213</v>
          </cell>
        </row>
        <row r="34">
          <cell r="A34">
            <v>2030</v>
          </cell>
          <cell r="B34">
            <v>1.6266257166257165</v>
          </cell>
          <cell r="C34">
            <v>113.79605892029733</v>
          </cell>
          <cell r="D34">
            <v>76.711963857695679</v>
          </cell>
          <cell r="E34">
            <v>25.138184572572218</v>
          </cell>
          <cell r="F34">
            <v>79.657241244208123</v>
          </cell>
          <cell r="G34">
            <v>142.24507365037167</v>
          </cell>
          <cell r="H34">
            <v>142.24507365037167</v>
          </cell>
          <cell r="I34">
            <v>151.34875836399544</v>
          </cell>
          <cell r="J34">
            <v>151.34875836399544</v>
          </cell>
        </row>
      </sheetData>
      <sheetData sheetId="5" refreshError="1">
        <row r="4">
          <cell r="A4">
            <v>2000</v>
          </cell>
          <cell r="B4" t="e">
            <v>#VALUE!</v>
          </cell>
          <cell r="C4" t="e">
            <v>#VALUE!</v>
          </cell>
          <cell r="D4" t="e">
            <v>#VALUE!</v>
          </cell>
          <cell r="E4" t="e">
            <v>#VALUE!</v>
          </cell>
          <cell r="F4" t="e">
            <v>#VALUE!</v>
          </cell>
        </row>
        <row r="5">
          <cell r="A5">
            <v>2001</v>
          </cell>
          <cell r="B5" t="e">
            <v>#VALUE!</v>
          </cell>
          <cell r="C5" t="e">
            <v>#VALUE!</v>
          </cell>
          <cell r="D5" t="e">
            <v>#VALUE!</v>
          </cell>
          <cell r="E5" t="e">
            <v>#VALUE!</v>
          </cell>
          <cell r="F5" t="e">
            <v>#VALUE!</v>
          </cell>
        </row>
        <row r="6">
          <cell r="A6">
            <v>2002</v>
          </cell>
          <cell r="B6" t="e">
            <v>#VALUE!</v>
          </cell>
          <cell r="C6" t="e">
            <v>#VALUE!</v>
          </cell>
          <cell r="D6" t="e">
            <v>#VALUE!</v>
          </cell>
          <cell r="E6" t="e">
            <v>#VALUE!</v>
          </cell>
          <cell r="F6" t="e">
            <v>#VALUE!</v>
          </cell>
        </row>
        <row r="7">
          <cell r="A7">
            <v>2003</v>
          </cell>
          <cell r="B7" t="e">
            <v>#VALUE!</v>
          </cell>
          <cell r="C7" t="e">
            <v>#VALUE!</v>
          </cell>
          <cell r="D7" t="e">
            <v>#VALUE!</v>
          </cell>
          <cell r="E7" t="e">
            <v>#VALUE!</v>
          </cell>
          <cell r="F7" t="e">
            <v>#VALUE!</v>
          </cell>
        </row>
        <row r="8">
          <cell r="A8">
            <v>2004</v>
          </cell>
          <cell r="B8" t="e">
            <v>#VALUE!</v>
          </cell>
          <cell r="C8" t="e">
            <v>#VALUE!</v>
          </cell>
          <cell r="D8" t="e">
            <v>#VALUE!</v>
          </cell>
          <cell r="E8" t="e">
            <v>#VALUE!</v>
          </cell>
          <cell r="F8" t="e">
            <v>#VALUE!</v>
          </cell>
        </row>
        <row r="9">
          <cell r="A9">
            <v>2005</v>
          </cell>
          <cell r="B9" t="e">
            <v>#VALUE!</v>
          </cell>
          <cell r="C9" t="e">
            <v>#VALUE!</v>
          </cell>
          <cell r="D9" t="e">
            <v>#VALUE!</v>
          </cell>
          <cell r="E9" t="e">
            <v>#VALUE!</v>
          </cell>
          <cell r="F9" t="e">
            <v>#VALUE!</v>
          </cell>
        </row>
        <row r="10">
          <cell r="A10">
            <v>2006</v>
          </cell>
          <cell r="B10">
            <v>23.956902655622191</v>
          </cell>
          <cell r="C10">
            <v>68.657783701760621</v>
          </cell>
          <cell r="D10">
            <v>28.123320508773872</v>
          </cell>
          <cell r="E10">
            <v>57.28824548083567</v>
          </cell>
          <cell r="F10">
            <v>49.81742663548912</v>
          </cell>
        </row>
        <row r="11">
          <cell r="A11">
            <v>2007</v>
          </cell>
          <cell r="B11">
            <v>24.998507118910112</v>
          </cell>
          <cell r="C11">
            <v>69.855628834541733</v>
          </cell>
          <cell r="D11">
            <v>31.24813389863764</v>
          </cell>
          <cell r="E11">
            <v>58.121529051466005</v>
          </cell>
          <cell r="F11">
            <v>52.496864949711231</v>
          </cell>
        </row>
        <row r="12">
          <cell r="A12">
            <v>2008</v>
          </cell>
          <cell r="B12">
            <v>26.040111582198033</v>
          </cell>
          <cell r="C12">
            <v>71.124301271499334</v>
          </cell>
          <cell r="D12">
            <v>33.331342825213483</v>
          </cell>
          <cell r="E12">
            <v>58.121529051466005</v>
          </cell>
          <cell r="F12">
            <v>56.246641017547745</v>
          </cell>
        </row>
        <row r="13">
          <cell r="A13">
            <v>2009</v>
          </cell>
          <cell r="B13">
            <v>29.164924972061797</v>
          </cell>
          <cell r="C13">
            <v>74.605786621054847</v>
          </cell>
          <cell r="D13">
            <v>34.639077228871464</v>
          </cell>
          <cell r="E13">
            <v>67.70429011371489</v>
          </cell>
          <cell r="F13">
            <v>56.134147735512649</v>
          </cell>
        </row>
        <row r="14">
          <cell r="A14">
            <v>2010</v>
          </cell>
          <cell r="B14">
            <v>29.164924972061797</v>
          </cell>
          <cell r="C14">
            <v>74.648323118140098</v>
          </cell>
          <cell r="D14">
            <v>33.684183863341659</v>
          </cell>
          <cell r="E14">
            <v>67.70429011371489</v>
          </cell>
          <cell r="F14">
            <v>56.021879440041623</v>
          </cell>
        </row>
        <row r="15">
          <cell r="A15">
            <v>2011</v>
          </cell>
          <cell r="B15">
            <v>28.123320508773872</v>
          </cell>
          <cell r="C15">
            <v>73.498119062667371</v>
          </cell>
          <cell r="D15">
            <v>34.643813047323547</v>
          </cell>
          <cell r="E15">
            <v>59.37145440741152</v>
          </cell>
          <cell r="F15">
            <v>55.909835681161532</v>
          </cell>
        </row>
        <row r="16">
          <cell r="A16">
            <v>2012</v>
          </cell>
          <cell r="B16">
            <v>29.448710108084587</v>
          </cell>
          <cell r="C16">
            <v>75.077198860756951</v>
          </cell>
          <cell r="D16">
            <v>35.679298704018834</v>
          </cell>
          <cell r="E16">
            <v>63.329968009690937</v>
          </cell>
          <cell r="F16">
            <v>55.79801600979922</v>
          </cell>
        </row>
        <row r="17">
          <cell r="A17">
            <v>2013</v>
          </cell>
          <cell r="B17">
            <v>30.933152708939371</v>
          </cell>
          <cell r="C17">
            <v>76.847473271259346</v>
          </cell>
          <cell r="D17">
            <v>36.818231413536253</v>
          </cell>
          <cell r="E17">
            <v>67.890112349965449</v>
          </cell>
          <cell r="F17">
            <v>55.686419977779614</v>
          </cell>
        </row>
        <row r="18">
          <cell r="A18">
            <v>2014</v>
          </cell>
          <cell r="B18">
            <v>32.643206836542312</v>
          </cell>
          <cell r="C18">
            <v>78.81330342692948</v>
          </cell>
          <cell r="D18">
            <v>38.074929349501119</v>
          </cell>
          <cell r="E18">
            <v>73.138548919580629</v>
          </cell>
          <cell r="F18">
            <v>55.575047137824065</v>
          </cell>
        </row>
        <row r="19">
          <cell r="A19">
            <v>2015</v>
          </cell>
          <cell r="B19">
            <v>34.61137055014801</v>
          </cell>
          <cell r="C19">
            <v>81.075904448956152</v>
          </cell>
          <cell r="D19">
            <v>38.551260243608851</v>
          </cell>
          <cell r="E19">
            <v>73.077719218924614</v>
          </cell>
          <cell r="F19">
            <v>55.463897043548414</v>
          </cell>
        </row>
        <row r="20">
          <cell r="A20">
            <v>2016</v>
          </cell>
          <cell r="B20">
            <v>34.588559412402006</v>
          </cell>
          <cell r="C20">
            <v>81.058722492515571</v>
          </cell>
          <cell r="D20">
            <v>38.869134041635355</v>
          </cell>
          <cell r="E20">
            <v>73.012306458630135</v>
          </cell>
          <cell r="F20">
            <v>55.352969249461303</v>
          </cell>
        </row>
        <row r="21">
          <cell r="A21">
            <v>2017</v>
          </cell>
          <cell r="B21">
            <v>34.564029627291575</v>
          </cell>
          <cell r="C21">
            <v>81.039539019993811</v>
          </cell>
          <cell r="D21">
            <v>39.312327444363341</v>
          </cell>
          <cell r="E21">
            <v>73.764344881124003</v>
          </cell>
          <cell r="F21">
            <v>55.242263310962379</v>
          </cell>
        </row>
        <row r="22">
          <cell r="A22">
            <v>2018</v>
          </cell>
          <cell r="B22">
            <v>34.846044035726777</v>
          </cell>
          <cell r="C22">
            <v>81.373061885656625</v>
          </cell>
          <cell r="D22">
            <v>39.758975509675516</v>
          </cell>
          <cell r="E22">
            <v>74.514300094691308</v>
          </cell>
          <cell r="F22">
            <v>55.131778784340455</v>
          </cell>
        </row>
        <row r="23">
          <cell r="A23">
            <v>2019</v>
          </cell>
          <cell r="B23">
            <v>35.127277240814514</v>
          </cell>
          <cell r="C23">
            <v>81.705811725530367</v>
          </cell>
          <cell r="D23">
            <v>40.211669949183559</v>
          </cell>
          <cell r="E23">
            <v>75.279254412529951</v>
          </cell>
          <cell r="F23">
            <v>55.02151522677179</v>
          </cell>
        </row>
        <row r="24">
          <cell r="A24">
            <v>2020</v>
          </cell>
          <cell r="B24">
            <v>35.414135110004004</v>
          </cell>
          <cell r="C24">
            <v>82.045305716854187</v>
          </cell>
          <cell r="D24">
            <v>40.669774698122353</v>
          </cell>
          <cell r="E24">
            <v>76.054624775001471</v>
          </cell>
          <cell r="F24">
            <v>55.02151522677179</v>
          </cell>
        </row>
        <row r="25">
          <cell r="A25">
            <v>2021</v>
          </cell>
          <cell r="B25">
            <v>35.704898995930826</v>
          </cell>
          <cell r="C25">
            <v>82.385716415540784</v>
          </cell>
          <cell r="D25">
            <v>41.135210632155967</v>
          </cell>
          <cell r="E25">
            <v>76.852910435665351</v>
          </cell>
          <cell r="F25">
            <v>55.02151522677179</v>
          </cell>
        </row>
        <row r="26">
          <cell r="A26">
            <v>2022</v>
          </cell>
          <cell r="B26">
            <v>36.00425611867977</v>
          </cell>
          <cell r="C26">
            <v>82.736169794890259</v>
          </cell>
          <cell r="D26">
            <v>41.56004293268942</v>
          </cell>
          <cell r="E26">
            <v>77.354130503399489</v>
          </cell>
          <cell r="F26">
            <v>55.02151522677179</v>
          </cell>
        </row>
        <row r="27">
          <cell r="A27">
            <v>2023</v>
          </cell>
          <cell r="B27">
            <v>36.192213644080077</v>
          </cell>
          <cell r="C27">
            <v>82.958523665933612</v>
          </cell>
          <cell r="D27">
            <v>41.990486188346914</v>
          </cell>
          <cell r="E27">
            <v>77.868683108263738</v>
          </cell>
          <cell r="F27">
            <v>55.02151522677179</v>
          </cell>
        </row>
        <row r="28">
          <cell r="A28">
            <v>2024</v>
          </cell>
          <cell r="B28">
            <v>36.385170870904176</v>
          </cell>
          <cell r="C28">
            <v>83.186672322516117</v>
          </cell>
          <cell r="D28">
            <v>42.424713204213091</v>
          </cell>
          <cell r="E28">
            <v>78.384068996698602</v>
          </cell>
          <cell r="F28">
            <v>55.02151522677179</v>
          </cell>
        </row>
        <row r="29">
          <cell r="A29">
            <v>2025</v>
          </cell>
          <cell r="B29">
            <v>36.578440579067248</v>
          </cell>
          <cell r="C29">
            <v>83.415385919857641</v>
          </cell>
          <cell r="D29">
            <v>42.863193616124313</v>
          </cell>
          <cell r="E29">
            <v>78.903204661201286</v>
          </cell>
          <cell r="F29">
            <v>55.02151522677179</v>
          </cell>
        </row>
        <row r="30">
          <cell r="A30">
            <v>2026</v>
          </cell>
          <cell r="B30">
            <v>36.77311645325576</v>
          </cell>
          <cell r="C30">
            <v>83.645440820395336</v>
          </cell>
          <cell r="D30">
            <v>43.307963458516454</v>
          </cell>
          <cell r="E30">
            <v>79.439422638901902</v>
          </cell>
          <cell r="F30">
            <v>55.02151522677179</v>
          </cell>
        </row>
        <row r="31">
          <cell r="A31">
            <v>2027</v>
          </cell>
          <cell r="B31">
            <v>36.974198194893489</v>
          </cell>
          <cell r="C31">
            <v>83.88284742553239</v>
          </cell>
          <cell r="D31">
            <v>43.753076549840088</v>
          </cell>
          <cell r="E31">
            <v>79.952725318410202</v>
          </cell>
          <cell r="F31">
            <v>55.02151522677179</v>
          </cell>
        </row>
        <row r="32">
          <cell r="A32">
            <v>2028</v>
          </cell>
          <cell r="B32">
            <v>37.166686699709096</v>
          </cell>
          <cell r="C32">
            <v>84.110532266641457</v>
          </cell>
          <cell r="D32">
            <v>44.201785613636581</v>
          </cell>
          <cell r="E32">
            <v>80.464778072562538</v>
          </cell>
          <cell r="F32">
            <v>55.02151522677179</v>
          </cell>
        </row>
        <row r="33">
          <cell r="A33">
            <v>2029</v>
          </cell>
          <cell r="B33">
            <v>37.358706482516233</v>
          </cell>
          <cell r="C33">
            <v>84.337773349566703</v>
          </cell>
          <cell r="D33">
            <v>44.656308585044847</v>
          </cell>
          <cell r="E33">
            <v>80.990163363844985</v>
          </cell>
          <cell r="F33">
            <v>55.02151522677179</v>
          </cell>
        </row>
        <row r="34">
          <cell r="A34">
            <v>2030</v>
          </cell>
          <cell r="B34">
            <v>37.55572596674714</v>
          </cell>
          <cell r="C34">
            <v>84.571009790927846</v>
          </cell>
          <cell r="D34">
            <v>45.115882430798244</v>
          </cell>
          <cell r="E34">
            <v>81.523464849048395</v>
          </cell>
          <cell r="F34">
            <v>55.02151522677179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v>2008</v>
          </cell>
          <cell r="B4" t="e">
            <v>#N/A</v>
          </cell>
          <cell r="C4" t="e">
            <v>#N/A</v>
          </cell>
          <cell r="D4">
            <v>79.949086830362603</v>
          </cell>
          <cell r="E4">
            <v>135.96108361171395</v>
          </cell>
          <cell r="F4">
            <v>17.8</v>
          </cell>
          <cell r="G4">
            <v>33.814962660198262</v>
          </cell>
          <cell r="H4" t="e">
            <v>#N/A</v>
          </cell>
          <cell r="I4" t="e">
            <v>#N/A</v>
          </cell>
        </row>
        <row r="5">
          <cell r="A5">
            <v>2009</v>
          </cell>
          <cell r="B5">
            <v>278.3204339730338</v>
          </cell>
          <cell r="C5">
            <v>285.49618904240413</v>
          </cell>
          <cell r="D5">
            <v>79.949086830362603</v>
          </cell>
          <cell r="E5">
            <v>135.96108361171395</v>
          </cell>
          <cell r="F5">
            <v>17.8</v>
          </cell>
          <cell r="G5">
            <v>33.814962660198262</v>
          </cell>
          <cell r="H5">
            <v>435.28339953567166</v>
          </cell>
          <cell r="I5">
            <v>501.30812214268599</v>
          </cell>
        </row>
        <row r="6">
          <cell r="A6">
            <v>2010</v>
          </cell>
          <cell r="B6">
            <v>295.30242205988179</v>
          </cell>
          <cell r="C6">
            <v>300.63239623786092</v>
          </cell>
          <cell r="D6">
            <v>79.949086830362603</v>
          </cell>
          <cell r="E6">
            <v>135.96108361171395</v>
          </cell>
          <cell r="F6">
            <v>17.8</v>
          </cell>
          <cell r="G6">
            <v>33.814962660198262</v>
          </cell>
          <cell r="H6">
            <v>451.38574761594487</v>
          </cell>
          <cell r="I6">
            <v>517.94131686296816</v>
          </cell>
        </row>
        <row r="7">
          <cell r="A7">
            <v>2011</v>
          </cell>
          <cell r="B7">
            <v>306.78726754496711</v>
          </cell>
          <cell r="C7">
            <v>316.4651938507418</v>
          </cell>
          <cell r="D7">
            <v>79.949086830362603</v>
          </cell>
          <cell r="E7">
            <v>135.96108361171395</v>
          </cell>
          <cell r="F7">
            <v>7</v>
          </cell>
          <cell r="G7">
            <v>33.814962660198262</v>
          </cell>
          <cell r="H7">
            <v>457.42914933177559</v>
          </cell>
          <cell r="I7">
            <v>524.53999555844166</v>
          </cell>
        </row>
        <row r="8">
          <cell r="A8">
            <v>2012</v>
          </cell>
          <cell r="B8">
            <v>322.27686962246719</v>
          </cell>
          <cell r="C8">
            <v>334.59845093437508</v>
          </cell>
          <cell r="D8">
            <v>79.949086830362603</v>
          </cell>
          <cell r="E8">
            <v>135.96108361171395</v>
          </cell>
          <cell r="F8">
            <v>7</v>
          </cell>
          <cell r="G8">
            <v>33.814962660198262</v>
          </cell>
          <cell r="H8">
            <v>476.71984835691734</v>
          </cell>
          <cell r="I8">
            <v>544.46665169430241</v>
          </cell>
        </row>
        <row r="9">
          <cell r="A9">
            <v>2013</v>
          </cell>
          <cell r="B9">
            <v>287.96735269756766</v>
          </cell>
          <cell r="C9">
            <v>305.82354660876445</v>
          </cell>
          <cell r="D9">
            <v>79.949086830362603</v>
          </cell>
          <cell r="E9">
            <v>135.96108361171395</v>
          </cell>
          <cell r="F9">
            <v>7</v>
          </cell>
          <cell r="G9">
            <v>33.814962660198262</v>
          </cell>
          <cell r="H9">
            <v>446.10824801052308</v>
          </cell>
          <cell r="I9">
            <v>512.84587771011491</v>
          </cell>
        </row>
        <row r="10">
          <cell r="A10">
            <v>2014</v>
          </cell>
          <cell r="B10">
            <v>295.439487779481</v>
          </cell>
          <cell r="C10">
            <v>314.6566676086187</v>
          </cell>
          <cell r="D10">
            <v>79.949086830362603</v>
          </cell>
          <cell r="E10">
            <v>135.96108361171395</v>
          </cell>
          <cell r="F10">
            <v>7</v>
          </cell>
          <cell r="G10">
            <v>33.814962660198262</v>
          </cell>
          <cell r="H10">
            <v>455.5051852444106</v>
          </cell>
          <cell r="I10">
            <v>522.55260408358117</v>
          </cell>
        </row>
        <row r="11">
          <cell r="A11">
            <v>2015</v>
          </cell>
          <cell r="B11">
            <v>310.00487391149335</v>
          </cell>
          <cell r="C11">
            <v>330.77920630760758</v>
          </cell>
          <cell r="D11">
            <v>79.949086830362603</v>
          </cell>
          <cell r="E11">
            <v>135.96108361171395</v>
          </cell>
          <cell r="F11">
            <v>7</v>
          </cell>
          <cell r="G11">
            <v>33.814962660198262</v>
          </cell>
          <cell r="H11">
            <v>472.65682215822852</v>
          </cell>
          <cell r="I11">
            <v>540.26967957697548</v>
          </cell>
        </row>
        <row r="12">
          <cell r="A12">
            <v>2016</v>
          </cell>
          <cell r="B12">
            <v>321.31444427541169</v>
          </cell>
          <cell r="C12">
            <v>344.83587617669167</v>
          </cell>
          <cell r="D12">
            <v>79.949086830362603</v>
          </cell>
          <cell r="E12">
            <v>135.96108361171395</v>
          </cell>
          <cell r="F12">
            <v>7</v>
          </cell>
          <cell r="G12">
            <v>33.814962660198262</v>
          </cell>
          <cell r="H12">
            <v>487.61072627427541</v>
          </cell>
          <cell r="I12">
            <v>555.71656954300192</v>
          </cell>
        </row>
        <row r="13">
          <cell r="A13">
            <v>2017</v>
          </cell>
          <cell r="B13">
            <v>341.49965634222264</v>
          </cell>
          <cell r="C13">
            <v>366.74061929100901</v>
          </cell>
          <cell r="D13">
            <v>79.949086830362603</v>
          </cell>
          <cell r="E13">
            <v>135.96108361171395</v>
          </cell>
          <cell r="F13">
            <v>7</v>
          </cell>
          <cell r="G13">
            <v>33.814962660198262</v>
          </cell>
          <cell r="H13">
            <v>510.91364448099603</v>
          </cell>
          <cell r="I13">
            <v>579.78771582247157</v>
          </cell>
        </row>
        <row r="14">
          <cell r="A14">
            <v>2018</v>
          </cell>
          <cell r="B14">
            <v>367.73094274164504</v>
          </cell>
          <cell r="C14">
            <v>396.19717615638461</v>
          </cell>
          <cell r="D14">
            <v>79.949086830362603</v>
          </cell>
          <cell r="E14">
            <v>135.96108361171395</v>
          </cell>
          <cell r="F14">
            <v>7</v>
          </cell>
          <cell r="G14">
            <v>33.814962660198262</v>
          </cell>
          <cell r="H14">
            <v>542.25040710373605</v>
          </cell>
          <cell r="I14">
            <v>612.15755853167548</v>
          </cell>
        </row>
        <row r="15">
          <cell r="A15">
            <v>2019</v>
          </cell>
          <cell r="B15">
            <v>389.11935232626661</v>
          </cell>
          <cell r="C15">
            <v>422.25100131333113</v>
          </cell>
          <cell r="D15">
            <v>79.949086830362603</v>
          </cell>
          <cell r="E15">
            <v>135.96108361171395</v>
          </cell>
          <cell r="F15">
            <v>7</v>
          </cell>
          <cell r="G15">
            <v>33.814962660198262</v>
          </cell>
          <cell r="H15">
            <v>569.96724237708338</v>
          </cell>
          <cell r="I15">
            <v>640.78813562722121</v>
          </cell>
        </row>
        <row r="16">
          <cell r="A16">
            <v>2020</v>
          </cell>
          <cell r="B16">
            <v>399.37225188045431</v>
          </cell>
          <cell r="C16">
            <v>434.00728579157317</v>
          </cell>
          <cell r="D16">
            <v>79.949086830362603</v>
          </cell>
          <cell r="E16">
            <v>135.96108361171395</v>
          </cell>
          <cell r="F16">
            <v>7</v>
          </cell>
          <cell r="G16">
            <v>33.814962660198262</v>
          </cell>
          <cell r="H16">
            <v>582.47392799223439</v>
          </cell>
          <cell r="I16">
            <v>653.70712955935528</v>
          </cell>
        </row>
        <row r="17">
          <cell r="A17">
            <v>2021</v>
          </cell>
          <cell r="B17">
            <v>414.55759020925359</v>
          </cell>
          <cell r="C17">
            <v>451.84060174280785</v>
          </cell>
          <cell r="D17">
            <v>79.949086830362603</v>
          </cell>
          <cell r="E17">
            <v>135.96108361171395</v>
          </cell>
          <cell r="F17">
            <v>7</v>
          </cell>
          <cell r="G17">
            <v>33.814962660198262</v>
          </cell>
          <cell r="H17">
            <v>601.44554070631398</v>
          </cell>
          <cell r="I17">
            <v>673.30418005521756</v>
          </cell>
        </row>
        <row r="18">
          <cell r="A18">
            <v>2022</v>
          </cell>
          <cell r="B18">
            <v>431.01326927712103</v>
          </cell>
          <cell r="C18">
            <v>471.4597519556072</v>
          </cell>
          <cell r="D18">
            <v>79.949086830362603</v>
          </cell>
          <cell r="E18">
            <v>135.96108361171395</v>
          </cell>
          <cell r="F18">
            <v>7</v>
          </cell>
          <cell r="G18">
            <v>33.814962660198262</v>
          </cell>
          <cell r="H18">
            <v>622.31697710290905</v>
          </cell>
          <cell r="I18">
            <v>694.86368578356837</v>
          </cell>
        </row>
        <row r="19">
          <cell r="A19">
            <v>2023</v>
          </cell>
          <cell r="B19">
            <v>424.68888534271827</v>
          </cell>
          <cell r="C19">
            <v>461.39447867257098</v>
          </cell>
          <cell r="D19">
            <v>79.949086830362603</v>
          </cell>
          <cell r="E19">
            <v>135.96108361171395</v>
          </cell>
          <cell r="F19">
            <v>7</v>
          </cell>
          <cell r="G19">
            <v>33.814962660198262</v>
          </cell>
          <cell r="H19">
            <v>611.60923956776401</v>
          </cell>
          <cell r="I19">
            <v>683.80294591210009</v>
          </cell>
        </row>
        <row r="20">
          <cell r="A20">
            <v>2024</v>
          </cell>
          <cell r="B20">
            <v>416.97628318909085</v>
          </cell>
          <cell r="C20">
            <v>453.12762523510912</v>
          </cell>
          <cell r="D20">
            <v>79.949086830362603</v>
          </cell>
          <cell r="E20">
            <v>135.96108361171395</v>
          </cell>
          <cell r="F20">
            <v>7</v>
          </cell>
          <cell r="G20">
            <v>33.814962660198262</v>
          </cell>
          <cell r="H20">
            <v>602.81471463429398</v>
          </cell>
          <cell r="I20">
            <v>674.718491585219</v>
          </cell>
        </row>
        <row r="21">
          <cell r="A21">
            <v>2025</v>
          </cell>
          <cell r="B21">
            <v>431.38388825285142</v>
          </cell>
          <cell r="C21">
            <v>470.21689492109959</v>
          </cell>
          <cell r="D21">
            <v>79.949086830362603</v>
          </cell>
          <cell r="E21">
            <v>135.96108361171395</v>
          </cell>
          <cell r="F21">
            <v>7</v>
          </cell>
          <cell r="G21">
            <v>33.814962660198262</v>
          </cell>
          <cell r="H21">
            <v>620.99478876832643</v>
          </cell>
          <cell r="I21">
            <v>693.49790882257116</v>
          </cell>
        </row>
        <row r="22">
          <cell r="A22">
            <v>2026</v>
          </cell>
          <cell r="B22">
            <v>430.01579869689022</v>
          </cell>
          <cell r="C22">
            <v>468.88343886676813</v>
          </cell>
          <cell r="D22">
            <v>79.949086830362603</v>
          </cell>
          <cell r="E22">
            <v>135.96108361171395</v>
          </cell>
          <cell r="F22">
            <v>7</v>
          </cell>
          <cell r="G22">
            <v>33.814962660198262</v>
          </cell>
          <cell r="H22">
            <v>619.57621849776103</v>
          </cell>
          <cell r="I22">
            <v>692.03257249912986</v>
          </cell>
        </row>
        <row r="23">
          <cell r="A23">
            <v>2027</v>
          </cell>
          <cell r="B23">
            <v>443.28510873958305</v>
          </cell>
          <cell r="C23">
            <v>482.90884910199338</v>
          </cell>
          <cell r="D23">
            <v>79.949086830362603</v>
          </cell>
          <cell r="E23">
            <v>135.96108361171395</v>
          </cell>
          <cell r="F23">
            <v>7</v>
          </cell>
          <cell r="G23">
            <v>33.814962660198262</v>
          </cell>
          <cell r="H23">
            <v>634.49686768417087</v>
          </cell>
          <cell r="I23">
            <v>707.44511121915775</v>
          </cell>
        </row>
        <row r="24">
          <cell r="A24">
            <v>2028</v>
          </cell>
          <cell r="B24">
            <v>439.56397280488534</v>
          </cell>
          <cell r="C24">
            <v>474.95431672955459</v>
          </cell>
          <cell r="D24">
            <v>79.949086830362603</v>
          </cell>
          <cell r="E24">
            <v>135.96108361171395</v>
          </cell>
          <cell r="F24">
            <v>7</v>
          </cell>
          <cell r="G24">
            <v>33.814962660198262</v>
          </cell>
          <cell r="H24">
            <v>626.03459920285309</v>
          </cell>
          <cell r="I24">
            <v>698.70386685384028</v>
          </cell>
        </row>
        <row r="25">
          <cell r="A25">
            <v>2029</v>
          </cell>
          <cell r="B25">
            <v>439.79780321215839</v>
          </cell>
          <cell r="C25">
            <v>474.76978110712827</v>
          </cell>
          <cell r="D25">
            <v>79.949086830362603</v>
          </cell>
          <cell r="E25">
            <v>135.96108361171395</v>
          </cell>
          <cell r="F25">
            <v>7</v>
          </cell>
          <cell r="G25">
            <v>33.814962660198262</v>
          </cell>
          <cell r="H25">
            <v>625.8382847109101</v>
          </cell>
          <cell r="I25">
            <v>698.50108045556954</v>
          </cell>
        </row>
        <row r="26">
          <cell r="A26">
            <v>2030</v>
          </cell>
          <cell r="B26">
            <v>454.18202118651232</v>
          </cell>
          <cell r="C26">
            <v>488.99988462751293</v>
          </cell>
          <cell r="D26">
            <v>79.949086830362603</v>
          </cell>
          <cell r="E26">
            <v>135.96108361171395</v>
          </cell>
          <cell r="F26">
            <v>7</v>
          </cell>
          <cell r="G26">
            <v>33.814962660198262</v>
          </cell>
          <cell r="H26">
            <v>640.97669271131929</v>
          </cell>
          <cell r="I26">
            <v>714.13855685159683</v>
          </cell>
        </row>
      </sheetData>
      <sheetData sheetId="15">
        <row r="29">
          <cell r="A29">
            <v>2008</v>
          </cell>
          <cell r="B29" t="e">
            <v>#N/A</v>
          </cell>
          <cell r="C29" t="e">
            <v>#N/A</v>
          </cell>
          <cell r="D29" t="e">
            <v>#N/A</v>
          </cell>
          <cell r="E29" t="e">
            <v>#N/A</v>
          </cell>
          <cell r="F29" t="e">
            <v>#N/A</v>
          </cell>
          <cell r="G29" t="e">
            <v>#N/A</v>
          </cell>
          <cell r="H29" t="e">
            <v>#N/A</v>
          </cell>
          <cell r="I29" t="e">
            <v>#N/A</v>
          </cell>
          <cell r="J29" t="e">
            <v>#N/A</v>
          </cell>
          <cell r="K29" t="e">
            <v>#N/A</v>
          </cell>
          <cell r="L29" t="e">
            <v>#N/A</v>
          </cell>
          <cell r="M29" t="e">
            <v>#N/A</v>
          </cell>
          <cell r="N29" t="e">
            <v>#N/A</v>
          </cell>
          <cell r="O29" t="e">
            <v>#N/A</v>
          </cell>
          <cell r="P29" t="e">
            <v>#N/A</v>
          </cell>
        </row>
        <row r="30">
          <cell r="A30">
            <v>2009</v>
          </cell>
          <cell r="B30">
            <v>3.6828349940045335</v>
          </cell>
          <cell r="C30">
            <v>0</v>
          </cell>
          <cell r="D30">
            <v>0.91067591549327875</v>
          </cell>
          <cell r="E30">
            <v>1.6465324539932824</v>
          </cell>
          <cell r="F30">
            <v>9.3793157641759457</v>
          </cell>
          <cell r="G30">
            <v>0</v>
          </cell>
          <cell r="H30">
            <v>2.6675968928253284</v>
          </cell>
          <cell r="I30">
            <v>6.6619936208153749</v>
          </cell>
          <cell r="J30">
            <v>0</v>
          </cell>
          <cell r="K30">
            <v>0</v>
          </cell>
          <cell r="L30">
            <v>0</v>
          </cell>
          <cell r="M30">
            <v>0</v>
          </cell>
          <cell r="N30">
            <v>24.948949641307742</v>
          </cell>
          <cell r="O30">
            <v>31.186187051634676</v>
          </cell>
          <cell r="P30">
            <v>69.082265894960301</v>
          </cell>
        </row>
        <row r="31">
          <cell r="A31">
            <v>2010</v>
          </cell>
          <cell r="B31">
            <v>3.9850348724362341</v>
          </cell>
          <cell r="C31">
            <v>0</v>
          </cell>
          <cell r="D31">
            <v>0.73844537189477399</v>
          </cell>
          <cell r="E31">
            <v>2.8361120243262938</v>
          </cell>
          <cell r="F31">
            <v>10.385323744384907</v>
          </cell>
          <cell r="G31">
            <v>0</v>
          </cell>
          <cell r="H31">
            <v>3.0001565529765513</v>
          </cell>
          <cell r="I31">
            <v>8.4143191286082324</v>
          </cell>
          <cell r="J31">
            <v>0</v>
          </cell>
          <cell r="K31">
            <v>0</v>
          </cell>
          <cell r="L31">
            <v>0</v>
          </cell>
          <cell r="M31">
            <v>0</v>
          </cell>
          <cell r="N31">
            <v>29.359391694626993</v>
          </cell>
          <cell r="O31">
            <v>36.699239618283741</v>
          </cell>
          <cell r="P31">
            <v>74.595318461609367</v>
          </cell>
        </row>
        <row r="32">
          <cell r="A32">
            <v>2011</v>
          </cell>
          <cell r="B32">
            <v>3.5746817885339026</v>
          </cell>
          <cell r="C32">
            <v>0</v>
          </cell>
          <cell r="D32">
            <v>0.84325407444267386</v>
          </cell>
          <cell r="E32">
            <v>5.1357176574648706</v>
          </cell>
          <cell r="F32">
            <v>10.558102404025595</v>
          </cell>
          <cell r="G32">
            <v>0</v>
          </cell>
          <cell r="H32">
            <v>2.5839416040399437</v>
          </cell>
          <cell r="I32">
            <v>9.1376054079132931</v>
          </cell>
          <cell r="J32">
            <v>0</v>
          </cell>
          <cell r="K32">
            <v>0</v>
          </cell>
          <cell r="L32">
            <v>0</v>
          </cell>
          <cell r="M32">
            <v>0</v>
          </cell>
          <cell r="N32">
            <v>31.833302936420274</v>
          </cell>
          <cell r="O32">
            <v>39.791628670525341</v>
          </cell>
          <cell r="P32">
            <v>77.687707513850967</v>
          </cell>
        </row>
        <row r="33">
          <cell r="A33">
            <v>2012</v>
          </cell>
          <cell r="B33">
            <v>3.7281729149436744</v>
          </cell>
          <cell r="C33">
            <v>0</v>
          </cell>
          <cell r="D33">
            <v>0.80692724368911017</v>
          </cell>
          <cell r="E33">
            <v>4.7091151254220431</v>
          </cell>
          <cell r="F33">
            <v>11.030878845667139</v>
          </cell>
          <cell r="G33">
            <v>0</v>
          </cell>
          <cell r="H33">
            <v>2.6661287706228083</v>
          </cell>
          <cell r="I33">
            <v>9.5959627003838204</v>
          </cell>
          <cell r="J33">
            <v>0</v>
          </cell>
          <cell r="K33">
            <v>0</v>
          </cell>
          <cell r="L33">
            <v>0</v>
          </cell>
          <cell r="M33">
            <v>0</v>
          </cell>
          <cell r="N33">
            <v>32.537185600728598</v>
          </cell>
          <cell r="O33">
            <v>40.671482000910743</v>
          </cell>
          <cell r="P33">
            <v>78.567560844236368</v>
          </cell>
        </row>
        <row r="34">
          <cell r="A34">
            <v>2013</v>
          </cell>
          <cell r="B34">
            <v>2.9095649404789468</v>
          </cell>
          <cell r="C34">
            <v>0</v>
          </cell>
          <cell r="D34">
            <v>0.98390529048260522</v>
          </cell>
          <cell r="E34">
            <v>4.6723665310542266</v>
          </cell>
          <cell r="F34">
            <v>10.007314072793315</v>
          </cell>
          <cell r="G34">
            <v>0</v>
          </cell>
          <cell r="H34">
            <v>2.9209728539683733</v>
          </cell>
          <cell r="I34">
            <v>13.749603824716765</v>
          </cell>
          <cell r="J34">
            <v>0</v>
          </cell>
          <cell r="K34">
            <v>0</v>
          </cell>
          <cell r="L34">
            <v>0</v>
          </cell>
          <cell r="M34">
            <v>0</v>
          </cell>
          <cell r="N34">
            <v>35.243727513494228</v>
          </cell>
          <cell r="O34">
            <v>44.05465939186778</v>
          </cell>
          <cell r="P34">
            <v>81.950738235193413</v>
          </cell>
        </row>
        <row r="35">
          <cell r="A35">
            <v>2014</v>
          </cell>
          <cell r="B35">
            <v>2.8922300654720638</v>
          </cell>
          <cell r="C35">
            <v>0</v>
          </cell>
          <cell r="D35">
            <v>1.1208972773453807</v>
          </cell>
          <cell r="E35">
            <v>5.4830114755276584</v>
          </cell>
          <cell r="F35">
            <v>10.630243102411669</v>
          </cell>
          <cell r="G35">
            <v>0</v>
          </cell>
          <cell r="H35">
            <v>3.0210802068633233</v>
          </cell>
          <cell r="I35">
            <v>14.184486990108114</v>
          </cell>
          <cell r="J35">
            <v>0</v>
          </cell>
          <cell r="K35">
            <v>0</v>
          </cell>
          <cell r="L35">
            <v>0</v>
          </cell>
          <cell r="M35">
            <v>0</v>
          </cell>
          <cell r="N35">
            <v>37.331949117728207</v>
          </cell>
          <cell r="O35">
            <v>46.664936397160254</v>
          </cell>
          <cell r="P35">
            <v>84.561015240485887</v>
          </cell>
        </row>
        <row r="36">
          <cell r="A36">
            <v>2015</v>
          </cell>
          <cell r="B36">
            <v>2.9356032214967063</v>
          </cell>
          <cell r="C36">
            <v>0</v>
          </cell>
          <cell r="D36">
            <v>1.6190259209239213</v>
          </cell>
          <cell r="E36">
            <v>5.1089203560147967</v>
          </cell>
          <cell r="F36">
            <v>10.343564816195855</v>
          </cell>
          <cell r="G36">
            <v>0</v>
          </cell>
          <cell r="H36">
            <v>3.1709631823280415</v>
          </cell>
          <cell r="I36">
            <v>14.092558445127107</v>
          </cell>
          <cell r="J36">
            <v>0</v>
          </cell>
          <cell r="K36">
            <v>0</v>
          </cell>
          <cell r="L36">
            <v>0</v>
          </cell>
          <cell r="M36">
            <v>0</v>
          </cell>
          <cell r="N36">
            <v>37.270635942086429</v>
          </cell>
          <cell r="O36">
            <v>46.588294927608032</v>
          </cell>
          <cell r="P36">
            <v>84.484373770933672</v>
          </cell>
        </row>
        <row r="37">
          <cell r="A37">
            <v>2016</v>
          </cell>
          <cell r="B37">
            <v>2.8628856673062142</v>
          </cell>
          <cell r="C37">
            <v>0</v>
          </cell>
          <cell r="D37">
            <v>1.6778705265095963</v>
          </cell>
          <cell r="E37">
            <v>4.1471196657900435</v>
          </cell>
          <cell r="F37">
            <v>10.514795008928981</v>
          </cell>
          <cell r="G37">
            <v>0</v>
          </cell>
          <cell r="H37">
            <v>3.1250448870650698</v>
          </cell>
          <cell r="I37">
            <v>13.9116363793711</v>
          </cell>
          <cell r="J37">
            <v>0</v>
          </cell>
          <cell r="K37">
            <v>0</v>
          </cell>
          <cell r="L37">
            <v>0</v>
          </cell>
          <cell r="M37">
            <v>0</v>
          </cell>
          <cell r="N37">
            <v>36.239352134971</v>
          </cell>
          <cell r="O37">
            <v>45.29919016871375</v>
          </cell>
          <cell r="P37">
            <v>83.195269012039375</v>
          </cell>
        </row>
        <row r="38">
          <cell r="A38">
            <v>2017</v>
          </cell>
          <cell r="B38">
            <v>2.9617559177180395</v>
          </cell>
          <cell r="C38">
            <v>0</v>
          </cell>
          <cell r="D38">
            <v>1.6132417147892957</v>
          </cell>
          <cell r="E38">
            <v>4.1209964660716274</v>
          </cell>
          <cell r="F38">
            <v>10.439868399285121</v>
          </cell>
          <cell r="G38">
            <v>0</v>
          </cell>
          <cell r="H38">
            <v>3.1046715545948116</v>
          </cell>
          <cell r="I38">
            <v>14.046871051725947</v>
          </cell>
          <cell r="J38">
            <v>0</v>
          </cell>
          <cell r="K38">
            <v>0</v>
          </cell>
          <cell r="L38">
            <v>0</v>
          </cell>
          <cell r="M38">
            <v>0</v>
          </cell>
          <cell r="N38">
            <v>36.287405104184842</v>
          </cell>
          <cell r="O38">
            <v>45.359256380231052</v>
          </cell>
          <cell r="P38">
            <v>83.255335223556685</v>
          </cell>
        </row>
        <row r="39">
          <cell r="A39">
            <v>2018</v>
          </cell>
          <cell r="B39">
            <v>3.0253409323002631</v>
          </cell>
          <cell r="C39">
            <v>0</v>
          </cell>
          <cell r="D39">
            <v>1.5552151220664674</v>
          </cell>
          <cell r="E39">
            <v>4.2230625345708752</v>
          </cell>
          <cell r="F39">
            <v>10.403270212377906</v>
          </cell>
          <cell r="G39">
            <v>0</v>
          </cell>
          <cell r="H39">
            <v>3.0731027092291878</v>
          </cell>
          <cell r="I39">
            <v>14.153478548812842</v>
          </cell>
          <cell r="J39">
            <v>0</v>
          </cell>
          <cell r="K39">
            <v>0</v>
          </cell>
          <cell r="L39">
            <v>0</v>
          </cell>
          <cell r="M39">
            <v>0</v>
          </cell>
          <cell r="N39">
            <v>36.433470059357546</v>
          </cell>
          <cell r="O39">
            <v>45.541837574196933</v>
          </cell>
          <cell r="P39">
            <v>83.437916417522558</v>
          </cell>
        </row>
        <row r="40">
          <cell r="A40">
            <v>2019</v>
          </cell>
          <cell r="B40">
            <v>3.0531837365416168</v>
          </cell>
          <cell r="C40">
            <v>0</v>
          </cell>
          <cell r="D40">
            <v>1.5883581961247695</v>
          </cell>
          <cell r="E40">
            <v>4.4256878020576158</v>
          </cell>
          <cell r="F40">
            <v>10.668701595779375</v>
          </cell>
          <cell r="G40">
            <v>0</v>
          </cell>
          <cell r="H40">
            <v>3.0301334722478055</v>
          </cell>
          <cell r="I40">
            <v>13.619782696979156</v>
          </cell>
          <cell r="J40">
            <v>0</v>
          </cell>
          <cell r="K40">
            <v>0</v>
          </cell>
          <cell r="L40">
            <v>0</v>
          </cell>
          <cell r="M40">
            <v>0</v>
          </cell>
          <cell r="N40">
            <v>36.385847499730339</v>
          </cell>
          <cell r="O40">
            <v>45.482309374662918</v>
          </cell>
          <cell r="P40">
            <v>83.378388217988544</v>
          </cell>
        </row>
        <row r="41">
          <cell r="A41">
            <v>2020</v>
          </cell>
          <cell r="B41">
            <v>3.1028182203317005</v>
          </cell>
          <cell r="C41">
            <v>0</v>
          </cell>
          <cell r="D41">
            <v>1.5932746272601344</v>
          </cell>
          <cell r="E41">
            <v>4.4688861175871901</v>
          </cell>
          <cell r="F41">
            <v>10.547979641996847</v>
          </cell>
          <cell r="G41">
            <v>0</v>
          </cell>
          <cell r="H41">
            <v>3.0358482181820472</v>
          </cell>
          <cell r="I41">
            <v>13.863714708799352</v>
          </cell>
          <cell r="J41">
            <v>0</v>
          </cell>
          <cell r="K41">
            <v>0</v>
          </cell>
          <cell r="L41">
            <v>0</v>
          </cell>
          <cell r="M41">
            <v>0</v>
          </cell>
          <cell r="N41">
            <v>36.612521534157267</v>
          </cell>
          <cell r="O41">
            <v>45.76565191769658</v>
          </cell>
          <cell r="P41">
            <v>83.661730761022213</v>
          </cell>
        </row>
        <row r="42">
          <cell r="A42">
            <v>2021</v>
          </cell>
          <cell r="B42">
            <v>3.1547776075483709</v>
          </cell>
          <cell r="C42">
            <v>0</v>
          </cell>
          <cell r="D42">
            <v>1.5653350598918141</v>
          </cell>
          <cell r="E42">
            <v>4.1703003269304517</v>
          </cell>
          <cell r="F42">
            <v>10.521887240140369</v>
          </cell>
          <cell r="G42">
            <v>0</v>
          </cell>
          <cell r="H42">
            <v>3.0629642080890243</v>
          </cell>
          <cell r="I42">
            <v>14.139712619788694</v>
          </cell>
          <cell r="J42">
            <v>0</v>
          </cell>
          <cell r="K42">
            <v>0</v>
          </cell>
          <cell r="L42">
            <v>0</v>
          </cell>
          <cell r="M42">
            <v>0</v>
          </cell>
          <cell r="N42">
            <v>36.614977062388725</v>
          </cell>
          <cell r="O42">
            <v>45.768721327985901</v>
          </cell>
          <cell r="P42">
            <v>83.664800171311526</v>
          </cell>
        </row>
        <row r="43">
          <cell r="A43">
            <v>2022</v>
          </cell>
          <cell r="B43">
            <v>3.1748396626389233</v>
          </cell>
          <cell r="C43">
            <v>0</v>
          </cell>
          <cell r="D43">
            <v>1.6086285420560036</v>
          </cell>
          <cell r="E43">
            <v>4.1905850359256629</v>
          </cell>
          <cell r="F43">
            <v>10.6771634959493</v>
          </cell>
          <cell r="G43">
            <v>0</v>
          </cell>
          <cell r="H43">
            <v>3.0801609862632637</v>
          </cell>
          <cell r="I43">
            <v>14.290570621635068</v>
          </cell>
          <cell r="J43">
            <v>0</v>
          </cell>
          <cell r="K43">
            <v>0</v>
          </cell>
          <cell r="L43">
            <v>0</v>
          </cell>
          <cell r="M43">
            <v>0</v>
          </cell>
          <cell r="N43">
            <v>37.021948344468221</v>
          </cell>
          <cell r="O43">
            <v>46.277435430585271</v>
          </cell>
          <cell r="P43">
            <v>84.173514273910911</v>
          </cell>
        </row>
        <row r="44">
          <cell r="A44">
            <v>2023</v>
          </cell>
          <cell r="B44">
            <v>3.1769657520478507</v>
          </cell>
          <cell r="C44">
            <v>0</v>
          </cell>
          <cell r="D44">
            <v>1.5514443947607204</v>
          </cell>
          <cell r="E44">
            <v>4.2019342077298107</v>
          </cell>
          <cell r="F44">
            <v>10.839819627183688</v>
          </cell>
          <cell r="G44">
            <v>0</v>
          </cell>
          <cell r="H44">
            <v>3.0831233064615859</v>
          </cell>
          <cell r="I44">
            <v>14.720498374232463</v>
          </cell>
          <cell r="J44">
            <v>0</v>
          </cell>
          <cell r="K44">
            <v>0</v>
          </cell>
          <cell r="L44">
            <v>0</v>
          </cell>
          <cell r="M44">
            <v>0</v>
          </cell>
          <cell r="N44">
            <v>37.573785662416121</v>
          </cell>
          <cell r="O44">
            <v>46.967232078020146</v>
          </cell>
          <cell r="P44">
            <v>84.863310921345771</v>
          </cell>
        </row>
        <row r="45">
          <cell r="A45">
            <v>2024</v>
          </cell>
          <cell r="B45">
            <v>2.7565482711330533</v>
          </cell>
          <cell r="C45">
            <v>0</v>
          </cell>
          <cell r="D45">
            <v>1.5487858231543052</v>
          </cell>
          <cell r="E45">
            <v>3.840457222264444</v>
          </cell>
          <cell r="F45">
            <v>10.695570836610106</v>
          </cell>
          <cell r="G45">
            <v>0</v>
          </cell>
          <cell r="H45">
            <v>2.9960482352589146</v>
          </cell>
          <cell r="I45">
            <v>16.611610193745872</v>
          </cell>
          <cell r="J45">
            <v>0</v>
          </cell>
          <cell r="K45">
            <v>0</v>
          </cell>
          <cell r="L45">
            <v>0</v>
          </cell>
          <cell r="M45">
            <v>0</v>
          </cell>
          <cell r="N45">
            <v>38.449020582166696</v>
          </cell>
          <cell r="O45">
            <v>48.06127572770837</v>
          </cell>
          <cell r="P45">
            <v>85.957354571034003</v>
          </cell>
        </row>
        <row r="46">
          <cell r="A46">
            <v>2025</v>
          </cell>
          <cell r="B46">
            <v>2.7050857348096011</v>
          </cell>
          <cell r="C46">
            <v>0</v>
          </cell>
          <cell r="D46">
            <v>1.5495531686526567</v>
          </cell>
          <cell r="E46">
            <v>3.9539417660769813</v>
          </cell>
          <cell r="F46">
            <v>10.89857797614642</v>
          </cell>
          <cell r="G46">
            <v>0</v>
          </cell>
          <cell r="H46">
            <v>3.0111302580015433</v>
          </cell>
          <cell r="I46">
            <v>16.789820132280816</v>
          </cell>
          <cell r="J46">
            <v>0</v>
          </cell>
          <cell r="K46">
            <v>0</v>
          </cell>
          <cell r="L46">
            <v>0</v>
          </cell>
          <cell r="M46">
            <v>0</v>
          </cell>
          <cell r="N46">
            <v>38.908109035968018</v>
          </cell>
          <cell r="O46">
            <v>48.63513629496002</v>
          </cell>
          <cell r="P46">
            <v>86.53121513828566</v>
          </cell>
        </row>
        <row r="47">
          <cell r="A47">
            <v>2026</v>
          </cell>
          <cell r="B47">
            <v>2.2770927929926223</v>
          </cell>
          <cell r="C47">
            <v>0</v>
          </cell>
          <cell r="D47">
            <v>1.3493374507911324</v>
          </cell>
          <cell r="E47">
            <v>3.6703389012837886</v>
          </cell>
          <cell r="F47">
            <v>10.786761149896609</v>
          </cell>
          <cell r="G47">
            <v>0</v>
          </cell>
          <cell r="H47">
            <v>2.995168664214416</v>
          </cell>
          <cell r="I47">
            <v>18.387321500358546</v>
          </cell>
          <cell r="J47">
            <v>0</v>
          </cell>
          <cell r="K47">
            <v>0</v>
          </cell>
          <cell r="L47">
            <v>0</v>
          </cell>
          <cell r="M47">
            <v>0</v>
          </cell>
          <cell r="N47">
            <v>39.466020459537113</v>
          </cell>
          <cell r="O47">
            <v>49.332525574421389</v>
          </cell>
          <cell r="P47">
            <v>87.228604417747022</v>
          </cell>
        </row>
        <row r="48">
          <cell r="A48">
            <v>2027</v>
          </cell>
          <cell r="B48">
            <v>2.2934775068006057</v>
          </cell>
          <cell r="C48">
            <v>0</v>
          </cell>
          <cell r="D48">
            <v>1.3610542974483271</v>
          </cell>
          <cell r="E48">
            <v>3.6470735134565087</v>
          </cell>
          <cell r="F48">
            <v>10.931578734212474</v>
          </cell>
          <cell r="G48">
            <v>0</v>
          </cell>
          <cell r="H48">
            <v>3.0072833111626971</v>
          </cell>
          <cell r="I48">
            <v>18.570583578644936</v>
          </cell>
          <cell r="J48">
            <v>0</v>
          </cell>
          <cell r="K48">
            <v>0</v>
          </cell>
          <cell r="L48">
            <v>0</v>
          </cell>
          <cell r="M48">
            <v>0</v>
          </cell>
          <cell r="N48">
            <v>39.811050941725554</v>
          </cell>
          <cell r="O48">
            <v>49.763813677156939</v>
          </cell>
          <cell r="P48">
            <v>87.659892520482572</v>
          </cell>
        </row>
        <row r="49">
          <cell r="A49">
            <v>2028</v>
          </cell>
          <cell r="B49">
            <v>2.3185083815035061</v>
          </cell>
          <cell r="C49">
            <v>0</v>
          </cell>
          <cell r="D49">
            <v>1.3557101899153667</v>
          </cell>
          <cell r="E49">
            <v>3.6131664678281892</v>
          </cell>
          <cell r="F49">
            <v>11.021805558491755</v>
          </cell>
          <cell r="G49">
            <v>0</v>
          </cell>
          <cell r="H49">
            <v>3.0181256118627378</v>
          </cell>
          <cell r="I49">
            <v>18.783816517295982</v>
          </cell>
          <cell r="J49">
            <v>0</v>
          </cell>
          <cell r="K49">
            <v>0</v>
          </cell>
          <cell r="L49">
            <v>0</v>
          </cell>
          <cell r="M49">
            <v>0</v>
          </cell>
          <cell r="N49">
            <v>40.111132726897537</v>
          </cell>
          <cell r="O49">
            <v>50.138915908621918</v>
          </cell>
          <cell r="P49">
            <v>88.034994751947551</v>
          </cell>
        </row>
        <row r="50">
          <cell r="A50">
            <v>2029</v>
          </cell>
          <cell r="B50">
            <v>2.3207603435800137</v>
          </cell>
          <cell r="C50">
            <v>0</v>
          </cell>
          <cell r="D50">
            <v>1.4184337370314732</v>
          </cell>
          <cell r="E50">
            <v>3.7199755090822855</v>
          </cell>
          <cell r="F50">
            <v>11.204790880141443</v>
          </cell>
          <cell r="G50">
            <v>0</v>
          </cell>
          <cell r="H50">
            <v>3.0316705978173473</v>
          </cell>
          <cell r="I50">
            <v>18.925239188639477</v>
          </cell>
          <cell r="J50">
            <v>0</v>
          </cell>
          <cell r="K50">
            <v>0</v>
          </cell>
          <cell r="L50">
            <v>0</v>
          </cell>
          <cell r="M50">
            <v>0</v>
          </cell>
          <cell r="N50">
            <v>40.620870256292037</v>
          </cell>
          <cell r="O50">
            <v>50.776087820365042</v>
          </cell>
          <cell r="P50">
            <v>88.672166663690675</v>
          </cell>
        </row>
        <row r="51">
          <cell r="A51">
            <v>2030</v>
          </cell>
          <cell r="B51">
            <v>2.3510432555118941</v>
          </cell>
          <cell r="C51">
            <v>0</v>
          </cell>
          <cell r="D51">
            <v>1.421996478559501</v>
          </cell>
          <cell r="E51">
            <v>3.7184886034592588</v>
          </cell>
          <cell r="F51">
            <v>11.326248772750105</v>
          </cell>
          <cell r="G51">
            <v>0</v>
          </cell>
          <cell r="H51">
            <v>3.0393509191823478</v>
          </cell>
          <cell r="I51">
            <v>19.101683543713118</v>
          </cell>
          <cell r="J51">
            <v>0</v>
          </cell>
          <cell r="K51">
            <v>0</v>
          </cell>
          <cell r="L51">
            <v>0</v>
          </cell>
          <cell r="M51">
            <v>0</v>
          </cell>
          <cell r="N51">
            <v>40.95881157317622</v>
          </cell>
          <cell r="O51">
            <v>51.198514466470272</v>
          </cell>
          <cell r="P51">
            <v>89.094593309795897</v>
          </cell>
        </row>
      </sheetData>
      <sheetData sheetId="16">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821.65671161788032</v>
          </cell>
          <cell r="C14">
            <v>13.802327498163498</v>
          </cell>
          <cell r="D14">
            <v>7.1226258063235734</v>
          </cell>
          <cell r="E14">
            <v>231.13749812392524</v>
          </cell>
          <cell r="F14">
            <v>602.90529002075914</v>
          </cell>
          <cell r="G14">
            <v>883.50184044933371</v>
          </cell>
          <cell r="H14">
            <v>14.841212363616666</v>
          </cell>
          <cell r="I14">
            <v>7.6587374261543806</v>
          </cell>
          <cell r="J14">
            <v>248.53494421927448</v>
          </cell>
          <cell r="K14">
            <v>648.28525808683787</v>
          </cell>
        </row>
        <row r="15">
          <cell r="A15">
            <v>2010</v>
          </cell>
          <cell r="B15">
            <v>801.78087792574581</v>
          </cell>
          <cell r="C15">
            <v>16.677624436627646</v>
          </cell>
          <cell r="D15">
            <v>7.1083839186785882</v>
          </cell>
          <cell r="E15">
            <v>533.0158616586782</v>
          </cell>
          <cell r="F15">
            <v>678.32712659212359</v>
          </cell>
          <cell r="G15">
            <v>862.12997626424283</v>
          </cell>
          <cell r="H15">
            <v>17.932929501750159</v>
          </cell>
          <cell r="I15">
            <v>7.6434235684716008</v>
          </cell>
          <cell r="J15">
            <v>573.1353351168583</v>
          </cell>
          <cell r="K15">
            <v>729.384007088305</v>
          </cell>
        </row>
        <row r="16">
          <cell r="A16">
            <v>2011</v>
          </cell>
          <cell r="B16">
            <v>791.10594578615678</v>
          </cell>
          <cell r="C16">
            <v>17.207623076705552</v>
          </cell>
          <cell r="D16">
            <v>7.0759204962594184</v>
          </cell>
          <cell r="E16">
            <v>179.67561966805536</v>
          </cell>
          <cell r="F16">
            <v>557.85986647359186</v>
          </cell>
          <cell r="G16">
            <v>850.65155460877077</v>
          </cell>
          <cell r="H16">
            <v>18.502820512586617</v>
          </cell>
          <cell r="I16">
            <v>7.6085166626445364</v>
          </cell>
          <cell r="J16">
            <v>193.19959104091976</v>
          </cell>
          <cell r="K16">
            <v>599.84931878880855</v>
          </cell>
        </row>
        <row r="17">
          <cell r="A17">
            <v>2012</v>
          </cell>
          <cell r="B17">
            <v>788.91391806985189</v>
          </cell>
          <cell r="C17">
            <v>17.934877097194757</v>
          </cell>
          <cell r="D17">
            <v>7.1083846150626782</v>
          </cell>
          <cell r="E17">
            <v>196.91384875650243</v>
          </cell>
          <cell r="F17">
            <v>559.74436374245818</v>
          </cell>
          <cell r="G17">
            <v>848.29453555898056</v>
          </cell>
          <cell r="H17">
            <v>19.284814083005116</v>
          </cell>
          <cell r="I17">
            <v>7.6434243172716974</v>
          </cell>
          <cell r="J17">
            <v>211.73532124355103</v>
          </cell>
          <cell r="K17">
            <v>601.87565993812711</v>
          </cell>
        </row>
        <row r="18">
          <cell r="A18">
            <v>2013</v>
          </cell>
          <cell r="B18">
            <v>792.18037992692894</v>
          </cell>
          <cell r="C18">
            <v>17.118632769214344</v>
          </cell>
          <cell r="D18">
            <v>7.0636013955072343</v>
          </cell>
          <cell r="E18">
            <v>193.79899315440929</v>
          </cell>
          <cell r="F18">
            <v>559.05269630277132</v>
          </cell>
          <cell r="G18">
            <v>851.80686013648278</v>
          </cell>
          <cell r="H18">
            <v>18.407132009907897</v>
          </cell>
          <cell r="I18">
            <v>7.5952703177497147</v>
          </cell>
          <cell r="J18">
            <v>208.38601414452614</v>
          </cell>
          <cell r="K18">
            <v>601.13193150835627</v>
          </cell>
        </row>
        <row r="19">
          <cell r="A19">
            <v>2014</v>
          </cell>
          <cell r="B19">
            <v>796.26613719011709</v>
          </cell>
          <cell r="C19">
            <v>15.272551134687829</v>
          </cell>
          <cell r="D19">
            <v>6.9962504139657042</v>
          </cell>
          <cell r="E19">
            <v>203.81511475245162</v>
          </cell>
          <cell r="F19">
            <v>563.93262042301899</v>
          </cell>
          <cell r="G19">
            <v>856.20014751625502</v>
          </cell>
          <cell r="H19">
            <v>16.422097994287988</v>
          </cell>
          <cell r="I19">
            <v>7.5228499074900048</v>
          </cell>
          <cell r="J19">
            <v>219.15603736822757</v>
          </cell>
          <cell r="K19">
            <v>606.3791617451817</v>
          </cell>
        </row>
        <row r="20">
          <cell r="A20">
            <v>2015</v>
          </cell>
          <cell r="B20">
            <v>806.35451070861882</v>
          </cell>
          <cell r="C20">
            <v>15.616307826119098</v>
          </cell>
          <cell r="D20">
            <v>7.077146188686922</v>
          </cell>
          <cell r="E20">
            <v>221.04256192376977</v>
          </cell>
          <cell r="F20">
            <v>576.99427119822144</v>
          </cell>
          <cell r="G20">
            <v>867.04786097700958</v>
          </cell>
          <cell r="H20">
            <v>16.791728845289352</v>
          </cell>
          <cell r="I20">
            <v>7.6098346114913147</v>
          </cell>
          <cell r="J20">
            <v>237.68017411158041</v>
          </cell>
          <cell r="K20">
            <v>620.42394752496932</v>
          </cell>
        </row>
        <row r="21">
          <cell r="A21">
            <v>2016</v>
          </cell>
          <cell r="B21">
            <v>800.03404546858383</v>
          </cell>
          <cell r="C21">
            <v>15.536117491082232</v>
          </cell>
          <cell r="D21">
            <v>6.9996428076703214</v>
          </cell>
          <cell r="E21">
            <v>179.44062680911301</v>
          </cell>
          <cell r="F21">
            <v>563.06286728577925</v>
          </cell>
          <cell r="G21">
            <v>860.25166179417624</v>
          </cell>
          <cell r="H21">
            <v>16.705502678583045</v>
          </cell>
          <cell r="I21">
            <v>7.5264976426562598</v>
          </cell>
          <cell r="J21">
            <v>192.94691054743336</v>
          </cell>
          <cell r="K21">
            <v>605.44394331804222</v>
          </cell>
        </row>
        <row r="22">
          <cell r="A22">
            <v>2017</v>
          </cell>
          <cell r="B22">
            <v>795.60123915564429</v>
          </cell>
          <cell r="C22">
            <v>15.961450565390489</v>
          </cell>
          <cell r="D22">
            <v>7.0357667432640882</v>
          </cell>
          <cell r="E22">
            <v>181.88261789358364</v>
          </cell>
          <cell r="F22">
            <v>565.70235771614409</v>
          </cell>
          <cell r="G22">
            <v>855.48520339316599</v>
          </cell>
          <cell r="H22">
            <v>17.162850070312356</v>
          </cell>
          <cell r="I22">
            <v>7.5653405841549342</v>
          </cell>
          <cell r="J22">
            <v>195.57270741245554</v>
          </cell>
          <cell r="K22">
            <v>608.28210507112271</v>
          </cell>
        </row>
        <row r="23">
          <cell r="A23">
            <v>2018</v>
          </cell>
          <cell r="B23">
            <v>791.63479440745743</v>
          </cell>
          <cell r="C23">
            <v>16.443921922918012</v>
          </cell>
          <cell r="D23">
            <v>7.0686866716471322</v>
          </cell>
          <cell r="E23">
            <v>186.05582043992285</v>
          </cell>
          <cell r="F23">
            <v>563.55147360230262</v>
          </cell>
          <cell r="G23">
            <v>851.22020904027681</v>
          </cell>
          <cell r="H23">
            <v>17.681636476255928</v>
          </cell>
          <cell r="I23">
            <v>7.6007383566098197</v>
          </cell>
          <cell r="J23">
            <v>200.0600219784117</v>
          </cell>
          <cell r="K23">
            <v>605.9693264540889</v>
          </cell>
        </row>
        <row r="24">
          <cell r="A24">
            <v>2019</v>
          </cell>
          <cell r="B24">
            <v>783.42247398938912</v>
          </cell>
          <cell r="C24">
            <v>16.604811317093436</v>
          </cell>
          <cell r="D24">
            <v>7.0887037544589111</v>
          </cell>
          <cell r="E24">
            <v>191.86882275685065</v>
          </cell>
          <cell r="F24">
            <v>568.57941525961689</v>
          </cell>
          <cell r="G24">
            <v>842.38975697783781</v>
          </cell>
          <cell r="H24">
            <v>17.854635824831654</v>
          </cell>
          <cell r="I24">
            <v>7.6222621015687224</v>
          </cell>
          <cell r="J24">
            <v>206.3105621041405</v>
          </cell>
          <cell r="K24">
            <v>611.37571533292146</v>
          </cell>
        </row>
        <row r="25">
          <cell r="A25">
            <v>2020</v>
          </cell>
          <cell r="B25">
            <v>784.32557140488882</v>
          </cell>
          <cell r="C25">
            <v>16.546420078836938</v>
          </cell>
          <cell r="D25">
            <v>7.0973375696747505</v>
          </cell>
          <cell r="E25">
            <v>195.95923538679531</v>
          </cell>
          <cell r="F25">
            <v>571.34712050212443</v>
          </cell>
          <cell r="G25">
            <v>843.36082946762247</v>
          </cell>
          <cell r="H25">
            <v>17.791849547136493</v>
          </cell>
          <cell r="I25">
            <v>7.6315457738438184</v>
          </cell>
          <cell r="J25">
            <v>210.70885525461864</v>
          </cell>
          <cell r="K25">
            <v>614.3517424754026</v>
          </cell>
        </row>
        <row r="26">
          <cell r="A26">
            <v>2021</v>
          </cell>
          <cell r="B26">
            <v>782.16701358896717</v>
          </cell>
          <cell r="C26">
            <v>16.568145000630771</v>
          </cell>
          <cell r="D26">
            <v>7.1466327805534275</v>
          </cell>
          <cell r="E26">
            <v>210.60497878435521</v>
          </cell>
          <cell r="F26">
            <v>576.67782682629741</v>
          </cell>
          <cell r="G26">
            <v>841.03979955802924</v>
          </cell>
          <cell r="H26">
            <v>17.815209678097606</v>
          </cell>
          <cell r="I26">
            <v>7.6845513769391696</v>
          </cell>
          <cell r="J26">
            <v>226.45696643479056</v>
          </cell>
          <cell r="K26">
            <v>620.08368475945963</v>
          </cell>
        </row>
        <row r="27">
          <cell r="A27">
            <v>2022</v>
          </cell>
          <cell r="B27">
            <v>783.5480416532879</v>
          </cell>
          <cell r="C27">
            <v>16.515056751765105</v>
          </cell>
          <cell r="D27">
            <v>7.186112118027542</v>
          </cell>
          <cell r="E27">
            <v>222.4542435929003</v>
          </cell>
          <cell r="F27">
            <v>583.68364622907802</v>
          </cell>
          <cell r="G27">
            <v>842.52477597127734</v>
          </cell>
          <cell r="H27">
            <v>17.758125539532372</v>
          </cell>
          <cell r="I27">
            <v>7.7270022774489702</v>
          </cell>
          <cell r="J27">
            <v>239.19811139021539</v>
          </cell>
          <cell r="K27">
            <v>627.6168239022345</v>
          </cell>
        </row>
        <row r="28">
          <cell r="A28">
            <v>2023</v>
          </cell>
          <cell r="B28">
            <v>778.09832705357087</v>
          </cell>
          <cell r="C28">
            <v>16.612259527899528</v>
          </cell>
          <cell r="D28">
            <v>7.0393976984351605</v>
          </cell>
          <cell r="E28">
            <v>195.5201251690236</v>
          </cell>
          <cell r="F28">
            <v>515.76322020476107</v>
          </cell>
          <cell r="G28">
            <v>836.66486779953857</v>
          </cell>
          <cell r="H28">
            <v>17.862644653655408</v>
          </cell>
          <cell r="I28">
            <v>7.5692448370270551</v>
          </cell>
          <cell r="J28">
            <v>210.23669373013291</v>
          </cell>
          <cell r="K28">
            <v>554.58410774705499</v>
          </cell>
        </row>
        <row r="29">
          <cell r="A29">
            <v>2024</v>
          </cell>
          <cell r="B29">
            <v>773.01944008368923</v>
          </cell>
          <cell r="C29">
            <v>17.864946400539019</v>
          </cell>
          <cell r="D29">
            <v>7.0594027179704044</v>
          </cell>
          <cell r="E29">
            <v>192.47926966205128</v>
          </cell>
          <cell r="F29">
            <v>510.5463233253621</v>
          </cell>
          <cell r="G29">
            <v>831.20369901471963</v>
          </cell>
          <cell r="H29">
            <v>19.209619785525827</v>
          </cell>
          <cell r="I29">
            <v>7.5907556107208656</v>
          </cell>
          <cell r="J29">
            <v>206.9669566258616</v>
          </cell>
          <cell r="K29">
            <v>548.97454121006683</v>
          </cell>
        </row>
        <row r="30">
          <cell r="A30">
            <v>2025</v>
          </cell>
          <cell r="B30">
            <v>770.04964271535846</v>
          </cell>
          <cell r="C30">
            <v>18.220346318018809</v>
          </cell>
          <cell r="D30">
            <v>7.1116795986696086</v>
          </cell>
          <cell r="E30">
            <v>200.44587419254214</v>
          </cell>
          <cell r="F30">
            <v>512.68284085295659</v>
          </cell>
          <cell r="G30">
            <v>828.01036851113815</v>
          </cell>
          <cell r="H30">
            <v>19.591770234428829</v>
          </cell>
          <cell r="I30">
            <v>7.6469673103974287</v>
          </cell>
          <cell r="J30">
            <v>215.53319805649693</v>
          </cell>
          <cell r="K30">
            <v>551.27187188489961</v>
          </cell>
        </row>
        <row r="31">
          <cell r="A31">
            <v>2026</v>
          </cell>
          <cell r="B31">
            <v>767.79378248924593</v>
          </cell>
          <cell r="C31">
            <v>18.46435957379628</v>
          </cell>
          <cell r="D31">
            <v>7.0956859386944684</v>
          </cell>
          <cell r="E31">
            <v>202.40213440450327</v>
          </cell>
          <cell r="F31">
            <v>502.98431128286313</v>
          </cell>
          <cell r="G31">
            <v>825.58471235402794</v>
          </cell>
          <cell r="H31">
            <v>19.854150079350841</v>
          </cell>
          <cell r="I31">
            <v>7.6297698265531926</v>
          </cell>
          <cell r="J31">
            <v>217.63670366075621</v>
          </cell>
          <cell r="K31">
            <v>540.84334546544426</v>
          </cell>
        </row>
        <row r="32">
          <cell r="A32">
            <v>2027</v>
          </cell>
          <cell r="B32">
            <v>766.7062772580615</v>
          </cell>
          <cell r="C32">
            <v>18.50030959112545</v>
          </cell>
          <cell r="D32">
            <v>7.1098937247113643</v>
          </cell>
          <cell r="E32">
            <v>208.08555431009927</v>
          </cell>
          <cell r="F32">
            <v>504.06273595179272</v>
          </cell>
          <cell r="G32">
            <v>824.41535189038882</v>
          </cell>
          <cell r="H32">
            <v>19.89280601196285</v>
          </cell>
          <cell r="I32">
            <v>7.6450470158186716</v>
          </cell>
          <cell r="J32">
            <v>223.74790786032182</v>
          </cell>
          <cell r="K32">
            <v>542.00294188364808</v>
          </cell>
        </row>
        <row r="33">
          <cell r="A33">
            <v>2028</v>
          </cell>
          <cell r="B33">
            <v>769.34814769619402</v>
          </cell>
          <cell r="C33">
            <v>18.347162960301475</v>
          </cell>
          <cell r="D33">
            <v>7.0442326464645095</v>
          </cell>
          <cell r="E33">
            <v>192.9727202692477</v>
          </cell>
          <cell r="F33">
            <v>494.91766884625378</v>
          </cell>
          <cell r="G33">
            <v>827.25607279160647</v>
          </cell>
          <cell r="H33">
            <v>19.728132215377933</v>
          </cell>
          <cell r="I33">
            <v>7.5744437058758169</v>
          </cell>
          <cell r="J33">
            <v>207.49754867661045</v>
          </cell>
          <cell r="K33">
            <v>532.16953639382132</v>
          </cell>
        </row>
        <row r="34">
          <cell r="A34">
            <v>2029</v>
          </cell>
          <cell r="B34">
            <v>770.9108162717082</v>
          </cell>
          <cell r="C34">
            <v>18.117627212357675</v>
          </cell>
          <cell r="D34">
            <v>7.0453938713549302</v>
          </cell>
          <cell r="E34">
            <v>194.56923830838966</v>
          </cell>
          <cell r="F34">
            <v>498.1892174279659</v>
          </cell>
          <cell r="G34">
            <v>828.93636158248194</v>
          </cell>
          <cell r="H34">
            <v>19.481319583180298</v>
          </cell>
          <cell r="I34">
            <v>7.5756923347902481</v>
          </cell>
          <cell r="J34">
            <v>209.21423474020395</v>
          </cell>
          <cell r="K34">
            <v>535.68733056770532</v>
          </cell>
        </row>
        <row r="35">
          <cell r="A35">
            <v>2030</v>
          </cell>
          <cell r="B35">
            <v>770.60089243498533</v>
          </cell>
          <cell r="C35">
            <v>18.039971236928373</v>
          </cell>
          <cell r="D35">
            <v>7.0434332068092518</v>
          </cell>
          <cell r="E35">
            <v>194.92448901929177</v>
          </cell>
          <cell r="F35">
            <v>498.43985763348695</v>
          </cell>
          <cell r="G35">
            <v>828.60311014514559</v>
          </cell>
          <cell r="H35">
            <v>19.397818534331584</v>
          </cell>
          <cell r="I35">
            <v>7.5735840933432819</v>
          </cell>
          <cell r="J35">
            <v>209.59622475192666</v>
          </cell>
          <cell r="K35">
            <v>535.95683616503982</v>
          </cell>
        </row>
      </sheetData>
      <sheetData sheetId="17">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41.4870646105297</v>
          </cell>
          <cell r="C14">
            <v>49.842777326998657</v>
          </cell>
          <cell r="D14">
            <v>1.3137190151747815</v>
          </cell>
          <cell r="E14">
            <v>60.719851679521319</v>
          </cell>
          <cell r="F14">
            <v>81.206669515113504</v>
          </cell>
          <cell r="G14">
            <v>51.858830763162125</v>
          </cell>
          <cell r="H14">
            <v>62.303471658748322</v>
          </cell>
          <cell r="I14">
            <v>1.6421487689684768</v>
          </cell>
          <cell r="J14">
            <v>75.899814599401651</v>
          </cell>
          <cell r="K14">
            <v>101.50833689389188</v>
          </cell>
        </row>
        <row r="15">
          <cell r="A15">
            <v>2010</v>
          </cell>
          <cell r="B15">
            <v>39.303033287584924</v>
          </cell>
          <cell r="C15">
            <v>41.04390914824053</v>
          </cell>
          <cell r="D15">
            <v>1.3689660411741162</v>
          </cell>
          <cell r="E15">
            <v>73.359743295359493</v>
          </cell>
          <cell r="F15">
            <v>83.429628029136367</v>
          </cell>
          <cell r="G15">
            <v>49.128791609481155</v>
          </cell>
          <cell r="H15">
            <v>51.304886435300659</v>
          </cell>
          <cell r="I15">
            <v>1.7112075514676452</v>
          </cell>
          <cell r="J15">
            <v>91.699679119199359</v>
          </cell>
          <cell r="K15">
            <v>104.28703503642045</v>
          </cell>
        </row>
        <row r="16">
          <cell r="A16">
            <v>2011</v>
          </cell>
          <cell r="B16">
            <v>38.676029625361238</v>
          </cell>
          <cell r="C16">
            <v>30.131119720094222</v>
          </cell>
          <cell r="D16">
            <v>1.4528682620216231</v>
          </cell>
          <cell r="E16">
            <v>71.994231778480625</v>
          </cell>
          <cell r="F16">
            <v>79.743902965570015</v>
          </cell>
          <cell r="G16">
            <v>48.345037031701544</v>
          </cell>
          <cell r="H16">
            <v>37.663899650117777</v>
          </cell>
          <cell r="I16">
            <v>1.8160853275270288</v>
          </cell>
          <cell r="J16">
            <v>89.992789723100771</v>
          </cell>
          <cell r="K16">
            <v>99.679878706962512</v>
          </cell>
        </row>
        <row r="17">
          <cell r="A17">
            <v>2012</v>
          </cell>
          <cell r="B17">
            <v>38.59066279801899</v>
          </cell>
          <cell r="C17">
            <v>29.186006755136368</v>
          </cell>
          <cell r="D17">
            <v>1.419109931490012</v>
          </cell>
          <cell r="E17">
            <v>68.069135621738639</v>
          </cell>
          <cell r="F17">
            <v>79.527293714166262</v>
          </cell>
          <cell r="G17">
            <v>48.238328497523732</v>
          </cell>
          <cell r="H17">
            <v>36.482508443920459</v>
          </cell>
          <cell r="I17">
            <v>1.773887414362515</v>
          </cell>
          <cell r="J17">
            <v>85.086419527173291</v>
          </cell>
          <cell r="K17">
            <v>99.409117142707828</v>
          </cell>
        </row>
        <row r="18">
          <cell r="A18">
            <v>2013</v>
          </cell>
          <cell r="B18">
            <v>33.612018676339652</v>
          </cell>
          <cell r="C18">
            <v>24.202611524352019</v>
          </cell>
          <cell r="D18">
            <v>1.41276580167717</v>
          </cell>
          <cell r="E18">
            <v>71.349360036617114</v>
          </cell>
          <cell r="F18">
            <v>80.677761954444478</v>
          </cell>
          <cell r="G18">
            <v>42.015023345424559</v>
          </cell>
          <cell r="H18">
            <v>30.253264405440021</v>
          </cell>
          <cell r="I18">
            <v>1.7659572520964624</v>
          </cell>
          <cell r="J18">
            <v>89.186700045771389</v>
          </cell>
          <cell r="K18">
            <v>100.84720244305559</v>
          </cell>
        </row>
        <row r="19">
          <cell r="A19">
            <v>2014</v>
          </cell>
          <cell r="B19">
            <v>34.177002714728161</v>
          </cell>
          <cell r="C19">
            <v>24.18589434504204</v>
          </cell>
          <cell r="D19">
            <v>1.4211204928210102</v>
          </cell>
          <cell r="E19">
            <v>73.004352594025221</v>
          </cell>
          <cell r="F19">
            <v>82.090936042505433</v>
          </cell>
          <cell r="G19">
            <v>42.721253393410201</v>
          </cell>
          <cell r="H19">
            <v>30.232367931302548</v>
          </cell>
          <cell r="I19">
            <v>1.7764006160262626</v>
          </cell>
          <cell r="J19">
            <v>91.255440742531519</v>
          </cell>
          <cell r="K19">
            <v>102.61367005313178</v>
          </cell>
        </row>
        <row r="20">
          <cell r="A20">
            <v>2015</v>
          </cell>
          <cell r="B20">
            <v>33.919440749675289</v>
          </cell>
          <cell r="C20">
            <v>23.802103311533163</v>
          </cell>
          <cell r="D20">
            <v>1.4108729269527294</v>
          </cell>
          <cell r="E20">
            <v>75.971606272632741</v>
          </cell>
          <cell r="F20">
            <v>83.305285103361399</v>
          </cell>
          <cell r="G20">
            <v>42.399300937094111</v>
          </cell>
          <cell r="H20">
            <v>29.752629139416452</v>
          </cell>
          <cell r="I20">
            <v>1.7635911586909117</v>
          </cell>
          <cell r="J20">
            <v>94.964507840790915</v>
          </cell>
          <cell r="K20">
            <v>104.13160637920174</v>
          </cell>
        </row>
        <row r="21">
          <cell r="A21">
            <v>2016</v>
          </cell>
          <cell r="B21">
            <v>32.969278927048187</v>
          </cell>
          <cell r="C21">
            <v>25.865640829181839</v>
          </cell>
          <cell r="D21">
            <v>1.3987040691570389</v>
          </cell>
          <cell r="E21">
            <v>72.960531597686028</v>
          </cell>
          <cell r="F21">
            <v>85.69418839534363</v>
          </cell>
          <cell r="G21">
            <v>41.211598658810232</v>
          </cell>
          <cell r="H21">
            <v>32.332051036477296</v>
          </cell>
          <cell r="I21">
            <v>1.7483800864462986</v>
          </cell>
          <cell r="J21">
            <v>91.200664497107525</v>
          </cell>
          <cell r="K21">
            <v>107.11773549417953</v>
          </cell>
        </row>
        <row r="22">
          <cell r="A22">
            <v>2017</v>
          </cell>
          <cell r="B22">
            <v>32.607554066724084</v>
          </cell>
          <cell r="C22">
            <v>28.835554000067415</v>
          </cell>
          <cell r="D22">
            <v>1.385953022491164</v>
          </cell>
          <cell r="E22">
            <v>70.9417443134693</v>
          </cell>
          <cell r="F22">
            <v>87.254156594806332</v>
          </cell>
          <cell r="G22">
            <v>40.759442583405104</v>
          </cell>
          <cell r="H22">
            <v>36.044442500084266</v>
          </cell>
          <cell r="I22">
            <v>1.7324412781139549</v>
          </cell>
          <cell r="J22">
            <v>88.677180391836615</v>
          </cell>
          <cell r="K22">
            <v>109.06769574350791</v>
          </cell>
        </row>
        <row r="23">
          <cell r="A23">
            <v>2018</v>
          </cell>
          <cell r="B23">
            <v>32.168623558123727</v>
          </cell>
          <cell r="C23">
            <v>30.482994845850701</v>
          </cell>
          <cell r="D23">
            <v>1.3769077862147379</v>
          </cell>
          <cell r="E23">
            <v>67.334350204048008</v>
          </cell>
          <cell r="F23">
            <v>87.431832256163446</v>
          </cell>
          <cell r="G23">
            <v>40.210779447654659</v>
          </cell>
          <cell r="H23">
            <v>38.103743557313372</v>
          </cell>
          <cell r="I23">
            <v>1.7211347327684223</v>
          </cell>
          <cell r="J23">
            <v>84.167937755060009</v>
          </cell>
          <cell r="K23">
            <v>109.2897903202043</v>
          </cell>
        </row>
        <row r="24">
          <cell r="A24">
            <v>2019</v>
          </cell>
          <cell r="B24">
            <v>32.275362246199727</v>
          </cell>
          <cell r="C24">
            <v>31.22579290738603</v>
          </cell>
          <cell r="D24">
            <v>1.3708161235291212</v>
          </cell>
          <cell r="E24">
            <v>66.766449593660141</v>
          </cell>
          <cell r="F24">
            <v>88.575708706759059</v>
          </cell>
          <cell r="G24">
            <v>40.344202807749653</v>
          </cell>
          <cell r="H24">
            <v>39.032241134232535</v>
          </cell>
          <cell r="I24">
            <v>1.7135201544114014</v>
          </cell>
          <cell r="J24">
            <v>83.458061992075173</v>
          </cell>
          <cell r="K24">
            <v>110.71963588344882</v>
          </cell>
        </row>
        <row r="25">
          <cell r="A25">
            <v>2020</v>
          </cell>
          <cell r="B25">
            <v>31.764322730536556</v>
          </cell>
          <cell r="C25">
            <v>31.912590183619571</v>
          </cell>
          <cell r="D25">
            <v>1.3632269373869477</v>
          </cell>
          <cell r="E25">
            <v>65.51748888602944</v>
          </cell>
          <cell r="F25">
            <v>89.528219408070854</v>
          </cell>
          <cell r="G25">
            <v>39.705403413170693</v>
          </cell>
          <cell r="H25">
            <v>39.89073772952446</v>
          </cell>
          <cell r="I25">
            <v>1.7040336717336846</v>
          </cell>
          <cell r="J25">
            <v>81.896861107536793</v>
          </cell>
          <cell r="K25">
            <v>111.91027426008856</v>
          </cell>
        </row>
        <row r="26">
          <cell r="A26">
            <v>2021</v>
          </cell>
          <cell r="B26">
            <v>31.511585634275058</v>
          </cell>
          <cell r="C26">
            <v>30.759040807245434</v>
          </cell>
          <cell r="D26">
            <v>1.3528978242542997</v>
          </cell>
          <cell r="E26">
            <v>63.949114991765768</v>
          </cell>
          <cell r="F26">
            <v>88.881614255254135</v>
          </cell>
          <cell r="G26">
            <v>39.389482042843817</v>
          </cell>
          <cell r="H26">
            <v>38.448801009056787</v>
          </cell>
          <cell r="I26">
            <v>1.6911222803178745</v>
          </cell>
          <cell r="J26">
            <v>79.936393739707199</v>
          </cell>
          <cell r="K26">
            <v>111.10201781906767</v>
          </cell>
        </row>
        <row r="27">
          <cell r="A27">
            <v>2022</v>
          </cell>
          <cell r="B27">
            <v>31.505899009780741</v>
          </cell>
          <cell r="C27">
            <v>30.757418433091956</v>
          </cell>
          <cell r="D27">
            <v>1.3531848456171685</v>
          </cell>
          <cell r="E27">
            <v>63.994250797695926</v>
          </cell>
          <cell r="F27">
            <v>88.855461048054309</v>
          </cell>
          <cell r="G27">
            <v>39.382373762225924</v>
          </cell>
          <cell r="H27">
            <v>38.446773041364942</v>
          </cell>
          <cell r="I27">
            <v>1.6914810570214605</v>
          </cell>
          <cell r="J27">
            <v>79.992813497119897</v>
          </cell>
          <cell r="K27">
            <v>111.06932631006788</v>
          </cell>
        </row>
        <row r="28">
          <cell r="A28">
            <v>2023</v>
          </cell>
          <cell r="B28">
            <v>31.268776798009586</v>
          </cell>
          <cell r="C28">
            <v>30.347501468116857</v>
          </cell>
          <cell r="D28">
            <v>1.353501656495435</v>
          </cell>
          <cell r="E28">
            <v>63.355898942816808</v>
          </cell>
          <cell r="F28">
            <v>87.516109938843172</v>
          </cell>
          <cell r="G28">
            <v>39.085970997511978</v>
          </cell>
          <cell r="H28">
            <v>37.934376835146068</v>
          </cell>
          <cell r="I28">
            <v>1.6918770706192936</v>
          </cell>
          <cell r="J28">
            <v>79.194873678521006</v>
          </cell>
          <cell r="K28">
            <v>109.39513742355396</v>
          </cell>
        </row>
        <row r="29">
          <cell r="A29">
            <v>2024</v>
          </cell>
          <cell r="B29">
            <v>29.11879138695036</v>
          </cell>
          <cell r="C29">
            <v>29.989357753007045</v>
          </cell>
          <cell r="D29">
            <v>1.3376869869711983</v>
          </cell>
          <cell r="E29">
            <v>59.737949050491395</v>
          </cell>
          <cell r="F29">
            <v>84.721491562319002</v>
          </cell>
          <cell r="G29">
            <v>36.398489233687947</v>
          </cell>
          <cell r="H29">
            <v>37.486697191258806</v>
          </cell>
          <cell r="I29">
            <v>1.6721087337139977</v>
          </cell>
          <cell r="J29">
            <v>74.672436313114233</v>
          </cell>
          <cell r="K29">
            <v>105.90186445289875</v>
          </cell>
        </row>
        <row r="30">
          <cell r="A30">
            <v>2025</v>
          </cell>
          <cell r="B30">
            <v>28.915364719520834</v>
          </cell>
          <cell r="C30">
            <v>30.937950586574711</v>
          </cell>
          <cell r="D30">
            <v>1.3387590507981035</v>
          </cell>
          <cell r="E30">
            <v>56.906903527870377</v>
          </cell>
          <cell r="F30">
            <v>83.894426991253937</v>
          </cell>
          <cell r="G30">
            <v>36.144205899401044</v>
          </cell>
          <cell r="H30">
            <v>38.672438233218386</v>
          </cell>
          <cell r="I30">
            <v>1.6734488134976293</v>
          </cell>
          <cell r="J30">
            <v>71.133629409837965</v>
          </cell>
          <cell r="K30">
            <v>104.86803373906741</v>
          </cell>
        </row>
        <row r="31">
          <cell r="A31">
            <v>2026</v>
          </cell>
          <cell r="B31">
            <v>26.792056850296536</v>
          </cell>
          <cell r="C31">
            <v>30.243844622984199</v>
          </cell>
          <cell r="D31">
            <v>1.3270068436382685</v>
          </cell>
          <cell r="E31">
            <v>54.755678348656964</v>
          </cell>
          <cell r="F31">
            <v>81.51277318057862</v>
          </cell>
          <cell r="G31">
            <v>33.490071062870669</v>
          </cell>
          <cell r="H31">
            <v>37.804805778730248</v>
          </cell>
          <cell r="I31">
            <v>1.6587585545478356</v>
          </cell>
          <cell r="J31">
            <v>68.444597935821207</v>
          </cell>
          <cell r="K31">
            <v>101.89096647572327</v>
          </cell>
        </row>
        <row r="32">
          <cell r="A32">
            <v>2027</v>
          </cell>
          <cell r="B32">
            <v>26.747248673179346</v>
          </cell>
          <cell r="C32">
            <v>30.139554153874911</v>
          </cell>
          <cell r="D32">
            <v>1.3254160622191002</v>
          </cell>
          <cell r="E32">
            <v>54.596427744981781</v>
          </cell>
          <cell r="F32">
            <v>81.415765874657836</v>
          </cell>
          <cell r="G32">
            <v>33.434060841474178</v>
          </cell>
          <cell r="H32">
            <v>37.674442692343639</v>
          </cell>
          <cell r="I32">
            <v>1.6567700777738752</v>
          </cell>
          <cell r="J32">
            <v>68.245534681227227</v>
          </cell>
          <cell r="K32">
            <v>101.7697073433223</v>
          </cell>
        </row>
        <row r="33">
          <cell r="A33">
            <v>2028</v>
          </cell>
          <cell r="B33">
            <v>26.661911968564851</v>
          </cell>
          <cell r="C33">
            <v>30.416552439638028</v>
          </cell>
          <cell r="D33">
            <v>1.3243101999125089</v>
          </cell>
          <cell r="E33">
            <v>54.315821867593868</v>
          </cell>
          <cell r="F33">
            <v>81.477169356254748</v>
          </cell>
          <cell r="G33">
            <v>33.327389960706064</v>
          </cell>
          <cell r="H33">
            <v>38.020690549547531</v>
          </cell>
          <cell r="I33">
            <v>1.655387749890636</v>
          </cell>
          <cell r="J33">
            <v>67.894777334492332</v>
          </cell>
          <cell r="K33">
            <v>101.84646169531842</v>
          </cell>
        </row>
        <row r="34">
          <cell r="A34">
            <v>2029</v>
          </cell>
          <cell r="B34">
            <v>26.708286639115801</v>
          </cell>
          <cell r="C34">
            <v>29.955921488384824</v>
          </cell>
          <cell r="D34">
            <v>1.3259384843530841</v>
          </cell>
          <cell r="E34">
            <v>54.652393769966409</v>
          </cell>
          <cell r="F34">
            <v>81.399744107265448</v>
          </cell>
          <cell r="G34">
            <v>33.385358298894751</v>
          </cell>
          <cell r="H34">
            <v>37.444901860481025</v>
          </cell>
          <cell r="I34">
            <v>1.6574231054413551</v>
          </cell>
          <cell r="J34">
            <v>68.315492212458011</v>
          </cell>
          <cell r="K34">
            <v>101.7496801340818</v>
          </cell>
        </row>
        <row r="35">
          <cell r="A35">
            <v>2030</v>
          </cell>
          <cell r="B35">
            <v>26.705890070774437</v>
          </cell>
          <cell r="C35">
            <v>30.014127491448264</v>
          </cell>
          <cell r="D35">
            <v>1.3244440924035503</v>
          </cell>
          <cell r="E35">
            <v>54.447369211731186</v>
          </cell>
          <cell r="F35">
            <v>81.367559728706354</v>
          </cell>
          <cell r="G35">
            <v>33.382362588468041</v>
          </cell>
          <cell r="H35">
            <v>37.517659364310326</v>
          </cell>
          <cell r="I35">
            <v>1.6555551155044379</v>
          </cell>
          <cell r="J35">
            <v>68.059211514663971</v>
          </cell>
          <cell r="K35">
            <v>101.70944966088294</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sheetData sheetId="1"/>
      <sheetData sheetId="2"/>
      <sheetData sheetId="3"/>
      <sheetData sheetId="4"/>
      <sheetData sheetId="5"/>
      <sheetData sheetId="6"/>
      <sheetData sheetId="7">
        <row r="5">
          <cell r="A5">
            <v>1980</v>
          </cell>
          <cell r="B5">
            <v>0.37506131712544738</v>
          </cell>
        </row>
        <row r="6">
          <cell r="A6">
            <v>1981</v>
          </cell>
          <cell r="B6">
            <v>0.41168372038305384</v>
          </cell>
        </row>
        <row r="7">
          <cell r="A7">
            <v>1982</v>
          </cell>
          <cell r="B7">
            <v>0.45562101729787652</v>
          </cell>
        </row>
        <row r="8">
          <cell r="A8">
            <v>1983</v>
          </cell>
          <cell r="B8">
            <v>0.48810953461292733</v>
          </cell>
        </row>
        <row r="9">
          <cell r="A9">
            <v>1984</v>
          </cell>
          <cell r="B9">
            <v>0.51623253725088791</v>
          </cell>
        </row>
        <row r="10">
          <cell r="A10">
            <v>1985</v>
          </cell>
          <cell r="B10">
            <v>0.53732466149608082</v>
          </cell>
        </row>
        <row r="11">
          <cell r="A11">
            <v>1986</v>
          </cell>
          <cell r="B11">
            <v>0.55133272736952743</v>
          </cell>
        </row>
        <row r="12">
          <cell r="A12">
            <v>1987</v>
          </cell>
          <cell r="B12">
            <v>0.57910435744365141</v>
          </cell>
        </row>
        <row r="13">
          <cell r="A13">
            <v>1988</v>
          </cell>
          <cell r="B13">
            <v>0.59470544835024419</v>
          </cell>
        </row>
        <row r="14">
          <cell r="A14">
            <v>1989</v>
          </cell>
          <cell r="B14">
            <v>0.62521046494054278</v>
          </cell>
        </row>
        <row r="15">
          <cell r="A15">
            <v>1990</v>
          </cell>
          <cell r="B15">
            <v>0.6438158030322807</v>
          </cell>
        </row>
        <row r="16">
          <cell r="A16">
            <v>1991</v>
          </cell>
          <cell r="B16">
            <v>0.66395832589117032</v>
          </cell>
        </row>
        <row r="17">
          <cell r="A17">
            <v>1992</v>
          </cell>
          <cell r="B17">
            <v>0.67788577854183973</v>
          </cell>
        </row>
        <row r="18">
          <cell r="A18">
            <v>1993</v>
          </cell>
          <cell r="B18">
            <v>0.68113237804584836</v>
          </cell>
        </row>
        <row r="19">
          <cell r="A19">
            <v>1994</v>
          </cell>
          <cell r="B19">
            <v>0.691149948133849</v>
          </cell>
        </row>
        <row r="20">
          <cell r="A20">
            <v>1995</v>
          </cell>
          <cell r="B20">
            <v>0.69790566629112361</v>
          </cell>
        </row>
        <row r="21">
          <cell r="A21">
            <v>1996</v>
          </cell>
          <cell r="B21">
            <v>0.71015784226507372</v>
          </cell>
        </row>
        <row r="22">
          <cell r="A22">
            <v>1997</v>
          </cell>
          <cell r="B22">
            <v>0.7234342957194968</v>
          </cell>
        </row>
        <row r="23">
          <cell r="A23">
            <v>1998</v>
          </cell>
          <cell r="B23">
            <v>0.72851013107366369</v>
          </cell>
        </row>
        <row r="24">
          <cell r="A24">
            <v>1999</v>
          </cell>
          <cell r="B24">
            <v>0.73927692059326633</v>
          </cell>
        </row>
        <row r="25">
          <cell r="A25">
            <v>2000</v>
          </cell>
          <cell r="B25">
            <v>0.76205348310400023</v>
          </cell>
        </row>
        <row r="26">
          <cell r="A26">
            <v>2001</v>
          </cell>
          <cell r="B26">
            <v>0.78065677402845424</v>
          </cell>
        </row>
        <row r="27">
          <cell r="A27">
            <v>2002</v>
          </cell>
          <cell r="B27">
            <v>0.79797378097370975</v>
          </cell>
        </row>
        <row r="28">
          <cell r="A28">
            <v>2003</v>
          </cell>
          <cell r="B28">
            <v>0.81230900976869758</v>
          </cell>
        </row>
        <row r="29">
          <cell r="A29">
            <v>2004</v>
          </cell>
          <cell r="B29">
            <v>0.83450858367624536</v>
          </cell>
        </row>
        <row r="30">
          <cell r="A30">
            <v>2005</v>
          </cell>
          <cell r="B30">
            <v>0.85871110897387459</v>
          </cell>
        </row>
        <row r="31">
          <cell r="A31">
            <v>2006</v>
          </cell>
          <cell r="B31">
            <v>0.87719662595231063</v>
          </cell>
        </row>
        <row r="32">
          <cell r="A32">
            <v>2007</v>
          </cell>
          <cell r="B32">
            <v>0.89864892970247368</v>
          </cell>
        </row>
        <row r="33">
          <cell r="A33">
            <v>2008</v>
          </cell>
          <cell r="B33">
            <v>0.94185407750382988</v>
          </cell>
        </row>
        <row r="34">
          <cell r="A34">
            <v>2009</v>
          </cell>
          <cell r="B34">
            <v>0.95393698434397911</v>
          </cell>
        </row>
        <row r="35">
          <cell r="A35">
            <v>2010</v>
          </cell>
          <cell r="B35">
            <v>0.99475761161526988</v>
          </cell>
        </row>
        <row r="36">
          <cell r="A36">
            <v>2011</v>
          </cell>
          <cell r="B36">
            <v>1</v>
          </cell>
        </row>
        <row r="37">
          <cell r="A37">
            <v>2012</v>
          </cell>
          <cell r="B37">
            <v>1.0196773049523586</v>
          </cell>
        </row>
        <row r="38">
          <cell r="A38">
            <v>2013</v>
          </cell>
          <cell r="B38">
            <v>1.0327160946505731</v>
          </cell>
        </row>
        <row r="39">
          <cell r="A39">
            <v>2014</v>
          </cell>
          <cell r="B39">
            <v>1.0588816060645614</v>
          </cell>
        </row>
        <row r="40">
          <cell r="A40">
            <v>2015</v>
          </cell>
          <cell r="B40">
            <v>1.0830033936263026</v>
          </cell>
        </row>
        <row r="41">
          <cell r="A41">
            <v>2016</v>
          </cell>
          <cell r="B41">
            <v>1.1042331538054642</v>
          </cell>
        </row>
        <row r="42">
          <cell r="A42">
            <v>2017</v>
          </cell>
          <cell r="B42">
            <v>1.1258522364272121</v>
          </cell>
        </row>
        <row r="43">
          <cell r="A43">
            <v>2018</v>
          </cell>
          <cell r="B43">
            <v>1.1476804495524398</v>
          </cell>
        </row>
        <row r="44">
          <cell r="A44">
            <v>2019</v>
          </cell>
          <cell r="B44">
            <v>1.171076514594654</v>
          </cell>
        </row>
        <row r="45">
          <cell r="A45">
            <v>2020</v>
          </cell>
          <cell r="B45">
            <v>1.1945470298900163</v>
          </cell>
        </row>
        <row r="46">
          <cell r="A46">
            <v>2021</v>
          </cell>
          <cell r="B46">
            <v>1.219585173837477</v>
          </cell>
        </row>
        <row r="47">
          <cell r="A47">
            <v>2022</v>
          </cell>
          <cell r="B47">
            <v>1.2445174043567566</v>
          </cell>
        </row>
        <row r="48">
          <cell r="A48">
            <v>2023</v>
          </cell>
          <cell r="B48">
            <v>1.272198970233638</v>
          </cell>
        </row>
        <row r="49">
          <cell r="A49">
            <v>2024</v>
          </cell>
          <cell r="B49">
            <v>1.29926873879382</v>
          </cell>
        </row>
        <row r="50">
          <cell r="A50">
            <v>2025</v>
          </cell>
          <cell r="B50">
            <v>1.3267766646973558</v>
          </cell>
        </row>
        <row r="51">
          <cell r="A51">
            <v>2026</v>
          </cell>
          <cell r="B51">
            <v>1.3548485491217102</v>
          </cell>
        </row>
        <row r="52">
          <cell r="A52">
            <v>2027</v>
          </cell>
          <cell r="B52">
            <v>1.3834877668015415</v>
          </cell>
        </row>
        <row r="53">
          <cell r="A53">
            <v>2028</v>
          </cell>
          <cell r="B53">
            <v>1.4126545078898376</v>
          </cell>
        </row>
        <row r="54">
          <cell r="A54">
            <v>2029</v>
          </cell>
          <cell r="B54">
            <v>1.4426508326062912</v>
          </cell>
        </row>
        <row r="55">
          <cell r="A55">
            <v>2030</v>
          </cell>
          <cell r="B55">
            <v>1.4732006309809229</v>
          </cell>
        </row>
      </sheetData>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Benzin - diesel - hybrid"/>
      <sheetName val="El og plugin hybrid"/>
      <sheetName val="Interne beregninger - E&amp;PH"/>
      <sheetName val="Sammenligning på tværs"/>
      <sheetName val="Beregningsmetode"/>
      <sheetName val="Interne beregninger - B&amp;D&amp;H"/>
      <sheetName val="ENS udvikling i elpris"/>
      <sheetName val="ENS udvikling i brændstofspris"/>
    </sheetNames>
    <sheetDataSet>
      <sheetData sheetId="0"/>
      <sheetData sheetId="1">
        <row r="132">
          <cell r="E132" t="str">
            <v>PRODUKT 1</v>
          </cell>
        </row>
      </sheetData>
      <sheetData sheetId="2">
        <row r="151">
          <cell r="E151" t="str">
            <v>PRODUKT 1 EL</v>
          </cell>
        </row>
      </sheetData>
      <sheetData sheetId="3">
        <row r="7">
          <cell r="C7">
            <v>1</v>
          </cell>
        </row>
      </sheetData>
      <sheetData sheetId="4">
        <row r="10">
          <cell r="E10" t="str">
            <v>PRODUKT 1</v>
          </cell>
        </row>
      </sheetData>
      <sheetData sheetId="5"/>
      <sheetData sheetId="6"/>
      <sheetData sheetId="7">
        <row r="4">
          <cell r="A4" t="str">
            <v>2019-priser kr./MWh</v>
          </cell>
        </row>
      </sheetData>
      <sheetData sheetId="8">
        <row r="4">
          <cell r="A4" t="str">
            <v>2019-priser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row r="3">
          <cell r="I3">
            <v>2011</v>
          </cell>
        </row>
      </sheetData>
      <sheetData sheetId="1"/>
      <sheetData sheetId="2" refreshError="1"/>
      <sheetData sheetId="3" refreshError="1"/>
      <sheetData sheetId="4" refreshError="1"/>
      <sheetData sheetId="5" refreshError="1"/>
      <sheetData sheetId="6"/>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www.drivkraftdanmark.dk/priser/benzin-95-oktan/" TargetMode="External"/><Relationship Id="rId2" Type="http://schemas.openxmlformats.org/officeDocument/2006/relationships/hyperlink" Target="https://www.drivkraftdanmark.dk/priser/benzin-95-oktan/" TargetMode="External"/><Relationship Id="rId1" Type="http://schemas.openxmlformats.org/officeDocument/2006/relationships/hyperlink" Target="https://ens.dk/sites/ens.dk/files/Analyser/samfundsoekonomiske_beregningsforudsaetninger_for_energipriser_og_emissioner_2019.pdf"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L46"/>
  <sheetViews>
    <sheetView showGridLines="0" showRowColHeaders="0" workbookViewId="0">
      <selection activeCell="F2" sqref="F2"/>
    </sheetView>
  </sheetViews>
  <sheetFormatPr defaultColWidth="0" defaultRowHeight="14.6" zeroHeight="1"/>
  <cols>
    <col min="1" max="11" width="9.15234375" customWidth="1"/>
    <col min="12" max="12" width="5.15234375" customWidth="1"/>
    <col min="13" max="16384" width="9.1523437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sheetData>
  <sheetProtection sheet="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X498"/>
  <sheetViews>
    <sheetView showGridLines="0" zoomScaleNormal="100" zoomScalePageLayoutView="125" workbookViewId="0"/>
  </sheetViews>
  <sheetFormatPr defaultColWidth="0" defaultRowHeight="14.15" zeroHeight="1" outlineLevelCol="1"/>
  <cols>
    <col min="1" max="2" width="4.15234375" style="14" customWidth="1"/>
    <col min="3" max="3" width="80.15234375" style="14" customWidth="1"/>
    <col min="4" max="4" width="21.84375" style="87" customWidth="1"/>
    <col min="5" max="5" width="20.69140625" style="88" customWidth="1"/>
    <col min="6" max="6" width="4.3828125" style="88" customWidth="1"/>
    <col min="7" max="7" width="20.69140625" style="88" hidden="1" customWidth="1" outlineLevel="1"/>
    <col min="8" max="8" width="3.3828125" style="88" customWidth="1" collapsed="1"/>
    <col min="9" max="9" width="20.69140625" style="88" hidden="1" customWidth="1" outlineLevel="1"/>
    <col min="10" max="10" width="3.15234375" style="88" customWidth="1" collapsed="1"/>
    <col min="11" max="11" width="20.69140625" style="88" hidden="1" customWidth="1" outlineLevel="1"/>
    <col min="12" max="12" width="3.3046875" style="88" customWidth="1" collapsed="1"/>
    <col min="13" max="13" width="20.69140625" style="88" hidden="1" customWidth="1" outlineLevel="1"/>
    <col min="14" max="14" width="3.15234375" style="88" customWidth="1" collapsed="1"/>
    <col min="15" max="15" width="20.69140625" style="88" hidden="1" customWidth="1" outlineLevel="1"/>
    <col min="16" max="16" width="4.3046875" style="88" customWidth="1" collapsed="1"/>
    <col min="17" max="17" width="20.69140625" style="88" hidden="1" customWidth="1" outlineLevel="1"/>
    <col min="18" max="18" width="3.69140625" style="88" customWidth="1" collapsed="1"/>
    <col min="19" max="19" width="20.69140625" style="88" hidden="1" customWidth="1" outlineLevel="1"/>
    <col min="20" max="20" width="4.15234375" style="88" customWidth="1" collapsed="1"/>
    <col min="21" max="21" width="20.69140625" style="88" hidden="1" customWidth="1" outlineLevel="1"/>
    <col min="22" max="22" width="4.3828125" style="88" customWidth="1" collapsed="1"/>
    <col min="23" max="23" width="20.69140625" style="88" hidden="1" customWidth="1" outlineLevel="1"/>
    <col min="24" max="24" width="5.15234375" style="88" customWidth="1" collapsed="1"/>
    <col min="25" max="25" width="7.15234375" style="11" customWidth="1"/>
    <col min="26" max="26" width="2.84375" style="11" customWidth="1"/>
    <col min="27" max="27" width="8.84375" style="11" customWidth="1"/>
    <col min="28" max="28" width="58.15234375" style="11" customWidth="1"/>
    <col min="29" max="31" width="31" style="11" customWidth="1"/>
    <col min="32" max="46" width="0" style="11" hidden="1" customWidth="1"/>
    <col min="47" max="76" width="0" style="14" hidden="1" customWidth="1"/>
    <col min="77" max="16384" width="8.843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65.25" customHeight="1">
      <c r="A3" s="15"/>
      <c r="B3" s="539" t="s">
        <v>213</v>
      </c>
      <c r="C3" s="539"/>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1" t="s">
        <v>2</v>
      </c>
      <c r="C6" s="542"/>
      <c r="D6" s="542"/>
      <c r="E6" s="542"/>
      <c r="F6" s="92"/>
      <c r="G6" s="92"/>
      <c r="H6" s="92"/>
      <c r="I6" s="93"/>
      <c r="J6" s="92"/>
      <c r="K6" s="93"/>
      <c r="L6" s="93"/>
      <c r="M6" s="93"/>
      <c r="N6" s="93"/>
      <c r="O6" s="93"/>
      <c r="P6" s="93"/>
      <c r="Q6" s="93"/>
      <c r="R6" s="93"/>
      <c r="S6" s="93"/>
      <c r="T6" s="93"/>
      <c r="U6" s="93"/>
      <c r="V6" s="93"/>
      <c r="W6" s="93"/>
      <c r="X6" s="94"/>
      <c r="Y6" s="10"/>
      <c r="Z6" s="10"/>
      <c r="AA6" s="10"/>
      <c r="AB6" s="10"/>
      <c r="AC6" s="10"/>
      <c r="AD6" s="10"/>
      <c r="AE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 customHeight="1">
      <c r="A7" s="15"/>
      <c r="B7" s="90" t="s">
        <v>219</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37</v>
      </c>
      <c r="E8" s="7" t="s">
        <v>6</v>
      </c>
      <c r="F8" s="99"/>
      <c r="G8" s="7" t="s">
        <v>7</v>
      </c>
      <c r="H8" s="97"/>
      <c r="I8" s="7" t="s">
        <v>8</v>
      </c>
      <c r="J8" s="99"/>
      <c r="K8" s="7" t="s">
        <v>13</v>
      </c>
      <c r="L8" s="97"/>
      <c r="M8" s="7" t="s">
        <v>12</v>
      </c>
      <c r="N8" s="99"/>
      <c r="O8" s="7" t="s">
        <v>11</v>
      </c>
      <c r="P8" s="97"/>
      <c r="Q8" s="7" t="s">
        <v>9</v>
      </c>
      <c r="R8" s="99"/>
      <c r="S8" s="7" t="s">
        <v>10</v>
      </c>
      <c r="T8" s="117"/>
      <c r="U8" s="7" t="s">
        <v>127</v>
      </c>
      <c r="V8" s="117"/>
      <c r="W8" s="7" t="s">
        <v>126</v>
      </c>
      <c r="X8" s="100"/>
      <c r="Y8" s="17"/>
      <c r="Z8" s="17"/>
      <c r="AA8" s="17"/>
      <c r="AB8" s="17"/>
      <c r="AC8" s="17"/>
      <c r="AD8" s="17"/>
      <c r="AE8" s="17"/>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35</v>
      </c>
      <c r="D9" s="98" t="s">
        <v>37</v>
      </c>
      <c r="E9" s="294"/>
      <c r="F9" s="107"/>
      <c r="G9" s="294"/>
      <c r="H9" s="127"/>
      <c r="I9" s="294"/>
      <c r="J9" s="107"/>
      <c r="K9" s="294"/>
      <c r="L9" s="127"/>
      <c r="M9" s="294"/>
      <c r="N9" s="107"/>
      <c r="O9" s="294"/>
      <c r="P9" s="127"/>
      <c r="Q9" s="294"/>
      <c r="R9" s="107"/>
      <c r="S9" s="294"/>
      <c r="T9" s="117"/>
      <c r="U9" s="294"/>
      <c r="V9" s="117"/>
      <c r="W9" s="294"/>
      <c r="X9" s="100"/>
      <c r="Y9" s="17"/>
      <c r="Z9" s="17"/>
      <c r="AA9" s="17"/>
      <c r="AB9" s="17"/>
      <c r="AC9" s="17"/>
      <c r="AD9" s="17"/>
      <c r="AE9" s="17"/>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36</v>
      </c>
      <c r="D10" s="98" t="s">
        <v>37</v>
      </c>
      <c r="E10" s="294"/>
      <c r="F10" s="107"/>
      <c r="G10" s="294"/>
      <c r="H10" s="127"/>
      <c r="I10" s="294"/>
      <c r="J10" s="107"/>
      <c r="K10" s="294"/>
      <c r="L10" s="127"/>
      <c r="M10" s="294"/>
      <c r="N10" s="107"/>
      <c r="O10" s="294"/>
      <c r="P10" s="127"/>
      <c r="Q10" s="294"/>
      <c r="R10" s="107"/>
      <c r="S10" s="294"/>
      <c r="T10" s="117"/>
      <c r="U10" s="294"/>
      <c r="V10" s="117"/>
      <c r="W10" s="294"/>
      <c r="X10" s="100"/>
      <c r="Y10" s="17"/>
      <c r="Z10" s="17"/>
      <c r="AA10" s="17"/>
      <c r="AB10" s="17"/>
      <c r="AC10" s="17"/>
      <c r="AD10" s="17"/>
      <c r="AE10" s="17"/>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51" t="s">
        <v>228</v>
      </c>
      <c r="D12" s="452" t="s">
        <v>131</v>
      </c>
      <c r="E12" s="208"/>
      <c r="F12" s="268"/>
      <c r="G12" s="208"/>
      <c r="H12" s="268"/>
      <c r="I12" s="208"/>
      <c r="J12" s="268"/>
      <c r="K12" s="208"/>
      <c r="L12" s="268"/>
      <c r="M12" s="208"/>
      <c r="N12" s="268"/>
      <c r="O12" s="208"/>
      <c r="P12" s="268"/>
      <c r="Q12" s="208"/>
      <c r="R12" s="268"/>
      <c r="S12" s="208"/>
      <c r="T12" s="117"/>
      <c r="U12" s="208"/>
      <c r="V12" s="117"/>
      <c r="W12" s="208"/>
      <c r="X12" s="108"/>
      <c r="Y12" s="10"/>
      <c r="Z12" s="10"/>
      <c r="AA12" s="10"/>
      <c r="AB12" s="10"/>
      <c r="AC12" s="10"/>
      <c r="AD12" s="10"/>
      <c r="AE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451" t="s">
        <v>130</v>
      </c>
      <c r="D13" s="452" t="s">
        <v>131</v>
      </c>
      <c r="E13" s="208"/>
      <c r="F13" s="268"/>
      <c r="G13" s="208"/>
      <c r="H13" s="268"/>
      <c r="I13" s="208"/>
      <c r="J13" s="268"/>
      <c r="K13" s="208"/>
      <c r="L13" s="268"/>
      <c r="M13" s="208"/>
      <c r="N13" s="268"/>
      <c r="O13" s="208"/>
      <c r="P13" s="268"/>
      <c r="Q13" s="208"/>
      <c r="R13" s="268"/>
      <c r="S13" s="208"/>
      <c r="T13" s="117"/>
      <c r="U13" s="208"/>
      <c r="V13" s="117"/>
      <c r="W13" s="208"/>
      <c r="X13" s="108"/>
      <c r="Y13" s="10"/>
      <c r="Z13" s="10"/>
      <c r="AA13" s="10"/>
      <c r="AB13" s="10"/>
      <c r="AC13" s="10"/>
      <c r="AD13" s="10"/>
      <c r="AE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6"/>
      <c r="C14" s="98"/>
      <c r="D14" s="98"/>
      <c r="E14" s="125"/>
      <c r="F14" s="107"/>
      <c r="G14" s="125"/>
      <c r="H14" s="169"/>
      <c r="I14" s="125"/>
      <c r="J14" s="107"/>
      <c r="K14" s="125"/>
      <c r="L14" s="107"/>
      <c r="M14" s="125"/>
      <c r="N14" s="107"/>
      <c r="O14" s="125"/>
      <c r="P14" s="107"/>
      <c r="Q14" s="125"/>
      <c r="R14" s="107"/>
      <c r="S14" s="125"/>
      <c r="T14" s="117"/>
      <c r="U14" s="125"/>
      <c r="V14" s="117"/>
      <c r="W14" s="125"/>
      <c r="X14" s="108"/>
      <c r="Y14" s="10"/>
      <c r="Z14" s="10"/>
      <c r="AA14" s="10"/>
      <c r="AB14" s="10"/>
      <c r="AC14" s="10"/>
      <c r="AD14" s="10"/>
      <c r="AE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9"/>
      <c r="C15" s="110" t="s">
        <v>19</v>
      </c>
      <c r="D15" s="110"/>
      <c r="E15" s="110"/>
      <c r="F15" s="110"/>
      <c r="G15" s="110"/>
      <c r="H15" s="169"/>
      <c r="I15" s="110"/>
      <c r="J15" s="110"/>
      <c r="K15" s="110"/>
      <c r="L15" s="107"/>
      <c r="M15" s="110"/>
      <c r="N15" s="110"/>
      <c r="O15" s="110"/>
      <c r="P15" s="107"/>
      <c r="Q15" s="110"/>
      <c r="R15" s="110"/>
      <c r="S15" s="110"/>
      <c r="T15" s="117"/>
      <c r="U15" s="110"/>
      <c r="V15" s="117"/>
      <c r="W15" s="110"/>
      <c r="X15" s="108"/>
      <c r="Y15" s="10"/>
      <c r="Z15" s="10"/>
      <c r="AA15" s="10"/>
      <c r="AB15" s="10"/>
      <c r="AC15" s="10"/>
      <c r="AD15" s="10"/>
      <c r="AE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453" t="s">
        <v>134</v>
      </c>
      <c r="D16" s="452" t="s">
        <v>135</v>
      </c>
      <c r="E16" s="89"/>
      <c r="F16" s="107"/>
      <c r="G16" s="89"/>
      <c r="H16" s="107"/>
      <c r="I16" s="89"/>
      <c r="J16" s="107"/>
      <c r="K16" s="89"/>
      <c r="L16" s="107"/>
      <c r="M16" s="89"/>
      <c r="N16" s="107"/>
      <c r="O16" s="89"/>
      <c r="P16" s="107"/>
      <c r="Q16" s="89"/>
      <c r="R16" s="107"/>
      <c r="S16" s="89"/>
      <c r="T16" s="117"/>
      <c r="U16" s="89"/>
      <c r="V16" s="117"/>
      <c r="W16" s="89"/>
      <c r="X16" s="108"/>
      <c r="Y16" s="10"/>
      <c r="Z16" s="10"/>
      <c r="AA16" s="10"/>
      <c r="AB16" s="10"/>
      <c r="AC16" s="10"/>
      <c r="AD16" s="10"/>
      <c r="AE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8"/>
      <c r="D17" s="98"/>
      <c r="E17" s="125"/>
      <c r="F17" s="107"/>
      <c r="G17" s="125"/>
      <c r="H17" s="107"/>
      <c r="I17" s="125"/>
      <c r="J17" s="107"/>
      <c r="K17" s="125"/>
      <c r="L17" s="107"/>
      <c r="M17" s="125"/>
      <c r="N17" s="107"/>
      <c r="O17" s="125"/>
      <c r="P17" s="107"/>
      <c r="Q17" s="125"/>
      <c r="R17" s="107"/>
      <c r="S17" s="125"/>
      <c r="T17" s="117"/>
      <c r="U17" s="125"/>
      <c r="V17" s="117"/>
      <c r="W17" s="125"/>
      <c r="X17" s="108"/>
      <c r="Y17" s="10"/>
      <c r="Z17" s="10"/>
      <c r="AA17" s="10"/>
      <c r="AB17" s="10"/>
      <c r="AC17" s="10"/>
      <c r="AD17" s="10"/>
      <c r="AE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97" t="s">
        <v>25</v>
      </c>
      <c r="D18" s="126"/>
      <c r="E18" s="125"/>
      <c r="F18" s="107"/>
      <c r="G18" s="125"/>
      <c r="H18" s="127"/>
      <c r="I18" s="125"/>
      <c r="J18" s="107"/>
      <c r="K18" s="125"/>
      <c r="L18" s="127"/>
      <c r="M18" s="125"/>
      <c r="N18" s="107"/>
      <c r="O18" s="125"/>
      <c r="P18" s="127"/>
      <c r="Q18" s="125"/>
      <c r="R18" s="107"/>
      <c r="S18" s="125"/>
      <c r="T18" s="117"/>
      <c r="U18" s="125"/>
      <c r="V18" s="117"/>
      <c r="W18" s="125"/>
      <c r="X18" s="108"/>
      <c r="Y18" s="10"/>
      <c r="Z18" s="10"/>
      <c r="AA18" s="10"/>
      <c r="AB18" s="10"/>
      <c r="AC18" s="10"/>
      <c r="AD18" s="10"/>
      <c r="AE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451" t="s">
        <v>22</v>
      </c>
      <c r="D19" s="452" t="s">
        <v>154</v>
      </c>
      <c r="E19" s="208"/>
      <c r="F19" s="268"/>
      <c r="G19" s="208"/>
      <c r="H19" s="278"/>
      <c r="I19" s="208"/>
      <c r="J19" s="268"/>
      <c r="K19" s="208"/>
      <c r="L19" s="278"/>
      <c r="M19" s="208"/>
      <c r="N19" s="268"/>
      <c r="O19" s="208"/>
      <c r="P19" s="278"/>
      <c r="Q19" s="208"/>
      <c r="R19" s="268"/>
      <c r="S19" s="208"/>
      <c r="T19" s="117"/>
      <c r="U19" s="208"/>
      <c r="V19" s="117"/>
      <c r="W19" s="208"/>
      <c r="X19" s="108"/>
      <c r="Y19" s="10"/>
      <c r="Z19" s="10"/>
      <c r="AA19" s="10"/>
      <c r="AB19" s="10"/>
      <c r="AC19" s="10"/>
      <c r="AD19" s="10"/>
      <c r="AE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8" t="s">
        <v>229</v>
      </c>
      <c r="D20" s="452" t="s">
        <v>154</v>
      </c>
      <c r="E20" s="208"/>
      <c r="F20" s="268"/>
      <c r="G20" s="208"/>
      <c r="H20" s="278"/>
      <c r="I20" s="208"/>
      <c r="J20" s="268"/>
      <c r="K20" s="208"/>
      <c r="L20" s="278"/>
      <c r="M20" s="208"/>
      <c r="N20" s="268"/>
      <c r="O20" s="208"/>
      <c r="P20" s="278"/>
      <c r="Q20" s="208"/>
      <c r="R20" s="268"/>
      <c r="S20" s="208"/>
      <c r="T20" s="117"/>
      <c r="U20" s="208"/>
      <c r="V20" s="117"/>
      <c r="W20" s="208"/>
      <c r="X20" s="108"/>
      <c r="Y20" s="10"/>
      <c r="Z20" s="10"/>
      <c r="AA20" s="10"/>
      <c r="AB20" s="10"/>
      <c r="AC20" s="10"/>
      <c r="AD20" s="10"/>
      <c r="AE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106"/>
      <c r="C21" s="308" t="s">
        <v>133</v>
      </c>
      <c r="D21" s="452" t="s">
        <v>154</v>
      </c>
      <c r="E21" s="208"/>
      <c r="F21" s="268"/>
      <c r="G21" s="208"/>
      <c r="H21" s="278"/>
      <c r="I21" s="208"/>
      <c r="J21" s="268"/>
      <c r="K21" s="208"/>
      <c r="L21" s="278"/>
      <c r="M21" s="208"/>
      <c r="N21" s="268"/>
      <c r="O21" s="208"/>
      <c r="P21" s="278"/>
      <c r="Q21" s="208"/>
      <c r="R21" s="268"/>
      <c r="S21" s="208"/>
      <c r="T21" s="117"/>
      <c r="U21" s="208"/>
      <c r="V21" s="117"/>
      <c r="W21" s="208"/>
      <c r="X21" s="108"/>
      <c r="Y21" s="10"/>
      <c r="Z21" s="10"/>
      <c r="AA21" s="10"/>
      <c r="AB21" s="10"/>
      <c r="AC21" s="10"/>
      <c r="AD21" s="10"/>
      <c r="AE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06"/>
      <c r="C22" s="127"/>
      <c r="D22" s="127"/>
      <c r="E22" s="125"/>
      <c r="F22" s="107"/>
      <c r="G22" s="125"/>
      <c r="H22" s="127"/>
      <c r="I22" s="125"/>
      <c r="J22" s="107"/>
      <c r="K22" s="125"/>
      <c r="L22" s="127"/>
      <c r="M22" s="125"/>
      <c r="N22" s="107"/>
      <c r="O22" s="125"/>
      <c r="P22" s="127"/>
      <c r="Q22" s="125"/>
      <c r="R22" s="107"/>
      <c r="S22" s="125"/>
      <c r="T22" s="117"/>
      <c r="U22" s="125"/>
      <c r="V22" s="117"/>
      <c r="W22" s="125"/>
      <c r="X22" s="108"/>
      <c r="Y22" s="10"/>
      <c r="Z22" s="10"/>
      <c r="AA22" s="10"/>
      <c r="AB22" s="10"/>
      <c r="AC22" s="10"/>
      <c r="AD22" s="10"/>
      <c r="AE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106"/>
      <c r="C23" s="97" t="s">
        <v>26</v>
      </c>
      <c r="D23" s="128"/>
      <c r="E23" s="107"/>
      <c r="F23" s="107"/>
      <c r="G23" s="107"/>
      <c r="H23" s="127"/>
      <c r="I23" s="107"/>
      <c r="J23" s="107"/>
      <c r="K23" s="107"/>
      <c r="L23" s="127"/>
      <c r="M23" s="107"/>
      <c r="N23" s="107"/>
      <c r="O23" s="107"/>
      <c r="P23" s="127"/>
      <c r="Q23" s="107"/>
      <c r="R23" s="107"/>
      <c r="S23" s="107"/>
      <c r="T23" s="117"/>
      <c r="U23" s="107"/>
      <c r="V23" s="117"/>
      <c r="W23" s="107"/>
      <c r="X23" s="108"/>
      <c r="Y23" s="10"/>
      <c r="Z23" s="10"/>
      <c r="AA23" s="10"/>
      <c r="AB23" s="10"/>
      <c r="AC23" s="10"/>
      <c r="AD23" s="10"/>
      <c r="AE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06"/>
      <c r="C24" s="307" t="s">
        <v>128</v>
      </c>
      <c r="D24" s="127" t="s">
        <v>230</v>
      </c>
      <c r="E24" s="508"/>
      <c r="F24" s="509"/>
      <c r="G24" s="508"/>
      <c r="H24" s="510"/>
      <c r="I24" s="508"/>
      <c r="J24" s="511"/>
      <c r="K24" s="508"/>
      <c r="L24" s="512"/>
      <c r="M24" s="508"/>
      <c r="N24" s="511"/>
      <c r="O24" s="508"/>
      <c r="P24" s="512"/>
      <c r="Q24" s="508"/>
      <c r="R24" s="511"/>
      <c r="S24" s="508"/>
      <c r="T24" s="513"/>
      <c r="U24" s="508"/>
      <c r="V24" s="513"/>
      <c r="W24" s="508"/>
      <c r="X24" s="108"/>
      <c r="Y24" s="10"/>
      <c r="Z24" s="10"/>
      <c r="AA24" s="10"/>
      <c r="AB24" s="10"/>
      <c r="AC24" s="10"/>
      <c r="AD24" s="10"/>
      <c r="AE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11"/>
      <c r="C25" s="112"/>
      <c r="D25" s="120"/>
      <c r="E25" s="113"/>
      <c r="F25" s="114"/>
      <c r="G25" s="113"/>
      <c r="H25" s="114"/>
      <c r="I25" s="113"/>
      <c r="J25" s="114"/>
      <c r="K25" s="113"/>
      <c r="L25" s="114"/>
      <c r="M25" s="113"/>
      <c r="N25" s="114"/>
      <c r="O25" s="113"/>
      <c r="P25" s="114"/>
      <c r="Q25" s="113"/>
      <c r="R25" s="114"/>
      <c r="S25" s="113"/>
      <c r="T25" s="113"/>
      <c r="U25" s="113"/>
      <c r="V25" s="113"/>
      <c r="W25" s="113"/>
      <c r="X25" s="115"/>
      <c r="Y25" s="10"/>
      <c r="Z25" s="10"/>
      <c r="AA25" s="10"/>
      <c r="AB25" s="10"/>
      <c r="AC25" s="10"/>
      <c r="AD25" s="10"/>
      <c r="AE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20"/>
      <c r="C26" s="21"/>
      <c r="D26" s="20"/>
      <c r="E26" s="12"/>
      <c r="F26" s="12"/>
      <c r="G26" s="12"/>
      <c r="H26" s="12"/>
      <c r="I26" s="12"/>
      <c r="J26" s="12"/>
      <c r="K26" s="12"/>
      <c r="L26" s="12"/>
      <c r="M26" s="12"/>
      <c r="N26" s="12"/>
      <c r="O26" s="12"/>
      <c r="P26" s="12"/>
      <c r="Q26" s="12"/>
      <c r="R26" s="12"/>
      <c r="S26" s="12"/>
      <c r="T26" s="12"/>
      <c r="U26" s="12"/>
      <c r="V26" s="12"/>
      <c r="W26" s="12"/>
      <c r="X26" s="12"/>
      <c r="Y26" s="10"/>
      <c r="Z26" s="10"/>
      <c r="AA26" s="10"/>
      <c r="AB26" s="10"/>
      <c r="AC26" s="10"/>
      <c r="AD26" s="10"/>
      <c r="AE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70"/>
      <c r="C27" s="171"/>
      <c r="D27" s="172"/>
      <c r="E27" s="173"/>
      <c r="F27" s="173"/>
      <c r="G27" s="173"/>
      <c r="H27" s="173"/>
      <c r="I27" s="173"/>
      <c r="J27" s="174"/>
      <c r="K27" s="173"/>
      <c r="L27" s="171"/>
      <c r="M27" s="173"/>
      <c r="N27" s="174"/>
      <c r="O27" s="173"/>
      <c r="P27" s="171"/>
      <c r="Q27" s="173"/>
      <c r="R27" s="174"/>
      <c r="S27" s="173"/>
      <c r="T27" s="173"/>
      <c r="U27" s="173"/>
      <c r="V27" s="173"/>
      <c r="W27" s="173"/>
      <c r="X27" s="175"/>
      <c r="Y27" s="10"/>
      <c r="Z27" s="10"/>
      <c r="AA27" s="10"/>
      <c r="AB27" s="10"/>
      <c r="AC27" s="10"/>
      <c r="AD27" s="10"/>
      <c r="AE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25" customHeight="1">
      <c r="A28" s="12"/>
      <c r="B28" s="176" t="s">
        <v>222</v>
      </c>
      <c r="C28" s="177"/>
      <c r="D28" s="177"/>
      <c r="E28" s="178"/>
      <c r="F28" s="178"/>
      <c r="G28" s="178"/>
      <c r="H28" s="178"/>
      <c r="I28" s="178"/>
      <c r="J28" s="179"/>
      <c r="K28" s="178"/>
      <c r="L28" s="180"/>
      <c r="M28" s="178"/>
      <c r="N28" s="179"/>
      <c r="O28" s="178"/>
      <c r="P28" s="180"/>
      <c r="Q28" s="178"/>
      <c r="R28" s="179"/>
      <c r="S28" s="178"/>
      <c r="T28" s="178"/>
      <c r="U28" s="178"/>
      <c r="V28" s="178"/>
      <c r="W28" s="178"/>
      <c r="X28" s="181"/>
      <c r="Y28" s="10"/>
      <c r="Z28" s="10"/>
      <c r="AA28" s="10"/>
      <c r="AB28" s="10"/>
      <c r="AC28" s="10"/>
      <c r="AD28" s="10"/>
      <c r="AE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76"/>
      <c r="C29" s="182" t="s">
        <v>38</v>
      </c>
      <c r="D29" s="177"/>
      <c r="E29" s="183" t="s">
        <v>39</v>
      </c>
      <c r="F29" s="178"/>
      <c r="G29" s="184" t="str">
        <f>$E$29</f>
        <v>Ja</v>
      </c>
      <c r="H29" s="178"/>
      <c r="I29" s="184" t="str">
        <f>$E$29</f>
        <v>Ja</v>
      </c>
      <c r="J29" s="179"/>
      <c r="K29" s="184" t="str">
        <f>$E$29</f>
        <v>Ja</v>
      </c>
      <c r="L29" s="180"/>
      <c r="M29" s="184" t="str">
        <f>$E$29</f>
        <v>Ja</v>
      </c>
      <c r="N29" s="179"/>
      <c r="O29" s="184" t="str">
        <f>$E$29</f>
        <v>Ja</v>
      </c>
      <c r="P29" s="180"/>
      <c r="Q29" s="184" t="str">
        <f>$E$29</f>
        <v>Ja</v>
      </c>
      <c r="R29" s="179"/>
      <c r="S29" s="184" t="str">
        <f>$E$29</f>
        <v>Ja</v>
      </c>
      <c r="T29" s="178"/>
      <c r="U29" s="184" t="str">
        <f>$E$29</f>
        <v>Ja</v>
      </c>
      <c r="V29" s="178"/>
      <c r="W29" s="184" t="str">
        <f>$E$29</f>
        <v>Ja</v>
      </c>
      <c r="X29" s="181"/>
      <c r="Y29" s="10"/>
      <c r="Z29" s="10"/>
      <c r="AA29" s="10"/>
      <c r="AB29" s="10"/>
      <c r="AC29" s="10"/>
      <c r="AD29" s="10"/>
      <c r="AE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76"/>
      <c r="C30" s="185"/>
      <c r="D30" s="177"/>
      <c r="E30" s="178"/>
      <c r="F30" s="178"/>
      <c r="G30" s="178"/>
      <c r="H30" s="178"/>
      <c r="I30" s="178"/>
      <c r="J30" s="179"/>
      <c r="K30" s="178"/>
      <c r="L30" s="180"/>
      <c r="M30" s="178"/>
      <c r="N30" s="179"/>
      <c r="O30" s="178"/>
      <c r="P30" s="180"/>
      <c r="Q30" s="178"/>
      <c r="R30" s="179"/>
      <c r="S30" s="178"/>
      <c r="T30" s="178"/>
      <c r="U30" s="178"/>
      <c r="V30" s="178"/>
      <c r="W30" s="178"/>
      <c r="X30" s="181"/>
      <c r="Y30" s="10"/>
      <c r="Z30" s="10"/>
      <c r="AA30" s="10"/>
      <c r="AB30" s="10"/>
      <c r="AC30" s="10"/>
      <c r="AD30" s="10"/>
      <c r="AE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88"/>
      <c r="C31" s="186" t="s">
        <v>148</v>
      </c>
      <c r="D31" s="187" t="s">
        <v>40</v>
      </c>
      <c r="E31" s="183" t="s">
        <v>39</v>
      </c>
      <c r="F31" s="190"/>
      <c r="G31" s="184" t="str">
        <f>$E$31</f>
        <v>Ja</v>
      </c>
      <c r="H31" s="177"/>
      <c r="I31" s="184" t="str">
        <f>$E$31</f>
        <v>Ja</v>
      </c>
      <c r="J31" s="191"/>
      <c r="K31" s="184" t="str">
        <f>$E$31</f>
        <v>Ja</v>
      </c>
      <c r="L31" s="192"/>
      <c r="M31" s="184" t="str">
        <f>$E$31</f>
        <v>Ja</v>
      </c>
      <c r="N31" s="191"/>
      <c r="O31" s="184" t="str">
        <f>$E$31</f>
        <v>Ja</v>
      </c>
      <c r="P31" s="192"/>
      <c r="Q31" s="184" t="str">
        <f>$E$31</f>
        <v>Ja</v>
      </c>
      <c r="R31" s="191"/>
      <c r="S31" s="184" t="str">
        <f>$E$31</f>
        <v>Ja</v>
      </c>
      <c r="T31" s="178"/>
      <c r="U31" s="184" t="str">
        <f>$E$31</f>
        <v>Ja</v>
      </c>
      <c r="V31" s="178"/>
      <c r="W31" s="184" t="str">
        <f>$E$31</f>
        <v>Ja</v>
      </c>
      <c r="X31" s="181"/>
      <c r="Y31" s="10"/>
      <c r="Z31" s="10"/>
      <c r="AA31" s="10"/>
      <c r="AB31" s="10"/>
      <c r="AC31" s="10"/>
      <c r="AD31" s="10"/>
      <c r="AE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8"/>
      <c r="C32" s="189" t="s">
        <v>149</v>
      </c>
      <c r="D32" s="187" t="s">
        <v>151</v>
      </c>
      <c r="E32" s="461">
        <f>VLOOKUP($E$50,Fremskrivninger!$A$48:$H$77,8)</f>
        <v>2.52</v>
      </c>
      <c r="F32" s="456"/>
      <c r="G32" s="184">
        <f>$E$32</f>
        <v>2.52</v>
      </c>
      <c r="H32" s="458"/>
      <c r="I32" s="184">
        <f>$E$32</f>
        <v>2.52</v>
      </c>
      <c r="J32" s="459"/>
      <c r="K32" s="184">
        <f>$E$32</f>
        <v>2.52</v>
      </c>
      <c r="L32" s="460"/>
      <c r="M32" s="184">
        <f>$E$32</f>
        <v>2.52</v>
      </c>
      <c r="N32" s="459"/>
      <c r="O32" s="184">
        <f>$E$32</f>
        <v>2.52</v>
      </c>
      <c r="P32" s="460"/>
      <c r="Q32" s="184">
        <f>$E$32</f>
        <v>2.52</v>
      </c>
      <c r="R32" s="459"/>
      <c r="S32" s="184">
        <f>$E$32</f>
        <v>2.52</v>
      </c>
      <c r="T32" s="456"/>
      <c r="U32" s="184">
        <f>$E$32</f>
        <v>2.52</v>
      </c>
      <c r="V32" s="456"/>
      <c r="W32" s="184">
        <f>$E$32</f>
        <v>2.52</v>
      </c>
      <c r="X32" s="181"/>
      <c r="Y32" s="10"/>
      <c r="Z32" s="10"/>
      <c r="AA32" s="10"/>
      <c r="AB32" s="10"/>
      <c r="AC32" s="10"/>
      <c r="AD32" s="10"/>
      <c r="AE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8"/>
      <c r="C33" s="189" t="s">
        <v>150</v>
      </c>
      <c r="D33" s="187" t="s">
        <v>151</v>
      </c>
      <c r="E33" s="461">
        <f>VLOOKUP($E$50,Fremskrivninger!$A$92:$H$121,8)</f>
        <v>2.98</v>
      </c>
      <c r="F33" s="456"/>
      <c r="G33" s="184">
        <f>$E$33</f>
        <v>2.98</v>
      </c>
      <c r="H33" s="458"/>
      <c r="I33" s="184">
        <f>$E$33</f>
        <v>2.98</v>
      </c>
      <c r="J33" s="459"/>
      <c r="K33" s="184">
        <f>$E$33</f>
        <v>2.98</v>
      </c>
      <c r="L33" s="460"/>
      <c r="M33" s="184">
        <f>$E$33</f>
        <v>2.98</v>
      </c>
      <c r="N33" s="459"/>
      <c r="O33" s="184">
        <f>$E$33</f>
        <v>2.98</v>
      </c>
      <c r="P33" s="460"/>
      <c r="Q33" s="184">
        <f>$E$33</f>
        <v>2.98</v>
      </c>
      <c r="R33" s="459"/>
      <c r="S33" s="184">
        <f>$E$33</f>
        <v>2.98</v>
      </c>
      <c r="T33" s="456"/>
      <c r="U33" s="184">
        <f>$E$33</f>
        <v>2.98</v>
      </c>
      <c r="V33" s="456"/>
      <c r="W33" s="184">
        <f>$E$33</f>
        <v>2.98</v>
      </c>
      <c r="X33" s="181"/>
      <c r="Y33" s="10"/>
      <c r="Z33" s="10"/>
      <c r="AA33" s="10"/>
      <c r="AB33" s="10"/>
      <c r="AC33" s="10"/>
      <c r="AD33" s="10"/>
      <c r="AE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8"/>
      <c r="C34" s="189" t="s">
        <v>147</v>
      </c>
      <c r="D34" s="187" t="s">
        <v>151</v>
      </c>
      <c r="E34" s="455"/>
      <c r="F34" s="456"/>
      <c r="G34" s="457">
        <f>$E$34</f>
        <v>0</v>
      </c>
      <c r="H34" s="458"/>
      <c r="I34" s="457">
        <f>$E$34</f>
        <v>0</v>
      </c>
      <c r="J34" s="459"/>
      <c r="K34" s="457">
        <f>$E$34</f>
        <v>0</v>
      </c>
      <c r="L34" s="460"/>
      <c r="M34" s="457">
        <f>$E$34</f>
        <v>0</v>
      </c>
      <c r="N34" s="459"/>
      <c r="O34" s="457">
        <f>$E$34</f>
        <v>0</v>
      </c>
      <c r="P34" s="460"/>
      <c r="Q34" s="457">
        <f>$E$34</f>
        <v>0</v>
      </c>
      <c r="R34" s="459"/>
      <c r="S34" s="457">
        <f>$E$34</f>
        <v>0</v>
      </c>
      <c r="T34" s="456"/>
      <c r="U34" s="457">
        <f>$E$34</f>
        <v>0</v>
      </c>
      <c r="V34" s="456"/>
      <c r="W34" s="457">
        <f>$E$34</f>
        <v>0</v>
      </c>
      <c r="X34" s="181"/>
      <c r="Y34" s="10"/>
      <c r="Z34" s="10"/>
      <c r="AA34" s="10"/>
      <c r="AB34" s="10"/>
      <c r="AC34" s="10"/>
      <c r="AD34" s="10"/>
      <c r="AE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88"/>
      <c r="C35" s="189" t="s">
        <v>146</v>
      </c>
      <c r="D35" s="187" t="s">
        <v>151</v>
      </c>
      <c r="E35" s="455"/>
      <c r="F35" s="456"/>
      <c r="G35" s="457">
        <f>$E$34</f>
        <v>0</v>
      </c>
      <c r="H35" s="458"/>
      <c r="I35" s="457">
        <f>$E$34</f>
        <v>0</v>
      </c>
      <c r="J35" s="459"/>
      <c r="K35" s="457">
        <f>$E$34</f>
        <v>0</v>
      </c>
      <c r="L35" s="460"/>
      <c r="M35" s="457">
        <f>$E$34</f>
        <v>0</v>
      </c>
      <c r="N35" s="459"/>
      <c r="O35" s="457">
        <f>$E$34</f>
        <v>0</v>
      </c>
      <c r="P35" s="460"/>
      <c r="Q35" s="457">
        <f>$E$34</f>
        <v>0</v>
      </c>
      <c r="R35" s="459"/>
      <c r="S35" s="457">
        <f>$E$34</f>
        <v>0</v>
      </c>
      <c r="T35" s="456"/>
      <c r="U35" s="457">
        <f>$E$34</f>
        <v>0</v>
      </c>
      <c r="V35" s="456"/>
      <c r="W35" s="457">
        <f>$E$34</f>
        <v>0</v>
      </c>
      <c r="X35" s="181"/>
      <c r="Y35" s="10"/>
      <c r="Z35" s="10"/>
      <c r="AA35" s="10"/>
      <c r="AB35" s="10"/>
      <c r="AC35" s="10"/>
      <c r="AD35" s="10"/>
      <c r="AE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88"/>
      <c r="C36" s="187"/>
      <c r="D36" s="187"/>
      <c r="E36" s="177"/>
      <c r="F36" s="193"/>
      <c r="G36" s="177"/>
      <c r="H36" s="177"/>
      <c r="I36" s="194"/>
      <c r="J36" s="194"/>
      <c r="K36" s="194"/>
      <c r="L36" s="194"/>
      <c r="M36" s="194"/>
      <c r="N36" s="194"/>
      <c r="O36" s="194"/>
      <c r="P36" s="194"/>
      <c r="Q36" s="194"/>
      <c r="R36" s="194"/>
      <c r="S36" s="194"/>
      <c r="T36" s="178"/>
      <c r="U36" s="194"/>
      <c r="V36" s="178"/>
      <c r="W36" s="194"/>
      <c r="X36" s="181"/>
      <c r="Y36" s="10"/>
      <c r="Z36" s="10"/>
      <c r="AA36" s="10"/>
      <c r="AB36" s="10"/>
      <c r="AC36" s="10"/>
      <c r="AD36" s="10"/>
      <c r="AE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8"/>
      <c r="C37" s="195" t="s">
        <v>76</v>
      </c>
      <c r="D37" s="177"/>
      <c r="E37" s="183" t="s">
        <v>39</v>
      </c>
      <c r="F37" s="178"/>
      <c r="G37" s="184" t="str">
        <f>$E$37</f>
        <v>Ja</v>
      </c>
      <c r="H37" s="178"/>
      <c r="I37" s="184" t="str">
        <f>$E$37</f>
        <v>Ja</v>
      </c>
      <c r="J37" s="179"/>
      <c r="K37" s="184" t="str">
        <f>$E$37</f>
        <v>Ja</v>
      </c>
      <c r="L37" s="180"/>
      <c r="M37" s="184" t="str">
        <f>$E$37</f>
        <v>Ja</v>
      </c>
      <c r="N37" s="179"/>
      <c r="O37" s="184" t="str">
        <f>$E$37</f>
        <v>Ja</v>
      </c>
      <c r="P37" s="180"/>
      <c r="Q37" s="184" t="str">
        <f>$E$37</f>
        <v>Ja</v>
      </c>
      <c r="R37" s="179"/>
      <c r="S37" s="184" t="str">
        <f>$E$37</f>
        <v>Ja</v>
      </c>
      <c r="T37" s="178"/>
      <c r="U37" s="184" t="str">
        <f>$E$37</f>
        <v>Ja</v>
      </c>
      <c r="V37" s="178"/>
      <c r="W37" s="184" t="str">
        <f>$E$37</f>
        <v>Ja</v>
      </c>
      <c r="X37" s="181"/>
      <c r="Y37" s="10"/>
      <c r="Z37" s="10"/>
      <c r="AA37" s="10"/>
      <c r="AB37" s="10"/>
      <c r="AC37" s="10"/>
      <c r="AD37" s="10"/>
      <c r="AE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8"/>
      <c r="C38" s="187" t="s">
        <v>223</v>
      </c>
      <c r="D38" s="187" t="s">
        <v>42</v>
      </c>
      <c r="E38" s="196">
        <v>1500</v>
      </c>
      <c r="F38" s="197"/>
      <c r="G38" s="198">
        <f>$E$38</f>
        <v>1500</v>
      </c>
      <c r="H38" s="197"/>
      <c r="I38" s="198">
        <f>$E$38</f>
        <v>1500</v>
      </c>
      <c r="J38" s="199"/>
      <c r="K38" s="198">
        <f>$E$38</f>
        <v>1500</v>
      </c>
      <c r="L38" s="200"/>
      <c r="M38" s="198">
        <f>$E$38</f>
        <v>1500</v>
      </c>
      <c r="N38" s="199"/>
      <c r="O38" s="198">
        <f>$E$38</f>
        <v>1500</v>
      </c>
      <c r="P38" s="200"/>
      <c r="Q38" s="198">
        <f>$E$38</f>
        <v>1500</v>
      </c>
      <c r="R38" s="199"/>
      <c r="S38" s="198">
        <f>$E$38</f>
        <v>1500</v>
      </c>
      <c r="T38" s="178"/>
      <c r="U38" s="198">
        <f>$E$38</f>
        <v>1500</v>
      </c>
      <c r="V38" s="178"/>
      <c r="W38" s="198">
        <f>$E$38</f>
        <v>1500</v>
      </c>
      <c r="X38" s="181"/>
      <c r="Y38" s="10"/>
      <c r="Z38" s="10"/>
      <c r="AA38" s="10"/>
      <c r="AB38" s="10"/>
      <c r="AC38" s="10"/>
      <c r="AD38" s="10"/>
      <c r="AE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8"/>
      <c r="C39" s="187" t="s">
        <v>224</v>
      </c>
      <c r="D39" s="187" t="s">
        <v>42</v>
      </c>
      <c r="E39" s="196"/>
      <c r="F39" s="197"/>
      <c r="G39" s="198">
        <f>$E$39</f>
        <v>0</v>
      </c>
      <c r="H39" s="197"/>
      <c r="I39" s="198">
        <f>$E$39</f>
        <v>0</v>
      </c>
      <c r="J39" s="199"/>
      <c r="K39" s="198">
        <f>$E$39</f>
        <v>0</v>
      </c>
      <c r="L39" s="200"/>
      <c r="M39" s="198">
        <f>$E$39</f>
        <v>0</v>
      </c>
      <c r="N39" s="199"/>
      <c r="O39" s="198">
        <f>$E$39</f>
        <v>0</v>
      </c>
      <c r="P39" s="200"/>
      <c r="Q39" s="198">
        <f>$E$39</f>
        <v>0</v>
      </c>
      <c r="R39" s="199"/>
      <c r="S39" s="198">
        <f>$E$39</f>
        <v>0</v>
      </c>
      <c r="T39" s="178"/>
      <c r="U39" s="198">
        <f>$E$39</f>
        <v>0</v>
      </c>
      <c r="V39" s="178"/>
      <c r="W39" s="198">
        <f>$E$39</f>
        <v>0</v>
      </c>
      <c r="X39" s="181"/>
      <c r="Y39" s="10"/>
      <c r="Z39" s="10"/>
      <c r="AA39" s="10"/>
      <c r="AB39" s="10"/>
      <c r="AC39" s="10"/>
      <c r="AD39" s="10"/>
      <c r="AE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201"/>
      <c r="C40" s="202"/>
      <c r="D40" s="203"/>
      <c r="E40" s="204"/>
      <c r="F40" s="204"/>
      <c r="G40" s="204"/>
      <c r="H40" s="204"/>
      <c r="I40" s="204"/>
      <c r="J40" s="205"/>
      <c r="K40" s="204"/>
      <c r="L40" s="206"/>
      <c r="M40" s="204"/>
      <c r="N40" s="205"/>
      <c r="O40" s="204"/>
      <c r="P40" s="206"/>
      <c r="Q40" s="204"/>
      <c r="R40" s="205"/>
      <c r="S40" s="204"/>
      <c r="T40" s="204"/>
      <c r="U40" s="204"/>
      <c r="V40" s="204"/>
      <c r="W40" s="204"/>
      <c r="X40" s="207"/>
      <c r="Y40" s="10"/>
      <c r="Z40" s="10"/>
      <c r="AA40" s="10"/>
      <c r="AB40" s="10"/>
      <c r="AC40" s="10"/>
      <c r="AD40" s="10"/>
      <c r="AE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20"/>
      <c r="C41" s="21"/>
      <c r="D41" s="20"/>
      <c r="E41" s="12"/>
      <c r="F41" s="12"/>
      <c r="G41" s="12"/>
      <c r="H41" s="12"/>
      <c r="I41" s="12"/>
      <c r="J41" s="12"/>
      <c r="K41" s="12"/>
      <c r="L41" s="12"/>
      <c r="M41" s="12"/>
      <c r="N41" s="12"/>
      <c r="O41" s="12"/>
      <c r="P41" s="12"/>
      <c r="Q41" s="12"/>
      <c r="R41" s="12"/>
      <c r="S41" s="12"/>
      <c r="T41" s="12"/>
      <c r="U41" s="12"/>
      <c r="V41" s="12"/>
      <c r="W41" s="12"/>
      <c r="X41" s="12"/>
      <c r="Y41" s="10"/>
      <c r="Z41" s="10"/>
      <c r="AA41" s="10"/>
      <c r="AB41" s="10"/>
      <c r="AC41" s="10"/>
      <c r="AD41" s="10"/>
      <c r="AE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543" t="s">
        <v>3</v>
      </c>
      <c r="C42" s="544"/>
      <c r="D42" s="544"/>
      <c r="E42" s="22"/>
      <c r="F42" s="22"/>
      <c r="G42" s="22"/>
      <c r="H42" s="22"/>
      <c r="I42" s="22"/>
      <c r="J42" s="22"/>
      <c r="K42" s="22"/>
      <c r="L42" s="22"/>
      <c r="M42" s="22"/>
      <c r="N42" s="22"/>
      <c r="O42" s="22"/>
      <c r="P42" s="22"/>
      <c r="Q42" s="22"/>
      <c r="R42" s="22"/>
      <c r="S42" s="22"/>
      <c r="T42" s="22"/>
      <c r="U42" s="22"/>
      <c r="V42" s="22"/>
      <c r="W42" s="22"/>
      <c r="X42" s="23"/>
      <c r="Y42" s="10"/>
      <c r="Z42" s="10"/>
      <c r="AA42" s="10"/>
      <c r="AB42" s="10"/>
      <c r="AC42" s="10"/>
      <c r="AD42" s="10"/>
      <c r="AE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25" customHeight="1">
      <c r="A43" s="12"/>
      <c r="B43" s="91" t="s">
        <v>23</v>
      </c>
      <c r="C43" s="119"/>
      <c r="D43" s="25"/>
      <c r="E43" s="26"/>
      <c r="F43" s="26"/>
      <c r="G43" s="26"/>
      <c r="H43" s="26"/>
      <c r="I43" s="26"/>
      <c r="J43" s="26"/>
      <c r="K43" s="26"/>
      <c r="L43" s="26"/>
      <c r="M43" s="26"/>
      <c r="N43" s="26"/>
      <c r="O43" s="26"/>
      <c r="P43" s="26"/>
      <c r="Q43" s="26"/>
      <c r="R43" s="26"/>
      <c r="S43" s="26"/>
      <c r="T43" s="26"/>
      <c r="U43" s="26"/>
      <c r="V43" s="26"/>
      <c r="W43" s="26"/>
      <c r="X43" s="27"/>
      <c r="Y43" s="10"/>
      <c r="Z43" s="10"/>
      <c r="AA43" s="10"/>
      <c r="AB43" s="10"/>
      <c r="AC43" s="10"/>
      <c r="AD43" s="10"/>
      <c r="AE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24"/>
      <c r="C44" s="28" t="s">
        <v>77</v>
      </c>
      <c r="D44" s="28" t="s">
        <v>15</v>
      </c>
      <c r="E44" s="89"/>
      <c r="F44" s="29"/>
      <c r="G44" s="292">
        <f>$E$44</f>
        <v>0</v>
      </c>
      <c r="H44" s="29"/>
      <c r="I44" s="292">
        <f>$E$44</f>
        <v>0</v>
      </c>
      <c r="J44" s="29"/>
      <c r="K44" s="292">
        <f>$E$44</f>
        <v>0</v>
      </c>
      <c r="L44" s="29"/>
      <c r="M44" s="292">
        <f>$E$44</f>
        <v>0</v>
      </c>
      <c r="N44" s="29"/>
      <c r="O44" s="292">
        <f>$E$44</f>
        <v>0</v>
      </c>
      <c r="P44" s="29"/>
      <c r="Q44" s="292">
        <f>$E$44</f>
        <v>0</v>
      </c>
      <c r="R44" s="29"/>
      <c r="S44" s="292">
        <f>$E$44</f>
        <v>0</v>
      </c>
      <c r="T44" s="26"/>
      <c r="U44" s="292">
        <f>$E$44</f>
        <v>0</v>
      </c>
      <c r="V44" s="26"/>
      <c r="W44" s="292">
        <f>$E$44</f>
        <v>0</v>
      </c>
      <c r="X44" s="27"/>
      <c r="Y44" s="10"/>
      <c r="Z44" s="10"/>
      <c r="AA44" s="10"/>
      <c r="AB44" s="10"/>
      <c r="AC44" s="10"/>
      <c r="AD44" s="10"/>
      <c r="AE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24"/>
      <c r="C45" s="28" t="s">
        <v>136</v>
      </c>
      <c r="D45" s="28" t="s">
        <v>137</v>
      </c>
      <c r="E45" s="89"/>
      <c r="F45" s="29"/>
      <c r="G45" s="292">
        <f>$E$45</f>
        <v>0</v>
      </c>
      <c r="H45" s="29"/>
      <c r="I45" s="292">
        <f>$E$45</f>
        <v>0</v>
      </c>
      <c r="J45" s="29"/>
      <c r="K45" s="292">
        <f>$E$45</f>
        <v>0</v>
      </c>
      <c r="L45" s="29"/>
      <c r="M45" s="292">
        <f>$E$45</f>
        <v>0</v>
      </c>
      <c r="N45" s="29"/>
      <c r="O45" s="292">
        <f>$E$45</f>
        <v>0</v>
      </c>
      <c r="P45" s="29"/>
      <c r="Q45" s="292">
        <f>$E$45</f>
        <v>0</v>
      </c>
      <c r="R45" s="29"/>
      <c r="S45" s="292">
        <f>$E$45</f>
        <v>0</v>
      </c>
      <c r="T45" s="26"/>
      <c r="U45" s="292">
        <f>$E$45</f>
        <v>0</v>
      </c>
      <c r="V45" s="26"/>
      <c r="W45" s="292">
        <f>$E$45</f>
        <v>0</v>
      </c>
      <c r="X45" s="27"/>
      <c r="Y45" s="10"/>
      <c r="Z45" s="10"/>
      <c r="AA45" s="10"/>
      <c r="AB45" s="10"/>
      <c r="AC45" s="10"/>
      <c r="AD45" s="10"/>
      <c r="AE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30"/>
      <c r="C46" s="31"/>
      <c r="D46" s="32"/>
      <c r="E46" s="33"/>
      <c r="F46" s="34"/>
      <c r="G46" s="33"/>
      <c r="H46" s="34"/>
      <c r="I46" s="33"/>
      <c r="J46" s="34"/>
      <c r="K46" s="33"/>
      <c r="L46" s="34"/>
      <c r="M46" s="33"/>
      <c r="N46" s="34"/>
      <c r="O46" s="33"/>
      <c r="P46" s="34"/>
      <c r="Q46" s="33"/>
      <c r="R46" s="34"/>
      <c r="S46" s="33"/>
      <c r="T46" s="33"/>
      <c r="U46" s="33"/>
      <c r="V46" s="33"/>
      <c r="W46" s="33"/>
      <c r="X46" s="35"/>
      <c r="Y46" s="10"/>
      <c r="Z46" s="10"/>
      <c r="AA46" s="10"/>
      <c r="AB46" s="10"/>
      <c r="AC46" s="10"/>
      <c r="AD46" s="10"/>
      <c r="AE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20"/>
      <c r="C47" s="21"/>
      <c r="D47" s="20"/>
      <c r="E47" s="12"/>
      <c r="F47" s="12"/>
      <c r="G47" s="12"/>
      <c r="H47" s="12"/>
      <c r="I47" s="12"/>
      <c r="J47" s="12"/>
      <c r="K47" s="12"/>
      <c r="L47" s="12"/>
      <c r="M47" s="12"/>
      <c r="N47" s="12"/>
      <c r="O47" s="12"/>
      <c r="P47" s="12"/>
      <c r="Q47" s="12"/>
      <c r="R47" s="12"/>
      <c r="S47" s="12"/>
      <c r="T47" s="12"/>
      <c r="U47" s="12"/>
      <c r="V47" s="12"/>
      <c r="W47" s="12"/>
      <c r="X47" s="12"/>
      <c r="Y47" s="10"/>
      <c r="Z47" s="10"/>
      <c r="AA47" s="10"/>
      <c r="AB47" s="10"/>
      <c r="AC47" s="10"/>
      <c r="AD47" s="10"/>
      <c r="AE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545" t="s">
        <v>3</v>
      </c>
      <c r="C48" s="546"/>
      <c r="D48" s="546"/>
      <c r="E48" s="36"/>
      <c r="F48" s="36"/>
      <c r="G48" s="36"/>
      <c r="H48" s="36"/>
      <c r="I48" s="36"/>
      <c r="J48" s="36"/>
      <c r="K48" s="36"/>
      <c r="L48" s="36"/>
      <c r="M48" s="36"/>
      <c r="N48" s="36"/>
      <c r="O48" s="36"/>
      <c r="P48" s="36"/>
      <c r="Q48" s="36"/>
      <c r="R48" s="36"/>
      <c r="S48" s="36"/>
      <c r="T48" s="36"/>
      <c r="U48" s="36"/>
      <c r="V48" s="36"/>
      <c r="W48" s="36"/>
      <c r="X48" s="37"/>
      <c r="Y48" s="10"/>
      <c r="Z48" s="10"/>
      <c r="AA48" s="10"/>
      <c r="AB48" s="10"/>
      <c r="AC48" s="10"/>
      <c r="AD48" s="10"/>
      <c r="AE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25" customHeight="1">
      <c r="A49" s="12"/>
      <c r="B49" s="547" t="s">
        <v>24</v>
      </c>
      <c r="C49" s="548"/>
      <c r="D49" s="548"/>
      <c r="E49" s="39"/>
      <c r="F49" s="39"/>
      <c r="G49" s="39"/>
      <c r="H49" s="39"/>
      <c r="I49" s="39"/>
      <c r="J49" s="39"/>
      <c r="K49" s="39"/>
      <c r="L49" s="39"/>
      <c r="M49" s="39"/>
      <c r="N49" s="39"/>
      <c r="O49" s="39"/>
      <c r="P49" s="39"/>
      <c r="Q49" s="39"/>
      <c r="R49" s="39"/>
      <c r="S49" s="39"/>
      <c r="T49" s="39"/>
      <c r="U49" s="39"/>
      <c r="V49" s="39"/>
      <c r="W49" s="39"/>
      <c r="X49" s="40"/>
      <c r="Y49" s="10"/>
      <c r="Z49" s="10"/>
      <c r="AA49" s="10"/>
      <c r="AB49" s="10"/>
      <c r="AC49" s="10"/>
      <c r="AD49" s="10"/>
      <c r="AE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168"/>
      <c r="C50" s="210" t="s">
        <v>44</v>
      </c>
      <c r="D50" s="210" t="s">
        <v>45</v>
      </c>
      <c r="E50" s="211">
        <v>2021</v>
      </c>
      <c r="F50" s="209"/>
      <c r="G50" s="212">
        <v>2021</v>
      </c>
      <c r="H50" s="210"/>
      <c r="I50" s="212">
        <v>2021</v>
      </c>
      <c r="J50" s="209"/>
      <c r="K50" s="212">
        <v>2021</v>
      </c>
      <c r="L50" s="210"/>
      <c r="M50" s="212">
        <v>2021</v>
      </c>
      <c r="N50" s="209"/>
      <c r="O50" s="212">
        <v>2021</v>
      </c>
      <c r="P50" s="210"/>
      <c r="Q50" s="212">
        <v>2021</v>
      </c>
      <c r="R50" s="209"/>
      <c r="S50" s="212">
        <v>2021</v>
      </c>
      <c r="T50" s="39"/>
      <c r="U50" s="212">
        <v>2021</v>
      </c>
      <c r="V50" s="39"/>
      <c r="W50" s="212">
        <v>2021</v>
      </c>
      <c r="X50" s="40"/>
      <c r="Y50" s="10"/>
      <c r="Z50" s="10"/>
      <c r="AA50" s="10"/>
      <c r="AB50" s="10"/>
      <c r="AC50" s="10"/>
      <c r="AD50" s="10"/>
      <c r="AE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38"/>
      <c r="C51" s="41" t="s">
        <v>21</v>
      </c>
      <c r="D51" s="41" t="s">
        <v>0</v>
      </c>
      <c r="E51" s="267">
        <v>4</v>
      </c>
      <c r="F51" s="42"/>
      <c r="G51" s="166">
        <f>$E$51</f>
        <v>4</v>
      </c>
      <c r="H51" s="42"/>
      <c r="I51" s="166">
        <f>$E$51</f>
        <v>4</v>
      </c>
      <c r="J51" s="42"/>
      <c r="K51" s="166">
        <f>$E$51</f>
        <v>4</v>
      </c>
      <c r="L51" s="42"/>
      <c r="M51" s="166">
        <f>$E$51</f>
        <v>4</v>
      </c>
      <c r="N51" s="42"/>
      <c r="O51" s="166">
        <f>$E$51</f>
        <v>4</v>
      </c>
      <c r="P51" s="42"/>
      <c r="Q51" s="166">
        <f>$E$51</f>
        <v>4</v>
      </c>
      <c r="R51" s="42"/>
      <c r="S51" s="166">
        <f>$E$51</f>
        <v>4</v>
      </c>
      <c r="T51" s="39"/>
      <c r="U51" s="166">
        <f>$E$51</f>
        <v>4</v>
      </c>
      <c r="V51" s="39"/>
      <c r="W51" s="166">
        <f>$E$51</f>
        <v>4</v>
      </c>
      <c r="X51" s="40"/>
      <c r="Y51" s="10"/>
      <c r="Z51" s="10"/>
      <c r="AA51" s="10"/>
      <c r="AB51" s="10"/>
      <c r="AC51" s="10"/>
      <c r="AD51" s="10"/>
      <c r="AE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38"/>
      <c r="C52" s="41" t="s">
        <v>4</v>
      </c>
      <c r="D52" s="41" t="s">
        <v>75</v>
      </c>
      <c r="E52" s="533">
        <v>3.5000000000000003E-2</v>
      </c>
      <c r="F52" s="534"/>
      <c r="G52" s="533">
        <f>$E$52</f>
        <v>3.5000000000000003E-2</v>
      </c>
      <c r="H52" s="535"/>
      <c r="I52" s="533">
        <f>$E$52</f>
        <v>3.5000000000000003E-2</v>
      </c>
      <c r="J52" s="535"/>
      <c r="K52" s="533">
        <f>$E$52</f>
        <v>3.5000000000000003E-2</v>
      </c>
      <c r="L52" s="534"/>
      <c r="M52" s="533">
        <f>$E$52</f>
        <v>3.5000000000000003E-2</v>
      </c>
      <c r="N52" s="534"/>
      <c r="O52" s="533">
        <f>$E$52</f>
        <v>3.5000000000000003E-2</v>
      </c>
      <c r="P52" s="534"/>
      <c r="Q52" s="533">
        <f>$E$52</f>
        <v>3.5000000000000003E-2</v>
      </c>
      <c r="R52" s="534"/>
      <c r="S52" s="533">
        <f>$E$52</f>
        <v>3.5000000000000003E-2</v>
      </c>
      <c r="T52" s="536"/>
      <c r="U52" s="533">
        <f>$E$52</f>
        <v>3.5000000000000003E-2</v>
      </c>
      <c r="V52" s="536"/>
      <c r="W52" s="533">
        <f>$E$52</f>
        <v>3.5000000000000003E-2</v>
      </c>
      <c r="X52" s="40"/>
      <c r="Y52" s="10"/>
      <c r="Z52" s="10"/>
      <c r="AA52" s="10"/>
      <c r="AB52" s="10"/>
      <c r="AC52" s="10"/>
      <c r="AD52" s="10"/>
      <c r="AE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38"/>
      <c r="C53" s="41"/>
      <c r="D53" s="41"/>
      <c r="E53" s="41"/>
      <c r="F53" s="41"/>
      <c r="G53" s="41"/>
      <c r="H53" s="41"/>
      <c r="I53" s="41"/>
      <c r="J53" s="41"/>
      <c r="K53" s="41"/>
      <c r="L53" s="41"/>
      <c r="M53" s="41"/>
      <c r="N53" s="41"/>
      <c r="O53" s="41"/>
      <c r="P53" s="41"/>
      <c r="Q53" s="41"/>
      <c r="R53" s="41"/>
      <c r="S53" s="41"/>
      <c r="T53" s="41"/>
      <c r="U53" s="41"/>
      <c r="V53" s="41"/>
      <c r="W53" s="41"/>
      <c r="X53" s="40"/>
      <c r="Y53" s="10"/>
      <c r="Z53" s="10"/>
      <c r="AA53" s="10"/>
      <c r="AB53" s="10"/>
      <c r="AC53" s="10"/>
      <c r="AD53" s="10"/>
      <c r="AE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8"/>
      <c r="C54" s="214" t="s">
        <v>177</v>
      </c>
      <c r="D54" s="215" t="s">
        <v>231</v>
      </c>
      <c r="E54" s="216"/>
      <c r="F54" s="213"/>
      <c r="G54" s="216">
        <f>$E$54</f>
        <v>0</v>
      </c>
      <c r="H54" s="213"/>
      <c r="I54" s="216">
        <f>$E$54</f>
        <v>0</v>
      </c>
      <c r="J54" s="213"/>
      <c r="K54" s="216">
        <f>$E$54</f>
        <v>0</v>
      </c>
      <c r="L54" s="213"/>
      <c r="M54" s="216">
        <f>$E$54</f>
        <v>0</v>
      </c>
      <c r="N54" s="213"/>
      <c r="O54" s="216">
        <f>$E$54</f>
        <v>0</v>
      </c>
      <c r="P54" s="213"/>
      <c r="Q54" s="216">
        <f>$E$54</f>
        <v>0</v>
      </c>
      <c r="R54" s="213"/>
      <c r="S54" s="216">
        <f>$E$54</f>
        <v>0</v>
      </c>
      <c r="T54" s="39"/>
      <c r="U54" s="216">
        <f>$E$54</f>
        <v>0</v>
      </c>
      <c r="V54" s="39"/>
      <c r="W54" s="216">
        <f>$E$54</f>
        <v>0</v>
      </c>
      <c r="X54" s="40"/>
      <c r="Y54" s="10"/>
      <c r="Z54" s="10"/>
      <c r="AA54" s="10"/>
      <c r="AB54" s="10"/>
      <c r="AC54" s="10"/>
      <c r="AD54" s="10"/>
      <c r="AE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41"/>
      <c r="D55" s="41"/>
      <c r="E55" s="41"/>
      <c r="F55" s="41"/>
      <c r="G55" s="41"/>
      <c r="H55" s="41"/>
      <c r="I55" s="41"/>
      <c r="J55" s="41"/>
      <c r="K55" s="41"/>
      <c r="L55" s="41"/>
      <c r="M55" s="41"/>
      <c r="N55" s="41"/>
      <c r="O55" s="41"/>
      <c r="P55" s="41"/>
      <c r="Q55" s="41"/>
      <c r="R55" s="41"/>
      <c r="S55" s="41"/>
      <c r="T55" s="39"/>
      <c r="U55" s="41"/>
      <c r="V55" s="39"/>
      <c r="W55" s="41"/>
      <c r="X55" s="40"/>
      <c r="Y55" s="10"/>
      <c r="Z55" s="10"/>
      <c r="AA55" s="10"/>
      <c r="AB55" s="10"/>
      <c r="AC55" s="10"/>
      <c r="AD55" s="10"/>
      <c r="AE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214" t="s">
        <v>155</v>
      </c>
      <c r="D56" s="215" t="s">
        <v>40</v>
      </c>
      <c r="E56" s="216" t="s">
        <v>39</v>
      </c>
      <c r="F56" s="41"/>
      <c r="G56" s="216" t="s">
        <v>39</v>
      </c>
      <c r="H56" s="41"/>
      <c r="I56" s="216" t="s">
        <v>39</v>
      </c>
      <c r="J56" s="41"/>
      <c r="K56" s="216" t="s">
        <v>39</v>
      </c>
      <c r="L56" s="41"/>
      <c r="M56" s="216" t="s">
        <v>39</v>
      </c>
      <c r="N56" s="41"/>
      <c r="O56" s="216" t="s">
        <v>39</v>
      </c>
      <c r="P56" s="41"/>
      <c r="Q56" s="216" t="s">
        <v>39</v>
      </c>
      <c r="R56" s="41"/>
      <c r="S56" s="216" t="s">
        <v>39</v>
      </c>
      <c r="T56" s="39"/>
      <c r="U56" s="216" t="s">
        <v>39</v>
      </c>
      <c r="V56" s="39"/>
      <c r="W56" s="216" t="s">
        <v>39</v>
      </c>
      <c r="X56" s="40"/>
      <c r="Y56" s="10"/>
      <c r="Z56" s="10"/>
      <c r="AA56" s="10"/>
      <c r="AB56" s="10"/>
      <c r="AC56" s="10"/>
      <c r="AD56" s="10"/>
      <c r="AE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218" t="s">
        <v>138</v>
      </c>
      <c r="D57" s="215" t="s">
        <v>139</v>
      </c>
      <c r="E57" s="219">
        <f>VLOOKUP(E50,Fremskrivninger!$A$47:$C$77,3)</f>
        <v>8.7367999999999988</v>
      </c>
      <c r="F57" s="41"/>
      <c r="G57" s="219">
        <f>VLOOKUP(G50,Fremskrivninger!$A$47:$C$77,3)</f>
        <v>8.7367999999999988</v>
      </c>
      <c r="H57" s="41"/>
      <c r="I57" s="219">
        <f>VLOOKUP(I50,Fremskrivninger!$A$47:$C$77,3)</f>
        <v>8.7367999999999988</v>
      </c>
      <c r="J57" s="41"/>
      <c r="K57" s="219">
        <f>VLOOKUP(K50,Fremskrivninger!$A$47:$C$77,3)</f>
        <v>8.7367999999999988</v>
      </c>
      <c r="L57" s="41"/>
      <c r="M57" s="219">
        <f>VLOOKUP(M50,Fremskrivninger!$A$47:$C$77,3)</f>
        <v>8.7367999999999988</v>
      </c>
      <c r="N57" s="41"/>
      <c r="O57" s="219">
        <f>VLOOKUP(O50,Fremskrivninger!$A$47:$C$77,3)</f>
        <v>8.7367999999999988</v>
      </c>
      <c r="P57" s="41"/>
      <c r="Q57" s="219">
        <f>VLOOKUP(Q50,Fremskrivninger!$A$47:$C$77,3)</f>
        <v>8.7367999999999988</v>
      </c>
      <c r="R57" s="41"/>
      <c r="S57" s="219">
        <f>VLOOKUP(S50,Fremskrivninger!$A$47:$C$77,3)</f>
        <v>8.7367999999999988</v>
      </c>
      <c r="T57" s="39"/>
      <c r="U57" s="219">
        <f>VLOOKUP(U50,Fremskrivninger!$A$47:$C$77,3)</f>
        <v>8.7367999999999988</v>
      </c>
      <c r="V57" s="39"/>
      <c r="W57" s="219">
        <f>VLOOKUP(W50,Fremskrivninger!$A$47:$C$77,3)</f>
        <v>8.7367999999999988</v>
      </c>
      <c r="X57" s="40"/>
      <c r="Y57" s="10"/>
      <c r="Z57" s="10"/>
      <c r="AA57" s="10"/>
      <c r="AB57" s="10"/>
      <c r="AC57" s="10"/>
      <c r="AD57" s="10"/>
      <c r="AE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218" t="s">
        <v>141</v>
      </c>
      <c r="D58" s="224" t="s">
        <v>75</v>
      </c>
      <c r="E58" s="454">
        <v>1.3899999999999999E-2</v>
      </c>
      <c r="F58" s="468"/>
      <c r="G58" s="454">
        <v>1.3899999999999999E-2</v>
      </c>
      <c r="H58" s="468"/>
      <c r="I58" s="454">
        <v>1.3899999999999999E-2</v>
      </c>
      <c r="J58" s="468"/>
      <c r="K58" s="454">
        <v>1.3899999999999999E-2</v>
      </c>
      <c r="L58" s="468"/>
      <c r="M58" s="454">
        <v>1.3899999999999999E-2</v>
      </c>
      <c r="N58" s="468"/>
      <c r="O58" s="454">
        <v>1.3899999999999999E-2</v>
      </c>
      <c r="P58" s="468"/>
      <c r="Q58" s="454">
        <v>1.3899999999999999E-2</v>
      </c>
      <c r="R58" s="468"/>
      <c r="S58" s="454">
        <v>1.3899999999999999E-2</v>
      </c>
      <c r="T58" s="469"/>
      <c r="U58" s="454">
        <v>1.3899999999999999E-2</v>
      </c>
      <c r="V58" s="469"/>
      <c r="W58" s="454">
        <v>1.3899999999999999E-2</v>
      </c>
      <c r="X58" s="40"/>
      <c r="Y58" s="10"/>
      <c r="Z58" s="10"/>
      <c r="AA58" s="10"/>
      <c r="AB58" s="10"/>
      <c r="AC58" s="10"/>
      <c r="AD58" s="10"/>
      <c r="AE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218" t="s">
        <v>143</v>
      </c>
      <c r="D59" s="215" t="s">
        <v>139</v>
      </c>
      <c r="E59" s="472"/>
      <c r="F59" s="471"/>
      <c r="G59" s="472">
        <v>0</v>
      </c>
      <c r="H59" s="471"/>
      <c r="I59" s="472">
        <v>0</v>
      </c>
      <c r="J59" s="471"/>
      <c r="K59" s="472">
        <v>0</v>
      </c>
      <c r="L59" s="471"/>
      <c r="M59" s="472">
        <v>0</v>
      </c>
      <c r="N59" s="471"/>
      <c r="O59" s="472">
        <v>0</v>
      </c>
      <c r="P59" s="471"/>
      <c r="Q59" s="472">
        <v>0</v>
      </c>
      <c r="R59" s="471"/>
      <c r="S59" s="472">
        <v>0</v>
      </c>
      <c r="T59" s="465"/>
      <c r="U59" s="472">
        <v>0</v>
      </c>
      <c r="V59" s="465"/>
      <c r="W59" s="472">
        <v>0</v>
      </c>
      <c r="X59" s="40"/>
      <c r="Y59" s="10"/>
      <c r="Z59" s="10"/>
      <c r="AA59" s="10"/>
      <c r="AB59" s="10"/>
      <c r="AC59" s="10"/>
      <c r="AD59" s="10"/>
      <c r="AE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218" t="s">
        <v>144</v>
      </c>
      <c r="D60" s="224" t="s">
        <v>75</v>
      </c>
      <c r="E60" s="225"/>
      <c r="F60" s="41"/>
      <c r="G60" s="225">
        <v>0</v>
      </c>
      <c r="H60" s="41"/>
      <c r="I60" s="225">
        <v>0</v>
      </c>
      <c r="J60" s="41"/>
      <c r="K60" s="225">
        <v>0</v>
      </c>
      <c r="L60" s="41"/>
      <c r="M60" s="225">
        <v>0</v>
      </c>
      <c r="N60" s="41"/>
      <c r="O60" s="225">
        <v>0</v>
      </c>
      <c r="P60" s="41"/>
      <c r="Q60" s="225">
        <v>0</v>
      </c>
      <c r="R60" s="41"/>
      <c r="S60" s="225">
        <v>0</v>
      </c>
      <c r="T60" s="39"/>
      <c r="U60" s="225">
        <v>0</v>
      </c>
      <c r="V60" s="39"/>
      <c r="W60" s="225">
        <v>0</v>
      </c>
      <c r="X60" s="40"/>
      <c r="Y60" s="10"/>
      <c r="Z60" s="10"/>
      <c r="AA60" s="10"/>
      <c r="AB60" s="10"/>
      <c r="AC60" s="10"/>
      <c r="AD60" s="10"/>
      <c r="AE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218"/>
      <c r="D61" s="224"/>
      <c r="E61" s="224"/>
      <c r="F61" s="224"/>
      <c r="G61" s="224"/>
      <c r="H61" s="224"/>
      <c r="I61" s="224"/>
      <c r="J61" s="224"/>
      <c r="K61" s="224"/>
      <c r="L61" s="224"/>
      <c r="M61" s="224"/>
      <c r="N61" s="224"/>
      <c r="O61" s="224"/>
      <c r="P61" s="224"/>
      <c r="Q61" s="224"/>
      <c r="R61" s="224"/>
      <c r="S61" s="224"/>
      <c r="T61" s="224"/>
      <c r="U61" s="224"/>
      <c r="V61" s="224"/>
      <c r="W61" s="224"/>
      <c r="X61" s="40"/>
      <c r="Y61" s="10"/>
      <c r="Z61" s="10"/>
      <c r="AA61" s="10"/>
      <c r="AB61" s="10"/>
      <c r="AC61" s="10"/>
      <c r="AD61" s="10"/>
      <c r="AE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214" t="s">
        <v>156</v>
      </c>
      <c r="D62" s="215" t="s">
        <v>40</v>
      </c>
      <c r="E62" s="216" t="s">
        <v>39</v>
      </c>
      <c r="F62" s="41"/>
      <c r="G62" s="216" t="s">
        <v>39</v>
      </c>
      <c r="H62" s="41"/>
      <c r="I62" s="216" t="s">
        <v>39</v>
      </c>
      <c r="J62" s="41"/>
      <c r="K62" s="216" t="s">
        <v>39</v>
      </c>
      <c r="L62" s="41"/>
      <c r="M62" s="216" t="s">
        <v>39</v>
      </c>
      <c r="N62" s="41"/>
      <c r="O62" s="216" t="s">
        <v>39</v>
      </c>
      <c r="P62" s="41"/>
      <c r="Q62" s="216" t="s">
        <v>39</v>
      </c>
      <c r="R62" s="41"/>
      <c r="S62" s="216" t="s">
        <v>39</v>
      </c>
      <c r="T62" s="39"/>
      <c r="U62" s="216" t="s">
        <v>39</v>
      </c>
      <c r="V62" s="39"/>
      <c r="W62" s="216" t="s">
        <v>39</v>
      </c>
      <c r="X62" s="40"/>
      <c r="Y62" s="10"/>
      <c r="Z62" s="10"/>
      <c r="AA62" s="10"/>
      <c r="AB62" s="10"/>
      <c r="AC62" s="10"/>
      <c r="AD62" s="10"/>
      <c r="AE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218" t="s">
        <v>140</v>
      </c>
      <c r="D63" s="215" t="s">
        <v>139</v>
      </c>
      <c r="E63" s="196">
        <f>VLOOKUP(E50,Fremskrivninger!$A$91:$C$121,3)</f>
        <v>7.6283999999999992</v>
      </c>
      <c r="F63" s="41"/>
      <c r="G63" s="196">
        <f>VLOOKUP(G50,Fremskrivninger!$A$91:$C$121,3)</f>
        <v>7.6283999999999992</v>
      </c>
      <c r="H63" s="41"/>
      <c r="I63" s="196">
        <f>VLOOKUP(I50,Fremskrivninger!$A$91:$C$121,3)</f>
        <v>7.6283999999999992</v>
      </c>
      <c r="J63" s="41"/>
      <c r="K63" s="196">
        <f>VLOOKUP(K50,Fremskrivninger!$A$91:$C$121,3)</f>
        <v>7.6283999999999992</v>
      </c>
      <c r="L63" s="41"/>
      <c r="M63" s="196">
        <f>VLOOKUP(M50,Fremskrivninger!$A$91:$C$121,3)</f>
        <v>7.6283999999999992</v>
      </c>
      <c r="N63" s="41"/>
      <c r="O63" s="196">
        <f>VLOOKUP(O50,Fremskrivninger!$A$91:$C$121,3)</f>
        <v>7.6283999999999992</v>
      </c>
      <c r="P63" s="41"/>
      <c r="Q63" s="196">
        <f>VLOOKUP(Q50,Fremskrivninger!$A$91:$C$121,3)</f>
        <v>7.6283999999999992</v>
      </c>
      <c r="R63" s="41"/>
      <c r="S63" s="196">
        <f>VLOOKUP(S50,Fremskrivninger!$A$91:$C$121,3)</f>
        <v>7.6283999999999992</v>
      </c>
      <c r="T63" s="39"/>
      <c r="U63" s="196">
        <f>VLOOKUP(U50,Fremskrivninger!$A$91:$C$121,3)</f>
        <v>7.6283999999999992</v>
      </c>
      <c r="V63" s="39"/>
      <c r="W63" s="196">
        <f>VLOOKUP(W50,Fremskrivninger!$A$91:$C$121,3)</f>
        <v>7.6283999999999992</v>
      </c>
      <c r="X63" s="40"/>
      <c r="Y63" s="10"/>
      <c r="Z63" s="10"/>
      <c r="AA63" s="10"/>
      <c r="AB63" s="10"/>
      <c r="AC63" s="10"/>
      <c r="AD63" s="10"/>
      <c r="AE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218" t="s">
        <v>142</v>
      </c>
      <c r="D64" s="224" t="s">
        <v>75</v>
      </c>
      <c r="E64" s="467">
        <v>1.4500000000000001E-2</v>
      </c>
      <c r="F64" s="468"/>
      <c r="G64" s="467">
        <v>1.4500000000000001E-2</v>
      </c>
      <c r="H64" s="468"/>
      <c r="I64" s="467">
        <v>1.4500000000000001E-2</v>
      </c>
      <c r="J64" s="468"/>
      <c r="K64" s="467">
        <v>1.4500000000000001E-2</v>
      </c>
      <c r="L64" s="468"/>
      <c r="M64" s="467">
        <v>1.4500000000000001E-2</v>
      </c>
      <c r="N64" s="468"/>
      <c r="O64" s="467">
        <v>1.4500000000000001E-2</v>
      </c>
      <c r="P64" s="468"/>
      <c r="Q64" s="467">
        <v>1.4500000000000001E-2</v>
      </c>
      <c r="R64" s="468"/>
      <c r="S64" s="467">
        <v>1.4500000000000001E-2</v>
      </c>
      <c r="T64" s="469"/>
      <c r="U64" s="467">
        <v>1.4500000000000001E-2</v>
      </c>
      <c r="V64" s="469"/>
      <c r="W64" s="467">
        <v>1.4500000000000001E-2</v>
      </c>
      <c r="X64" s="40"/>
      <c r="Y64" s="10"/>
      <c r="Z64" s="10"/>
      <c r="AA64" s="10"/>
      <c r="AB64" s="10"/>
      <c r="AC64" s="10"/>
      <c r="AD64" s="10"/>
      <c r="AE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218" t="s">
        <v>232</v>
      </c>
      <c r="D65" s="215" t="s">
        <v>139</v>
      </c>
      <c r="E65" s="470"/>
      <c r="F65" s="471"/>
      <c r="G65" s="470">
        <v>0</v>
      </c>
      <c r="H65" s="471"/>
      <c r="I65" s="470">
        <v>0</v>
      </c>
      <c r="J65" s="471"/>
      <c r="K65" s="470">
        <v>0</v>
      </c>
      <c r="L65" s="471"/>
      <c r="M65" s="470">
        <v>0</v>
      </c>
      <c r="N65" s="471"/>
      <c r="O65" s="470">
        <v>0</v>
      </c>
      <c r="P65" s="471"/>
      <c r="Q65" s="470">
        <v>0</v>
      </c>
      <c r="R65" s="471"/>
      <c r="S65" s="470">
        <v>0</v>
      </c>
      <c r="T65" s="465"/>
      <c r="U65" s="470">
        <v>0</v>
      </c>
      <c r="V65" s="465"/>
      <c r="W65" s="470">
        <v>0</v>
      </c>
      <c r="X65" s="40"/>
      <c r="Y65" s="10"/>
      <c r="Z65" s="10"/>
      <c r="AA65" s="10"/>
      <c r="AB65" s="10"/>
      <c r="AC65" s="10"/>
      <c r="AD65" s="10"/>
      <c r="AE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218" t="s">
        <v>145</v>
      </c>
      <c r="D66" s="224" t="s">
        <v>75</v>
      </c>
      <c r="E66" s="225"/>
      <c r="F66" s="41"/>
      <c r="G66" s="225">
        <v>0</v>
      </c>
      <c r="H66" s="41"/>
      <c r="I66" s="225">
        <v>0</v>
      </c>
      <c r="J66" s="41"/>
      <c r="K66" s="225">
        <v>0</v>
      </c>
      <c r="L66" s="41"/>
      <c r="M66" s="225">
        <v>0</v>
      </c>
      <c r="N66" s="41"/>
      <c r="O66" s="225">
        <v>0</v>
      </c>
      <c r="P66" s="41"/>
      <c r="Q66" s="225">
        <v>0</v>
      </c>
      <c r="R66" s="41"/>
      <c r="S66" s="225">
        <v>0</v>
      </c>
      <c r="T66" s="39"/>
      <c r="U66" s="225">
        <v>0</v>
      </c>
      <c r="V66" s="39"/>
      <c r="W66" s="225">
        <v>0</v>
      </c>
      <c r="X66" s="40"/>
      <c r="Y66" s="10"/>
      <c r="Z66" s="10"/>
      <c r="AA66" s="10"/>
      <c r="AB66" s="10"/>
      <c r="AC66" s="10"/>
      <c r="AD66" s="10"/>
      <c r="AE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41"/>
      <c r="D67" s="41"/>
      <c r="E67" s="41"/>
      <c r="F67" s="41"/>
      <c r="G67" s="41"/>
      <c r="H67" s="41"/>
      <c r="I67" s="41"/>
      <c r="J67" s="41"/>
      <c r="K67" s="41"/>
      <c r="L67" s="41"/>
      <c r="M67" s="41"/>
      <c r="N67" s="41"/>
      <c r="O67" s="41"/>
      <c r="P67" s="41"/>
      <c r="Q67" s="41"/>
      <c r="R67" s="41"/>
      <c r="S67" s="41"/>
      <c r="T67" s="39"/>
      <c r="U67" s="41"/>
      <c r="V67" s="39"/>
      <c r="W67" s="41"/>
      <c r="X67" s="40"/>
      <c r="Y67" s="10"/>
      <c r="Z67" s="10"/>
      <c r="AA67" s="10"/>
      <c r="AB67" s="10"/>
      <c r="AC67" s="10"/>
      <c r="AD67" s="10"/>
      <c r="AE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380" t="s">
        <v>25</v>
      </c>
      <c r="D68" s="129"/>
      <c r="E68" s="130"/>
      <c r="F68" s="131"/>
      <c r="G68" s="130"/>
      <c r="H68" s="132"/>
      <c r="I68" s="130"/>
      <c r="J68" s="132"/>
      <c r="K68" s="130"/>
      <c r="L68" s="132"/>
      <c r="M68" s="130"/>
      <c r="N68" s="132"/>
      <c r="O68" s="130"/>
      <c r="P68" s="132"/>
      <c r="Q68" s="130"/>
      <c r="R68" s="132"/>
      <c r="S68" s="130"/>
      <c r="T68" s="39"/>
      <c r="U68" s="130"/>
      <c r="V68" s="39"/>
      <c r="W68" s="130"/>
      <c r="X68" s="40"/>
      <c r="Y68" s="10"/>
      <c r="Z68" s="10"/>
      <c r="AA68" s="10"/>
      <c r="AB68" s="10"/>
      <c r="AC68" s="10"/>
      <c r="AD68" s="10"/>
      <c r="AE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388" t="s">
        <v>152</v>
      </c>
      <c r="D69" s="388" t="s">
        <v>132</v>
      </c>
      <c r="E69" s="462"/>
      <c r="F69" s="463"/>
      <c r="G69" s="462"/>
      <c r="H69" s="464"/>
      <c r="I69" s="462"/>
      <c r="J69" s="464"/>
      <c r="K69" s="462"/>
      <c r="L69" s="464"/>
      <c r="M69" s="462"/>
      <c r="N69" s="464"/>
      <c r="O69" s="462"/>
      <c r="P69" s="464"/>
      <c r="Q69" s="462"/>
      <c r="R69" s="464"/>
      <c r="S69" s="462"/>
      <c r="T69" s="465"/>
      <c r="U69" s="462"/>
      <c r="V69" s="465"/>
      <c r="W69" s="462"/>
      <c r="X69" s="40"/>
      <c r="Y69" s="10"/>
      <c r="Z69" s="10"/>
      <c r="AA69" s="10"/>
      <c r="AB69" s="10"/>
      <c r="AC69" s="10"/>
      <c r="AD69" s="10"/>
      <c r="AE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38"/>
      <c r="C70" s="388" t="s">
        <v>153</v>
      </c>
      <c r="D70" s="388" t="s">
        <v>132</v>
      </c>
      <c r="E70" s="466"/>
      <c r="F70" s="463"/>
      <c r="G70" s="466"/>
      <c r="H70" s="464"/>
      <c r="I70" s="466"/>
      <c r="J70" s="464"/>
      <c r="K70" s="466"/>
      <c r="L70" s="464"/>
      <c r="M70" s="466"/>
      <c r="N70" s="464"/>
      <c r="O70" s="466"/>
      <c r="P70" s="464"/>
      <c r="Q70" s="466"/>
      <c r="R70" s="464"/>
      <c r="S70" s="466"/>
      <c r="T70" s="465"/>
      <c r="U70" s="466"/>
      <c r="V70" s="465"/>
      <c r="W70" s="466"/>
      <c r="X70" s="40"/>
      <c r="Y70" s="10"/>
      <c r="Z70" s="10"/>
      <c r="AA70" s="10"/>
      <c r="AB70" s="10"/>
      <c r="AC70" s="10"/>
      <c r="AD70" s="10"/>
      <c r="AE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43"/>
      <c r="C71" s="44"/>
      <c r="D71" s="44"/>
      <c r="E71" s="44"/>
      <c r="F71" s="44"/>
      <c r="G71" s="44"/>
      <c r="H71" s="44"/>
      <c r="I71" s="44"/>
      <c r="J71" s="44"/>
      <c r="K71" s="44"/>
      <c r="L71" s="44"/>
      <c r="M71" s="44"/>
      <c r="N71" s="44"/>
      <c r="O71" s="44"/>
      <c r="P71" s="44"/>
      <c r="Q71" s="44"/>
      <c r="R71" s="44"/>
      <c r="S71" s="44"/>
      <c r="T71" s="44"/>
      <c r="U71" s="44"/>
      <c r="V71" s="44"/>
      <c r="W71" s="44"/>
      <c r="X71" s="45"/>
      <c r="Y71" s="10"/>
      <c r="Z71" s="10"/>
      <c r="AA71" s="10"/>
      <c r="AB71" s="10"/>
      <c r="AC71" s="10"/>
      <c r="AD71" s="10"/>
      <c r="AE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12"/>
      <c r="C72" s="540"/>
      <c r="D72" s="540"/>
      <c r="E72" s="540"/>
      <c r="F72" s="540"/>
      <c r="G72" s="540"/>
      <c r="H72" s="540"/>
      <c r="I72" s="46"/>
      <c r="J72" s="47"/>
      <c r="K72" s="540"/>
      <c r="L72" s="540"/>
      <c r="M72" s="540"/>
      <c r="N72" s="540"/>
      <c r="O72" s="540"/>
      <c r="P72" s="540"/>
      <c r="Q72" s="540"/>
      <c r="R72" s="540"/>
      <c r="S72" s="540"/>
      <c r="T72" s="540"/>
      <c r="U72" s="540"/>
      <c r="V72" s="540"/>
      <c r="W72" s="540"/>
      <c r="X72" s="540"/>
      <c r="Y72" s="10"/>
      <c r="Z72" s="10"/>
      <c r="AA72" s="10"/>
      <c r="AB72" s="10"/>
      <c r="AC72" s="10"/>
      <c r="AD72" s="10"/>
      <c r="AE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48"/>
      <c r="C73" s="49"/>
      <c r="D73" s="50"/>
      <c r="E73" s="51"/>
      <c r="F73" s="51"/>
      <c r="G73" s="51"/>
      <c r="H73" s="51"/>
      <c r="I73" s="51"/>
      <c r="J73" s="51"/>
      <c r="K73" s="51"/>
      <c r="L73" s="51"/>
      <c r="M73" s="51"/>
      <c r="N73" s="51"/>
      <c r="O73" s="51"/>
      <c r="P73" s="51"/>
      <c r="Q73" s="51"/>
      <c r="R73" s="51"/>
      <c r="S73" s="51"/>
      <c r="T73" s="51"/>
      <c r="U73" s="51"/>
      <c r="V73" s="51"/>
      <c r="W73" s="51"/>
      <c r="X73" s="52"/>
      <c r="Y73" s="10"/>
      <c r="Z73" s="10"/>
      <c r="AA73" s="10"/>
      <c r="AB73" s="10"/>
      <c r="AC73" s="10"/>
      <c r="AD73" s="10"/>
      <c r="AE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25" customHeight="1">
      <c r="A74" s="12"/>
      <c r="B74" s="537" t="s">
        <v>221</v>
      </c>
      <c r="C74" s="538"/>
      <c r="D74" s="538"/>
      <c r="E74" s="54"/>
      <c r="F74" s="54"/>
      <c r="G74" s="54"/>
      <c r="H74" s="54"/>
      <c r="I74" s="54"/>
      <c r="J74" s="54"/>
      <c r="K74" s="54"/>
      <c r="L74" s="54"/>
      <c r="M74" s="54"/>
      <c r="N74" s="54"/>
      <c r="O74" s="54"/>
      <c r="P74" s="54"/>
      <c r="Q74" s="54"/>
      <c r="R74" s="54"/>
      <c r="S74" s="54"/>
      <c r="T74" s="54"/>
      <c r="U74" s="54"/>
      <c r="V74" s="54"/>
      <c r="W74" s="54"/>
      <c r="X74" s="55"/>
      <c r="Y74" s="10"/>
      <c r="Z74" s="10"/>
      <c r="AA74" s="10"/>
      <c r="AB74" s="10"/>
      <c r="AC74" s="10"/>
      <c r="AD74" s="10"/>
      <c r="AE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56"/>
      <c r="C75" s="57"/>
      <c r="D75" s="58"/>
      <c r="E75" s="54"/>
      <c r="F75" s="54"/>
      <c r="G75" s="54"/>
      <c r="H75" s="54"/>
      <c r="I75" s="54"/>
      <c r="J75" s="54"/>
      <c r="K75" s="54"/>
      <c r="L75" s="54"/>
      <c r="M75" s="54"/>
      <c r="N75" s="54"/>
      <c r="O75" s="54"/>
      <c r="P75" s="54"/>
      <c r="Q75" s="54"/>
      <c r="R75" s="54"/>
      <c r="S75" s="54"/>
      <c r="T75" s="54"/>
      <c r="U75" s="54"/>
      <c r="V75" s="54"/>
      <c r="W75" s="54"/>
      <c r="X75" s="55"/>
      <c r="Y75" s="10"/>
      <c r="Z75" s="10"/>
      <c r="AA75" s="10"/>
      <c r="AB75" s="10"/>
      <c r="AC75" s="10"/>
      <c r="AD75" s="10"/>
      <c r="AE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56"/>
      <c r="C76" s="230" t="s">
        <v>188</v>
      </c>
      <c r="D76" s="230" t="s">
        <v>14</v>
      </c>
      <c r="E76" s="531">
        <f>(E12+E13)*E44</f>
        <v>0</v>
      </c>
      <c r="F76" s="531"/>
      <c r="G76" s="531">
        <f>(G12+G13)*G44</f>
        <v>0</v>
      </c>
      <c r="H76" s="531"/>
      <c r="I76" s="531">
        <f>(I12+I13)*I44</f>
        <v>0</v>
      </c>
      <c r="J76" s="531"/>
      <c r="K76" s="531">
        <f>(K12+K13)*K44</f>
        <v>0</v>
      </c>
      <c r="L76" s="531"/>
      <c r="M76" s="531">
        <f>(M12+M13)*M44</f>
        <v>0</v>
      </c>
      <c r="N76" s="531"/>
      <c r="O76" s="531">
        <f>(O12+O13)*O44</f>
        <v>0</v>
      </c>
      <c r="P76" s="531"/>
      <c r="Q76" s="531">
        <f>(Q12+Q13)*Q44</f>
        <v>0</v>
      </c>
      <c r="R76" s="531"/>
      <c r="S76" s="531">
        <f>(S12+S13)*S44</f>
        <v>0</v>
      </c>
      <c r="T76" s="531"/>
      <c r="U76" s="531">
        <f>(U12+U13)*U44</f>
        <v>0</v>
      </c>
      <c r="V76" s="531"/>
      <c r="W76" s="531">
        <f>(W12+W13)*W44</f>
        <v>0</v>
      </c>
      <c r="X76" s="55"/>
      <c r="Y76" s="10"/>
      <c r="Z76" s="10"/>
      <c r="AA76" s="10"/>
      <c r="AB76" s="10"/>
      <c r="AC76" s="10"/>
      <c r="AD76" s="10"/>
      <c r="AE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56"/>
      <c r="C77" s="230" t="s">
        <v>189</v>
      </c>
      <c r="D77" s="230" t="s">
        <v>14</v>
      </c>
      <c r="E77" s="531">
        <v>0</v>
      </c>
      <c r="F77" s="531"/>
      <c r="G77" s="531">
        <v>0</v>
      </c>
      <c r="H77" s="531"/>
      <c r="I77" s="531">
        <v>0</v>
      </c>
      <c r="J77" s="531"/>
      <c r="K77" s="531">
        <v>0</v>
      </c>
      <c r="L77" s="531"/>
      <c r="M77" s="531">
        <v>0</v>
      </c>
      <c r="N77" s="531"/>
      <c r="O77" s="531">
        <v>0</v>
      </c>
      <c r="P77" s="531"/>
      <c r="Q77" s="531">
        <v>0</v>
      </c>
      <c r="R77" s="531"/>
      <c r="S77" s="531">
        <v>0</v>
      </c>
      <c r="T77" s="531"/>
      <c r="U77" s="531">
        <v>0</v>
      </c>
      <c r="V77" s="531"/>
      <c r="W77" s="531">
        <v>0</v>
      </c>
      <c r="X77" s="55"/>
      <c r="Y77" s="10"/>
      <c r="Z77" s="10"/>
      <c r="AA77" s="10"/>
      <c r="AB77" s="10"/>
      <c r="AC77" s="10"/>
      <c r="AD77" s="10"/>
      <c r="AE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56"/>
      <c r="C78" s="230" t="s">
        <v>17</v>
      </c>
      <c r="D78" s="230" t="s">
        <v>14</v>
      </c>
      <c r="E78" s="532">
        <f>SUMIFS('IB - B&amp;D&amp;H'!E4:E23,'IB - B&amp;D&amp;H'!$A$4:$A$23,"&lt;="&amp;E51)</f>
        <v>0</v>
      </c>
      <c r="F78" s="532"/>
      <c r="G78" s="532">
        <f>SUMIFS('IB - B&amp;D&amp;H'!G4:G23,'IB - B&amp;D&amp;H'!$A$4:$A$23,"&lt;="&amp;G51)</f>
        <v>0</v>
      </c>
      <c r="H78" s="532"/>
      <c r="I78" s="532">
        <f>SUMIFS('IB - B&amp;D&amp;H'!I4:I23,'IB - B&amp;D&amp;H'!$A$4:$A$23,"&lt;="&amp;I51)</f>
        <v>0</v>
      </c>
      <c r="J78" s="532"/>
      <c r="K78" s="532">
        <f>SUMIFS('IB - B&amp;D&amp;H'!K4:K23,'IB - B&amp;D&amp;H'!$A$4:$A$23,"&lt;="&amp;K51)</f>
        <v>0</v>
      </c>
      <c r="L78" s="532"/>
      <c r="M78" s="532">
        <f>SUMIFS('IB - B&amp;D&amp;H'!M4:M23,'IB - B&amp;D&amp;H'!$A$4:$A$23,"&lt;="&amp;M51)</f>
        <v>0</v>
      </c>
      <c r="N78" s="532"/>
      <c r="O78" s="532">
        <f>SUMIFS('IB - B&amp;D&amp;H'!O4:O23,'IB - B&amp;D&amp;H'!$A$4:$A$23,"&lt;="&amp;O51)</f>
        <v>0</v>
      </c>
      <c r="P78" s="532"/>
      <c r="Q78" s="532">
        <f>SUMIFS('IB - B&amp;D&amp;H'!Q4:Q23,'IB - B&amp;D&amp;H'!$A$4:$A$23,"&lt;="&amp;Q51)</f>
        <v>0</v>
      </c>
      <c r="R78" s="532"/>
      <c r="S78" s="532">
        <f>SUMIFS('IB - B&amp;D&amp;H'!S4:S23,'IB - B&amp;D&amp;H'!$A$4:$A$23,"&lt;="&amp;S51)</f>
        <v>0</v>
      </c>
      <c r="T78" s="532"/>
      <c r="U78" s="532">
        <f>SUMIFS('IB - B&amp;D&amp;H'!U4:U23,'IB - B&amp;D&amp;H'!$A$4:$A$23,"&lt;="&amp;U51)</f>
        <v>0</v>
      </c>
      <c r="V78" s="532"/>
      <c r="W78" s="532">
        <f>SUMIFS('IB - B&amp;D&amp;H'!W4:W23,'IB - B&amp;D&amp;H'!$A$4:$A$23,"&lt;="&amp;W51)</f>
        <v>0</v>
      </c>
      <c r="X78" s="55"/>
      <c r="Y78" s="10"/>
      <c r="Z78" s="10"/>
      <c r="AA78" s="10"/>
      <c r="AB78" s="10"/>
      <c r="AC78" s="10"/>
      <c r="AD78" s="10"/>
      <c r="AE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56"/>
      <c r="C79" s="230" t="s">
        <v>27</v>
      </c>
      <c r="D79" s="230" t="s">
        <v>14</v>
      </c>
      <c r="E79" s="532">
        <f>SUMIFS('IB - B&amp;D&amp;H'!E49:E68,'IB - B&amp;D&amp;H'!$B$49:$B$68,"&lt;="&amp;E51)</f>
        <v>0</v>
      </c>
      <c r="F79" s="532"/>
      <c r="G79" s="532">
        <f>SUMIFS('IB - B&amp;D&amp;H'!G49:G68,'IB - B&amp;D&amp;H'!$B$49:$B$68,"&lt;="&amp;G51)</f>
        <v>0</v>
      </c>
      <c r="H79" s="532"/>
      <c r="I79" s="532">
        <f>SUMIFS('IB - B&amp;D&amp;H'!I49:I68,'IB - B&amp;D&amp;H'!$B$49:$B$68,"&lt;="&amp;I51)</f>
        <v>0</v>
      </c>
      <c r="J79" s="532"/>
      <c r="K79" s="532">
        <f>SUMIFS('IB - B&amp;D&amp;H'!K49:K68,'IB - B&amp;D&amp;H'!$B$49:$B$68,"&lt;="&amp;K51)</f>
        <v>0</v>
      </c>
      <c r="L79" s="532"/>
      <c r="M79" s="532">
        <f>SUMIFS('IB - B&amp;D&amp;H'!M49:M68,'IB - B&amp;D&amp;H'!$B$49:$B$68,"&lt;="&amp;M51)</f>
        <v>0</v>
      </c>
      <c r="N79" s="532"/>
      <c r="O79" s="532">
        <f>SUMIFS('IB - B&amp;D&amp;H'!O49:O68,'IB - B&amp;D&amp;H'!$B$49:$B$68,"&lt;="&amp;O51)</f>
        <v>0</v>
      </c>
      <c r="P79" s="532"/>
      <c r="Q79" s="532">
        <f>SUMIFS('IB - B&amp;D&amp;H'!Q49:Q68,'IB - B&amp;D&amp;H'!$B$49:$B$68,"&lt;="&amp;Q51)</f>
        <v>0</v>
      </c>
      <c r="R79" s="532"/>
      <c r="S79" s="532">
        <f>SUMIFS('IB - B&amp;D&amp;H'!S49:S68,'IB - B&amp;D&amp;H'!$B$49:$B$68,"&lt;="&amp;S51)</f>
        <v>0</v>
      </c>
      <c r="T79" s="532"/>
      <c r="U79" s="532">
        <f>SUMIFS('IB - B&amp;D&amp;H'!U49:U68,'IB - B&amp;D&amp;H'!$B$49:$B$68,"&lt;="&amp;U51)</f>
        <v>0</v>
      </c>
      <c r="V79" s="532"/>
      <c r="W79" s="532">
        <f>SUMIFS('IB - B&amp;D&amp;H'!W49:W68,'IB - B&amp;D&amp;H'!$B$49:$B$68,"&lt;="&amp;W51)</f>
        <v>0</v>
      </c>
      <c r="X79" s="134"/>
      <c r="Y79" s="10"/>
      <c r="Z79" s="10"/>
      <c r="AA79" s="10"/>
      <c r="AB79" s="10"/>
      <c r="AC79" s="10"/>
      <c r="AD79" s="10"/>
      <c r="AE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56"/>
      <c r="C80" s="230" t="str">
        <f>IF(AND(E24="ja",G24="ja",I24="ja",K24="ja",M24="ja",O24="ja",Q24="ja",S24="ja"),"","Efterbrug - omkostninger og indtægter i alt")</f>
        <v>Efterbrug - omkostninger og indtægter i alt</v>
      </c>
      <c r="D80" s="230" t="str">
        <f>IF(C80="","","kr.")</f>
        <v>kr.</v>
      </c>
      <c r="E80" s="532">
        <f>-E24*E44*(1+E52)^-E51</f>
        <v>0</v>
      </c>
      <c r="F80" s="532"/>
      <c r="G80" s="532">
        <f>-G24*G44*(1+G52)^-G51</f>
        <v>0</v>
      </c>
      <c r="H80" s="532"/>
      <c r="I80" s="532">
        <f>-I24*I44*(1+I52)^-I51</f>
        <v>0</v>
      </c>
      <c r="J80" s="532"/>
      <c r="K80" s="532">
        <f>-K24*K44*(1+K52)^-K51</f>
        <v>0</v>
      </c>
      <c r="L80" s="532"/>
      <c r="M80" s="532">
        <f>-M24*M44*(1+M52)^-M51</f>
        <v>0</v>
      </c>
      <c r="N80" s="532"/>
      <c r="O80" s="532">
        <f>-O24*O44*(1+O52)^-O51</f>
        <v>0</v>
      </c>
      <c r="P80" s="532"/>
      <c r="Q80" s="532">
        <f>-Q24*Q44*(1+Q52)^-Q51</f>
        <v>0</v>
      </c>
      <c r="R80" s="532"/>
      <c r="S80" s="532">
        <f>-S24*S44*(1+S52)^-S51</f>
        <v>0</v>
      </c>
      <c r="T80" s="532"/>
      <c r="U80" s="532">
        <f>-U24*U44*(1+U52)^-U51</f>
        <v>0</v>
      </c>
      <c r="V80" s="532"/>
      <c r="W80" s="532">
        <f>-W24*W44*(1+W52)^-W51</f>
        <v>0</v>
      </c>
      <c r="X80" s="134"/>
      <c r="Y80" s="10"/>
      <c r="Z80" s="10"/>
      <c r="AA80" s="10"/>
      <c r="AB80" s="10"/>
      <c r="AC80" s="10"/>
      <c r="AD80" s="10"/>
      <c r="AE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56"/>
      <c r="C81" s="230" t="str">
        <f>IF(E29="nej","","Samfundsøkonomiske omkostninger af eksterne virkninger på miljøet")</f>
        <v>Samfundsøkonomiske omkostninger af eksterne virkninger på miljøet</v>
      </c>
      <c r="D81" s="230" t="str">
        <f>IF(C81="","","kr.")</f>
        <v>kr.</v>
      </c>
      <c r="E81" s="532">
        <f>IF($D$81="","",SUMIFS('IB - B&amp;D&amp;H'!E$187:E$206,'IB - B&amp;D&amp;H'!$C$187:$C$206,"&lt;="&amp;E51))</f>
        <v>0</v>
      </c>
      <c r="F81" s="532"/>
      <c r="G81" s="532">
        <f>IF($D$81="","",SUMIFS('IB - B&amp;D&amp;H'!G$187:G$206,'IB - B&amp;D&amp;H'!$C$187:$C$206,"&lt;="&amp;G51))</f>
        <v>0</v>
      </c>
      <c r="H81" s="532"/>
      <c r="I81" s="532">
        <f>IF($D$81="","",SUMIFS('IB - B&amp;D&amp;H'!I$187:I$206,'IB - B&amp;D&amp;H'!$C$187:$C$206,"&lt;="&amp;I51))</f>
        <v>0</v>
      </c>
      <c r="J81" s="532"/>
      <c r="K81" s="532">
        <f>IF($D$81="","",SUMIFS('IB - B&amp;D&amp;H'!K$187:K$206,'IB - B&amp;D&amp;H'!$C$187:$C$206,"&lt;="&amp;K51))</f>
        <v>0</v>
      </c>
      <c r="L81" s="532"/>
      <c r="M81" s="532">
        <f>IF($D$81="","",SUMIFS('IB - B&amp;D&amp;H'!M$187:M$206,'IB - B&amp;D&amp;H'!$C$187:$C$206,"&lt;="&amp;M51))</f>
        <v>0</v>
      </c>
      <c r="N81" s="532"/>
      <c r="O81" s="532">
        <f>IF($D$81="","",SUMIFS('IB - B&amp;D&amp;H'!O$187:O$206,'IB - B&amp;D&amp;H'!$C$187:$C$206,"&lt;="&amp;O51))</f>
        <v>0</v>
      </c>
      <c r="P81" s="532"/>
      <c r="Q81" s="532">
        <f>IF($D$81="","",SUMIFS('IB - B&amp;D&amp;H'!Q$187:Q$206,'IB - B&amp;D&amp;H'!$C$187:$C$206,"&lt;="&amp;Q51))</f>
        <v>0</v>
      </c>
      <c r="R81" s="532"/>
      <c r="S81" s="532">
        <f>IF($D$81="","",SUMIFS('IB - B&amp;D&amp;H'!S$187:S$206,'IB - B&amp;D&amp;H'!$C$187:$C$206,"&lt;="&amp;S51))</f>
        <v>0</v>
      </c>
      <c r="T81" s="532"/>
      <c r="U81" s="532">
        <f>IF($D$81="","",SUMIFS('IB - B&amp;D&amp;H'!U$187:U$206,'IB - B&amp;D&amp;H'!$C$187:$C$206,"&lt;="&amp;U51))</f>
        <v>0</v>
      </c>
      <c r="V81" s="532"/>
      <c r="W81" s="532">
        <f>IF($D$81="","",SUMIFS('IB - B&amp;D&amp;H'!W$187:W$206,'IB - B&amp;D&amp;H'!$C$187:$C$206,"&lt;="&amp;W51))</f>
        <v>0</v>
      </c>
      <c r="X81" s="55"/>
      <c r="Y81" s="10"/>
      <c r="Z81" s="10"/>
      <c r="AA81" s="10"/>
      <c r="AB81" s="10"/>
      <c r="AC81" s="10"/>
      <c r="AD81" s="10"/>
      <c r="AE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59"/>
      <c r="C82" s="230"/>
      <c r="D82" s="230"/>
      <c r="E82" s="532"/>
      <c r="F82" s="532"/>
      <c r="G82" s="532"/>
      <c r="H82" s="532"/>
      <c r="I82" s="532"/>
      <c r="J82" s="532"/>
      <c r="K82" s="532"/>
      <c r="L82" s="532"/>
      <c r="M82" s="532"/>
      <c r="N82" s="532"/>
      <c r="O82" s="532"/>
      <c r="P82" s="532"/>
      <c r="Q82" s="532"/>
      <c r="R82" s="532"/>
      <c r="S82" s="532"/>
      <c r="T82" s="532"/>
      <c r="U82" s="532"/>
      <c r="V82" s="532"/>
      <c r="W82" s="532"/>
      <c r="X82" s="60"/>
      <c r="Y82" s="10"/>
      <c r="Z82" s="10"/>
      <c r="AA82" s="10"/>
      <c r="AB82" s="10"/>
      <c r="AC82" s="10"/>
      <c r="AD82" s="10"/>
      <c r="AE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56"/>
      <c r="C83" s="230" t="s">
        <v>51</v>
      </c>
      <c r="D83" s="230" t="s">
        <v>14</v>
      </c>
      <c r="E83" s="532">
        <f>SUM(E76:E81)</f>
        <v>0</v>
      </c>
      <c r="F83" s="532"/>
      <c r="G83" s="532">
        <f>SUM(G76:G81)</f>
        <v>0</v>
      </c>
      <c r="H83" s="532"/>
      <c r="I83" s="532">
        <f>SUM(I76:I81)</f>
        <v>0</v>
      </c>
      <c r="J83" s="532"/>
      <c r="K83" s="532">
        <f>SUM(K76:K81)</f>
        <v>0</v>
      </c>
      <c r="L83" s="532"/>
      <c r="M83" s="532">
        <f>SUM(M76:M81)</f>
        <v>0</v>
      </c>
      <c r="N83" s="532"/>
      <c r="O83" s="532">
        <f>SUM(O76:O81)</f>
        <v>0</v>
      </c>
      <c r="P83" s="532"/>
      <c r="Q83" s="532">
        <f>SUM(Q76:Q81)</f>
        <v>0</v>
      </c>
      <c r="R83" s="532"/>
      <c r="S83" s="532">
        <f>SUM(S76:S81)</f>
        <v>0</v>
      </c>
      <c r="T83" s="532"/>
      <c r="U83" s="532">
        <f>SUM(U76:U81)</f>
        <v>0</v>
      </c>
      <c r="V83" s="532"/>
      <c r="W83" s="532">
        <f>SUM(W76:W81)</f>
        <v>0</v>
      </c>
      <c r="X83" s="61"/>
      <c r="Y83" s="10"/>
      <c r="Z83" s="10"/>
      <c r="AA83" s="10"/>
      <c r="AB83" s="10"/>
      <c r="AC83" s="10"/>
      <c r="AD83" s="10"/>
      <c r="AE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56"/>
      <c r="C84" s="230" t="s">
        <v>30</v>
      </c>
      <c r="D84" s="230" t="s">
        <v>31</v>
      </c>
      <c r="E84" s="532">
        <f>PMT(E52,E51,-(E83))</f>
        <v>0</v>
      </c>
      <c r="F84" s="532"/>
      <c r="G84" s="532">
        <f>PMT(G52,G51,-(G83))</f>
        <v>0</v>
      </c>
      <c r="H84" s="532"/>
      <c r="I84" s="532">
        <f>PMT(I52,I51,-(I83))</f>
        <v>0</v>
      </c>
      <c r="J84" s="532"/>
      <c r="K84" s="532">
        <f>PMT(K52,K51,-(K83))</f>
        <v>0</v>
      </c>
      <c r="L84" s="532"/>
      <c r="M84" s="532">
        <f>PMT(M52,M51,-(M83))</f>
        <v>0</v>
      </c>
      <c r="N84" s="532"/>
      <c r="O84" s="532">
        <f>PMT(O52,O51,-(O83))</f>
        <v>0</v>
      </c>
      <c r="P84" s="532"/>
      <c r="Q84" s="532">
        <f>PMT(Q52,Q51,-(Q83))</f>
        <v>0</v>
      </c>
      <c r="R84" s="532"/>
      <c r="S84" s="532">
        <f>PMT(S52,S51,-(S83))</f>
        <v>0</v>
      </c>
      <c r="T84" s="532"/>
      <c r="U84" s="532">
        <f>PMT(U52,U51,-(U83))</f>
        <v>0</v>
      </c>
      <c r="V84" s="532"/>
      <c r="W84" s="532">
        <f>PMT(W52,W51,-(W83))</f>
        <v>0</v>
      </c>
      <c r="X84" s="61"/>
      <c r="Y84" s="10"/>
      <c r="Z84" s="10"/>
      <c r="AA84" s="10"/>
      <c r="AB84" s="10"/>
      <c r="AC84" s="10"/>
      <c r="AD84" s="10"/>
      <c r="AE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56"/>
      <c r="C85" s="230"/>
      <c r="D85" s="230"/>
      <c r="E85" s="133"/>
      <c r="F85" s="133"/>
      <c r="G85" s="133"/>
      <c r="H85" s="133"/>
      <c r="I85" s="133"/>
      <c r="J85" s="133"/>
      <c r="K85" s="133"/>
      <c r="L85" s="133"/>
      <c r="M85" s="133"/>
      <c r="N85" s="133"/>
      <c r="O85" s="133"/>
      <c r="P85" s="133"/>
      <c r="Q85" s="133"/>
      <c r="R85" s="133"/>
      <c r="S85" s="133"/>
      <c r="T85" s="133"/>
      <c r="U85" s="133"/>
      <c r="V85" s="133"/>
      <c r="W85" s="133"/>
      <c r="X85" s="61"/>
      <c r="Y85" s="10"/>
      <c r="Z85" s="10"/>
      <c r="AA85" s="10"/>
      <c r="AB85" s="10"/>
      <c r="AC85" s="10"/>
      <c r="AD85" s="10"/>
      <c r="AE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56"/>
      <c r="C86" s="230" t="str">
        <f>IF(E29="ja","Samlede eksterne virkninger på miljøet fra brugsfasen","")</f>
        <v>Samlede eksterne virkninger på miljøet fra brugsfasen</v>
      </c>
      <c r="D86" s="230" t="str">
        <f>IF(C86="","","tons CO2e")</f>
        <v>tons CO2e</v>
      </c>
      <c r="E86" s="277">
        <f>IF(E29="ja",SUMIFS('IB - B&amp;D&amp;H'!F$187:F$206,'IB - B&amp;D&amp;H'!$B187:$B206,"&lt;="&amp;'Benzin - diesel - hybrid'!E51),"")</f>
        <v>0</v>
      </c>
      <c r="F86" s="277"/>
      <c r="G86" s="277">
        <f>IF(G29="ja",SUMIFS('IB - B&amp;D&amp;H'!H$187:H$206,'IB - B&amp;D&amp;H'!$B187:$B206,"&lt;="&amp;'Benzin - diesel - hybrid'!G51),"")</f>
        <v>0</v>
      </c>
      <c r="H86" s="277"/>
      <c r="I86" s="277">
        <f>IF(I29="ja",SUMIFS('IB - B&amp;D&amp;H'!J$187:J$206,'IB - B&amp;D&amp;H'!$B187:$B206,"&lt;="&amp;'Benzin - diesel - hybrid'!I51),"")</f>
        <v>0</v>
      </c>
      <c r="J86" s="277"/>
      <c r="K86" s="277">
        <f>IF(K29="ja",SUMIFS('IB - B&amp;D&amp;H'!L$187:L$206,'IB - B&amp;D&amp;H'!$B187:$B206,"&lt;="&amp;'Benzin - diesel - hybrid'!K51),"")</f>
        <v>0</v>
      </c>
      <c r="L86" s="277"/>
      <c r="M86" s="277">
        <f>IF(M29="ja",SUMIFS('IB - B&amp;D&amp;H'!N$187:N$206,'IB - B&amp;D&amp;H'!$B187:$B206,"&lt;="&amp;'Benzin - diesel - hybrid'!M51),"")</f>
        <v>0</v>
      </c>
      <c r="N86" s="277"/>
      <c r="O86" s="277">
        <f>IF(O29="ja",SUMIFS('IB - B&amp;D&amp;H'!P$187:P$206,'IB - B&amp;D&amp;H'!$B187:$B206,"&lt;="&amp;'Benzin - diesel - hybrid'!O51),"")</f>
        <v>0</v>
      </c>
      <c r="P86" s="277"/>
      <c r="Q86" s="277">
        <f>IF(Q29="ja",SUMIFS('IB - B&amp;D&amp;H'!R$187:R$206,'IB - B&amp;D&amp;H'!$B187:$B206,"&lt;="&amp;'Benzin - diesel - hybrid'!Q51),"")</f>
        <v>0</v>
      </c>
      <c r="R86" s="277"/>
      <c r="S86" s="277">
        <f>IF(S29="ja",SUMIFS('IB - B&amp;D&amp;H'!T$187:T$206,'IB - B&amp;D&amp;H'!$B187:$B206,"&lt;="&amp;'Benzin - diesel - hybrid'!S51),"")</f>
        <v>0</v>
      </c>
      <c r="T86" s="277"/>
      <c r="U86" s="277">
        <f>IF(U29="ja",SUMIFS('IB - B&amp;D&amp;H'!V$187:V$206,'IB - B&amp;D&amp;H'!$B187:$B206,"&lt;="&amp;'Benzin - diesel - hybrid'!U51),"")</f>
        <v>0</v>
      </c>
      <c r="V86" s="277"/>
      <c r="W86" s="277">
        <f>IF(W29="ja",SUMIFS('IB - B&amp;D&amp;H'!X$187:X$206,'IB - B&amp;D&amp;H'!$B187:$B206,"&lt;="&amp;'Benzin - diesel - hybrid'!W51),"")</f>
        <v>0</v>
      </c>
      <c r="X86" s="61"/>
      <c r="Y86" s="10"/>
      <c r="Z86" s="10"/>
      <c r="AA86" s="10"/>
      <c r="AB86" s="10"/>
      <c r="AC86" s="10"/>
      <c r="AD86" s="10"/>
      <c r="AE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56"/>
      <c r="C87" s="133"/>
      <c r="D87" s="133"/>
      <c r="E87" s="133"/>
      <c r="F87" s="133"/>
      <c r="G87" s="133"/>
      <c r="H87" s="133"/>
      <c r="I87" s="133"/>
      <c r="J87" s="133"/>
      <c r="K87" s="133"/>
      <c r="L87" s="133"/>
      <c r="M87" s="133"/>
      <c r="N87" s="133"/>
      <c r="O87" s="133"/>
      <c r="P87" s="133"/>
      <c r="Q87" s="133"/>
      <c r="R87" s="133"/>
      <c r="S87" s="133"/>
      <c r="T87" s="133"/>
      <c r="U87" s="133"/>
      <c r="V87" s="133"/>
      <c r="W87" s="133"/>
      <c r="X87" s="61"/>
      <c r="Y87" s="10"/>
      <c r="Z87" s="10"/>
      <c r="AA87" s="10"/>
      <c r="AB87" s="10"/>
      <c r="AC87" s="10"/>
      <c r="AD87" s="10"/>
      <c r="AE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56"/>
      <c r="C88" s="57"/>
      <c r="D88" s="53"/>
      <c r="E88" s="57"/>
      <c r="F88" s="57"/>
      <c r="G88" s="57"/>
      <c r="H88" s="57"/>
      <c r="I88" s="57"/>
      <c r="J88" s="57"/>
      <c r="K88" s="57"/>
      <c r="L88" s="57"/>
      <c r="M88" s="57"/>
      <c r="N88" s="57"/>
      <c r="O88" s="57"/>
      <c r="P88" s="57"/>
      <c r="Q88" s="57"/>
      <c r="R88" s="57"/>
      <c r="S88" s="57"/>
      <c r="T88" s="57"/>
      <c r="U88" s="57"/>
      <c r="V88" s="57"/>
      <c r="W88" s="57"/>
      <c r="X88" s="61"/>
      <c r="Y88" s="10"/>
      <c r="Z88" s="10"/>
      <c r="AA88" s="10"/>
      <c r="AB88" s="10"/>
      <c r="AC88" s="10"/>
      <c r="AD88" s="10"/>
      <c r="AE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56"/>
      <c r="C89" s="57"/>
      <c r="D89" s="53"/>
      <c r="E89" s="57"/>
      <c r="F89" s="57"/>
      <c r="G89" s="57"/>
      <c r="H89" s="57"/>
      <c r="I89" s="57"/>
      <c r="J89" s="57"/>
      <c r="K89" s="57"/>
      <c r="L89" s="57"/>
      <c r="M89" s="57"/>
      <c r="N89" s="57"/>
      <c r="O89" s="57"/>
      <c r="P89" s="57"/>
      <c r="Q89" s="57"/>
      <c r="R89" s="57"/>
      <c r="S89" s="57"/>
      <c r="T89" s="57"/>
      <c r="U89" s="57"/>
      <c r="V89" s="57"/>
      <c r="W89" s="57"/>
      <c r="X89" s="61"/>
      <c r="Y89" s="10"/>
      <c r="Z89" s="10"/>
      <c r="AA89" s="10"/>
      <c r="AB89" s="10"/>
      <c r="AC89" s="10"/>
      <c r="AD89" s="10"/>
      <c r="AE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56"/>
      <c r="C90" s="57"/>
      <c r="D90" s="53"/>
      <c r="E90" s="57"/>
      <c r="F90" s="57"/>
      <c r="G90" s="57"/>
      <c r="H90" s="57"/>
      <c r="I90" s="57"/>
      <c r="J90" s="57"/>
      <c r="K90" s="57"/>
      <c r="L90" s="57"/>
      <c r="M90" s="57"/>
      <c r="N90" s="57"/>
      <c r="O90" s="57"/>
      <c r="P90" s="57"/>
      <c r="Q90" s="57"/>
      <c r="R90" s="57"/>
      <c r="S90" s="57"/>
      <c r="T90" s="57"/>
      <c r="U90" s="57"/>
      <c r="V90" s="57"/>
      <c r="W90" s="57"/>
      <c r="X90" s="61"/>
      <c r="Y90" s="10"/>
      <c r="Z90" s="10"/>
      <c r="AA90" s="10"/>
      <c r="AB90" s="10"/>
      <c r="AC90" s="10"/>
      <c r="AD90" s="10"/>
      <c r="AE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15" customHeight="1">
      <c r="A91" s="12"/>
      <c r="B91" s="56"/>
      <c r="C91" s="57"/>
      <c r="D91" s="53"/>
      <c r="E91" s="57"/>
      <c r="F91" s="57"/>
      <c r="G91" s="57"/>
      <c r="H91" s="57"/>
      <c r="I91" s="57"/>
      <c r="J91" s="57"/>
      <c r="K91" s="57"/>
      <c r="L91" s="57"/>
      <c r="M91" s="57"/>
      <c r="N91" s="57"/>
      <c r="O91" s="57"/>
      <c r="P91" s="57"/>
      <c r="Q91" s="57"/>
      <c r="R91" s="57"/>
      <c r="S91" s="57"/>
      <c r="T91" s="57"/>
      <c r="U91" s="57"/>
      <c r="V91" s="57"/>
      <c r="W91" s="57"/>
      <c r="X91" s="61"/>
      <c r="Y91" s="10"/>
      <c r="Z91" s="10"/>
      <c r="AA91" s="10"/>
      <c r="AB91" s="10"/>
      <c r="AC91" s="10"/>
      <c r="AD91" s="10"/>
      <c r="AE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56"/>
      <c r="C92" s="57"/>
      <c r="D92" s="53"/>
      <c r="E92" s="57"/>
      <c r="F92" s="57"/>
      <c r="G92" s="57"/>
      <c r="H92" s="57"/>
      <c r="I92" s="57"/>
      <c r="J92" s="57"/>
      <c r="K92" s="57"/>
      <c r="L92" s="57"/>
      <c r="M92" s="57"/>
      <c r="N92" s="57"/>
      <c r="O92" s="57"/>
      <c r="P92" s="57"/>
      <c r="Q92" s="57"/>
      <c r="R92" s="57"/>
      <c r="S92" s="57"/>
      <c r="T92" s="57"/>
      <c r="U92" s="57"/>
      <c r="V92" s="57"/>
      <c r="W92" s="57"/>
      <c r="X92" s="61"/>
      <c r="Y92" s="10"/>
      <c r="Z92" s="10"/>
      <c r="AA92" s="10"/>
      <c r="AB92" s="10"/>
      <c r="AC92" s="10"/>
      <c r="AD92" s="10"/>
      <c r="AE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56"/>
      <c r="C93" s="57"/>
      <c r="D93" s="53"/>
      <c r="E93" s="57"/>
      <c r="F93" s="57"/>
      <c r="G93" s="57"/>
      <c r="H93" s="57"/>
      <c r="I93" s="57"/>
      <c r="J93" s="57"/>
      <c r="K93" s="57"/>
      <c r="L93" s="57"/>
      <c r="M93" s="57"/>
      <c r="N93" s="57"/>
      <c r="O93" s="57"/>
      <c r="P93" s="57"/>
      <c r="Q93" s="57"/>
      <c r="R93" s="57"/>
      <c r="S93" s="57"/>
      <c r="T93" s="57"/>
      <c r="U93" s="57"/>
      <c r="V93" s="57"/>
      <c r="W93" s="57"/>
      <c r="X93" s="61"/>
      <c r="Y93" s="10"/>
      <c r="Z93" s="10"/>
      <c r="AA93" s="10"/>
      <c r="AB93" s="10"/>
      <c r="AC93" s="10"/>
      <c r="AD93" s="10"/>
      <c r="AE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56"/>
      <c r="C94" s="57"/>
      <c r="D94" s="53"/>
      <c r="E94" s="57"/>
      <c r="F94" s="57"/>
      <c r="G94" s="57"/>
      <c r="H94" s="57"/>
      <c r="I94" s="57"/>
      <c r="J94" s="57"/>
      <c r="K94" s="57"/>
      <c r="L94" s="57"/>
      <c r="M94" s="57"/>
      <c r="N94" s="57"/>
      <c r="O94" s="57"/>
      <c r="P94" s="57"/>
      <c r="Q94" s="57"/>
      <c r="R94" s="57"/>
      <c r="S94" s="57"/>
      <c r="T94" s="57"/>
      <c r="U94" s="57"/>
      <c r="V94" s="57"/>
      <c r="W94" s="57"/>
      <c r="X94" s="61"/>
      <c r="Y94" s="10"/>
      <c r="Z94" s="10"/>
      <c r="AA94" s="10"/>
      <c r="AB94" s="10"/>
      <c r="AC94" s="10"/>
      <c r="AD94" s="10"/>
      <c r="AE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56"/>
      <c r="C95" s="57"/>
      <c r="D95" s="53"/>
      <c r="E95" s="57"/>
      <c r="F95" s="57"/>
      <c r="G95" s="57"/>
      <c r="H95" s="57"/>
      <c r="I95" s="57"/>
      <c r="J95" s="57"/>
      <c r="K95" s="57"/>
      <c r="L95" s="57"/>
      <c r="M95" s="57"/>
      <c r="N95" s="57"/>
      <c r="O95" s="57"/>
      <c r="P95" s="57"/>
      <c r="Q95" s="57"/>
      <c r="R95" s="57"/>
      <c r="S95" s="57"/>
      <c r="T95" s="57"/>
      <c r="U95" s="57"/>
      <c r="V95" s="57"/>
      <c r="W95" s="57"/>
      <c r="X95" s="61"/>
      <c r="Y95" s="10"/>
      <c r="Z95" s="10"/>
      <c r="AA95" s="10"/>
      <c r="AB95" s="10"/>
      <c r="AC95" s="10"/>
      <c r="AD95" s="10"/>
      <c r="AE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15" customHeight="1">
      <c r="A96" s="12"/>
      <c r="B96" s="56"/>
      <c r="C96" s="57"/>
      <c r="D96" s="53"/>
      <c r="E96" s="57"/>
      <c r="F96" s="57"/>
      <c r="G96" s="57"/>
      <c r="H96" s="57"/>
      <c r="I96" s="57"/>
      <c r="J96" s="57"/>
      <c r="K96" s="57"/>
      <c r="L96" s="57"/>
      <c r="M96" s="57"/>
      <c r="N96" s="57"/>
      <c r="O96" s="57"/>
      <c r="P96" s="57"/>
      <c r="Q96" s="57"/>
      <c r="R96" s="57"/>
      <c r="S96" s="57"/>
      <c r="T96" s="57"/>
      <c r="U96" s="57"/>
      <c r="V96" s="57"/>
      <c r="W96" s="57"/>
      <c r="X96" s="61"/>
      <c r="Y96" s="10"/>
      <c r="Z96" s="10"/>
      <c r="AA96" s="10"/>
      <c r="AB96" s="10"/>
      <c r="AC96" s="10"/>
      <c r="AD96" s="10"/>
      <c r="AE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57"/>
      <c r="D97" s="57"/>
      <c r="E97" s="57"/>
      <c r="F97" s="57"/>
      <c r="G97" s="57"/>
      <c r="H97" s="57"/>
      <c r="I97" s="57"/>
      <c r="J97" s="57"/>
      <c r="K97" s="57"/>
      <c r="L97" s="57"/>
      <c r="M97" s="57"/>
      <c r="N97" s="57"/>
      <c r="O97" s="57"/>
      <c r="P97" s="57"/>
      <c r="Q97" s="57"/>
      <c r="R97" s="57"/>
      <c r="S97" s="57"/>
      <c r="T97" s="57"/>
      <c r="U97" s="57"/>
      <c r="V97" s="57"/>
      <c r="W97" s="57"/>
      <c r="X97" s="61"/>
      <c r="Y97" s="8"/>
      <c r="Z97" s="8"/>
      <c r="AA97" s="8"/>
      <c r="AB97" s="8"/>
      <c r="AC97" s="8"/>
      <c r="AD97" s="8"/>
      <c r="AE97" s="8"/>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s="64" customFormat="1" ht="15" customHeight="1">
      <c r="A98" s="12"/>
      <c r="B98" s="56"/>
      <c r="C98" s="57"/>
      <c r="D98" s="57"/>
      <c r="E98" s="57"/>
      <c r="F98" s="57"/>
      <c r="G98" s="57"/>
      <c r="H98" s="57"/>
      <c r="I98" s="57"/>
      <c r="J98" s="57"/>
      <c r="K98" s="57"/>
      <c r="L98" s="57"/>
      <c r="M98" s="57"/>
      <c r="N98" s="57"/>
      <c r="O98" s="57"/>
      <c r="P98" s="57"/>
      <c r="Q98" s="57"/>
      <c r="R98" s="57"/>
      <c r="S98" s="57"/>
      <c r="T98" s="57"/>
      <c r="U98" s="57"/>
      <c r="V98" s="57"/>
      <c r="W98" s="57"/>
      <c r="X98" s="61"/>
      <c r="Y98" s="12"/>
      <c r="Z98" s="143"/>
      <c r="AA98" s="8"/>
      <c r="AB98" s="8"/>
      <c r="AC98" s="8"/>
      <c r="AD98" s="8"/>
      <c r="AE98" s="8"/>
      <c r="AF98" s="63"/>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76" s="65" customFormat="1" ht="15" customHeight="1">
      <c r="A99" s="12"/>
      <c r="B99" s="56"/>
      <c r="C99" s="57"/>
      <c r="D99" s="57"/>
      <c r="E99" s="57"/>
      <c r="F99" s="57"/>
      <c r="G99" s="57"/>
      <c r="H99" s="57"/>
      <c r="I99" s="57"/>
      <c r="J99" s="57"/>
      <c r="K99" s="57"/>
      <c r="L99" s="57"/>
      <c r="M99" s="57"/>
      <c r="N99" s="57"/>
      <c r="O99" s="57"/>
      <c r="P99" s="57"/>
      <c r="Q99" s="57"/>
      <c r="R99" s="57"/>
      <c r="S99" s="57"/>
      <c r="T99" s="57"/>
      <c r="U99" s="57"/>
      <c r="V99" s="57"/>
      <c r="W99" s="57"/>
      <c r="X99" s="61"/>
      <c r="Y99" s="12"/>
      <c r="Z99" s="167"/>
      <c r="AA99" s="8"/>
      <c r="AB99" s="8"/>
      <c r="AC99" s="8"/>
      <c r="AD99" s="8"/>
      <c r="AE99" s="8"/>
      <c r="AF99" s="66"/>
      <c r="AG99" s="66"/>
      <c r="AH99" s="66"/>
      <c r="AI99" s="66"/>
      <c r="AJ99" s="66"/>
      <c r="AK99" s="66"/>
      <c r="AL99" s="66"/>
      <c r="AM99" s="66"/>
      <c r="AN99" s="66"/>
      <c r="AO99" s="66"/>
      <c r="AP99" s="66"/>
      <c r="AQ99" s="66"/>
      <c r="AR99" s="66"/>
      <c r="AS99" s="66"/>
      <c r="AT99" s="66"/>
      <c r="AU99" s="66"/>
      <c r="AV99" s="66"/>
      <c r="AW99" s="66"/>
      <c r="AX99" s="66"/>
      <c r="AY99" s="66"/>
      <c r="AZ99" s="66"/>
      <c r="BA99" s="66"/>
      <c r="BB99" s="66"/>
    </row>
    <row r="100" spans="1:76" s="64" customFormat="1" ht="15" customHeight="1">
      <c r="A100" s="12"/>
      <c r="B100" s="56"/>
      <c r="C100" s="57"/>
      <c r="D100" s="57"/>
      <c r="E100" s="57"/>
      <c r="F100" s="57"/>
      <c r="G100" s="57"/>
      <c r="H100" s="57"/>
      <c r="I100" s="57"/>
      <c r="J100" s="57"/>
      <c r="K100" s="57"/>
      <c r="L100" s="57"/>
      <c r="M100" s="57"/>
      <c r="N100" s="57"/>
      <c r="O100" s="57"/>
      <c r="P100" s="57"/>
      <c r="Q100" s="57"/>
      <c r="R100" s="57"/>
      <c r="S100" s="57"/>
      <c r="T100" s="57"/>
      <c r="U100" s="57"/>
      <c r="V100" s="57"/>
      <c r="W100" s="57"/>
      <c r="X100" s="61"/>
      <c r="Y100" s="12"/>
      <c r="Z100" s="143"/>
      <c r="AA100" s="8"/>
      <c r="AB100" s="8"/>
      <c r="AC100" s="8"/>
      <c r="AD100" s="8"/>
      <c r="AE100" s="8"/>
      <c r="AF100" s="63"/>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row>
    <row r="101" spans="1:76" s="64" customFormat="1" ht="15" customHeight="1">
      <c r="A101" s="162"/>
      <c r="B101" s="57"/>
      <c r="C101" s="57"/>
      <c r="D101" s="57"/>
      <c r="E101" s="57"/>
      <c r="F101" s="57"/>
      <c r="G101" s="57"/>
      <c r="H101" s="57"/>
      <c r="I101" s="57"/>
      <c r="J101" s="57"/>
      <c r="K101" s="57"/>
      <c r="L101" s="57"/>
      <c r="M101" s="57"/>
      <c r="N101" s="57"/>
      <c r="O101" s="57"/>
      <c r="P101" s="57"/>
      <c r="Q101" s="57"/>
      <c r="R101" s="57"/>
      <c r="S101" s="57"/>
      <c r="T101" s="57"/>
      <c r="U101" s="57"/>
      <c r="V101" s="57"/>
      <c r="W101" s="57"/>
      <c r="X101" s="57"/>
      <c r="Y101" s="159"/>
      <c r="Z101" s="143"/>
      <c r="AA101" s="8"/>
      <c r="AB101" s="8"/>
      <c r="AC101" s="8"/>
      <c r="AD101" s="8"/>
      <c r="AE101" s="8"/>
      <c r="AF101" s="63"/>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row>
    <row r="102" spans="1:76" s="64" customFormat="1" ht="15" customHeight="1">
      <c r="A102" s="162"/>
      <c r="B102" s="144"/>
      <c r="C102" s="144"/>
      <c r="D102" s="144"/>
      <c r="E102" s="144"/>
      <c r="F102" s="144"/>
      <c r="G102" s="144"/>
      <c r="H102" s="144"/>
      <c r="I102" s="144"/>
      <c r="J102" s="144"/>
      <c r="K102" s="144"/>
      <c r="L102" s="144"/>
      <c r="M102" s="144"/>
      <c r="N102" s="144"/>
      <c r="O102" s="144"/>
      <c r="P102" s="144"/>
      <c r="Q102" s="144"/>
      <c r="R102" s="144"/>
      <c r="S102" s="144"/>
      <c r="T102" s="144"/>
      <c r="U102" s="144"/>
      <c r="V102" s="144"/>
      <c r="W102" s="144"/>
      <c r="X102" s="144"/>
      <c r="Y102" s="159"/>
      <c r="Z102" s="143"/>
      <c r="AA102" s="8"/>
      <c r="AB102" s="8"/>
      <c r="AC102" s="8"/>
      <c r="AD102" s="8"/>
      <c r="AE102" s="8"/>
      <c r="AF102" s="63"/>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row>
    <row r="103" spans="1:76" s="64" customFormat="1" ht="15" customHeight="1">
      <c r="A103" s="163"/>
      <c r="B103" s="145"/>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60"/>
      <c r="Z103" s="143"/>
      <c r="AA103" s="143"/>
      <c r="AB103" s="143"/>
      <c r="AC103" s="143"/>
      <c r="AD103" s="143"/>
      <c r="AE103" s="14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row>
    <row r="104" spans="1:76" s="64" customFormat="1" ht="15" customHeight="1">
      <c r="A104" s="163"/>
      <c r="B104" s="145"/>
      <c r="C104" s="145"/>
      <c r="D104" s="145"/>
      <c r="E104" s="145"/>
      <c r="F104" s="145"/>
      <c r="G104" s="145"/>
      <c r="H104" s="145"/>
      <c r="I104" s="145"/>
      <c r="J104" s="145"/>
      <c r="K104" s="145"/>
      <c r="L104" s="145"/>
      <c r="M104" s="145"/>
      <c r="N104" s="145"/>
      <c r="O104" s="145"/>
      <c r="P104" s="145"/>
      <c r="Q104" s="145"/>
      <c r="R104" s="145"/>
      <c r="S104" s="145"/>
      <c r="T104" s="145"/>
      <c r="U104" s="145"/>
      <c r="V104" s="145"/>
      <c r="W104" s="145"/>
      <c r="X104" s="146"/>
      <c r="Y104" s="161"/>
      <c r="Z104" s="143"/>
      <c r="AA104" s="143"/>
      <c r="AB104" s="143"/>
      <c r="AC104" s="143"/>
      <c r="AD104" s="143"/>
      <c r="AE104" s="143"/>
      <c r="AF104" s="63"/>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row>
    <row r="105" spans="1:76" s="64" customFormat="1" ht="15" customHeight="1">
      <c r="A105" s="163"/>
      <c r="B105" s="145"/>
      <c r="C105" s="145"/>
      <c r="D105" s="145"/>
      <c r="E105" s="145"/>
      <c r="F105" s="145"/>
      <c r="G105" s="145"/>
      <c r="H105" s="145"/>
      <c r="I105" s="145"/>
      <c r="J105" s="145"/>
      <c r="K105" s="145"/>
      <c r="L105" s="145"/>
      <c r="M105" s="145"/>
      <c r="N105" s="145"/>
      <c r="O105" s="145"/>
      <c r="P105" s="145"/>
      <c r="Q105" s="145"/>
      <c r="R105" s="145"/>
      <c r="S105" s="145"/>
      <c r="T105" s="145"/>
      <c r="U105" s="145"/>
      <c r="V105" s="145"/>
      <c r="W105" s="145"/>
      <c r="X105" s="146"/>
      <c r="Y105" s="161"/>
      <c r="Z105" s="143"/>
      <c r="AA105" s="143"/>
      <c r="AB105" s="143"/>
      <c r="AC105" s="143"/>
      <c r="AD105" s="143"/>
      <c r="AE105" s="14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row>
    <row r="106" spans="1:76" s="64" customFormat="1" ht="15" customHeight="1">
      <c r="A106" s="163"/>
      <c r="B106" s="145"/>
      <c r="C106" s="145"/>
      <c r="D106" s="145"/>
      <c r="E106" s="145"/>
      <c r="F106" s="145"/>
      <c r="G106" s="145"/>
      <c r="H106" s="145"/>
      <c r="I106" s="145"/>
      <c r="J106" s="145"/>
      <c r="K106" s="145"/>
      <c r="L106" s="145"/>
      <c r="M106" s="145"/>
      <c r="N106" s="145"/>
      <c r="O106" s="145"/>
      <c r="P106" s="145"/>
      <c r="Q106" s="145"/>
      <c r="R106" s="145"/>
      <c r="S106" s="145"/>
      <c r="T106" s="145"/>
      <c r="U106" s="145"/>
      <c r="V106" s="145"/>
      <c r="W106" s="145"/>
      <c r="X106" s="146"/>
      <c r="Y106" s="161"/>
      <c r="Z106" s="143"/>
      <c r="AA106" s="143"/>
      <c r="AB106" s="143"/>
      <c r="AC106" s="143"/>
      <c r="AD106" s="143"/>
      <c r="AE106" s="143"/>
      <c r="AF106" s="63"/>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row>
    <row r="107" spans="1:76" s="64" customFormat="1" ht="15" customHeight="1">
      <c r="A107" s="163"/>
      <c r="B107" s="145"/>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6"/>
      <c r="Y107" s="161"/>
      <c r="Z107" s="143"/>
      <c r="AA107" s="143"/>
      <c r="AB107" s="143"/>
      <c r="AC107" s="143"/>
      <c r="AD107" s="143"/>
      <c r="AE107" s="143"/>
      <c r="AF107" s="63"/>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row>
    <row r="108" spans="1:76" s="64" customFormat="1" ht="15" customHeight="1">
      <c r="A108" s="163"/>
      <c r="B108" s="145"/>
      <c r="C108" s="145"/>
      <c r="D108" s="145"/>
      <c r="E108" s="145"/>
      <c r="F108" s="145"/>
      <c r="G108" s="145"/>
      <c r="H108" s="145"/>
      <c r="I108" s="145"/>
      <c r="J108" s="145"/>
      <c r="K108" s="145"/>
      <c r="L108" s="145"/>
      <c r="M108" s="145"/>
      <c r="N108" s="145"/>
      <c r="O108" s="145"/>
      <c r="P108" s="145"/>
      <c r="Q108" s="145"/>
      <c r="R108" s="145"/>
      <c r="S108" s="145"/>
      <c r="T108" s="145"/>
      <c r="U108" s="145"/>
      <c r="V108" s="145"/>
      <c r="W108" s="145"/>
      <c r="X108" s="146"/>
      <c r="Y108" s="161"/>
      <c r="Z108" s="143"/>
      <c r="AA108" s="143"/>
      <c r="AB108" s="143"/>
      <c r="AC108" s="143"/>
      <c r="AD108" s="143"/>
      <c r="AE108" s="143"/>
      <c r="AF108" s="63"/>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row>
    <row r="109" spans="1:76" s="64" customFormat="1" ht="15" customHeight="1">
      <c r="A109" s="163"/>
      <c r="B109" s="145"/>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146"/>
      <c r="Y109" s="161"/>
      <c r="Z109" s="143"/>
      <c r="AA109" s="143"/>
      <c r="AB109" s="143"/>
      <c r="AC109" s="143"/>
      <c r="AD109" s="143"/>
      <c r="AE109" s="143"/>
      <c r="AF109" s="63"/>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row>
    <row r="110" spans="1:76" s="64" customFormat="1" ht="15" customHeight="1">
      <c r="A110" s="163"/>
      <c r="B110" s="145"/>
      <c r="C110" s="145"/>
      <c r="D110" s="145"/>
      <c r="E110" s="145"/>
      <c r="F110" s="145"/>
      <c r="G110" s="145"/>
      <c r="H110" s="145"/>
      <c r="I110" s="145"/>
      <c r="J110" s="145"/>
      <c r="K110" s="145"/>
      <c r="L110" s="145"/>
      <c r="M110" s="145"/>
      <c r="N110" s="145"/>
      <c r="O110" s="145"/>
      <c r="P110" s="145"/>
      <c r="Q110" s="145"/>
      <c r="R110" s="145"/>
      <c r="S110" s="145"/>
      <c r="T110" s="145"/>
      <c r="U110" s="145"/>
      <c r="V110" s="145"/>
      <c r="W110" s="145"/>
      <c r="X110" s="146"/>
      <c r="Y110" s="161"/>
      <c r="Z110" s="143"/>
      <c r="AA110" s="143"/>
      <c r="AB110" s="143"/>
      <c r="AC110" s="143"/>
      <c r="AD110" s="143"/>
      <c r="AE110" s="143"/>
      <c r="AF110" s="63"/>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row>
    <row r="111" spans="1:76" s="64" customFormat="1" ht="15" customHeight="1">
      <c r="A111" s="163"/>
      <c r="B111" s="145"/>
      <c r="C111" s="145"/>
      <c r="D111" s="145"/>
      <c r="E111" s="145"/>
      <c r="F111" s="145"/>
      <c r="G111" s="145"/>
      <c r="H111" s="145"/>
      <c r="I111" s="145"/>
      <c r="J111" s="145"/>
      <c r="K111" s="145"/>
      <c r="L111" s="145"/>
      <c r="M111" s="145"/>
      <c r="N111" s="145"/>
      <c r="O111" s="145"/>
      <c r="P111" s="145"/>
      <c r="Q111" s="145"/>
      <c r="R111" s="145"/>
      <c r="S111" s="145"/>
      <c r="T111" s="145"/>
      <c r="U111" s="145"/>
      <c r="V111" s="145"/>
      <c r="W111" s="145"/>
      <c r="X111" s="146"/>
      <c r="Y111" s="161"/>
      <c r="Z111" s="143"/>
      <c r="AA111" s="143"/>
      <c r="AB111" s="143"/>
      <c r="AC111" s="143"/>
      <c r="AD111" s="143"/>
      <c r="AE111" s="14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row>
    <row r="112" spans="1:76" s="64" customFormat="1" ht="15" customHeight="1">
      <c r="A112" s="163"/>
      <c r="B112" s="145"/>
      <c r="C112" s="145"/>
      <c r="D112" s="145"/>
      <c r="E112" s="145"/>
      <c r="F112" s="145"/>
      <c r="G112" s="145"/>
      <c r="H112" s="145"/>
      <c r="I112" s="145"/>
      <c r="J112" s="145"/>
      <c r="K112" s="145"/>
      <c r="L112" s="145"/>
      <c r="M112" s="145"/>
      <c r="N112" s="145"/>
      <c r="O112" s="145"/>
      <c r="P112" s="145"/>
      <c r="Q112" s="145"/>
      <c r="R112" s="145"/>
      <c r="S112" s="145"/>
      <c r="T112" s="145"/>
      <c r="U112" s="145"/>
      <c r="V112" s="145"/>
      <c r="W112" s="145"/>
      <c r="X112" s="146"/>
      <c r="Y112" s="161"/>
      <c r="Z112" s="143"/>
      <c r="AA112" s="143"/>
      <c r="AB112" s="143"/>
      <c r="AC112" s="143"/>
      <c r="AD112" s="143"/>
      <c r="AE112" s="143"/>
      <c r="AF112" s="63"/>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row>
    <row r="113" spans="1:54" s="64" customFormat="1" ht="15" customHeight="1">
      <c r="A113" s="163"/>
      <c r="B113" s="145"/>
      <c r="C113" s="145"/>
      <c r="D113" s="145"/>
      <c r="E113" s="145"/>
      <c r="F113" s="145"/>
      <c r="G113" s="145"/>
      <c r="H113" s="145"/>
      <c r="I113" s="145"/>
      <c r="J113" s="145"/>
      <c r="K113" s="145"/>
      <c r="L113" s="145"/>
      <c r="M113" s="145"/>
      <c r="N113" s="145"/>
      <c r="O113" s="145"/>
      <c r="P113" s="145"/>
      <c r="Q113" s="145"/>
      <c r="R113" s="145"/>
      <c r="S113" s="145"/>
      <c r="T113" s="145"/>
      <c r="U113" s="145"/>
      <c r="V113" s="145"/>
      <c r="W113" s="145"/>
      <c r="X113" s="146"/>
      <c r="Y113" s="161"/>
      <c r="Z113" s="143"/>
      <c r="AA113" s="143"/>
      <c r="AB113" s="143"/>
      <c r="AC113" s="143"/>
      <c r="AD113" s="143"/>
      <c r="AE113" s="143"/>
      <c r="AF113" s="63"/>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row>
    <row r="114" spans="1:54" s="64" customFormat="1" ht="15" customHeight="1">
      <c r="A114" s="163"/>
      <c r="B114" s="145"/>
      <c r="C114" s="145"/>
      <c r="D114" s="145"/>
      <c r="E114" s="145"/>
      <c r="F114" s="145"/>
      <c r="G114" s="145"/>
      <c r="H114" s="145"/>
      <c r="I114" s="145"/>
      <c r="J114" s="145"/>
      <c r="K114" s="145"/>
      <c r="L114" s="145"/>
      <c r="M114" s="145"/>
      <c r="N114" s="145"/>
      <c r="O114" s="145"/>
      <c r="P114" s="145"/>
      <c r="Q114" s="145"/>
      <c r="R114" s="145"/>
      <c r="S114" s="145"/>
      <c r="T114" s="145"/>
      <c r="U114" s="145"/>
      <c r="V114" s="145"/>
      <c r="W114" s="145"/>
      <c r="X114" s="146"/>
      <c r="Y114" s="161"/>
      <c r="Z114" s="143"/>
      <c r="AA114" s="143"/>
      <c r="AB114" s="143"/>
      <c r="AC114" s="143"/>
      <c r="AD114" s="143"/>
      <c r="AE114" s="14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54" s="64" customFormat="1" ht="15" customHeight="1">
      <c r="A115" s="163"/>
      <c r="B115" s="145"/>
      <c r="C115" s="145"/>
      <c r="D115" s="145"/>
      <c r="E115" s="145"/>
      <c r="F115" s="145"/>
      <c r="G115" s="145"/>
      <c r="H115" s="145"/>
      <c r="I115" s="145"/>
      <c r="J115" s="145"/>
      <c r="K115" s="145"/>
      <c r="L115" s="145"/>
      <c r="M115" s="145"/>
      <c r="N115" s="145"/>
      <c r="O115" s="145"/>
      <c r="P115" s="145"/>
      <c r="Q115" s="145"/>
      <c r="R115" s="145"/>
      <c r="S115" s="145"/>
      <c r="T115" s="145"/>
      <c r="U115" s="145"/>
      <c r="V115" s="145"/>
      <c r="W115" s="145"/>
      <c r="X115" s="146"/>
      <c r="Y115" s="161"/>
      <c r="Z115" s="143"/>
      <c r="AA115" s="143"/>
      <c r="AB115" s="143"/>
      <c r="AC115" s="143"/>
      <c r="AD115" s="143"/>
      <c r="AE115" s="143"/>
      <c r="AF115" s="63"/>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row>
    <row r="116" spans="1:54" s="64" customFormat="1" ht="15" customHeight="1">
      <c r="A116" s="163"/>
      <c r="B116" s="145"/>
      <c r="C116" s="145"/>
      <c r="D116" s="145"/>
      <c r="E116" s="145"/>
      <c r="F116" s="145"/>
      <c r="G116" s="145"/>
      <c r="H116" s="145"/>
      <c r="I116" s="145"/>
      <c r="J116" s="145"/>
      <c r="K116" s="145"/>
      <c r="L116" s="145"/>
      <c r="M116" s="145"/>
      <c r="N116" s="145"/>
      <c r="O116" s="145"/>
      <c r="P116" s="145"/>
      <c r="Q116" s="145"/>
      <c r="R116" s="145"/>
      <c r="S116" s="145"/>
      <c r="T116" s="145"/>
      <c r="U116" s="145"/>
      <c r="V116" s="145"/>
      <c r="W116" s="145"/>
      <c r="X116" s="146"/>
      <c r="Y116" s="161"/>
      <c r="Z116" s="143"/>
      <c r="AA116" s="143"/>
      <c r="AB116" s="143"/>
      <c r="AC116" s="143"/>
      <c r="AD116" s="143"/>
      <c r="AE116" s="14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54" s="64" customFormat="1" ht="15" customHeight="1">
      <c r="A117" s="163"/>
      <c r="B117" s="145"/>
      <c r="C117" s="145"/>
      <c r="D117" s="145"/>
      <c r="E117" s="145"/>
      <c r="F117" s="145"/>
      <c r="G117" s="145"/>
      <c r="H117" s="145"/>
      <c r="I117" s="145"/>
      <c r="J117" s="145"/>
      <c r="K117" s="145"/>
      <c r="L117" s="145"/>
      <c r="M117" s="145"/>
      <c r="N117" s="145"/>
      <c r="O117" s="145"/>
      <c r="P117" s="145"/>
      <c r="Q117" s="145"/>
      <c r="R117" s="145"/>
      <c r="S117" s="145"/>
      <c r="T117" s="145"/>
      <c r="U117" s="145"/>
      <c r="V117" s="145"/>
      <c r="W117" s="145"/>
      <c r="X117" s="146"/>
      <c r="Y117" s="161"/>
      <c r="Z117" s="143"/>
      <c r="AA117" s="143"/>
      <c r="AB117" s="143"/>
      <c r="AC117" s="143"/>
      <c r="AD117" s="143"/>
      <c r="AE117" s="14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54" s="64" customFormat="1" ht="15" customHeight="1">
      <c r="A118" s="163"/>
      <c r="B118" s="145"/>
      <c r="C118" s="145"/>
      <c r="D118" s="145"/>
      <c r="E118" s="145"/>
      <c r="F118" s="145"/>
      <c r="G118" s="145"/>
      <c r="H118" s="145"/>
      <c r="I118" s="145"/>
      <c r="J118" s="145"/>
      <c r="K118" s="145"/>
      <c r="L118" s="145"/>
      <c r="M118" s="145"/>
      <c r="N118" s="145"/>
      <c r="O118" s="145"/>
      <c r="P118" s="145"/>
      <c r="Q118" s="145"/>
      <c r="R118" s="145"/>
      <c r="S118" s="145"/>
      <c r="T118" s="145"/>
      <c r="U118" s="145"/>
      <c r="V118" s="145"/>
      <c r="W118" s="145"/>
      <c r="X118" s="146"/>
      <c r="Y118" s="161"/>
      <c r="Z118" s="143"/>
      <c r="AA118" s="143"/>
      <c r="AB118" s="143"/>
      <c r="AC118" s="143"/>
      <c r="AD118" s="143"/>
      <c r="AE118" s="14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54" s="64" customFormat="1" ht="15" customHeight="1">
      <c r="A119" s="163"/>
      <c r="B119" s="145"/>
      <c r="C119" s="145"/>
      <c r="D119" s="145"/>
      <c r="E119" s="145"/>
      <c r="F119" s="145"/>
      <c r="G119" s="145"/>
      <c r="H119" s="145"/>
      <c r="I119" s="145"/>
      <c r="J119" s="145"/>
      <c r="K119" s="145"/>
      <c r="L119" s="145"/>
      <c r="M119" s="145"/>
      <c r="N119" s="145"/>
      <c r="O119" s="145"/>
      <c r="P119" s="145"/>
      <c r="Q119" s="145"/>
      <c r="R119" s="145"/>
      <c r="S119" s="145"/>
      <c r="T119" s="145"/>
      <c r="U119" s="145"/>
      <c r="V119" s="145"/>
      <c r="W119" s="145"/>
      <c r="X119" s="146"/>
      <c r="Y119" s="161"/>
      <c r="Z119" s="143"/>
      <c r="AA119" s="143"/>
      <c r="AB119" s="143"/>
      <c r="AC119" s="143"/>
      <c r="AD119" s="143"/>
      <c r="AE119" s="14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54" s="64" customFormat="1" ht="15" customHeight="1">
      <c r="A120" s="163"/>
      <c r="B120" s="145"/>
      <c r="C120" s="145"/>
      <c r="D120" s="145"/>
      <c r="E120" s="145"/>
      <c r="F120" s="145"/>
      <c r="G120" s="145"/>
      <c r="H120" s="145"/>
      <c r="I120" s="145"/>
      <c r="J120" s="145"/>
      <c r="K120" s="145"/>
      <c r="L120" s="145"/>
      <c r="M120" s="145"/>
      <c r="N120" s="145"/>
      <c r="O120" s="145"/>
      <c r="P120" s="145"/>
      <c r="Q120" s="145"/>
      <c r="R120" s="145"/>
      <c r="S120" s="145"/>
      <c r="T120" s="145"/>
      <c r="U120" s="145"/>
      <c r="V120" s="145"/>
      <c r="W120" s="145"/>
      <c r="X120" s="146"/>
      <c r="Y120" s="161"/>
      <c r="Z120" s="143"/>
      <c r="AA120" s="143"/>
      <c r="AB120" s="143"/>
      <c r="AC120" s="143"/>
      <c r="AD120" s="143"/>
      <c r="AE120" s="14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54" s="64" customFormat="1" ht="15" customHeight="1">
      <c r="A121" s="163"/>
      <c r="B121" s="145"/>
      <c r="C121" s="145"/>
      <c r="D121" s="145"/>
      <c r="E121" s="145"/>
      <c r="F121" s="145"/>
      <c r="G121" s="145"/>
      <c r="H121" s="145"/>
      <c r="I121" s="145"/>
      <c r="J121" s="145"/>
      <c r="K121" s="145"/>
      <c r="L121" s="145"/>
      <c r="M121" s="145"/>
      <c r="N121" s="145"/>
      <c r="O121" s="145"/>
      <c r="P121" s="145"/>
      <c r="Q121" s="145"/>
      <c r="R121" s="145"/>
      <c r="S121" s="145"/>
      <c r="T121" s="145"/>
      <c r="U121" s="145"/>
      <c r="V121" s="145"/>
      <c r="W121" s="145"/>
      <c r="X121" s="146"/>
      <c r="Y121" s="161"/>
      <c r="Z121" s="143"/>
      <c r="AA121" s="143"/>
      <c r="AB121" s="143"/>
      <c r="AC121" s="143"/>
      <c r="AD121" s="143"/>
      <c r="AE121" s="14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54" s="64" customFormat="1" ht="15" customHeight="1">
      <c r="A122" s="163"/>
      <c r="B122" s="145"/>
      <c r="C122" s="145"/>
      <c r="D122" s="145"/>
      <c r="E122" s="145"/>
      <c r="F122" s="145"/>
      <c r="G122" s="145"/>
      <c r="H122" s="145"/>
      <c r="I122" s="145"/>
      <c r="J122" s="145"/>
      <c r="K122" s="145"/>
      <c r="L122" s="145"/>
      <c r="M122" s="145"/>
      <c r="N122" s="145"/>
      <c r="O122" s="145"/>
      <c r="P122" s="145"/>
      <c r="Q122" s="145"/>
      <c r="R122" s="145"/>
      <c r="S122" s="145"/>
      <c r="T122" s="145"/>
      <c r="U122" s="145"/>
      <c r="V122" s="145"/>
      <c r="W122" s="145"/>
      <c r="X122" s="146"/>
      <c r="Y122" s="161"/>
      <c r="Z122" s="143"/>
      <c r="AA122" s="143"/>
      <c r="AB122" s="143"/>
      <c r="AC122" s="143"/>
      <c r="AD122" s="143"/>
      <c r="AE122" s="14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54" s="64" customFormat="1" ht="15" customHeight="1">
      <c r="A123" s="142"/>
      <c r="B123" s="164"/>
      <c r="C123" s="164"/>
      <c r="D123" s="164"/>
      <c r="E123" s="164"/>
      <c r="F123" s="164"/>
      <c r="G123" s="164"/>
      <c r="H123" s="164"/>
      <c r="I123" s="164"/>
      <c r="J123" s="164"/>
      <c r="K123" s="164"/>
      <c r="L123" s="164"/>
      <c r="M123" s="164"/>
      <c r="N123" s="164"/>
      <c r="O123" s="164"/>
      <c r="P123" s="164"/>
      <c r="Q123" s="164"/>
      <c r="R123" s="164"/>
      <c r="S123" s="164"/>
      <c r="T123" s="164"/>
      <c r="U123" s="164"/>
      <c r="V123" s="164"/>
      <c r="W123" s="164"/>
      <c r="X123" s="165"/>
      <c r="Y123" s="143"/>
      <c r="Z123" s="143"/>
      <c r="AA123" s="143"/>
      <c r="AB123" s="143"/>
      <c r="AC123" s="143"/>
      <c r="AD123" s="143"/>
      <c r="AE123" s="14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54" s="64" customFormat="1" ht="15" customHeight="1">
      <c r="X124" s="67"/>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54" s="64" customFormat="1" ht="15" customHeight="1">
      <c r="X125" s="67"/>
      <c r="Y125" s="63"/>
      <c r="Z125" s="63"/>
      <c r="AA125" s="63"/>
      <c r="AB125" s="63"/>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54" s="64" customFormat="1" ht="15" customHeight="1">
      <c r="X126" s="68"/>
      <c r="Y126" s="69"/>
      <c r="Z126" s="69"/>
      <c r="AA126" s="69"/>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54" s="64" customFormat="1" ht="15" customHeight="1">
      <c r="X127" s="70"/>
      <c r="Y127" s="69"/>
      <c r="Z127" s="69"/>
      <c r="AA127" s="69"/>
      <c r="AB127" s="63"/>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54" s="64" customFormat="1" ht="15" customHeight="1">
      <c r="C128" s="151"/>
      <c r="D128" s="152"/>
      <c r="E128" s="152"/>
      <c r="F128" s="152"/>
      <c r="G128" s="152"/>
      <c r="H128" s="152"/>
      <c r="I128" s="152"/>
      <c r="J128" s="152"/>
      <c r="K128" s="152"/>
      <c r="L128" s="152"/>
      <c r="M128" s="152"/>
      <c r="N128" s="152"/>
      <c r="O128" s="152"/>
      <c r="P128" s="152"/>
      <c r="Q128" s="152"/>
      <c r="R128" s="152"/>
      <c r="S128" s="152"/>
      <c r="T128" s="152"/>
      <c r="U128" s="152"/>
      <c r="V128" s="152"/>
      <c r="W128" s="152"/>
      <c r="X128" s="70"/>
      <c r="Y128" s="69"/>
      <c r="Z128" s="69"/>
      <c r="AA128" s="69"/>
      <c r="AB128" s="63"/>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3:54" s="64" customFormat="1" ht="15" customHeight="1">
      <c r="C129" s="152" t="str">
        <f>'IB - B&amp;D&amp;H'!B25</f>
        <v>Samlede akkumulerede omkostninger</v>
      </c>
      <c r="D129" s="152"/>
      <c r="E129" s="151" t="str">
        <f>'IB - B&amp;D&amp;H'!E25</f>
        <v>PRODUKT 1</v>
      </c>
      <c r="F129" s="151"/>
      <c r="G129" s="151" t="str">
        <f>'IB - B&amp;D&amp;H'!G25</f>
        <v>PRODUKT 2</v>
      </c>
      <c r="H129" s="151"/>
      <c r="I129" s="151" t="str">
        <f>'IB - B&amp;D&amp;H'!I25</f>
        <v>PRODUKT 3</v>
      </c>
      <c r="J129" s="151"/>
      <c r="K129" s="151" t="str">
        <f>'IB - B&amp;D&amp;H'!K25</f>
        <v>PRODUKT 4</v>
      </c>
      <c r="L129" s="151"/>
      <c r="M129" s="151" t="str">
        <f>'IB - B&amp;D&amp;H'!M25</f>
        <v>PRODUKT 5</v>
      </c>
      <c r="N129" s="151"/>
      <c r="O129" s="151" t="str">
        <f>'IB - B&amp;D&amp;H'!O25</f>
        <v>PRODUKT 6</v>
      </c>
      <c r="P129" s="151"/>
      <c r="Q129" s="151" t="str">
        <f>'IB - B&amp;D&amp;H'!Q25</f>
        <v>PRODUKT 7</v>
      </c>
      <c r="R129" s="151"/>
      <c r="S129" s="151" t="str">
        <f>'IB - B&amp;D&amp;H'!S25</f>
        <v>PRODUKT 8</v>
      </c>
      <c r="T129" s="151"/>
      <c r="U129" s="151"/>
      <c r="V129" s="151"/>
      <c r="W129" s="495"/>
      <c r="X129" s="496"/>
      <c r="Y129" s="497"/>
      <c r="Z129" s="497"/>
      <c r="AA129" s="498"/>
      <c r="AB129" s="498"/>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3:54" s="64" customFormat="1" ht="15" customHeight="1">
      <c r="C130" s="152"/>
      <c r="D130" s="152"/>
      <c r="E130" s="151">
        <f>'IB - B&amp;D&amp;H'!E26</f>
        <v>0</v>
      </c>
      <c r="F130" s="151"/>
      <c r="G130" s="151">
        <f>'IB - B&amp;D&amp;H'!G26</f>
        <v>0</v>
      </c>
      <c r="H130" s="151"/>
      <c r="I130" s="151">
        <f>'IB - B&amp;D&amp;H'!I26</f>
        <v>0</v>
      </c>
      <c r="J130" s="151"/>
      <c r="K130" s="151">
        <f>'IB - B&amp;D&amp;H'!K26</f>
        <v>0</v>
      </c>
      <c r="L130" s="151"/>
      <c r="M130" s="151">
        <f>'IB - B&amp;D&amp;H'!M26</f>
        <v>0</v>
      </c>
      <c r="N130" s="151"/>
      <c r="O130" s="151">
        <f>'IB - B&amp;D&amp;H'!O26</f>
        <v>0</v>
      </c>
      <c r="P130" s="151"/>
      <c r="Q130" s="151">
        <f>'IB - B&amp;D&amp;H'!Q26</f>
        <v>0</v>
      </c>
      <c r="R130" s="151"/>
      <c r="S130" s="151">
        <f>'IB - B&amp;D&amp;H'!S26</f>
        <v>0</v>
      </c>
      <c r="T130" s="151"/>
      <c r="U130" s="151"/>
      <c r="V130" s="151"/>
      <c r="W130" s="495"/>
      <c r="X130" s="496"/>
      <c r="Y130" s="497"/>
      <c r="Z130" s="497"/>
      <c r="AA130" s="497"/>
      <c r="AB130" s="498"/>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3:54" s="64" customFormat="1" ht="15" customHeight="1">
      <c r="C131" s="152"/>
      <c r="D131" s="152"/>
      <c r="E131" s="151">
        <f>'IB - B&amp;D&amp;H'!E27</f>
        <v>0</v>
      </c>
      <c r="F131" s="151"/>
      <c r="G131" s="151">
        <f>'IB - B&amp;D&amp;H'!G27</f>
        <v>0</v>
      </c>
      <c r="H131" s="151"/>
      <c r="I131" s="151">
        <f>'IB - B&amp;D&amp;H'!I27</f>
        <v>0</v>
      </c>
      <c r="J131" s="151"/>
      <c r="K131" s="151">
        <f>'IB - B&amp;D&amp;H'!K27</f>
        <v>0</v>
      </c>
      <c r="L131" s="151"/>
      <c r="M131" s="151">
        <f>'IB - B&amp;D&amp;H'!M27</f>
        <v>0</v>
      </c>
      <c r="N131" s="151"/>
      <c r="O131" s="151">
        <f>'IB - B&amp;D&amp;H'!O27</f>
        <v>0</v>
      </c>
      <c r="P131" s="151"/>
      <c r="Q131" s="151">
        <f>'IB - B&amp;D&amp;H'!Q27</f>
        <v>0</v>
      </c>
      <c r="R131" s="151"/>
      <c r="S131" s="151">
        <f>'IB - B&amp;D&amp;H'!S27</f>
        <v>0</v>
      </c>
      <c r="T131" s="151"/>
      <c r="U131" s="151"/>
      <c r="V131" s="151"/>
      <c r="W131" s="495"/>
      <c r="X131" s="496"/>
      <c r="Y131" s="497"/>
      <c r="Z131" s="497"/>
      <c r="AA131" s="499"/>
      <c r="AB131" s="501"/>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3:54" s="64" customFormat="1" ht="15" customHeight="1">
      <c r="C132" s="152"/>
      <c r="D132" s="152"/>
      <c r="E132" s="151">
        <f>'IB - B&amp;D&amp;H'!E28</f>
        <v>0</v>
      </c>
      <c r="F132" s="151"/>
      <c r="G132" s="151">
        <f>'IB - B&amp;D&amp;H'!G28</f>
        <v>0</v>
      </c>
      <c r="H132" s="151"/>
      <c r="I132" s="151">
        <f>'IB - B&amp;D&amp;H'!I28</f>
        <v>0</v>
      </c>
      <c r="J132" s="151"/>
      <c r="K132" s="151">
        <f>'IB - B&amp;D&amp;H'!K28</f>
        <v>0</v>
      </c>
      <c r="L132" s="151"/>
      <c r="M132" s="151">
        <f>'IB - B&amp;D&amp;H'!M28</f>
        <v>0</v>
      </c>
      <c r="N132" s="151"/>
      <c r="O132" s="151">
        <f>'IB - B&amp;D&amp;H'!O28</f>
        <v>0</v>
      </c>
      <c r="P132" s="151"/>
      <c r="Q132" s="151">
        <f>'IB - B&amp;D&amp;H'!Q28</f>
        <v>0</v>
      </c>
      <c r="R132" s="151"/>
      <c r="S132" s="151">
        <f>'IB - B&amp;D&amp;H'!S28</f>
        <v>0</v>
      </c>
      <c r="T132" s="151"/>
      <c r="U132" s="151"/>
      <c r="V132" s="151"/>
      <c r="W132" s="495"/>
      <c r="X132" s="496"/>
      <c r="Y132" s="497"/>
      <c r="Z132" s="497"/>
      <c r="AA132" s="499"/>
      <c r="AB132" s="501"/>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3:54" s="64" customFormat="1" ht="15" customHeight="1">
      <c r="C133" s="152"/>
      <c r="D133" s="152"/>
      <c r="E133" s="151">
        <f>'IB - B&amp;D&amp;H'!E29</f>
        <v>0</v>
      </c>
      <c r="F133" s="151"/>
      <c r="G133" s="151">
        <f>'IB - B&amp;D&amp;H'!G29</f>
        <v>0</v>
      </c>
      <c r="H133" s="151"/>
      <c r="I133" s="151">
        <f>'IB - B&amp;D&amp;H'!I29</f>
        <v>0</v>
      </c>
      <c r="J133" s="151"/>
      <c r="K133" s="151">
        <f>'IB - B&amp;D&amp;H'!K29</f>
        <v>0</v>
      </c>
      <c r="L133" s="151"/>
      <c r="M133" s="151">
        <f>'IB - B&amp;D&amp;H'!M29</f>
        <v>0</v>
      </c>
      <c r="N133" s="151"/>
      <c r="O133" s="151">
        <f>'IB - B&amp;D&amp;H'!O29</f>
        <v>0</v>
      </c>
      <c r="P133" s="151"/>
      <c r="Q133" s="151">
        <f>'IB - B&amp;D&amp;H'!Q29</f>
        <v>0</v>
      </c>
      <c r="R133" s="151"/>
      <c r="S133" s="151">
        <f>'IB - B&amp;D&amp;H'!S29</f>
        <v>0</v>
      </c>
      <c r="T133" s="151"/>
      <c r="U133" s="151"/>
      <c r="V133" s="151"/>
      <c r="W133" s="495"/>
      <c r="X133" s="496"/>
      <c r="Y133" s="497"/>
      <c r="Z133" s="497"/>
      <c r="AA133" s="499"/>
      <c r="AB133" s="501"/>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3:54" s="64" customFormat="1" ht="15" customHeight="1">
      <c r="C134" s="152"/>
      <c r="D134" s="152"/>
      <c r="E134" s="151">
        <f>'IB - B&amp;D&amp;H'!E30</f>
        <v>0</v>
      </c>
      <c r="F134" s="151"/>
      <c r="G134" s="151">
        <f>'IB - B&amp;D&amp;H'!G30</f>
        <v>0</v>
      </c>
      <c r="H134" s="151"/>
      <c r="I134" s="151">
        <f>'IB - B&amp;D&amp;H'!I30</f>
        <v>0</v>
      </c>
      <c r="J134" s="151"/>
      <c r="K134" s="151">
        <f>'IB - B&amp;D&amp;H'!K30</f>
        <v>0</v>
      </c>
      <c r="L134" s="151"/>
      <c r="M134" s="151">
        <f>'IB - B&amp;D&amp;H'!M30</f>
        <v>0</v>
      </c>
      <c r="N134" s="151"/>
      <c r="O134" s="151">
        <f>'IB - B&amp;D&amp;H'!O30</f>
        <v>0</v>
      </c>
      <c r="P134" s="151"/>
      <c r="Q134" s="151">
        <f>'IB - B&amp;D&amp;H'!Q30</f>
        <v>0</v>
      </c>
      <c r="R134" s="151"/>
      <c r="S134" s="151">
        <f>'IB - B&amp;D&amp;H'!S30</f>
        <v>0</v>
      </c>
      <c r="T134" s="151"/>
      <c r="U134" s="151"/>
      <c r="V134" s="151"/>
      <c r="W134" s="495"/>
      <c r="X134" s="496"/>
      <c r="Y134" s="497"/>
      <c r="Z134" s="497"/>
      <c r="AA134" s="499"/>
      <c r="AB134" s="501"/>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3:54" s="64" customFormat="1" ht="15" customHeight="1">
      <c r="C135" s="152"/>
      <c r="D135" s="152"/>
      <c r="E135" s="151">
        <f>'IB - B&amp;D&amp;H'!E31</f>
        <v>0</v>
      </c>
      <c r="F135" s="151"/>
      <c r="G135" s="151">
        <f>'IB - B&amp;D&amp;H'!G31</f>
        <v>0</v>
      </c>
      <c r="H135" s="151"/>
      <c r="I135" s="151">
        <f>'IB - B&amp;D&amp;H'!I31</f>
        <v>0</v>
      </c>
      <c r="J135" s="151"/>
      <c r="K135" s="151">
        <f>'IB - B&amp;D&amp;H'!K31</f>
        <v>0</v>
      </c>
      <c r="L135" s="151"/>
      <c r="M135" s="151">
        <f>'IB - B&amp;D&amp;H'!M31</f>
        <v>0</v>
      </c>
      <c r="N135" s="151"/>
      <c r="O135" s="151">
        <f>'IB - B&amp;D&amp;H'!O31</f>
        <v>0</v>
      </c>
      <c r="P135" s="151"/>
      <c r="Q135" s="151">
        <f>'IB - B&amp;D&amp;H'!Q31</f>
        <v>0</v>
      </c>
      <c r="R135" s="151"/>
      <c r="S135" s="151">
        <f>'IB - B&amp;D&amp;H'!S31</f>
        <v>0</v>
      </c>
      <c r="T135" s="151"/>
      <c r="U135" s="151"/>
      <c r="V135" s="151"/>
      <c r="W135" s="495"/>
      <c r="X135" s="496"/>
      <c r="Y135" s="497"/>
      <c r="Z135" s="497"/>
      <c r="AA135" s="499"/>
      <c r="AB135" s="501"/>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3:54" s="64" customFormat="1" ht="15" customHeight="1">
      <c r="C136" s="152"/>
      <c r="D136" s="152"/>
      <c r="E136" s="151">
        <f>'IB - B&amp;D&amp;H'!E32</f>
        <v>0</v>
      </c>
      <c r="F136" s="151"/>
      <c r="G136" s="151">
        <f>'IB - B&amp;D&amp;H'!G32</f>
        <v>0</v>
      </c>
      <c r="H136" s="151"/>
      <c r="I136" s="151">
        <f>'IB - B&amp;D&amp;H'!I32</f>
        <v>0</v>
      </c>
      <c r="J136" s="151"/>
      <c r="K136" s="151">
        <f>'IB - B&amp;D&amp;H'!K32</f>
        <v>0</v>
      </c>
      <c r="L136" s="151"/>
      <c r="M136" s="151">
        <f>'IB - B&amp;D&amp;H'!M32</f>
        <v>0</v>
      </c>
      <c r="N136" s="151"/>
      <c r="O136" s="151">
        <f>'IB - B&amp;D&amp;H'!O32</f>
        <v>0</v>
      </c>
      <c r="P136" s="151"/>
      <c r="Q136" s="151">
        <f>'IB - B&amp;D&amp;H'!Q32</f>
        <v>0</v>
      </c>
      <c r="R136" s="151"/>
      <c r="S136" s="151">
        <f>'IB - B&amp;D&amp;H'!S32</f>
        <v>0</v>
      </c>
      <c r="T136" s="151"/>
      <c r="U136" s="151"/>
      <c r="V136" s="151"/>
      <c r="W136" s="495"/>
      <c r="X136" s="496"/>
      <c r="Y136" s="497"/>
      <c r="Z136" s="497"/>
      <c r="AA136" s="499"/>
      <c r="AB136" s="501"/>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3:54" s="64" customFormat="1" ht="15" customHeight="1">
      <c r="C137" s="152"/>
      <c r="D137" s="152"/>
      <c r="E137" s="151">
        <f>'IB - B&amp;D&amp;H'!E33</f>
        <v>0</v>
      </c>
      <c r="F137" s="151"/>
      <c r="G137" s="151">
        <f>'IB - B&amp;D&amp;H'!G33</f>
        <v>0</v>
      </c>
      <c r="H137" s="151"/>
      <c r="I137" s="151">
        <f>'IB - B&amp;D&amp;H'!I33</f>
        <v>0</v>
      </c>
      <c r="J137" s="151"/>
      <c r="K137" s="151">
        <f>'IB - B&amp;D&amp;H'!K33</f>
        <v>0</v>
      </c>
      <c r="L137" s="151"/>
      <c r="M137" s="151">
        <f>'IB - B&amp;D&amp;H'!M33</f>
        <v>0</v>
      </c>
      <c r="N137" s="151"/>
      <c r="O137" s="151">
        <f>'IB - B&amp;D&amp;H'!O33</f>
        <v>0</v>
      </c>
      <c r="P137" s="151"/>
      <c r="Q137" s="151">
        <f>'IB - B&amp;D&amp;H'!Q33</f>
        <v>0</v>
      </c>
      <c r="R137" s="151"/>
      <c r="S137" s="151">
        <f>'IB - B&amp;D&amp;H'!S33</f>
        <v>0</v>
      </c>
      <c r="T137" s="151"/>
      <c r="U137" s="151"/>
      <c r="V137" s="151"/>
      <c r="W137" s="495"/>
      <c r="X137" s="496"/>
      <c r="Y137" s="497"/>
      <c r="Z137" s="497"/>
      <c r="AA137" s="499"/>
      <c r="AB137" s="501"/>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3:54" s="64" customFormat="1" ht="15" customHeight="1">
      <c r="C138" s="152"/>
      <c r="D138" s="152"/>
      <c r="E138" s="151">
        <f>'IB - B&amp;D&amp;H'!E34</f>
        <v>0</v>
      </c>
      <c r="F138" s="151"/>
      <c r="G138" s="151">
        <f>'IB - B&amp;D&amp;H'!G34</f>
        <v>0</v>
      </c>
      <c r="H138" s="151"/>
      <c r="I138" s="151">
        <f>'IB - B&amp;D&amp;H'!I34</f>
        <v>0</v>
      </c>
      <c r="J138" s="151"/>
      <c r="K138" s="151">
        <f>'IB - B&amp;D&amp;H'!K34</f>
        <v>0</v>
      </c>
      <c r="L138" s="151"/>
      <c r="M138" s="151">
        <f>'IB - B&amp;D&amp;H'!M34</f>
        <v>0</v>
      </c>
      <c r="N138" s="151"/>
      <c r="O138" s="151">
        <f>'IB - B&amp;D&amp;H'!O34</f>
        <v>0</v>
      </c>
      <c r="P138" s="151"/>
      <c r="Q138" s="151">
        <f>'IB - B&amp;D&amp;H'!Q34</f>
        <v>0</v>
      </c>
      <c r="R138" s="151"/>
      <c r="S138" s="151">
        <f>'IB - B&amp;D&amp;H'!S34</f>
        <v>0</v>
      </c>
      <c r="T138" s="151"/>
      <c r="U138" s="151"/>
      <c r="V138" s="151"/>
      <c r="W138" s="151"/>
      <c r="X138" s="70"/>
      <c r="Y138" s="69"/>
      <c r="Z138" s="69"/>
      <c r="AA138" s="500"/>
      <c r="AB138" s="502"/>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3:54" s="64" customFormat="1" ht="15" customHeight="1">
      <c r="C139" s="152"/>
      <c r="D139" s="152"/>
      <c r="E139" s="151">
        <f>'IB - B&amp;D&amp;H'!E35</f>
        <v>0</v>
      </c>
      <c r="F139" s="151"/>
      <c r="G139" s="151">
        <f>'IB - B&amp;D&amp;H'!G35</f>
        <v>0</v>
      </c>
      <c r="H139" s="151"/>
      <c r="I139" s="151">
        <f>'IB - B&amp;D&amp;H'!I35</f>
        <v>0</v>
      </c>
      <c r="J139" s="151"/>
      <c r="K139" s="151">
        <f>'IB - B&amp;D&amp;H'!K35</f>
        <v>0</v>
      </c>
      <c r="L139" s="151"/>
      <c r="M139" s="151">
        <f>'IB - B&amp;D&amp;H'!M35</f>
        <v>0</v>
      </c>
      <c r="N139" s="151"/>
      <c r="O139" s="151">
        <f>'IB - B&amp;D&amp;H'!O35</f>
        <v>0</v>
      </c>
      <c r="P139" s="151"/>
      <c r="Q139" s="151">
        <f>'IB - B&amp;D&amp;H'!Q35</f>
        <v>0</v>
      </c>
      <c r="R139" s="151"/>
      <c r="S139" s="151">
        <f>'IB - B&amp;D&amp;H'!S35</f>
        <v>0</v>
      </c>
      <c r="T139" s="151"/>
      <c r="U139" s="151"/>
      <c r="V139" s="151"/>
      <c r="W139" s="151"/>
      <c r="X139" s="70"/>
      <c r="Y139" s="69"/>
      <c r="Z139" s="69"/>
      <c r="AA139" s="500"/>
      <c r="AB139" s="502"/>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3:54" s="64" customFormat="1" ht="15" customHeight="1">
      <c r="C140" s="152"/>
      <c r="D140" s="152"/>
      <c r="E140" s="151">
        <f>'IB - B&amp;D&amp;H'!E36</f>
        <v>0</v>
      </c>
      <c r="F140" s="151"/>
      <c r="G140" s="151">
        <f>'IB - B&amp;D&amp;H'!G36</f>
        <v>0</v>
      </c>
      <c r="H140" s="151"/>
      <c r="I140" s="151">
        <f>'IB - B&amp;D&amp;H'!I36</f>
        <v>0</v>
      </c>
      <c r="J140" s="151"/>
      <c r="K140" s="151">
        <f>'IB - B&amp;D&amp;H'!K36</f>
        <v>0</v>
      </c>
      <c r="L140" s="151"/>
      <c r="M140" s="151">
        <f>'IB - B&amp;D&amp;H'!M36</f>
        <v>0</v>
      </c>
      <c r="N140" s="151"/>
      <c r="O140" s="151">
        <f>'IB - B&amp;D&amp;H'!O36</f>
        <v>0</v>
      </c>
      <c r="P140" s="151"/>
      <c r="Q140" s="151">
        <f>'IB - B&amp;D&amp;H'!Q36</f>
        <v>0</v>
      </c>
      <c r="R140" s="151"/>
      <c r="S140" s="151">
        <f>'IB - B&amp;D&amp;H'!S36</f>
        <v>0</v>
      </c>
      <c r="T140" s="151"/>
      <c r="U140" s="151"/>
      <c r="V140" s="151"/>
      <c r="W140" s="151"/>
      <c r="X140" s="70"/>
      <c r="Y140" s="69"/>
      <c r="Z140" s="69"/>
      <c r="AA140" s="500"/>
      <c r="AB140" s="502"/>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3:54" s="64" customFormat="1" ht="15" customHeight="1">
      <c r="C141" s="152"/>
      <c r="D141" s="152"/>
      <c r="E141" s="151">
        <f>'IB - B&amp;D&amp;H'!E37</f>
        <v>0</v>
      </c>
      <c r="F141" s="151"/>
      <c r="G141" s="151">
        <f>'IB - B&amp;D&amp;H'!G37</f>
        <v>0</v>
      </c>
      <c r="H141" s="151"/>
      <c r="I141" s="151">
        <f>'IB - B&amp;D&amp;H'!I37</f>
        <v>0</v>
      </c>
      <c r="J141" s="151"/>
      <c r="K141" s="151">
        <f>'IB - B&amp;D&amp;H'!K37</f>
        <v>0</v>
      </c>
      <c r="L141" s="151"/>
      <c r="M141" s="151">
        <f>'IB - B&amp;D&amp;H'!M37</f>
        <v>0</v>
      </c>
      <c r="N141" s="151"/>
      <c r="O141" s="151">
        <f>'IB - B&amp;D&amp;H'!O37</f>
        <v>0</v>
      </c>
      <c r="P141" s="151"/>
      <c r="Q141" s="151">
        <f>'IB - B&amp;D&amp;H'!Q37</f>
        <v>0</v>
      </c>
      <c r="R141" s="151"/>
      <c r="S141" s="151">
        <f>'IB - B&amp;D&amp;H'!S37</f>
        <v>0</v>
      </c>
      <c r="T141" s="151"/>
      <c r="U141" s="151"/>
      <c r="V141" s="151"/>
      <c r="W141" s="151"/>
      <c r="X141" s="70"/>
      <c r="Y141" s="69"/>
      <c r="Z141" s="69"/>
      <c r="AA141" s="69"/>
      <c r="AB141" s="63"/>
      <c r="AC141" s="63"/>
      <c r="AD141" s="63"/>
      <c r="AE141" s="63"/>
      <c r="AF141" s="63"/>
      <c r="AG141" s="63"/>
      <c r="AH141" s="6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3:54" s="64" customFormat="1" ht="15" customHeight="1">
      <c r="C142" s="152"/>
      <c r="D142" s="152"/>
      <c r="E142" s="151">
        <f>'IB - B&amp;D&amp;H'!E38</f>
        <v>0</v>
      </c>
      <c r="F142" s="151"/>
      <c r="G142" s="151">
        <f>'IB - B&amp;D&amp;H'!G38</f>
        <v>0</v>
      </c>
      <c r="H142" s="151"/>
      <c r="I142" s="151">
        <f>'IB - B&amp;D&amp;H'!I38</f>
        <v>0</v>
      </c>
      <c r="J142" s="151"/>
      <c r="K142" s="151">
        <f>'IB - B&amp;D&amp;H'!K38</f>
        <v>0</v>
      </c>
      <c r="L142" s="151"/>
      <c r="M142" s="151">
        <f>'IB - B&amp;D&amp;H'!M38</f>
        <v>0</v>
      </c>
      <c r="N142" s="151"/>
      <c r="O142" s="151">
        <f>'IB - B&amp;D&amp;H'!O38</f>
        <v>0</v>
      </c>
      <c r="P142" s="151"/>
      <c r="Q142" s="151">
        <f>'IB - B&amp;D&amp;H'!Q38</f>
        <v>0</v>
      </c>
      <c r="R142" s="151"/>
      <c r="S142" s="151">
        <f>'IB - B&amp;D&amp;H'!S38</f>
        <v>0</v>
      </c>
      <c r="T142" s="151"/>
      <c r="U142" s="151"/>
      <c r="V142" s="151"/>
      <c r="W142" s="151"/>
      <c r="X142" s="70"/>
      <c r="Y142" s="69"/>
      <c r="Z142" s="69"/>
      <c r="AA142" s="69"/>
      <c r="AB142" s="63"/>
      <c r="AC142" s="63"/>
      <c r="AD142" s="63"/>
      <c r="AE142" s="63"/>
      <c r="AF142" s="63"/>
      <c r="AG142" s="63"/>
      <c r="AH142" s="6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3:54" s="64" customFormat="1" ht="15" customHeight="1">
      <c r="C143" s="152"/>
      <c r="D143" s="152"/>
      <c r="E143" s="151">
        <f>'IB - B&amp;D&amp;H'!E39</f>
        <v>0</v>
      </c>
      <c r="F143" s="151"/>
      <c r="G143" s="151">
        <f>'IB - B&amp;D&amp;H'!G39</f>
        <v>0</v>
      </c>
      <c r="H143" s="151"/>
      <c r="I143" s="151">
        <f>'IB - B&amp;D&amp;H'!I39</f>
        <v>0</v>
      </c>
      <c r="J143" s="151"/>
      <c r="K143" s="151">
        <f>'IB - B&amp;D&amp;H'!K39</f>
        <v>0</v>
      </c>
      <c r="L143" s="151"/>
      <c r="M143" s="151">
        <f>'IB - B&amp;D&amp;H'!M39</f>
        <v>0</v>
      </c>
      <c r="N143" s="151"/>
      <c r="O143" s="151">
        <f>'IB - B&amp;D&amp;H'!O39</f>
        <v>0</v>
      </c>
      <c r="P143" s="151"/>
      <c r="Q143" s="151">
        <f>'IB - B&amp;D&amp;H'!Q39</f>
        <v>0</v>
      </c>
      <c r="R143" s="151"/>
      <c r="S143" s="151">
        <f>'IB - B&amp;D&amp;H'!S39</f>
        <v>0</v>
      </c>
      <c r="T143" s="151"/>
      <c r="U143" s="151"/>
      <c r="V143" s="151"/>
      <c r="W143" s="151"/>
      <c r="X143" s="70"/>
      <c r="Y143" s="69"/>
      <c r="Z143" s="69"/>
      <c r="AA143" s="69"/>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3:54" s="64" customFormat="1" ht="15" customHeight="1">
      <c r="C144" s="152"/>
      <c r="D144" s="152"/>
      <c r="E144" s="151">
        <f>'IB - B&amp;D&amp;H'!E40</f>
        <v>0</v>
      </c>
      <c r="F144" s="151"/>
      <c r="G144" s="151">
        <f>'IB - B&amp;D&amp;H'!G40</f>
        <v>0</v>
      </c>
      <c r="H144" s="151"/>
      <c r="I144" s="151">
        <f>'IB - B&amp;D&amp;H'!I40</f>
        <v>0</v>
      </c>
      <c r="J144" s="151"/>
      <c r="K144" s="151">
        <f>'IB - B&amp;D&amp;H'!K40</f>
        <v>0</v>
      </c>
      <c r="L144" s="151"/>
      <c r="M144" s="151">
        <f>'IB - B&amp;D&amp;H'!M40</f>
        <v>0</v>
      </c>
      <c r="N144" s="151"/>
      <c r="O144" s="151">
        <f>'IB - B&amp;D&amp;H'!O40</f>
        <v>0</v>
      </c>
      <c r="P144" s="151"/>
      <c r="Q144" s="151">
        <f>'IB - B&amp;D&amp;H'!Q40</f>
        <v>0</v>
      </c>
      <c r="R144" s="151"/>
      <c r="S144" s="151">
        <f>'IB - B&amp;D&amp;H'!S40</f>
        <v>0</v>
      </c>
      <c r="T144" s="151"/>
      <c r="U144" s="151"/>
      <c r="V144" s="151"/>
      <c r="W144" s="151"/>
      <c r="X144" s="70"/>
      <c r="Y144" s="69"/>
      <c r="Z144" s="69"/>
      <c r="AA144" s="69"/>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1:76" s="64" customFormat="1" ht="15" customHeight="1">
      <c r="C145" s="152"/>
      <c r="D145" s="152"/>
      <c r="E145" s="151">
        <f>'IB - B&amp;D&amp;H'!E41</f>
        <v>0</v>
      </c>
      <c r="F145" s="151"/>
      <c r="G145" s="151">
        <f>'IB - B&amp;D&amp;H'!G41</f>
        <v>0</v>
      </c>
      <c r="H145" s="151"/>
      <c r="I145" s="151">
        <f>'IB - B&amp;D&amp;H'!I41</f>
        <v>0</v>
      </c>
      <c r="J145" s="151"/>
      <c r="K145" s="151">
        <f>'IB - B&amp;D&amp;H'!K41</f>
        <v>0</v>
      </c>
      <c r="L145" s="151"/>
      <c r="M145" s="151">
        <f>'IB - B&amp;D&amp;H'!M41</f>
        <v>0</v>
      </c>
      <c r="N145" s="151"/>
      <c r="O145" s="151">
        <f>'IB - B&amp;D&amp;H'!O41</f>
        <v>0</v>
      </c>
      <c r="P145" s="151"/>
      <c r="Q145" s="151">
        <f>'IB - B&amp;D&amp;H'!Q41</f>
        <v>0</v>
      </c>
      <c r="R145" s="151"/>
      <c r="S145" s="151">
        <f>'IB - B&amp;D&amp;H'!S41</f>
        <v>0</v>
      </c>
      <c r="T145" s="151"/>
      <c r="U145" s="151"/>
      <c r="V145" s="151"/>
      <c r="W145" s="151"/>
      <c r="X145" s="70"/>
      <c r="Y145" s="69"/>
      <c r="Z145" s="69"/>
      <c r="AA145" s="69"/>
      <c r="AB145" s="6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1:76" s="64" customFormat="1" ht="15" customHeight="1">
      <c r="A146" s="62"/>
      <c r="B146" s="62"/>
      <c r="C146" s="153"/>
      <c r="D146" s="153"/>
      <c r="E146" s="151">
        <f>'IB - B&amp;D&amp;H'!E42</f>
        <v>0</v>
      </c>
      <c r="F146" s="151"/>
      <c r="G146" s="151">
        <f>'IB - B&amp;D&amp;H'!G42</f>
        <v>0</v>
      </c>
      <c r="H146" s="151"/>
      <c r="I146" s="151">
        <f>'IB - B&amp;D&amp;H'!I42</f>
        <v>0</v>
      </c>
      <c r="J146" s="151"/>
      <c r="K146" s="151">
        <f>'IB - B&amp;D&amp;H'!K42</f>
        <v>0</v>
      </c>
      <c r="L146" s="151"/>
      <c r="M146" s="151">
        <f>'IB - B&amp;D&amp;H'!M42</f>
        <v>0</v>
      </c>
      <c r="N146" s="151"/>
      <c r="O146" s="151">
        <f>'IB - B&amp;D&amp;H'!O42</f>
        <v>0</v>
      </c>
      <c r="P146" s="151"/>
      <c r="Q146" s="151">
        <f>'IB - B&amp;D&amp;H'!Q42</f>
        <v>0</v>
      </c>
      <c r="R146" s="151"/>
      <c r="S146" s="151">
        <f>'IB - B&amp;D&amp;H'!S42</f>
        <v>0</v>
      </c>
      <c r="T146" s="151"/>
      <c r="U146" s="151"/>
      <c r="V146" s="151"/>
      <c r="W146" s="151"/>
      <c r="X146" s="62"/>
      <c r="Y146" s="69"/>
      <c r="Z146" s="69"/>
      <c r="AA146" s="69"/>
      <c r="AB146" s="6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1:76" s="64" customFormat="1" ht="15" customHeight="1">
      <c r="A147" s="62"/>
      <c r="B147" s="62"/>
      <c r="C147" s="153"/>
      <c r="D147" s="153"/>
      <c r="E147" s="151">
        <f>'IB - B&amp;D&amp;H'!E43</f>
        <v>0</v>
      </c>
      <c r="F147" s="151"/>
      <c r="G147" s="151">
        <f>'IB - B&amp;D&amp;H'!G43</f>
        <v>0</v>
      </c>
      <c r="H147" s="151"/>
      <c r="I147" s="151">
        <f>'IB - B&amp;D&amp;H'!I43</f>
        <v>0</v>
      </c>
      <c r="J147" s="151"/>
      <c r="K147" s="151">
        <f>'IB - B&amp;D&amp;H'!K43</f>
        <v>0</v>
      </c>
      <c r="L147" s="151"/>
      <c r="M147" s="151">
        <f>'IB - B&amp;D&amp;H'!M43</f>
        <v>0</v>
      </c>
      <c r="N147" s="151"/>
      <c r="O147" s="151">
        <f>'IB - B&amp;D&amp;H'!O43</f>
        <v>0</v>
      </c>
      <c r="P147" s="151"/>
      <c r="Q147" s="151">
        <f>'IB - B&amp;D&amp;H'!Q43</f>
        <v>0</v>
      </c>
      <c r="R147" s="151"/>
      <c r="S147" s="151">
        <f>'IB - B&amp;D&amp;H'!S43</f>
        <v>0</v>
      </c>
      <c r="T147" s="151"/>
      <c r="U147" s="151"/>
      <c r="V147" s="151"/>
      <c r="W147" s="151"/>
      <c r="X147" s="62"/>
      <c r="Y147" s="69"/>
      <c r="Z147" s="69"/>
      <c r="AA147" s="69"/>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1:76" s="75" customFormat="1" ht="15" customHeight="1">
      <c r="A148" s="71"/>
      <c r="B148" s="71"/>
      <c r="C148" s="154"/>
      <c r="D148" s="154"/>
      <c r="E148" s="151">
        <f>'IB - B&amp;D&amp;H'!E44</f>
        <v>0</v>
      </c>
      <c r="F148" s="151"/>
      <c r="G148" s="151">
        <f>'IB - B&amp;D&amp;H'!G44</f>
        <v>0</v>
      </c>
      <c r="H148" s="151"/>
      <c r="I148" s="151">
        <f>'IB - B&amp;D&amp;H'!I44</f>
        <v>0</v>
      </c>
      <c r="J148" s="151"/>
      <c r="K148" s="151">
        <f>'IB - B&amp;D&amp;H'!K44</f>
        <v>0</v>
      </c>
      <c r="L148" s="151"/>
      <c r="M148" s="151">
        <f>'IB - B&amp;D&amp;H'!M44</f>
        <v>0</v>
      </c>
      <c r="N148" s="151"/>
      <c r="O148" s="151">
        <f>'IB - B&amp;D&amp;H'!O44</f>
        <v>0</v>
      </c>
      <c r="P148" s="151"/>
      <c r="Q148" s="151">
        <f>'IB - B&amp;D&amp;H'!Q44</f>
        <v>0</v>
      </c>
      <c r="R148" s="151"/>
      <c r="S148" s="151">
        <f>'IB - B&amp;D&amp;H'!S44</f>
        <v>0</v>
      </c>
      <c r="T148" s="151"/>
      <c r="U148" s="151"/>
      <c r="V148" s="151"/>
      <c r="W148" s="151"/>
      <c r="X148" s="62"/>
      <c r="Y148" s="72"/>
      <c r="Z148" s="72"/>
      <c r="AA148" s="72"/>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row>
    <row r="149" spans="1:76" s="75" customFormat="1" ht="15" customHeight="1">
      <c r="A149" s="71"/>
      <c r="B149" s="71"/>
      <c r="C149" s="154"/>
      <c r="D149" s="154"/>
      <c r="E149" s="151">
        <f>'IB - B&amp;D&amp;H'!E45</f>
        <v>0</v>
      </c>
      <c r="F149" s="151"/>
      <c r="G149" s="151">
        <f>'IB - B&amp;D&amp;H'!G45</f>
        <v>0</v>
      </c>
      <c r="H149" s="151"/>
      <c r="I149" s="151">
        <f>'IB - B&amp;D&amp;H'!I45</f>
        <v>0</v>
      </c>
      <c r="J149" s="151"/>
      <c r="K149" s="151">
        <f>'IB - B&amp;D&amp;H'!K45</f>
        <v>0</v>
      </c>
      <c r="L149" s="151"/>
      <c r="M149" s="151">
        <f>'IB - B&amp;D&amp;H'!M45</f>
        <v>0</v>
      </c>
      <c r="N149" s="151"/>
      <c r="O149" s="151">
        <f>'IB - B&amp;D&amp;H'!O45</f>
        <v>0</v>
      </c>
      <c r="P149" s="151"/>
      <c r="Q149" s="151">
        <f>'IB - B&amp;D&amp;H'!Q45</f>
        <v>0</v>
      </c>
      <c r="R149" s="151"/>
      <c r="S149" s="151">
        <f>'IB - B&amp;D&amp;H'!S45</f>
        <v>0</v>
      </c>
      <c r="T149" s="151"/>
      <c r="U149" s="151"/>
      <c r="V149" s="151"/>
      <c r="W149" s="151"/>
      <c r="X149" s="62"/>
      <c r="Y149" s="72"/>
      <c r="Z149" s="72"/>
      <c r="AA149" s="72"/>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row>
    <row r="150" spans="1:76" s="75" customFormat="1" ht="15" customHeight="1">
      <c r="A150" s="71"/>
      <c r="B150" s="71"/>
      <c r="C150" s="154"/>
      <c r="D150" s="154"/>
      <c r="E150" s="151"/>
      <c r="F150" s="151"/>
      <c r="G150" s="151"/>
      <c r="H150" s="151"/>
      <c r="I150" s="151"/>
      <c r="J150" s="151"/>
      <c r="K150" s="151"/>
      <c r="L150" s="151"/>
      <c r="M150" s="151"/>
      <c r="N150" s="151"/>
      <c r="O150" s="151"/>
      <c r="P150" s="151"/>
      <c r="Q150" s="151"/>
      <c r="R150" s="151"/>
      <c r="S150" s="151"/>
      <c r="T150" s="151"/>
      <c r="U150" s="151"/>
      <c r="V150" s="151"/>
      <c r="W150" s="151"/>
      <c r="X150" s="62"/>
      <c r="Y150" s="72"/>
      <c r="Z150" s="72"/>
      <c r="AA150" s="72"/>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row>
    <row r="151" spans="1:76" s="75" customFormat="1" ht="15" customHeight="1">
      <c r="A151" s="71"/>
      <c r="B151" s="71"/>
      <c r="C151" s="154" t="str">
        <f>'IB - B&amp;D&amp;H'!A94</f>
        <v>Gennemsnitlige årlige omkostninger</v>
      </c>
      <c r="D151" s="154"/>
      <c r="E151" s="151" t="str">
        <f>'IB - B&amp;D&amp;H'!E95</f>
        <v>PRODUKT 1</v>
      </c>
      <c r="F151" s="151"/>
      <c r="G151" s="151" t="str">
        <f>'IB - B&amp;D&amp;H'!G95</f>
        <v>PRODUKT 2</v>
      </c>
      <c r="H151" s="151"/>
      <c r="I151" s="151" t="str">
        <f>'IB - B&amp;D&amp;H'!I95</f>
        <v>PRODUKT 3</v>
      </c>
      <c r="J151" s="151"/>
      <c r="K151" s="151" t="str">
        <f>'IB - B&amp;D&amp;H'!K95</f>
        <v>PRODUKT 4</v>
      </c>
      <c r="L151" s="151"/>
      <c r="M151" s="151" t="str">
        <f>'IB - B&amp;D&amp;H'!M95</f>
        <v>PRODUKT 5</v>
      </c>
      <c r="N151" s="151"/>
      <c r="O151" s="151" t="str">
        <f>'IB - B&amp;D&amp;H'!O95</f>
        <v>PRODUKT 6</v>
      </c>
      <c r="P151" s="151"/>
      <c r="Q151" s="151" t="str">
        <f>'IB - B&amp;D&amp;H'!Q95</f>
        <v>PRODUKT 7</v>
      </c>
      <c r="R151" s="151"/>
      <c r="S151" s="151" t="str">
        <f>'IB - B&amp;D&amp;H'!S95</f>
        <v>PRODUKT 8</v>
      </c>
      <c r="T151" s="151"/>
      <c r="U151" s="151" t="str">
        <f>'IB - B&amp;D&amp;H'!U95</f>
        <v>PRODUKT 9</v>
      </c>
      <c r="V151" s="151"/>
      <c r="W151" s="151" t="str">
        <f>'IB - B&amp;D&amp;H'!W95</f>
        <v>PRODUKT 10</v>
      </c>
      <c r="X151" s="62"/>
      <c r="Y151" s="72"/>
      <c r="Z151" s="72"/>
      <c r="AA151" s="72"/>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row>
    <row r="152" spans="1:76" s="75" customFormat="1" ht="15" customHeight="1">
      <c r="A152" s="72"/>
      <c r="B152" s="72"/>
      <c r="C152" s="155"/>
      <c r="D152" s="155"/>
      <c r="E152" s="151">
        <f>'IB - B&amp;D&amp;H'!E96</f>
        <v>0</v>
      </c>
      <c r="F152" s="151"/>
      <c r="G152" s="151">
        <f>'IB - B&amp;D&amp;H'!G96</f>
        <v>0</v>
      </c>
      <c r="H152" s="151"/>
      <c r="I152" s="151">
        <f>'IB - B&amp;D&amp;H'!I96</f>
        <v>0</v>
      </c>
      <c r="J152" s="151"/>
      <c r="K152" s="151">
        <f>'IB - B&amp;D&amp;H'!K96</f>
        <v>0</v>
      </c>
      <c r="L152" s="151"/>
      <c r="M152" s="151">
        <f>'IB - B&amp;D&amp;H'!M96</f>
        <v>0</v>
      </c>
      <c r="N152" s="151"/>
      <c r="O152" s="151">
        <f>'IB - B&amp;D&amp;H'!O96</f>
        <v>0</v>
      </c>
      <c r="P152" s="151"/>
      <c r="Q152" s="151">
        <f>'IB - B&amp;D&amp;H'!Q96</f>
        <v>0</v>
      </c>
      <c r="R152" s="151"/>
      <c r="S152" s="151">
        <f>'IB - B&amp;D&amp;H'!S96</f>
        <v>0</v>
      </c>
      <c r="T152" s="151"/>
      <c r="U152" s="151">
        <f>'IB - B&amp;D&amp;H'!U96</f>
        <v>0</v>
      </c>
      <c r="V152" s="151"/>
      <c r="W152" s="151">
        <f>'IB - B&amp;D&amp;H'!W96</f>
        <v>0</v>
      </c>
      <c r="X152" s="69"/>
      <c r="Y152" s="72"/>
      <c r="Z152" s="72"/>
      <c r="AA152" s="72"/>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row>
    <row r="153" spans="1:76" s="75" customFormat="1" ht="15" customHeight="1">
      <c r="A153" s="72"/>
      <c r="B153" s="72"/>
      <c r="C153" s="155"/>
      <c r="D153" s="155"/>
      <c r="E153" s="151">
        <f>'IB - B&amp;D&amp;H'!E97</f>
        <v>0</v>
      </c>
      <c r="F153" s="151"/>
      <c r="G153" s="151">
        <f>'IB - B&amp;D&amp;H'!G97</f>
        <v>0</v>
      </c>
      <c r="H153" s="151"/>
      <c r="I153" s="151">
        <f>'IB - B&amp;D&amp;H'!I97</f>
        <v>0</v>
      </c>
      <c r="J153" s="151"/>
      <c r="K153" s="151">
        <f>'IB - B&amp;D&amp;H'!K97</f>
        <v>0</v>
      </c>
      <c r="L153" s="151"/>
      <c r="M153" s="151">
        <f>'IB - B&amp;D&amp;H'!M97</f>
        <v>0</v>
      </c>
      <c r="N153" s="151"/>
      <c r="O153" s="151">
        <f>'IB - B&amp;D&amp;H'!O97</f>
        <v>0</v>
      </c>
      <c r="P153" s="151"/>
      <c r="Q153" s="151">
        <f>'IB - B&amp;D&amp;H'!Q97</f>
        <v>0</v>
      </c>
      <c r="R153" s="151"/>
      <c r="S153" s="151">
        <f>'IB - B&amp;D&amp;H'!S97</f>
        <v>0</v>
      </c>
      <c r="T153" s="151"/>
      <c r="U153" s="151">
        <f>'IB - B&amp;D&amp;H'!U97</f>
        <v>0</v>
      </c>
      <c r="V153" s="151"/>
      <c r="W153" s="151">
        <f>'IB - B&amp;D&amp;H'!W97</f>
        <v>0</v>
      </c>
      <c r="X153" s="69"/>
      <c r="Y153" s="72"/>
      <c r="Z153" s="72"/>
      <c r="AA153" s="72"/>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row>
    <row r="154" spans="1:76" s="75" customFormat="1" ht="15" customHeight="1">
      <c r="A154" s="72"/>
      <c r="B154" s="72"/>
      <c r="C154" s="155"/>
      <c r="D154" s="155"/>
      <c r="E154" s="151">
        <f>'IB - B&amp;D&amp;H'!E98</f>
        <v>0</v>
      </c>
      <c r="F154" s="151"/>
      <c r="G154" s="151">
        <f>'IB - B&amp;D&amp;H'!G98</f>
        <v>0</v>
      </c>
      <c r="H154" s="151"/>
      <c r="I154" s="151">
        <f>'IB - B&amp;D&amp;H'!I98</f>
        <v>0</v>
      </c>
      <c r="J154" s="151"/>
      <c r="K154" s="151">
        <f>'IB - B&amp;D&amp;H'!K98</f>
        <v>0</v>
      </c>
      <c r="L154" s="151"/>
      <c r="M154" s="151">
        <f>'IB - B&amp;D&amp;H'!M98</f>
        <v>0</v>
      </c>
      <c r="N154" s="151"/>
      <c r="O154" s="151">
        <f>'IB - B&amp;D&amp;H'!O98</f>
        <v>0</v>
      </c>
      <c r="P154" s="151"/>
      <c r="Q154" s="151">
        <f>'IB - B&amp;D&amp;H'!Q98</f>
        <v>0</v>
      </c>
      <c r="R154" s="151"/>
      <c r="S154" s="151">
        <f>'IB - B&amp;D&amp;H'!S98</f>
        <v>0</v>
      </c>
      <c r="T154" s="151"/>
      <c r="U154" s="151">
        <f>'IB - B&amp;D&amp;H'!U98</f>
        <v>0</v>
      </c>
      <c r="V154" s="151"/>
      <c r="W154" s="151">
        <f>'IB - B&amp;D&amp;H'!W98</f>
        <v>0</v>
      </c>
      <c r="X154" s="69"/>
      <c r="Y154" s="72"/>
      <c r="Z154" s="72"/>
      <c r="AA154" s="72"/>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row>
    <row r="155" spans="1:76" s="75" customFormat="1" ht="15" customHeight="1">
      <c r="A155" s="72"/>
      <c r="B155" s="72"/>
      <c r="C155" s="155"/>
      <c r="D155" s="155"/>
      <c r="E155" s="151">
        <f>'IB - B&amp;D&amp;H'!E99</f>
        <v>0</v>
      </c>
      <c r="F155" s="151"/>
      <c r="G155" s="151">
        <f>'IB - B&amp;D&amp;H'!G99</f>
        <v>0</v>
      </c>
      <c r="H155" s="151"/>
      <c r="I155" s="151">
        <f>'IB - B&amp;D&amp;H'!I99</f>
        <v>0</v>
      </c>
      <c r="J155" s="151"/>
      <c r="K155" s="151">
        <f>'IB - B&amp;D&amp;H'!K99</f>
        <v>0</v>
      </c>
      <c r="L155" s="151"/>
      <c r="M155" s="151">
        <f>'IB - B&amp;D&amp;H'!M99</f>
        <v>0</v>
      </c>
      <c r="N155" s="151"/>
      <c r="O155" s="151">
        <f>'IB - B&amp;D&amp;H'!O99</f>
        <v>0</v>
      </c>
      <c r="P155" s="151"/>
      <c r="Q155" s="151">
        <f>'IB - B&amp;D&amp;H'!Q99</f>
        <v>0</v>
      </c>
      <c r="R155" s="151"/>
      <c r="S155" s="151">
        <f>'IB - B&amp;D&amp;H'!S99</f>
        <v>0</v>
      </c>
      <c r="T155" s="151"/>
      <c r="U155" s="151">
        <f>'IB - B&amp;D&amp;H'!U99</f>
        <v>0</v>
      </c>
      <c r="V155" s="151"/>
      <c r="W155" s="151">
        <f>'IB - B&amp;D&amp;H'!W99</f>
        <v>0</v>
      </c>
      <c r="X155" s="69"/>
      <c r="Y155" s="72"/>
      <c r="Z155" s="72"/>
      <c r="AA155" s="72"/>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row>
    <row r="156" spans="1:76" s="75" customFormat="1" ht="15" customHeight="1">
      <c r="A156" s="72"/>
      <c r="B156" s="72"/>
      <c r="C156" s="155"/>
      <c r="D156" s="155"/>
      <c r="E156" s="151">
        <f>'IB - B&amp;D&amp;H'!E100</f>
        <v>0</v>
      </c>
      <c r="F156" s="151"/>
      <c r="G156" s="151">
        <f>'IB - B&amp;D&amp;H'!G100</f>
        <v>0</v>
      </c>
      <c r="H156" s="151"/>
      <c r="I156" s="151">
        <f>'IB - B&amp;D&amp;H'!I100</f>
        <v>0</v>
      </c>
      <c r="J156" s="151"/>
      <c r="K156" s="151">
        <f>'IB - B&amp;D&amp;H'!K100</f>
        <v>0</v>
      </c>
      <c r="L156" s="151"/>
      <c r="M156" s="151">
        <f>'IB - B&amp;D&amp;H'!M100</f>
        <v>0</v>
      </c>
      <c r="N156" s="151"/>
      <c r="O156" s="151">
        <f>'IB - B&amp;D&amp;H'!O100</f>
        <v>0</v>
      </c>
      <c r="P156" s="151"/>
      <c r="Q156" s="151">
        <f>'IB - B&amp;D&amp;H'!Q100</f>
        <v>0</v>
      </c>
      <c r="R156" s="151"/>
      <c r="S156" s="151">
        <f>'IB - B&amp;D&amp;H'!S100</f>
        <v>0</v>
      </c>
      <c r="T156" s="151"/>
      <c r="U156" s="151">
        <f>'IB - B&amp;D&amp;H'!U100</f>
        <v>0</v>
      </c>
      <c r="V156" s="151"/>
      <c r="W156" s="151">
        <f>'IB - B&amp;D&amp;H'!W100</f>
        <v>0</v>
      </c>
      <c r="X156" s="69"/>
      <c r="Y156" s="72"/>
      <c r="Z156" s="72"/>
      <c r="AA156" s="72"/>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row>
    <row r="157" spans="1:76" s="75" customFormat="1" ht="15" customHeight="1">
      <c r="A157" s="72"/>
      <c r="B157" s="72"/>
      <c r="C157" s="155"/>
      <c r="D157" s="156"/>
      <c r="E157" s="151">
        <f>'IB - B&amp;D&amp;H'!E101</f>
        <v>0</v>
      </c>
      <c r="F157" s="151"/>
      <c r="G157" s="151">
        <f>'IB - B&amp;D&amp;H'!G101</f>
        <v>0</v>
      </c>
      <c r="H157" s="151"/>
      <c r="I157" s="151">
        <f>'IB - B&amp;D&amp;H'!I101</f>
        <v>0</v>
      </c>
      <c r="J157" s="151"/>
      <c r="K157" s="151">
        <f>'IB - B&amp;D&amp;H'!K101</f>
        <v>0</v>
      </c>
      <c r="L157" s="151"/>
      <c r="M157" s="151">
        <f>'IB - B&amp;D&amp;H'!M101</f>
        <v>0</v>
      </c>
      <c r="N157" s="151"/>
      <c r="O157" s="151">
        <f>'IB - B&amp;D&amp;H'!O101</f>
        <v>0</v>
      </c>
      <c r="P157" s="151"/>
      <c r="Q157" s="151">
        <f>'IB - B&amp;D&amp;H'!Q101</f>
        <v>0</v>
      </c>
      <c r="R157" s="151"/>
      <c r="S157" s="151">
        <f>'IB - B&amp;D&amp;H'!S101</f>
        <v>0</v>
      </c>
      <c r="T157" s="151"/>
      <c r="U157" s="151">
        <f>'IB - B&amp;D&amp;H'!U101</f>
        <v>0</v>
      </c>
      <c r="V157" s="151"/>
      <c r="W157" s="151">
        <f>'IB - B&amp;D&amp;H'!W101</f>
        <v>0</v>
      </c>
      <c r="X157" s="69"/>
      <c r="Y157" s="72"/>
      <c r="Z157" s="72"/>
      <c r="AA157" s="72"/>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row>
    <row r="158" spans="1:76" s="75" customFormat="1" ht="15" customHeight="1">
      <c r="A158" s="72"/>
      <c r="B158" s="72"/>
      <c r="C158" s="155"/>
      <c r="D158" s="156"/>
      <c r="E158" s="151">
        <f>'IB - B&amp;D&amp;H'!E102</f>
        <v>0</v>
      </c>
      <c r="F158" s="151"/>
      <c r="G158" s="151">
        <f>'IB - B&amp;D&amp;H'!G102</f>
        <v>0</v>
      </c>
      <c r="H158" s="151"/>
      <c r="I158" s="151">
        <f>'IB - B&amp;D&amp;H'!I102</f>
        <v>0</v>
      </c>
      <c r="J158" s="151"/>
      <c r="K158" s="151">
        <f>'IB - B&amp;D&amp;H'!K102</f>
        <v>0</v>
      </c>
      <c r="L158" s="151"/>
      <c r="M158" s="151">
        <f>'IB - B&amp;D&amp;H'!M102</f>
        <v>0</v>
      </c>
      <c r="N158" s="151"/>
      <c r="O158" s="151">
        <f>'IB - B&amp;D&amp;H'!O102</f>
        <v>0</v>
      </c>
      <c r="P158" s="151"/>
      <c r="Q158" s="151">
        <f>'IB - B&amp;D&amp;H'!Q102</f>
        <v>0</v>
      </c>
      <c r="R158" s="151"/>
      <c r="S158" s="151">
        <f>'IB - B&amp;D&amp;H'!S102</f>
        <v>0</v>
      </c>
      <c r="T158" s="151"/>
      <c r="U158" s="151">
        <f>'IB - B&amp;D&amp;H'!U102</f>
        <v>0</v>
      </c>
      <c r="V158" s="151"/>
      <c r="W158" s="151">
        <f>'IB - B&amp;D&amp;H'!W102</f>
        <v>0</v>
      </c>
      <c r="X158" s="69"/>
      <c r="Y158" s="72"/>
      <c r="Z158" s="72"/>
      <c r="AA158" s="72"/>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row>
    <row r="159" spans="1:76" s="75" customFormat="1" ht="15" customHeight="1">
      <c r="A159" s="72"/>
      <c r="B159" s="72"/>
      <c r="C159" s="155"/>
      <c r="D159" s="156"/>
      <c r="E159" s="151">
        <f>'IB - B&amp;D&amp;H'!E103</f>
        <v>0</v>
      </c>
      <c r="F159" s="151"/>
      <c r="G159" s="151">
        <f>'IB - B&amp;D&amp;H'!G103</f>
        <v>0</v>
      </c>
      <c r="H159" s="151"/>
      <c r="I159" s="151">
        <f>'IB - B&amp;D&amp;H'!I103</f>
        <v>0</v>
      </c>
      <c r="J159" s="151"/>
      <c r="K159" s="151">
        <f>'IB - B&amp;D&amp;H'!K103</f>
        <v>0</v>
      </c>
      <c r="L159" s="151"/>
      <c r="M159" s="151">
        <f>'IB - B&amp;D&amp;H'!M103</f>
        <v>0</v>
      </c>
      <c r="N159" s="151"/>
      <c r="O159" s="151">
        <f>'IB - B&amp;D&amp;H'!O103</f>
        <v>0</v>
      </c>
      <c r="P159" s="151"/>
      <c r="Q159" s="151">
        <f>'IB - B&amp;D&amp;H'!Q103</f>
        <v>0</v>
      </c>
      <c r="R159" s="151"/>
      <c r="S159" s="151">
        <f>'IB - B&amp;D&amp;H'!S103</f>
        <v>0</v>
      </c>
      <c r="T159" s="151"/>
      <c r="U159" s="151">
        <f>'IB - B&amp;D&amp;H'!U103</f>
        <v>0</v>
      </c>
      <c r="V159" s="151"/>
      <c r="W159" s="151">
        <f>'IB - B&amp;D&amp;H'!W103</f>
        <v>0</v>
      </c>
      <c r="X159" s="69"/>
      <c r="Y159" s="72"/>
      <c r="Z159" s="72"/>
      <c r="AA159" s="72"/>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row>
    <row r="160" spans="1:76" s="75" customFormat="1" ht="15" customHeight="1">
      <c r="A160" s="72"/>
      <c r="B160" s="72"/>
      <c r="C160" s="155"/>
      <c r="D160" s="156"/>
      <c r="E160" s="151">
        <f>'IB - B&amp;D&amp;H'!E104</f>
        <v>0</v>
      </c>
      <c r="F160" s="151"/>
      <c r="G160" s="151">
        <f>'IB - B&amp;D&amp;H'!G104</f>
        <v>0</v>
      </c>
      <c r="H160" s="151"/>
      <c r="I160" s="151">
        <f>'IB - B&amp;D&amp;H'!I104</f>
        <v>0</v>
      </c>
      <c r="J160" s="151"/>
      <c r="K160" s="151">
        <f>'IB - B&amp;D&amp;H'!K104</f>
        <v>0</v>
      </c>
      <c r="L160" s="151"/>
      <c r="M160" s="151">
        <f>'IB - B&amp;D&amp;H'!M104</f>
        <v>0</v>
      </c>
      <c r="N160" s="151"/>
      <c r="O160" s="151">
        <f>'IB - B&amp;D&amp;H'!O104</f>
        <v>0</v>
      </c>
      <c r="P160" s="151"/>
      <c r="Q160" s="151">
        <f>'IB - B&amp;D&amp;H'!Q104</f>
        <v>0</v>
      </c>
      <c r="R160" s="151"/>
      <c r="S160" s="151">
        <f>'IB - B&amp;D&amp;H'!S104</f>
        <v>0</v>
      </c>
      <c r="T160" s="151"/>
      <c r="U160" s="151">
        <f>'IB - B&amp;D&amp;H'!U104</f>
        <v>0</v>
      </c>
      <c r="V160" s="151"/>
      <c r="W160" s="151">
        <f>'IB - B&amp;D&amp;H'!W104</f>
        <v>0</v>
      </c>
      <c r="X160" s="69"/>
      <c r="Y160" s="72"/>
      <c r="Z160" s="72"/>
      <c r="AA160" s="72"/>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row>
    <row r="161" spans="1:76" s="75" customFormat="1" ht="15" customHeight="1">
      <c r="A161" s="72"/>
      <c r="B161" s="72"/>
      <c r="C161" s="155"/>
      <c r="D161" s="156"/>
      <c r="E161" s="151">
        <f>'IB - B&amp;D&amp;H'!E105</f>
        <v>0</v>
      </c>
      <c r="F161" s="151"/>
      <c r="G161" s="151">
        <f>'IB - B&amp;D&amp;H'!G105</f>
        <v>0</v>
      </c>
      <c r="H161" s="151"/>
      <c r="I161" s="151">
        <f>'IB - B&amp;D&amp;H'!I105</f>
        <v>0</v>
      </c>
      <c r="J161" s="151"/>
      <c r="K161" s="151">
        <f>'IB - B&amp;D&amp;H'!K105</f>
        <v>0</v>
      </c>
      <c r="L161" s="151"/>
      <c r="M161" s="151">
        <f>'IB - B&amp;D&amp;H'!M105</f>
        <v>0</v>
      </c>
      <c r="N161" s="151"/>
      <c r="O161" s="151">
        <f>'IB - B&amp;D&amp;H'!O105</f>
        <v>0</v>
      </c>
      <c r="P161" s="151"/>
      <c r="Q161" s="151">
        <f>'IB - B&amp;D&amp;H'!Q105</f>
        <v>0</v>
      </c>
      <c r="R161" s="151"/>
      <c r="S161" s="151">
        <f>'IB - B&amp;D&amp;H'!S105</f>
        <v>0</v>
      </c>
      <c r="T161" s="151"/>
      <c r="U161" s="151">
        <f>'IB - B&amp;D&amp;H'!U105</f>
        <v>0</v>
      </c>
      <c r="V161" s="151"/>
      <c r="W161" s="151">
        <f>'IB - B&amp;D&amp;H'!W105</f>
        <v>0</v>
      </c>
      <c r="X161" s="69"/>
      <c r="Y161" s="72"/>
      <c r="Z161" s="72"/>
      <c r="AA161" s="72"/>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row>
    <row r="162" spans="1:76" s="75" customFormat="1" ht="15" customHeight="1">
      <c r="A162" s="72"/>
      <c r="B162" s="72"/>
      <c r="C162" s="155"/>
      <c r="D162" s="156"/>
      <c r="E162" s="151">
        <f>'IB - B&amp;D&amp;H'!E106</f>
        <v>0</v>
      </c>
      <c r="F162" s="151"/>
      <c r="G162" s="151">
        <f>'IB - B&amp;D&amp;H'!G106</f>
        <v>0</v>
      </c>
      <c r="H162" s="151"/>
      <c r="I162" s="151">
        <f>'IB - B&amp;D&amp;H'!I106</f>
        <v>0</v>
      </c>
      <c r="J162" s="151"/>
      <c r="K162" s="151">
        <f>'IB - B&amp;D&amp;H'!K106</f>
        <v>0</v>
      </c>
      <c r="L162" s="151"/>
      <c r="M162" s="151">
        <f>'IB - B&amp;D&amp;H'!M106</f>
        <v>0</v>
      </c>
      <c r="N162" s="151"/>
      <c r="O162" s="151">
        <f>'IB - B&amp;D&amp;H'!O106</f>
        <v>0</v>
      </c>
      <c r="P162" s="151"/>
      <c r="Q162" s="151">
        <f>'IB - B&amp;D&amp;H'!Q106</f>
        <v>0</v>
      </c>
      <c r="R162" s="151"/>
      <c r="S162" s="151">
        <f>'IB - B&amp;D&amp;H'!S106</f>
        <v>0</v>
      </c>
      <c r="T162" s="151"/>
      <c r="U162" s="151">
        <f>'IB - B&amp;D&amp;H'!U106</f>
        <v>0</v>
      </c>
      <c r="V162" s="151"/>
      <c r="W162" s="151">
        <f>'IB - B&amp;D&amp;H'!W106</f>
        <v>0</v>
      </c>
      <c r="X162" s="69"/>
      <c r="Y162" s="72"/>
      <c r="Z162" s="72"/>
      <c r="AA162" s="72"/>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row>
    <row r="163" spans="1:76" s="75" customFormat="1" ht="15" customHeight="1">
      <c r="A163" s="72"/>
      <c r="B163" s="72"/>
      <c r="C163" s="155"/>
      <c r="D163" s="156"/>
      <c r="E163" s="151">
        <f>'IB - B&amp;D&amp;H'!E107</f>
        <v>0</v>
      </c>
      <c r="F163" s="151"/>
      <c r="G163" s="151">
        <f>'IB - B&amp;D&amp;H'!G107</f>
        <v>0</v>
      </c>
      <c r="H163" s="151"/>
      <c r="I163" s="151">
        <f>'IB - B&amp;D&amp;H'!I107</f>
        <v>0</v>
      </c>
      <c r="J163" s="151"/>
      <c r="K163" s="151">
        <f>'IB - B&amp;D&amp;H'!K107</f>
        <v>0</v>
      </c>
      <c r="L163" s="151"/>
      <c r="M163" s="151">
        <f>'IB - B&amp;D&amp;H'!M107</f>
        <v>0</v>
      </c>
      <c r="N163" s="151"/>
      <c r="O163" s="151">
        <f>'IB - B&amp;D&amp;H'!O107</f>
        <v>0</v>
      </c>
      <c r="P163" s="151"/>
      <c r="Q163" s="151">
        <f>'IB - B&amp;D&amp;H'!Q107</f>
        <v>0</v>
      </c>
      <c r="R163" s="151"/>
      <c r="S163" s="151">
        <f>'IB - B&amp;D&amp;H'!S107</f>
        <v>0</v>
      </c>
      <c r="T163" s="151"/>
      <c r="U163" s="151">
        <f>'IB - B&amp;D&amp;H'!U107</f>
        <v>0</v>
      </c>
      <c r="V163" s="151"/>
      <c r="W163" s="151">
        <f>'IB - B&amp;D&amp;H'!W107</f>
        <v>0</v>
      </c>
      <c r="X163" s="69"/>
      <c r="Y163" s="72"/>
      <c r="Z163" s="72"/>
      <c r="AA163" s="72"/>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row>
    <row r="164" spans="1:76" s="75" customFormat="1" ht="15" customHeight="1">
      <c r="A164" s="72"/>
      <c r="B164" s="72"/>
      <c r="C164" s="155"/>
      <c r="D164" s="156"/>
      <c r="E164" s="151">
        <f>'IB - B&amp;D&amp;H'!E108</f>
        <v>0</v>
      </c>
      <c r="F164" s="151"/>
      <c r="G164" s="151">
        <f>'IB - B&amp;D&amp;H'!G108</f>
        <v>0</v>
      </c>
      <c r="H164" s="151"/>
      <c r="I164" s="151">
        <f>'IB - B&amp;D&amp;H'!I108</f>
        <v>0</v>
      </c>
      <c r="J164" s="151"/>
      <c r="K164" s="151">
        <f>'IB - B&amp;D&amp;H'!K108</f>
        <v>0</v>
      </c>
      <c r="L164" s="151"/>
      <c r="M164" s="151">
        <f>'IB - B&amp;D&amp;H'!M108</f>
        <v>0</v>
      </c>
      <c r="N164" s="151"/>
      <c r="O164" s="151">
        <f>'IB - B&amp;D&amp;H'!O108</f>
        <v>0</v>
      </c>
      <c r="P164" s="151"/>
      <c r="Q164" s="151">
        <f>'IB - B&amp;D&amp;H'!Q108</f>
        <v>0</v>
      </c>
      <c r="R164" s="151"/>
      <c r="S164" s="151">
        <f>'IB - B&amp;D&amp;H'!S108</f>
        <v>0</v>
      </c>
      <c r="T164" s="151"/>
      <c r="U164" s="151">
        <f>'IB - B&amp;D&amp;H'!U108</f>
        <v>0</v>
      </c>
      <c r="V164" s="151"/>
      <c r="W164" s="151">
        <f>'IB - B&amp;D&amp;H'!W108</f>
        <v>0</v>
      </c>
      <c r="X164" s="69"/>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2"/>
      <c r="B165" s="72"/>
      <c r="C165" s="155"/>
      <c r="D165" s="156"/>
      <c r="E165" s="151">
        <f>'IB - B&amp;D&amp;H'!E109</f>
        <v>0</v>
      </c>
      <c r="F165" s="151"/>
      <c r="G165" s="151">
        <f>'IB - B&amp;D&amp;H'!G109</f>
        <v>0</v>
      </c>
      <c r="H165" s="151"/>
      <c r="I165" s="151">
        <f>'IB - B&amp;D&amp;H'!I109</f>
        <v>0</v>
      </c>
      <c r="J165" s="151"/>
      <c r="K165" s="151">
        <f>'IB - B&amp;D&amp;H'!K109</f>
        <v>0</v>
      </c>
      <c r="L165" s="151"/>
      <c r="M165" s="151">
        <f>'IB - B&amp;D&amp;H'!M109</f>
        <v>0</v>
      </c>
      <c r="N165" s="151"/>
      <c r="O165" s="151">
        <f>'IB - B&amp;D&amp;H'!O109</f>
        <v>0</v>
      </c>
      <c r="P165" s="151"/>
      <c r="Q165" s="151">
        <f>'IB - B&amp;D&amp;H'!Q109</f>
        <v>0</v>
      </c>
      <c r="R165" s="151"/>
      <c r="S165" s="151">
        <f>'IB - B&amp;D&amp;H'!S109</f>
        <v>0</v>
      </c>
      <c r="T165" s="151"/>
      <c r="U165" s="151">
        <f>'IB - B&amp;D&amp;H'!U109</f>
        <v>0</v>
      </c>
      <c r="V165" s="151"/>
      <c r="W165" s="151">
        <f>'IB - B&amp;D&amp;H'!W109</f>
        <v>0</v>
      </c>
      <c r="X165" s="69"/>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2"/>
      <c r="B166" s="72"/>
      <c r="C166" s="155"/>
      <c r="D166" s="156"/>
      <c r="E166" s="151">
        <f>'IB - B&amp;D&amp;H'!E110</f>
        <v>0</v>
      </c>
      <c r="F166" s="151"/>
      <c r="G166" s="151">
        <f>'IB - B&amp;D&amp;H'!G110</f>
        <v>0</v>
      </c>
      <c r="H166" s="151"/>
      <c r="I166" s="151">
        <f>'IB - B&amp;D&amp;H'!I110</f>
        <v>0</v>
      </c>
      <c r="J166" s="151"/>
      <c r="K166" s="151">
        <f>'IB - B&amp;D&amp;H'!K110</f>
        <v>0</v>
      </c>
      <c r="L166" s="151"/>
      <c r="M166" s="151">
        <f>'IB - B&amp;D&amp;H'!M110</f>
        <v>0</v>
      </c>
      <c r="N166" s="151"/>
      <c r="O166" s="151">
        <f>'IB - B&amp;D&amp;H'!O110</f>
        <v>0</v>
      </c>
      <c r="P166" s="151"/>
      <c r="Q166" s="151">
        <f>'IB - B&amp;D&amp;H'!Q110</f>
        <v>0</v>
      </c>
      <c r="R166" s="151"/>
      <c r="S166" s="151">
        <f>'IB - B&amp;D&amp;H'!S110</f>
        <v>0</v>
      </c>
      <c r="T166" s="151"/>
      <c r="U166" s="151">
        <f>'IB - B&amp;D&amp;H'!U110</f>
        <v>0</v>
      </c>
      <c r="V166" s="151"/>
      <c r="W166" s="151">
        <f>'IB - B&amp;D&amp;H'!W110</f>
        <v>0</v>
      </c>
      <c r="X166" s="69"/>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2"/>
      <c r="B167" s="72"/>
      <c r="C167" s="155"/>
      <c r="D167" s="156"/>
      <c r="E167" s="151">
        <f>'IB - B&amp;D&amp;H'!E111</f>
        <v>0</v>
      </c>
      <c r="F167" s="151"/>
      <c r="G167" s="151">
        <f>'IB - B&amp;D&amp;H'!G111</f>
        <v>0</v>
      </c>
      <c r="H167" s="151"/>
      <c r="I167" s="151">
        <f>'IB - B&amp;D&amp;H'!I111</f>
        <v>0</v>
      </c>
      <c r="J167" s="151"/>
      <c r="K167" s="151">
        <f>'IB - B&amp;D&amp;H'!K111</f>
        <v>0</v>
      </c>
      <c r="L167" s="151"/>
      <c r="M167" s="151">
        <f>'IB - B&amp;D&amp;H'!M111</f>
        <v>0</v>
      </c>
      <c r="N167" s="151"/>
      <c r="O167" s="151">
        <f>'IB - B&amp;D&amp;H'!O111</f>
        <v>0</v>
      </c>
      <c r="P167" s="151"/>
      <c r="Q167" s="151">
        <f>'IB - B&amp;D&amp;H'!Q111</f>
        <v>0</v>
      </c>
      <c r="R167" s="151"/>
      <c r="S167" s="151">
        <f>'IB - B&amp;D&amp;H'!S111</f>
        <v>0</v>
      </c>
      <c r="T167" s="151"/>
      <c r="U167" s="151">
        <f>'IB - B&amp;D&amp;H'!U111</f>
        <v>0</v>
      </c>
      <c r="V167" s="151"/>
      <c r="W167" s="151">
        <f>'IB - B&amp;D&amp;H'!W111</f>
        <v>0</v>
      </c>
      <c r="X167" s="69"/>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5"/>
      <c r="D168" s="156"/>
      <c r="E168" s="151">
        <f>'IB - B&amp;D&amp;H'!E112</f>
        <v>0</v>
      </c>
      <c r="F168" s="151"/>
      <c r="G168" s="151">
        <f>'IB - B&amp;D&amp;H'!G112</f>
        <v>0</v>
      </c>
      <c r="H168" s="151"/>
      <c r="I168" s="151">
        <f>'IB - B&amp;D&amp;H'!I112</f>
        <v>0</v>
      </c>
      <c r="J168" s="151"/>
      <c r="K168" s="151">
        <f>'IB - B&amp;D&amp;H'!K112</f>
        <v>0</v>
      </c>
      <c r="L168" s="151"/>
      <c r="M168" s="151">
        <f>'IB - B&amp;D&amp;H'!M112</f>
        <v>0</v>
      </c>
      <c r="N168" s="151"/>
      <c r="O168" s="151">
        <f>'IB - B&amp;D&amp;H'!O112</f>
        <v>0</v>
      </c>
      <c r="P168" s="151"/>
      <c r="Q168" s="151">
        <f>'IB - B&amp;D&amp;H'!Q112</f>
        <v>0</v>
      </c>
      <c r="R168" s="151"/>
      <c r="S168" s="151">
        <f>'IB - B&amp;D&amp;H'!S112</f>
        <v>0</v>
      </c>
      <c r="T168" s="151"/>
      <c r="U168" s="151">
        <f>'IB - B&amp;D&amp;H'!U112</f>
        <v>0</v>
      </c>
      <c r="V168" s="151"/>
      <c r="W168" s="151">
        <f>'IB - B&amp;D&amp;H'!W112</f>
        <v>0</v>
      </c>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5"/>
      <c r="D169" s="156"/>
      <c r="E169" s="151">
        <f>'IB - B&amp;D&amp;H'!E113</f>
        <v>0</v>
      </c>
      <c r="F169" s="151"/>
      <c r="G169" s="151">
        <f>'IB - B&amp;D&amp;H'!G113</f>
        <v>0</v>
      </c>
      <c r="H169" s="151"/>
      <c r="I169" s="151">
        <f>'IB - B&amp;D&amp;H'!I113</f>
        <v>0</v>
      </c>
      <c r="J169" s="151"/>
      <c r="K169" s="151">
        <f>'IB - B&amp;D&amp;H'!K113</f>
        <v>0</v>
      </c>
      <c r="L169" s="151"/>
      <c r="M169" s="151">
        <f>'IB - B&amp;D&amp;H'!M113</f>
        <v>0</v>
      </c>
      <c r="N169" s="151"/>
      <c r="O169" s="151">
        <f>'IB - B&amp;D&amp;H'!O113</f>
        <v>0</v>
      </c>
      <c r="P169" s="151"/>
      <c r="Q169" s="151">
        <f>'IB - B&amp;D&amp;H'!Q113</f>
        <v>0</v>
      </c>
      <c r="R169" s="151"/>
      <c r="S169" s="151">
        <f>'IB - B&amp;D&amp;H'!S113</f>
        <v>0</v>
      </c>
      <c r="T169" s="151"/>
      <c r="U169" s="151">
        <f>'IB - B&amp;D&amp;H'!U113</f>
        <v>0</v>
      </c>
      <c r="V169" s="151"/>
      <c r="W169" s="151">
        <f>'IB - B&amp;D&amp;H'!W113</f>
        <v>0</v>
      </c>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t="15" customHeight="1">
      <c r="A170" s="72"/>
      <c r="B170" s="72"/>
      <c r="C170" s="155"/>
      <c r="D170" s="156"/>
      <c r="E170" s="151">
        <f>'IB - B&amp;D&amp;H'!E114</f>
        <v>0</v>
      </c>
      <c r="F170" s="151"/>
      <c r="G170" s="151">
        <f>'IB - B&amp;D&amp;H'!G114</f>
        <v>0</v>
      </c>
      <c r="H170" s="151"/>
      <c r="I170" s="151">
        <f>'IB - B&amp;D&amp;H'!I114</f>
        <v>0</v>
      </c>
      <c r="J170" s="151"/>
      <c r="K170" s="151">
        <f>'IB - B&amp;D&amp;H'!K114</f>
        <v>0</v>
      </c>
      <c r="L170" s="151"/>
      <c r="M170" s="151">
        <f>'IB - B&amp;D&amp;H'!M114</f>
        <v>0</v>
      </c>
      <c r="N170" s="151"/>
      <c r="O170" s="151">
        <f>'IB - B&amp;D&amp;H'!O114</f>
        <v>0</v>
      </c>
      <c r="P170" s="151"/>
      <c r="Q170" s="151">
        <f>'IB - B&amp;D&amp;H'!Q114</f>
        <v>0</v>
      </c>
      <c r="R170" s="151"/>
      <c r="S170" s="151">
        <f>'IB - B&amp;D&amp;H'!S114</f>
        <v>0</v>
      </c>
      <c r="T170" s="151"/>
      <c r="U170" s="151">
        <f>'IB - B&amp;D&amp;H'!U114</f>
        <v>0</v>
      </c>
      <c r="V170" s="151"/>
      <c r="W170" s="151">
        <f>'IB - B&amp;D&amp;H'!W114</f>
        <v>0</v>
      </c>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2"/>
      <c r="B171" s="72"/>
      <c r="C171" s="155"/>
      <c r="D171" s="156"/>
      <c r="E171" s="151">
        <f>'IB - B&amp;D&amp;H'!E115</f>
        <v>0</v>
      </c>
      <c r="F171" s="151"/>
      <c r="G171" s="151">
        <f>'IB - B&amp;D&amp;H'!G115</f>
        <v>0</v>
      </c>
      <c r="H171" s="151"/>
      <c r="I171" s="151">
        <f>'IB - B&amp;D&amp;H'!I115</f>
        <v>0</v>
      </c>
      <c r="J171" s="151"/>
      <c r="K171" s="151">
        <f>'IB - B&amp;D&amp;H'!K115</f>
        <v>0</v>
      </c>
      <c r="L171" s="151"/>
      <c r="M171" s="151">
        <f>'IB - B&amp;D&amp;H'!M115</f>
        <v>0</v>
      </c>
      <c r="N171" s="151"/>
      <c r="O171" s="151">
        <f>'IB - B&amp;D&amp;H'!O115</f>
        <v>0</v>
      </c>
      <c r="P171" s="151"/>
      <c r="Q171" s="151">
        <f>'IB - B&amp;D&amp;H'!Q115</f>
        <v>0</v>
      </c>
      <c r="R171" s="151"/>
      <c r="S171" s="151">
        <f>'IB - B&amp;D&amp;H'!S115</f>
        <v>0</v>
      </c>
      <c r="T171" s="151"/>
      <c r="U171" s="151">
        <f>'IB - B&amp;D&amp;H'!U115</f>
        <v>0</v>
      </c>
      <c r="V171" s="151"/>
      <c r="W171" s="151">
        <f>'IB - B&amp;D&amp;H'!W115</f>
        <v>0</v>
      </c>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2"/>
      <c r="B172" s="72"/>
      <c r="C172" s="155"/>
      <c r="D172" s="156"/>
      <c r="E172" s="497"/>
      <c r="F172" s="497"/>
      <c r="G172" s="497"/>
      <c r="H172" s="497"/>
      <c r="I172" s="497"/>
      <c r="J172" s="497"/>
      <c r="K172" s="497"/>
      <c r="L172" s="497"/>
      <c r="M172" s="497"/>
      <c r="N172" s="497"/>
      <c r="O172" s="497"/>
      <c r="P172" s="497"/>
      <c r="Q172" s="497"/>
      <c r="R172" s="497"/>
      <c r="S172" s="497"/>
      <c r="T172" s="497"/>
      <c r="U172" s="497"/>
      <c r="V172" s="497"/>
      <c r="W172" s="497"/>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2"/>
      <c r="B173" s="72"/>
      <c r="C173" s="155"/>
      <c r="D173" s="156"/>
      <c r="E173" s="497"/>
      <c r="F173" s="497"/>
      <c r="G173" s="497"/>
      <c r="H173" s="497"/>
      <c r="I173" s="497"/>
      <c r="J173" s="497"/>
      <c r="K173" s="497"/>
      <c r="L173" s="497"/>
      <c r="M173" s="497"/>
      <c r="N173" s="497"/>
      <c r="O173" s="497"/>
      <c r="P173" s="497"/>
      <c r="Q173" s="497"/>
      <c r="R173" s="497"/>
      <c r="S173" s="497"/>
      <c r="T173" s="497"/>
      <c r="U173" s="497"/>
      <c r="V173" s="497"/>
      <c r="W173" s="497"/>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5"/>
      <c r="D174" s="156"/>
      <c r="E174" s="497"/>
      <c r="F174" s="497"/>
      <c r="G174" s="497"/>
      <c r="H174" s="497"/>
      <c r="I174" s="497"/>
      <c r="J174" s="497"/>
      <c r="K174" s="497"/>
      <c r="L174" s="497"/>
      <c r="M174" s="497"/>
      <c r="N174" s="497"/>
      <c r="O174" s="497"/>
      <c r="P174" s="497"/>
      <c r="Q174" s="497"/>
      <c r="R174" s="497"/>
      <c r="S174" s="497"/>
      <c r="T174" s="497"/>
      <c r="U174" s="497"/>
      <c r="V174" s="497"/>
      <c r="W174" s="497"/>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5"/>
      <c r="D175" s="156"/>
      <c r="E175" s="157"/>
      <c r="F175" s="157"/>
      <c r="G175" s="157"/>
      <c r="H175" s="157"/>
      <c r="I175" s="157"/>
      <c r="J175" s="157"/>
      <c r="K175" s="157"/>
      <c r="L175" s="157"/>
      <c r="M175" s="157"/>
      <c r="N175" s="157"/>
      <c r="O175" s="157"/>
      <c r="P175" s="157"/>
      <c r="Q175" s="157"/>
      <c r="R175" s="157"/>
      <c r="S175" s="157"/>
      <c r="T175" s="157"/>
      <c r="U175" s="157"/>
      <c r="V175" s="157"/>
      <c r="W175" s="157"/>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5"/>
      <c r="D176" s="156"/>
      <c r="E176" s="157"/>
      <c r="F176" s="157"/>
      <c r="G176" s="157"/>
      <c r="H176" s="157"/>
      <c r="I176" s="157"/>
      <c r="J176" s="157"/>
      <c r="K176" s="157"/>
      <c r="L176" s="157"/>
      <c r="M176" s="157"/>
      <c r="N176" s="157"/>
      <c r="O176" s="157"/>
      <c r="P176" s="157"/>
      <c r="Q176" s="157"/>
      <c r="R176" s="157"/>
      <c r="S176" s="157"/>
      <c r="T176" s="157"/>
      <c r="U176" s="157"/>
      <c r="V176" s="157"/>
      <c r="W176" s="157"/>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5"/>
      <c r="D177" s="156"/>
      <c r="E177" s="157"/>
      <c r="F177" s="157"/>
      <c r="G177" s="157"/>
      <c r="H177" s="157"/>
      <c r="I177" s="157"/>
      <c r="J177" s="157"/>
      <c r="K177" s="157"/>
      <c r="L177" s="157"/>
      <c r="M177" s="157"/>
      <c r="N177" s="157"/>
      <c r="O177" s="157"/>
      <c r="P177" s="157"/>
      <c r="Q177" s="157"/>
      <c r="R177" s="157"/>
      <c r="S177" s="157"/>
      <c r="T177" s="157"/>
      <c r="U177" s="157"/>
      <c r="V177" s="157"/>
      <c r="W177" s="157"/>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5"/>
      <c r="D178" s="156"/>
      <c r="E178" s="157"/>
      <c r="F178" s="157"/>
      <c r="G178" s="157"/>
      <c r="H178" s="157"/>
      <c r="I178" s="157"/>
      <c r="J178" s="157"/>
      <c r="K178" s="157"/>
      <c r="L178" s="157"/>
      <c r="M178" s="157"/>
      <c r="N178" s="157"/>
      <c r="O178" s="157"/>
      <c r="P178" s="157"/>
      <c r="Q178" s="157"/>
      <c r="R178" s="157"/>
      <c r="S178" s="157"/>
      <c r="T178" s="157"/>
      <c r="U178" s="157"/>
      <c r="V178" s="157"/>
      <c r="W178" s="157"/>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5"/>
      <c r="D179" s="156"/>
      <c r="E179" s="157"/>
      <c r="F179" s="157"/>
      <c r="G179" s="157"/>
      <c r="H179" s="157"/>
      <c r="I179" s="157"/>
      <c r="J179" s="157"/>
      <c r="K179" s="157"/>
      <c r="L179" s="157"/>
      <c r="M179" s="157"/>
      <c r="N179" s="157"/>
      <c r="O179" s="157"/>
      <c r="P179" s="157"/>
      <c r="Q179" s="157"/>
      <c r="R179" s="157"/>
      <c r="S179" s="157"/>
      <c r="T179" s="157"/>
      <c r="U179" s="157"/>
      <c r="V179" s="157"/>
      <c r="W179" s="157"/>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idden="1">
      <c r="A180" s="72"/>
      <c r="B180" s="72"/>
      <c r="C180" s="155"/>
      <c r="D180" s="156"/>
      <c r="E180" s="157"/>
      <c r="F180" s="157"/>
      <c r="G180" s="157"/>
      <c r="H180" s="157"/>
      <c r="I180" s="157"/>
      <c r="J180" s="157"/>
      <c r="K180" s="157"/>
      <c r="L180" s="157"/>
      <c r="M180" s="157"/>
      <c r="N180" s="157"/>
      <c r="O180" s="157"/>
      <c r="P180" s="157"/>
      <c r="Q180" s="157"/>
      <c r="R180" s="157"/>
      <c r="S180" s="157"/>
      <c r="T180" s="157"/>
      <c r="U180" s="157"/>
      <c r="V180" s="157"/>
      <c r="W180" s="157"/>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idden="1">
      <c r="A181" s="72"/>
      <c r="B181" s="72"/>
      <c r="C181" s="155"/>
      <c r="D181" s="156"/>
      <c r="E181" s="157"/>
      <c r="F181" s="157"/>
      <c r="G181" s="157"/>
      <c r="H181" s="157"/>
      <c r="I181" s="157"/>
      <c r="J181" s="157"/>
      <c r="K181" s="157"/>
      <c r="L181" s="157"/>
      <c r="M181" s="157"/>
      <c r="N181" s="157"/>
      <c r="O181" s="157"/>
      <c r="P181" s="157"/>
      <c r="Q181" s="157"/>
      <c r="R181" s="157"/>
      <c r="S181" s="157"/>
      <c r="T181" s="157"/>
      <c r="U181" s="157"/>
      <c r="V181" s="157"/>
      <c r="W181" s="157"/>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idden="1">
      <c r="A182" s="72"/>
      <c r="B182" s="72"/>
      <c r="C182" s="155"/>
      <c r="D182" s="156"/>
      <c r="E182" s="157"/>
      <c r="F182" s="157"/>
      <c r="G182" s="157"/>
      <c r="H182" s="157"/>
      <c r="I182" s="157"/>
      <c r="J182" s="157"/>
      <c r="K182" s="157"/>
      <c r="L182" s="157"/>
      <c r="M182" s="157"/>
      <c r="N182" s="157"/>
      <c r="O182" s="157"/>
      <c r="P182" s="157"/>
      <c r="Q182" s="157"/>
      <c r="R182" s="157"/>
      <c r="S182" s="157"/>
      <c r="T182" s="157"/>
      <c r="U182" s="157"/>
      <c r="V182" s="157"/>
      <c r="W182" s="157"/>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idden="1">
      <c r="A183" s="72"/>
      <c r="B183" s="72"/>
      <c r="C183" s="155"/>
      <c r="D183" s="156"/>
      <c r="E183" s="157"/>
      <c r="F183" s="157"/>
      <c r="G183" s="157"/>
      <c r="H183" s="157"/>
      <c r="I183" s="157"/>
      <c r="J183" s="157"/>
      <c r="K183" s="157"/>
      <c r="L183" s="157"/>
      <c r="M183" s="157"/>
      <c r="N183" s="157"/>
      <c r="O183" s="157"/>
      <c r="P183" s="157"/>
      <c r="Q183" s="157"/>
      <c r="R183" s="157"/>
      <c r="S183" s="157"/>
      <c r="T183" s="157"/>
      <c r="U183" s="157"/>
      <c r="V183" s="157"/>
      <c r="W183" s="157"/>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idden="1">
      <c r="A184" s="72"/>
      <c r="B184" s="72"/>
      <c r="C184" s="155"/>
      <c r="D184" s="156"/>
      <c r="E184" s="157"/>
      <c r="F184" s="157"/>
      <c r="G184" s="157"/>
      <c r="H184" s="157"/>
      <c r="I184" s="157"/>
      <c r="J184" s="157"/>
      <c r="K184" s="157"/>
      <c r="L184" s="157"/>
      <c r="M184" s="157"/>
      <c r="N184" s="157"/>
      <c r="O184" s="157"/>
      <c r="P184" s="157"/>
      <c r="Q184" s="157"/>
      <c r="R184" s="157"/>
      <c r="S184" s="157"/>
      <c r="T184" s="157"/>
      <c r="U184" s="157"/>
      <c r="V184" s="157"/>
      <c r="W184" s="157"/>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idden="1">
      <c r="A185" s="72"/>
      <c r="B185" s="72"/>
      <c r="C185" s="155"/>
      <c r="D185" s="156"/>
      <c r="E185" s="157"/>
      <c r="F185" s="157"/>
      <c r="G185" s="157"/>
      <c r="H185" s="157"/>
      <c r="I185" s="157"/>
      <c r="J185" s="157"/>
      <c r="K185" s="157"/>
      <c r="L185" s="157"/>
      <c r="M185" s="157"/>
      <c r="N185" s="157"/>
      <c r="O185" s="157"/>
      <c r="P185" s="157"/>
      <c r="Q185" s="157"/>
      <c r="R185" s="157"/>
      <c r="S185" s="157"/>
      <c r="T185" s="157"/>
      <c r="U185" s="157"/>
      <c r="V185" s="157"/>
      <c r="W185" s="157"/>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idden="1">
      <c r="A186" s="72"/>
      <c r="B186" s="72"/>
      <c r="C186" s="155"/>
      <c r="D186" s="156"/>
      <c r="E186" s="157"/>
      <c r="F186" s="157"/>
      <c r="G186" s="157"/>
      <c r="H186" s="157"/>
      <c r="I186" s="157"/>
      <c r="J186" s="157"/>
      <c r="K186" s="157"/>
      <c r="L186" s="157"/>
      <c r="M186" s="157"/>
      <c r="N186" s="157"/>
      <c r="O186" s="157"/>
      <c r="P186" s="157"/>
      <c r="Q186" s="157"/>
      <c r="R186" s="157"/>
      <c r="S186" s="157"/>
      <c r="T186" s="157"/>
      <c r="U186" s="157"/>
      <c r="V186" s="157"/>
      <c r="W186" s="157"/>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idden="1">
      <c r="A187" s="72"/>
      <c r="B187" s="72"/>
      <c r="C187" s="155"/>
      <c r="D187" s="156"/>
      <c r="E187" s="157"/>
      <c r="F187" s="157"/>
      <c r="G187" s="157"/>
      <c r="H187" s="157"/>
      <c r="I187" s="157"/>
      <c r="J187" s="157"/>
      <c r="K187" s="157"/>
      <c r="L187" s="157"/>
      <c r="M187" s="157"/>
      <c r="N187" s="157"/>
      <c r="O187" s="157"/>
      <c r="P187" s="157"/>
      <c r="Q187" s="157"/>
      <c r="R187" s="157"/>
      <c r="S187" s="157"/>
      <c r="T187" s="157"/>
      <c r="U187" s="157"/>
      <c r="V187" s="157"/>
      <c r="W187" s="157"/>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idden="1">
      <c r="A188" s="72"/>
      <c r="B188" s="72"/>
      <c r="C188" s="155"/>
      <c r="D188" s="156"/>
      <c r="E188" s="157"/>
      <c r="F188" s="157"/>
      <c r="G188" s="157"/>
      <c r="H188" s="157"/>
      <c r="I188" s="157"/>
      <c r="J188" s="157"/>
      <c r="K188" s="157"/>
      <c r="L188" s="157"/>
      <c r="M188" s="157"/>
      <c r="N188" s="157"/>
      <c r="O188" s="157"/>
      <c r="P188" s="157"/>
      <c r="Q188" s="157"/>
      <c r="R188" s="157"/>
      <c r="S188" s="157"/>
      <c r="T188" s="157"/>
      <c r="U188" s="157"/>
      <c r="V188" s="157"/>
      <c r="W188" s="157"/>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idden="1">
      <c r="A189" s="72"/>
      <c r="B189" s="72"/>
      <c r="C189" s="155"/>
      <c r="D189" s="156"/>
      <c r="E189" s="157"/>
      <c r="F189" s="157"/>
      <c r="G189" s="157"/>
      <c r="H189" s="157"/>
      <c r="I189" s="157"/>
      <c r="J189" s="157"/>
      <c r="K189" s="157"/>
      <c r="L189" s="157"/>
      <c r="M189" s="157"/>
      <c r="N189" s="157"/>
      <c r="O189" s="157"/>
      <c r="P189" s="157"/>
      <c r="Q189" s="157"/>
      <c r="R189" s="157"/>
      <c r="S189" s="157"/>
      <c r="T189" s="157"/>
      <c r="U189" s="157"/>
      <c r="V189" s="157"/>
      <c r="W189" s="157"/>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idden="1">
      <c r="A190" s="72"/>
      <c r="B190" s="72"/>
      <c r="C190" s="155"/>
      <c r="D190" s="156"/>
      <c r="E190" s="157"/>
      <c r="F190" s="157"/>
      <c r="G190" s="157"/>
      <c r="H190" s="157"/>
      <c r="I190" s="157"/>
      <c r="J190" s="157"/>
      <c r="K190" s="157"/>
      <c r="L190" s="157"/>
      <c r="M190" s="157"/>
      <c r="N190" s="157"/>
      <c r="O190" s="157"/>
      <c r="P190" s="157"/>
      <c r="Q190" s="157"/>
      <c r="R190" s="157"/>
      <c r="S190" s="157"/>
      <c r="T190" s="157"/>
      <c r="U190" s="157"/>
      <c r="V190" s="157"/>
      <c r="W190" s="157"/>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idden="1">
      <c r="A191" s="72"/>
      <c r="B191" s="72"/>
      <c r="C191" s="155"/>
      <c r="D191" s="156"/>
      <c r="E191" s="157"/>
      <c r="F191" s="157"/>
      <c r="G191" s="157"/>
      <c r="H191" s="157"/>
      <c r="I191" s="157"/>
      <c r="J191" s="157"/>
      <c r="K191" s="157"/>
      <c r="L191" s="157"/>
      <c r="M191" s="157"/>
      <c r="N191" s="157"/>
      <c r="O191" s="157"/>
      <c r="P191" s="157"/>
      <c r="Q191" s="157"/>
      <c r="R191" s="157"/>
      <c r="S191" s="157"/>
      <c r="T191" s="157"/>
      <c r="U191" s="157"/>
      <c r="V191" s="157"/>
      <c r="W191" s="157"/>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idden="1">
      <c r="A192" s="72"/>
      <c r="B192" s="72"/>
      <c r="C192" s="155"/>
      <c r="D192" s="156"/>
      <c r="E192" s="157"/>
      <c r="F192" s="157"/>
      <c r="G192" s="157"/>
      <c r="H192" s="157"/>
      <c r="I192" s="157"/>
      <c r="J192" s="157"/>
      <c r="K192" s="157"/>
      <c r="L192" s="157"/>
      <c r="M192" s="157"/>
      <c r="N192" s="157"/>
      <c r="O192" s="157"/>
      <c r="P192" s="157"/>
      <c r="Q192" s="157"/>
      <c r="R192" s="157"/>
      <c r="S192" s="157"/>
      <c r="T192" s="157"/>
      <c r="U192" s="157"/>
      <c r="V192" s="157"/>
      <c r="W192" s="157"/>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idden="1">
      <c r="A193" s="72"/>
      <c r="B193" s="72"/>
      <c r="C193" s="155"/>
      <c r="D193" s="156"/>
      <c r="E193" s="157"/>
      <c r="F193" s="157"/>
      <c r="G193" s="157"/>
      <c r="H193" s="157"/>
      <c r="I193" s="157"/>
      <c r="J193" s="157"/>
      <c r="K193" s="157"/>
      <c r="L193" s="157"/>
      <c r="M193" s="157"/>
      <c r="N193" s="157"/>
      <c r="O193" s="157"/>
      <c r="P193" s="157"/>
      <c r="Q193" s="157"/>
      <c r="R193" s="157"/>
      <c r="S193" s="157"/>
      <c r="T193" s="157"/>
      <c r="U193" s="157"/>
      <c r="V193" s="157"/>
      <c r="W193" s="157"/>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idden="1">
      <c r="A194" s="72"/>
      <c r="B194" s="72"/>
      <c r="C194" s="155"/>
      <c r="D194" s="156"/>
      <c r="E194" s="157"/>
      <c r="F194" s="157"/>
      <c r="G194" s="157"/>
      <c r="H194" s="157"/>
      <c r="I194" s="157"/>
      <c r="J194" s="157"/>
      <c r="K194" s="157"/>
      <c r="L194" s="157"/>
      <c r="M194" s="157"/>
      <c r="N194" s="157"/>
      <c r="O194" s="157"/>
      <c r="P194" s="157"/>
      <c r="Q194" s="157"/>
      <c r="R194" s="157"/>
      <c r="S194" s="157"/>
      <c r="T194" s="157"/>
      <c r="U194" s="157"/>
      <c r="V194" s="157"/>
      <c r="W194" s="157"/>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idden="1">
      <c r="A195" s="72"/>
      <c r="B195" s="72"/>
      <c r="C195" s="155"/>
      <c r="D195" s="156"/>
      <c r="E195" s="157"/>
      <c r="F195" s="157"/>
      <c r="G195" s="157"/>
      <c r="H195" s="157"/>
      <c r="I195" s="157"/>
      <c r="J195" s="157"/>
      <c r="K195" s="157"/>
      <c r="L195" s="157"/>
      <c r="M195" s="157"/>
      <c r="N195" s="157"/>
      <c r="O195" s="157"/>
      <c r="P195" s="157"/>
      <c r="Q195" s="157"/>
      <c r="R195" s="157"/>
      <c r="S195" s="157"/>
      <c r="T195" s="157"/>
      <c r="U195" s="157"/>
      <c r="V195" s="157"/>
      <c r="W195" s="157"/>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idden="1">
      <c r="A196" s="72"/>
      <c r="B196" s="72"/>
      <c r="C196" s="155"/>
      <c r="D196" s="156"/>
      <c r="E196" s="157"/>
      <c r="F196" s="157"/>
      <c r="G196" s="157"/>
      <c r="H196" s="157"/>
      <c r="I196" s="157"/>
      <c r="J196" s="157"/>
      <c r="K196" s="157"/>
      <c r="L196" s="157"/>
      <c r="M196" s="157"/>
      <c r="N196" s="157"/>
      <c r="O196" s="157"/>
      <c r="P196" s="157"/>
      <c r="Q196" s="157"/>
      <c r="R196" s="157"/>
      <c r="S196" s="157"/>
      <c r="T196" s="157"/>
      <c r="U196" s="157"/>
      <c r="V196" s="157"/>
      <c r="W196" s="157"/>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idden="1">
      <c r="A197" s="72"/>
      <c r="B197" s="72"/>
      <c r="C197" s="155"/>
      <c r="D197" s="156"/>
      <c r="E197" s="157"/>
      <c r="F197" s="157"/>
      <c r="G197" s="157"/>
      <c r="H197" s="157"/>
      <c r="I197" s="157"/>
      <c r="J197" s="157"/>
      <c r="K197" s="157"/>
      <c r="L197" s="157"/>
      <c r="M197" s="157"/>
      <c r="N197" s="157"/>
      <c r="O197" s="157"/>
      <c r="P197" s="157"/>
      <c r="Q197" s="157"/>
      <c r="R197" s="157"/>
      <c r="S197" s="157"/>
      <c r="T197" s="157"/>
      <c r="U197" s="157"/>
      <c r="V197" s="157"/>
      <c r="W197" s="157"/>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idden="1">
      <c r="A198" s="72"/>
      <c r="B198" s="72"/>
      <c r="C198" s="155"/>
      <c r="D198" s="156"/>
      <c r="E198" s="157"/>
      <c r="F198" s="157"/>
      <c r="G198" s="157"/>
      <c r="H198" s="157"/>
      <c r="I198" s="157"/>
      <c r="J198" s="157"/>
      <c r="K198" s="157"/>
      <c r="L198" s="157"/>
      <c r="M198" s="157"/>
      <c r="N198" s="157"/>
      <c r="O198" s="157"/>
      <c r="P198" s="157"/>
      <c r="Q198" s="157"/>
      <c r="R198" s="157"/>
      <c r="S198" s="157"/>
      <c r="T198" s="157"/>
      <c r="U198" s="157"/>
      <c r="V198" s="157"/>
      <c r="W198" s="157"/>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idden="1">
      <c r="A199" s="72"/>
      <c r="B199" s="72"/>
      <c r="C199" s="155"/>
      <c r="D199" s="156"/>
      <c r="E199" s="157"/>
      <c r="F199" s="157"/>
      <c r="G199" s="157"/>
      <c r="H199" s="157"/>
      <c r="I199" s="157"/>
      <c r="J199" s="157"/>
      <c r="K199" s="157"/>
      <c r="L199" s="157"/>
      <c r="M199" s="157"/>
      <c r="N199" s="157"/>
      <c r="O199" s="157"/>
      <c r="P199" s="157"/>
      <c r="Q199" s="157"/>
      <c r="R199" s="157"/>
      <c r="S199" s="157"/>
      <c r="T199" s="157"/>
      <c r="U199" s="157"/>
      <c r="V199" s="157"/>
      <c r="W199" s="157"/>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idden="1">
      <c r="A200" s="72"/>
      <c r="B200" s="72"/>
      <c r="C200" s="155"/>
      <c r="D200" s="156"/>
      <c r="E200" s="157"/>
      <c r="F200" s="157"/>
      <c r="G200" s="157"/>
      <c r="H200" s="157"/>
      <c r="I200" s="157"/>
      <c r="J200" s="157"/>
      <c r="K200" s="157"/>
      <c r="L200" s="157"/>
      <c r="M200" s="157"/>
      <c r="N200" s="157"/>
      <c r="O200" s="157"/>
      <c r="P200" s="157"/>
      <c r="Q200" s="157"/>
      <c r="R200" s="157"/>
      <c r="S200" s="157"/>
      <c r="T200" s="157"/>
      <c r="U200" s="157"/>
      <c r="V200" s="157"/>
      <c r="W200" s="157"/>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idden="1">
      <c r="A201" s="72"/>
      <c r="B201" s="72"/>
      <c r="C201" s="155"/>
      <c r="D201" s="156"/>
      <c r="E201" s="157"/>
      <c r="F201" s="157"/>
      <c r="G201" s="157"/>
      <c r="H201" s="157"/>
      <c r="I201" s="157"/>
      <c r="J201" s="157"/>
      <c r="K201" s="157"/>
      <c r="L201" s="157"/>
      <c r="M201" s="157"/>
      <c r="N201" s="157"/>
      <c r="O201" s="157"/>
      <c r="P201" s="157"/>
      <c r="Q201" s="157"/>
      <c r="R201" s="157"/>
      <c r="S201" s="157"/>
      <c r="T201" s="157"/>
      <c r="U201" s="157"/>
      <c r="V201" s="157"/>
      <c r="W201" s="157"/>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idden="1">
      <c r="A202" s="72"/>
      <c r="B202" s="72"/>
      <c r="C202" s="155"/>
      <c r="D202" s="156"/>
      <c r="E202" s="157"/>
      <c r="F202" s="157"/>
      <c r="G202" s="157"/>
      <c r="H202" s="157"/>
      <c r="I202" s="157"/>
      <c r="J202" s="157"/>
      <c r="K202" s="157"/>
      <c r="L202" s="157"/>
      <c r="M202" s="157"/>
      <c r="N202" s="157"/>
      <c r="O202" s="157"/>
      <c r="P202" s="157"/>
      <c r="Q202" s="157"/>
      <c r="R202" s="157"/>
      <c r="S202" s="157"/>
      <c r="T202" s="157"/>
      <c r="U202" s="157"/>
      <c r="V202" s="157"/>
      <c r="W202" s="157"/>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idden="1">
      <c r="A203" s="72"/>
      <c r="B203" s="72"/>
      <c r="C203" s="155"/>
      <c r="D203" s="156"/>
      <c r="E203" s="157"/>
      <c r="F203" s="157"/>
      <c r="G203" s="157"/>
      <c r="H203" s="157"/>
      <c r="I203" s="157"/>
      <c r="J203" s="157"/>
      <c r="K203" s="157"/>
      <c r="L203" s="157"/>
      <c r="M203" s="157"/>
      <c r="N203" s="157"/>
      <c r="O203" s="157"/>
      <c r="P203" s="157"/>
      <c r="Q203" s="157"/>
      <c r="R203" s="157"/>
      <c r="S203" s="157"/>
      <c r="T203" s="157"/>
      <c r="U203" s="157"/>
      <c r="V203" s="157"/>
      <c r="W203" s="157"/>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idden="1">
      <c r="A204" s="72"/>
      <c r="B204" s="72"/>
      <c r="C204" s="155"/>
      <c r="D204" s="156"/>
      <c r="E204" s="157"/>
      <c r="F204" s="157"/>
      <c r="G204" s="157"/>
      <c r="H204" s="157"/>
      <c r="I204" s="157"/>
      <c r="J204" s="157"/>
      <c r="K204" s="157"/>
      <c r="L204" s="157"/>
      <c r="M204" s="157"/>
      <c r="N204" s="157"/>
      <c r="O204" s="157"/>
      <c r="P204" s="157"/>
      <c r="Q204" s="157"/>
      <c r="R204" s="157"/>
      <c r="S204" s="157"/>
      <c r="T204" s="157"/>
      <c r="U204" s="157"/>
      <c r="V204" s="157"/>
      <c r="W204" s="157"/>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idden="1">
      <c r="A205" s="72"/>
      <c r="B205" s="72"/>
      <c r="C205" s="155"/>
      <c r="D205" s="156"/>
      <c r="E205" s="157"/>
      <c r="F205" s="157"/>
      <c r="G205" s="157"/>
      <c r="H205" s="157"/>
      <c r="I205" s="157"/>
      <c r="J205" s="157"/>
      <c r="K205" s="157"/>
      <c r="L205" s="157"/>
      <c r="M205" s="157"/>
      <c r="N205" s="157"/>
      <c r="O205" s="157"/>
      <c r="P205" s="157"/>
      <c r="Q205" s="157"/>
      <c r="R205" s="157"/>
      <c r="S205" s="157"/>
      <c r="T205" s="157"/>
      <c r="U205" s="157"/>
      <c r="V205" s="157"/>
      <c r="W205" s="157"/>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idden="1">
      <c r="A206" s="72"/>
      <c r="B206" s="72"/>
      <c r="C206" s="155"/>
      <c r="D206" s="156"/>
      <c r="E206" s="157"/>
      <c r="F206" s="157"/>
      <c r="G206" s="157"/>
      <c r="H206" s="157"/>
      <c r="I206" s="157"/>
      <c r="J206" s="157"/>
      <c r="K206" s="157"/>
      <c r="L206" s="157"/>
      <c r="M206" s="157"/>
      <c r="N206" s="157"/>
      <c r="O206" s="157"/>
      <c r="P206" s="157"/>
      <c r="Q206" s="157"/>
      <c r="R206" s="157"/>
      <c r="S206" s="157"/>
      <c r="T206" s="157"/>
      <c r="U206" s="157"/>
      <c r="V206" s="157"/>
      <c r="W206" s="157"/>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idden="1">
      <c r="A207" s="72"/>
      <c r="B207" s="72"/>
      <c r="C207" s="155"/>
      <c r="D207" s="156"/>
      <c r="E207" s="157"/>
      <c r="F207" s="157"/>
      <c r="G207" s="157"/>
      <c r="H207" s="157"/>
      <c r="I207" s="157"/>
      <c r="J207" s="157"/>
      <c r="K207" s="157"/>
      <c r="L207" s="157"/>
      <c r="M207" s="157"/>
      <c r="N207" s="157"/>
      <c r="O207" s="157"/>
      <c r="P207" s="157"/>
      <c r="Q207" s="157"/>
      <c r="R207" s="157"/>
      <c r="S207" s="157"/>
      <c r="T207" s="157"/>
      <c r="U207" s="157"/>
      <c r="V207" s="157"/>
      <c r="W207" s="157"/>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idden="1">
      <c r="A208" s="72"/>
      <c r="B208" s="72"/>
      <c r="C208" s="155"/>
      <c r="D208" s="156"/>
      <c r="E208" s="157"/>
      <c r="F208" s="157"/>
      <c r="G208" s="157"/>
      <c r="H208" s="157"/>
      <c r="I208" s="157"/>
      <c r="J208" s="157"/>
      <c r="K208" s="157"/>
      <c r="L208" s="157"/>
      <c r="M208" s="157"/>
      <c r="N208" s="157"/>
      <c r="O208" s="157"/>
      <c r="P208" s="157"/>
      <c r="Q208" s="157"/>
      <c r="R208" s="157"/>
      <c r="S208" s="157"/>
      <c r="T208" s="157"/>
      <c r="U208" s="157"/>
      <c r="V208" s="157"/>
      <c r="W208" s="157"/>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idden="1">
      <c r="A209" s="72"/>
      <c r="B209" s="72"/>
      <c r="C209" s="155"/>
      <c r="D209" s="156"/>
      <c r="E209" s="157"/>
      <c r="F209" s="157"/>
      <c r="G209" s="157"/>
      <c r="H209" s="157"/>
      <c r="I209" s="157"/>
      <c r="J209" s="157"/>
      <c r="K209" s="157"/>
      <c r="L209" s="157"/>
      <c r="M209" s="157"/>
      <c r="N209" s="157"/>
      <c r="O209" s="157"/>
      <c r="P209" s="157"/>
      <c r="Q209" s="157"/>
      <c r="R209" s="157"/>
      <c r="S209" s="157"/>
      <c r="T209" s="157"/>
      <c r="U209" s="157"/>
      <c r="V209" s="157"/>
      <c r="W209" s="157"/>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idden="1">
      <c r="A210" s="72"/>
      <c r="B210" s="72"/>
      <c r="C210" s="155"/>
      <c r="D210" s="156"/>
      <c r="E210" s="157"/>
      <c r="F210" s="157"/>
      <c r="G210" s="157"/>
      <c r="H210" s="157"/>
      <c r="I210" s="157"/>
      <c r="J210" s="157"/>
      <c r="K210" s="157"/>
      <c r="L210" s="157"/>
      <c r="M210" s="157"/>
      <c r="N210" s="157"/>
      <c r="O210" s="157"/>
      <c r="P210" s="157"/>
      <c r="Q210" s="157"/>
      <c r="R210" s="157"/>
      <c r="S210" s="157"/>
      <c r="T210" s="157"/>
      <c r="U210" s="157"/>
      <c r="V210" s="157"/>
      <c r="W210" s="157"/>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idden="1">
      <c r="A211" s="72"/>
      <c r="B211" s="72"/>
      <c r="C211" s="155"/>
      <c r="D211" s="156"/>
      <c r="E211" s="157"/>
      <c r="F211" s="157"/>
      <c r="G211" s="157"/>
      <c r="H211" s="157"/>
      <c r="I211" s="157"/>
      <c r="J211" s="157"/>
      <c r="K211" s="157"/>
      <c r="L211" s="157"/>
      <c r="M211" s="157"/>
      <c r="N211" s="157"/>
      <c r="O211" s="157"/>
      <c r="P211" s="157"/>
      <c r="Q211" s="157"/>
      <c r="R211" s="157"/>
      <c r="S211" s="157"/>
      <c r="T211" s="157"/>
      <c r="U211" s="157"/>
      <c r="V211" s="157"/>
      <c r="W211" s="157"/>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idden="1">
      <c r="A212" s="72"/>
      <c r="B212" s="72"/>
      <c r="C212" s="155"/>
      <c r="D212" s="156"/>
      <c r="E212" s="157"/>
      <c r="F212" s="157"/>
      <c r="G212" s="157"/>
      <c r="H212" s="157"/>
      <c r="I212" s="157"/>
      <c r="J212" s="157"/>
      <c r="K212" s="157"/>
      <c r="L212" s="157"/>
      <c r="M212" s="157"/>
      <c r="N212" s="157"/>
      <c r="O212" s="157"/>
      <c r="P212" s="157"/>
      <c r="Q212" s="157"/>
      <c r="R212" s="157"/>
      <c r="S212" s="157"/>
      <c r="T212" s="157"/>
      <c r="U212" s="157"/>
      <c r="V212" s="157"/>
      <c r="W212" s="157"/>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idden="1">
      <c r="A213" s="72"/>
      <c r="B213" s="72"/>
      <c r="C213" s="155"/>
      <c r="D213" s="156"/>
      <c r="E213" s="157"/>
      <c r="F213" s="157"/>
      <c r="G213" s="157"/>
      <c r="H213" s="157"/>
      <c r="I213" s="157"/>
      <c r="J213" s="157"/>
      <c r="K213" s="157"/>
      <c r="L213" s="157"/>
      <c r="M213" s="157"/>
      <c r="N213" s="157"/>
      <c r="O213" s="157"/>
      <c r="P213" s="157"/>
      <c r="Q213" s="157"/>
      <c r="R213" s="157"/>
      <c r="S213" s="157"/>
      <c r="T213" s="157"/>
      <c r="U213" s="157"/>
      <c r="V213" s="157"/>
      <c r="W213" s="157"/>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idden="1">
      <c r="A214" s="72"/>
      <c r="B214" s="72"/>
      <c r="C214" s="155"/>
      <c r="D214" s="156"/>
      <c r="E214" s="157"/>
      <c r="F214" s="157"/>
      <c r="G214" s="157"/>
      <c r="H214" s="157"/>
      <c r="I214" s="157"/>
      <c r="J214" s="157"/>
      <c r="K214" s="157"/>
      <c r="L214" s="157"/>
      <c r="M214" s="157"/>
      <c r="N214" s="157"/>
      <c r="O214" s="157"/>
      <c r="P214" s="157"/>
      <c r="Q214" s="157"/>
      <c r="R214" s="157"/>
      <c r="S214" s="157"/>
      <c r="T214" s="157"/>
      <c r="U214" s="157"/>
      <c r="V214" s="157"/>
      <c r="W214" s="157"/>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idden="1">
      <c r="A215" s="72"/>
      <c r="B215" s="72"/>
      <c r="C215" s="155"/>
      <c r="D215" s="156"/>
      <c r="E215" s="157"/>
      <c r="F215" s="157"/>
      <c r="G215" s="157"/>
      <c r="H215" s="157"/>
      <c r="I215" s="157"/>
      <c r="J215" s="157"/>
      <c r="K215" s="157"/>
      <c r="L215" s="157"/>
      <c r="M215" s="157"/>
      <c r="N215" s="157"/>
      <c r="O215" s="157"/>
      <c r="P215" s="157"/>
      <c r="Q215" s="157"/>
      <c r="R215" s="157"/>
      <c r="S215" s="157"/>
      <c r="T215" s="157"/>
      <c r="U215" s="157"/>
      <c r="V215" s="157"/>
      <c r="W215" s="157"/>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idden="1">
      <c r="A216" s="72"/>
      <c r="B216" s="72"/>
      <c r="C216" s="155"/>
      <c r="D216" s="156"/>
      <c r="E216" s="157"/>
      <c r="F216" s="157"/>
      <c r="G216" s="157"/>
      <c r="H216" s="157"/>
      <c r="I216" s="157"/>
      <c r="J216" s="157"/>
      <c r="K216" s="157"/>
      <c r="L216" s="157"/>
      <c r="M216" s="157"/>
      <c r="N216" s="157"/>
      <c r="O216" s="157"/>
      <c r="P216" s="157"/>
      <c r="Q216" s="157"/>
      <c r="R216" s="157"/>
      <c r="S216" s="157"/>
      <c r="T216" s="157"/>
      <c r="U216" s="157"/>
      <c r="V216" s="157"/>
      <c r="W216" s="157"/>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idden="1">
      <c r="A217" s="72"/>
      <c r="B217" s="72"/>
      <c r="C217" s="155"/>
      <c r="D217" s="156"/>
      <c r="E217" s="157"/>
      <c r="F217" s="157"/>
      <c r="G217" s="157"/>
      <c r="H217" s="157"/>
      <c r="I217" s="157"/>
      <c r="J217" s="157"/>
      <c r="K217" s="157"/>
      <c r="L217" s="157"/>
      <c r="M217" s="157"/>
      <c r="N217" s="157"/>
      <c r="O217" s="157"/>
      <c r="P217" s="157"/>
      <c r="Q217" s="157"/>
      <c r="R217" s="157"/>
      <c r="S217" s="157"/>
      <c r="T217" s="157"/>
      <c r="U217" s="157"/>
      <c r="V217" s="157"/>
      <c r="W217" s="157"/>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idden="1">
      <c r="A218" s="72"/>
      <c r="B218" s="72"/>
      <c r="C218" s="155"/>
      <c r="D218" s="156"/>
      <c r="E218" s="157"/>
      <c r="F218" s="157"/>
      <c r="G218" s="157"/>
      <c r="H218" s="157"/>
      <c r="I218" s="157"/>
      <c r="J218" s="157"/>
      <c r="K218" s="157"/>
      <c r="L218" s="157"/>
      <c r="M218" s="157"/>
      <c r="N218" s="157"/>
      <c r="O218" s="157"/>
      <c r="P218" s="157"/>
      <c r="Q218" s="157"/>
      <c r="R218" s="157"/>
      <c r="S218" s="157"/>
      <c r="T218" s="157"/>
      <c r="U218" s="157"/>
      <c r="V218" s="157"/>
      <c r="W218" s="157"/>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idden="1">
      <c r="A219" s="72"/>
      <c r="B219" s="72"/>
      <c r="C219" s="155"/>
      <c r="D219" s="156"/>
      <c r="E219" s="157"/>
      <c r="F219" s="157"/>
      <c r="G219" s="157"/>
      <c r="H219" s="157"/>
      <c r="I219" s="157"/>
      <c r="J219" s="157"/>
      <c r="K219" s="157"/>
      <c r="L219" s="157"/>
      <c r="M219" s="157"/>
      <c r="N219" s="157"/>
      <c r="O219" s="157"/>
      <c r="P219" s="157"/>
      <c r="Q219" s="157"/>
      <c r="R219" s="157"/>
      <c r="S219" s="157"/>
      <c r="T219" s="157"/>
      <c r="U219" s="157"/>
      <c r="V219" s="157"/>
      <c r="W219" s="157"/>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idden="1">
      <c r="A220" s="72"/>
      <c r="B220" s="72"/>
      <c r="C220" s="155"/>
      <c r="D220" s="156"/>
      <c r="E220" s="157"/>
      <c r="F220" s="157"/>
      <c r="G220" s="157"/>
      <c r="H220" s="157"/>
      <c r="I220" s="157"/>
      <c r="J220" s="157"/>
      <c r="K220" s="157"/>
      <c r="L220" s="157"/>
      <c r="M220" s="157"/>
      <c r="N220" s="157"/>
      <c r="O220" s="157"/>
      <c r="P220" s="157"/>
      <c r="Q220" s="157"/>
      <c r="R220" s="157"/>
      <c r="S220" s="157"/>
      <c r="T220" s="157"/>
      <c r="U220" s="157"/>
      <c r="V220" s="157"/>
      <c r="W220" s="157"/>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idden="1">
      <c r="A221" s="72"/>
      <c r="B221" s="72"/>
      <c r="C221" s="155"/>
      <c r="D221" s="156"/>
      <c r="E221" s="157"/>
      <c r="F221" s="157"/>
      <c r="G221" s="157"/>
      <c r="H221" s="157"/>
      <c r="I221" s="157"/>
      <c r="J221" s="157"/>
      <c r="K221" s="157"/>
      <c r="L221" s="157"/>
      <c r="M221" s="157"/>
      <c r="N221" s="157"/>
      <c r="O221" s="157"/>
      <c r="P221" s="157"/>
      <c r="Q221" s="157"/>
      <c r="R221" s="157"/>
      <c r="S221" s="157"/>
      <c r="T221" s="157"/>
      <c r="U221" s="157"/>
      <c r="V221" s="157"/>
      <c r="W221" s="157"/>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idden="1">
      <c r="A222" s="72"/>
      <c r="B222" s="72"/>
      <c r="C222" s="155"/>
      <c r="D222" s="156"/>
      <c r="E222" s="157"/>
      <c r="F222" s="157"/>
      <c r="G222" s="157"/>
      <c r="H222" s="157"/>
      <c r="I222" s="157"/>
      <c r="J222" s="157"/>
      <c r="K222" s="157"/>
      <c r="L222" s="157"/>
      <c r="M222" s="157"/>
      <c r="N222" s="157"/>
      <c r="O222" s="157"/>
      <c r="P222" s="157"/>
      <c r="Q222" s="157"/>
      <c r="R222" s="157"/>
      <c r="S222" s="157"/>
      <c r="T222" s="157"/>
      <c r="U222" s="157"/>
      <c r="V222" s="157"/>
      <c r="W222" s="157"/>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idden="1">
      <c r="A223" s="72"/>
      <c r="B223" s="72"/>
      <c r="C223" s="155"/>
      <c r="D223" s="156"/>
      <c r="E223" s="157"/>
      <c r="F223" s="157"/>
      <c r="G223" s="157"/>
      <c r="H223" s="157"/>
      <c r="I223" s="157"/>
      <c r="J223" s="157"/>
      <c r="K223" s="157"/>
      <c r="L223" s="157"/>
      <c r="M223" s="157"/>
      <c r="N223" s="157"/>
      <c r="O223" s="157"/>
      <c r="P223" s="157"/>
      <c r="Q223" s="157"/>
      <c r="R223" s="157"/>
      <c r="S223" s="157"/>
      <c r="T223" s="157"/>
      <c r="U223" s="157"/>
      <c r="V223" s="157"/>
      <c r="W223" s="157"/>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idden="1">
      <c r="A224" s="72"/>
      <c r="B224" s="72"/>
      <c r="C224" s="155"/>
      <c r="D224" s="156"/>
      <c r="E224" s="157"/>
      <c r="F224" s="157"/>
      <c r="G224" s="157"/>
      <c r="H224" s="157"/>
      <c r="I224" s="157"/>
      <c r="J224" s="157"/>
      <c r="K224" s="157"/>
      <c r="L224" s="157"/>
      <c r="M224" s="157"/>
      <c r="N224" s="157"/>
      <c r="O224" s="157"/>
      <c r="P224" s="157"/>
      <c r="Q224" s="157"/>
      <c r="R224" s="157"/>
      <c r="S224" s="157"/>
      <c r="T224" s="157"/>
      <c r="U224" s="157"/>
      <c r="V224" s="157"/>
      <c r="W224" s="157"/>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idden="1">
      <c r="A225" s="72"/>
      <c r="B225" s="72"/>
      <c r="C225" s="155"/>
      <c r="D225" s="156"/>
      <c r="E225" s="157"/>
      <c r="F225" s="157"/>
      <c r="G225" s="157"/>
      <c r="H225" s="157"/>
      <c r="I225" s="157"/>
      <c r="J225" s="157"/>
      <c r="K225" s="157"/>
      <c r="L225" s="157"/>
      <c r="M225" s="157"/>
      <c r="N225" s="157"/>
      <c r="O225" s="157"/>
      <c r="P225" s="157"/>
      <c r="Q225" s="157"/>
      <c r="R225" s="157"/>
      <c r="S225" s="157"/>
      <c r="T225" s="157"/>
      <c r="U225" s="157"/>
      <c r="V225" s="157"/>
      <c r="W225" s="157"/>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idden="1">
      <c r="A226" s="73"/>
      <c r="B226" s="73"/>
      <c r="C226" s="158"/>
      <c r="D226" s="156"/>
      <c r="E226" s="152"/>
      <c r="F226" s="152"/>
      <c r="G226" s="152"/>
      <c r="H226" s="152"/>
      <c r="I226" s="152"/>
      <c r="J226" s="152"/>
      <c r="K226" s="152"/>
      <c r="L226" s="152"/>
      <c r="M226" s="152"/>
      <c r="N226" s="152"/>
      <c r="O226" s="152"/>
      <c r="P226" s="152"/>
      <c r="Q226" s="152"/>
      <c r="R226" s="152"/>
      <c r="S226" s="152"/>
      <c r="T226" s="152"/>
      <c r="U226" s="152"/>
      <c r="V226" s="152"/>
      <c r="W226" s="152"/>
      <c r="X226" s="63"/>
      <c r="Y226" s="73"/>
      <c r="Z226" s="73"/>
      <c r="AA226" s="73"/>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idden="1">
      <c r="A227" s="73"/>
      <c r="B227" s="73"/>
      <c r="C227" s="158"/>
      <c r="D227" s="156"/>
      <c r="E227" s="152"/>
      <c r="F227" s="152"/>
      <c r="G227" s="152"/>
      <c r="H227" s="152"/>
      <c r="I227" s="152"/>
      <c r="J227" s="152"/>
      <c r="K227" s="152"/>
      <c r="L227" s="152"/>
      <c r="M227" s="152"/>
      <c r="N227" s="152"/>
      <c r="O227" s="152"/>
      <c r="P227" s="152"/>
      <c r="Q227" s="152"/>
      <c r="R227" s="152"/>
      <c r="S227" s="152"/>
      <c r="T227" s="152"/>
      <c r="U227" s="152"/>
      <c r="V227" s="152"/>
      <c r="W227" s="152"/>
      <c r="X227" s="63"/>
      <c r="Y227" s="73"/>
      <c r="Z227" s="73"/>
      <c r="AA227" s="73"/>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idden="1">
      <c r="A228" s="73"/>
      <c r="B228" s="73"/>
      <c r="C228" s="158"/>
      <c r="D228" s="156"/>
      <c r="E228" s="152"/>
      <c r="F228" s="152"/>
      <c r="G228" s="152"/>
      <c r="H228" s="152"/>
      <c r="I228" s="152"/>
      <c r="J228" s="152"/>
      <c r="K228" s="152"/>
      <c r="L228" s="152"/>
      <c r="M228" s="152"/>
      <c r="N228" s="152"/>
      <c r="O228" s="152"/>
      <c r="P228" s="152"/>
      <c r="Q228" s="152"/>
      <c r="R228" s="152"/>
      <c r="S228" s="152"/>
      <c r="T228" s="152"/>
      <c r="U228" s="152"/>
      <c r="V228" s="152"/>
      <c r="W228" s="152"/>
      <c r="X228" s="63"/>
      <c r="Y228" s="73"/>
      <c r="Z228" s="73"/>
      <c r="AA228" s="73"/>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idden="1">
      <c r="A229" s="73"/>
      <c r="B229" s="73"/>
      <c r="C229" s="158"/>
      <c r="D229" s="156"/>
      <c r="E229" s="152"/>
      <c r="F229" s="152"/>
      <c r="G229" s="152"/>
      <c r="H229" s="152"/>
      <c r="I229" s="152"/>
      <c r="J229" s="152"/>
      <c r="K229" s="152"/>
      <c r="L229" s="152"/>
      <c r="M229" s="152"/>
      <c r="N229" s="152"/>
      <c r="O229" s="152"/>
      <c r="P229" s="152"/>
      <c r="Q229" s="152"/>
      <c r="R229" s="152"/>
      <c r="S229" s="152"/>
      <c r="T229" s="152"/>
      <c r="U229" s="152"/>
      <c r="V229" s="152"/>
      <c r="W229" s="152"/>
      <c r="X229" s="63"/>
      <c r="Y229" s="73"/>
      <c r="Z229" s="73"/>
      <c r="AA229" s="73"/>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idden="1">
      <c r="A230" s="73"/>
      <c r="B230" s="73"/>
      <c r="C230" s="158"/>
      <c r="D230" s="156"/>
      <c r="E230" s="152"/>
      <c r="F230" s="152"/>
      <c r="G230" s="152"/>
      <c r="H230" s="152"/>
      <c r="I230" s="152"/>
      <c r="J230" s="152"/>
      <c r="K230" s="152"/>
      <c r="L230" s="152"/>
      <c r="M230" s="152"/>
      <c r="N230" s="152"/>
      <c r="O230" s="152"/>
      <c r="P230" s="152"/>
      <c r="Q230" s="152"/>
      <c r="R230" s="152"/>
      <c r="S230" s="152"/>
      <c r="T230" s="152"/>
      <c r="U230" s="152"/>
      <c r="V230" s="152"/>
      <c r="W230" s="152"/>
      <c r="X230" s="63"/>
      <c r="Y230" s="73"/>
      <c r="Z230" s="73"/>
      <c r="AA230" s="73"/>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idden="1">
      <c r="A231" s="73"/>
      <c r="B231" s="73"/>
      <c r="C231" s="158"/>
      <c r="D231" s="156"/>
      <c r="E231" s="152"/>
      <c r="F231" s="152"/>
      <c r="G231" s="152"/>
      <c r="H231" s="152"/>
      <c r="I231" s="152"/>
      <c r="J231" s="152"/>
      <c r="K231" s="152"/>
      <c r="L231" s="152"/>
      <c r="M231" s="152"/>
      <c r="N231" s="152"/>
      <c r="O231" s="152"/>
      <c r="P231" s="152"/>
      <c r="Q231" s="152"/>
      <c r="R231" s="152"/>
      <c r="S231" s="152"/>
      <c r="T231" s="152"/>
      <c r="U231" s="152"/>
      <c r="V231" s="152"/>
      <c r="W231" s="152"/>
      <c r="X231" s="63"/>
      <c r="Y231" s="73"/>
      <c r="Z231" s="73"/>
      <c r="AA231" s="73"/>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idden="1">
      <c r="A232" s="73"/>
      <c r="B232" s="73"/>
      <c r="C232" s="158"/>
      <c r="D232" s="156"/>
      <c r="E232" s="152"/>
      <c r="F232" s="152"/>
      <c r="G232" s="152"/>
      <c r="H232" s="152"/>
      <c r="I232" s="152"/>
      <c r="J232" s="152"/>
      <c r="K232" s="152"/>
      <c r="L232" s="152"/>
      <c r="M232" s="152"/>
      <c r="N232" s="152"/>
      <c r="O232" s="152"/>
      <c r="P232" s="152"/>
      <c r="Q232" s="152"/>
      <c r="R232" s="152"/>
      <c r="S232" s="152"/>
      <c r="T232" s="152"/>
      <c r="U232" s="152"/>
      <c r="V232" s="152"/>
      <c r="W232" s="152"/>
      <c r="X232" s="63"/>
      <c r="Y232" s="73"/>
      <c r="Z232" s="73"/>
      <c r="AA232" s="73"/>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idden="1">
      <c r="A233" s="73"/>
      <c r="B233" s="73"/>
      <c r="C233" s="158"/>
      <c r="D233" s="156"/>
      <c r="E233" s="152"/>
      <c r="F233" s="152"/>
      <c r="G233" s="152"/>
      <c r="H233" s="152"/>
      <c r="I233" s="152"/>
      <c r="J233" s="152"/>
      <c r="K233" s="152"/>
      <c r="L233" s="152"/>
      <c r="M233" s="152"/>
      <c r="N233" s="152"/>
      <c r="O233" s="152"/>
      <c r="P233" s="152"/>
      <c r="Q233" s="152"/>
      <c r="R233" s="152"/>
      <c r="S233" s="152"/>
      <c r="T233" s="152"/>
      <c r="U233" s="152"/>
      <c r="V233" s="152"/>
      <c r="W233" s="152"/>
      <c r="X233" s="63"/>
      <c r="Y233" s="73"/>
      <c r="Z233" s="73"/>
      <c r="AA233" s="73"/>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idden="1">
      <c r="A234" s="73"/>
      <c r="B234" s="73"/>
      <c r="C234" s="158"/>
      <c r="D234" s="156"/>
      <c r="E234" s="152"/>
      <c r="F234" s="152"/>
      <c r="G234" s="152"/>
      <c r="H234" s="152"/>
      <c r="I234" s="152"/>
      <c r="J234" s="152"/>
      <c r="K234" s="152"/>
      <c r="L234" s="152"/>
      <c r="M234" s="152"/>
      <c r="N234" s="152"/>
      <c r="O234" s="152"/>
      <c r="P234" s="152"/>
      <c r="Q234" s="152"/>
      <c r="R234" s="152"/>
      <c r="S234" s="152"/>
      <c r="T234" s="152"/>
      <c r="U234" s="152"/>
      <c r="V234" s="152"/>
      <c r="W234" s="152"/>
      <c r="X234" s="63"/>
      <c r="Y234" s="73"/>
      <c r="Z234" s="73"/>
      <c r="AA234" s="73"/>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idden="1">
      <c r="A235" s="73"/>
      <c r="B235" s="73"/>
      <c r="C235" s="158"/>
      <c r="D235" s="156"/>
      <c r="E235" s="152"/>
      <c r="F235" s="152"/>
      <c r="G235" s="152"/>
      <c r="H235" s="152"/>
      <c r="I235" s="152"/>
      <c r="J235" s="152"/>
      <c r="K235" s="152"/>
      <c r="L235" s="152"/>
      <c r="M235" s="152"/>
      <c r="N235" s="152"/>
      <c r="O235" s="152"/>
      <c r="P235" s="152"/>
      <c r="Q235" s="152"/>
      <c r="R235" s="152"/>
      <c r="S235" s="152"/>
      <c r="T235" s="152"/>
      <c r="U235" s="152"/>
      <c r="V235" s="152"/>
      <c r="W235" s="152"/>
      <c r="X235" s="63"/>
      <c r="Y235" s="73"/>
      <c r="Z235" s="73"/>
      <c r="AA235" s="73"/>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idden="1">
      <c r="A236" s="73"/>
      <c r="B236" s="73"/>
      <c r="C236" s="158"/>
      <c r="D236" s="156"/>
      <c r="E236" s="152"/>
      <c r="F236" s="152"/>
      <c r="G236" s="152"/>
      <c r="H236" s="152"/>
      <c r="I236" s="152"/>
      <c r="J236" s="152"/>
      <c r="K236" s="152"/>
      <c r="L236" s="152"/>
      <c r="M236" s="152"/>
      <c r="N236" s="152"/>
      <c r="O236" s="152"/>
      <c r="P236" s="152"/>
      <c r="Q236" s="152"/>
      <c r="R236" s="152"/>
      <c r="S236" s="152"/>
      <c r="T236" s="152"/>
      <c r="U236" s="152"/>
      <c r="V236" s="152"/>
      <c r="W236" s="152"/>
      <c r="X236" s="63"/>
      <c r="Y236" s="73"/>
      <c r="Z236" s="73"/>
      <c r="AA236" s="73"/>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idden="1">
      <c r="A237" s="73"/>
      <c r="B237" s="73"/>
      <c r="C237" s="158"/>
      <c r="D237" s="156"/>
      <c r="E237" s="152"/>
      <c r="F237" s="152"/>
      <c r="G237" s="152"/>
      <c r="H237" s="152"/>
      <c r="I237" s="152"/>
      <c r="J237" s="152"/>
      <c r="K237" s="152"/>
      <c r="L237" s="152"/>
      <c r="M237" s="152"/>
      <c r="N237" s="152"/>
      <c r="O237" s="152"/>
      <c r="P237" s="152"/>
      <c r="Q237" s="152"/>
      <c r="R237" s="152"/>
      <c r="S237" s="152"/>
      <c r="T237" s="152"/>
      <c r="U237" s="152"/>
      <c r="V237" s="152"/>
      <c r="W237" s="152"/>
      <c r="X237" s="63"/>
      <c r="Y237" s="73"/>
      <c r="Z237" s="73"/>
      <c r="AA237" s="73"/>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idden="1">
      <c r="A238" s="73"/>
      <c r="B238" s="73"/>
      <c r="C238" s="73"/>
      <c r="D238" s="76"/>
      <c r="E238" s="63"/>
      <c r="F238" s="63"/>
      <c r="G238" s="63"/>
      <c r="H238" s="63"/>
      <c r="I238" s="63"/>
      <c r="J238" s="63"/>
      <c r="K238" s="63"/>
      <c r="L238" s="63"/>
      <c r="M238" s="63"/>
      <c r="N238" s="63"/>
      <c r="O238" s="63"/>
      <c r="P238" s="63"/>
      <c r="Q238" s="63"/>
      <c r="R238" s="63"/>
      <c r="S238" s="63"/>
      <c r="T238" s="63"/>
      <c r="U238" s="63"/>
      <c r="V238" s="63"/>
      <c r="W238" s="63"/>
      <c r="X238" s="63"/>
      <c r="Y238" s="73"/>
      <c r="Z238" s="73"/>
      <c r="AA238" s="73"/>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idden="1">
      <c r="A239" s="73"/>
      <c r="B239" s="73"/>
      <c r="C239" s="73"/>
      <c r="D239" s="76"/>
      <c r="E239" s="63"/>
      <c r="F239" s="63"/>
      <c r="G239" s="63"/>
      <c r="H239" s="63"/>
      <c r="I239" s="63"/>
      <c r="J239" s="63"/>
      <c r="K239" s="63"/>
      <c r="L239" s="63"/>
      <c r="M239" s="63"/>
      <c r="N239" s="63"/>
      <c r="O239" s="63"/>
      <c r="P239" s="63"/>
      <c r="Q239" s="63"/>
      <c r="R239" s="63"/>
      <c r="S239" s="63"/>
      <c r="T239" s="63"/>
      <c r="U239" s="63"/>
      <c r="V239" s="63"/>
      <c r="W239" s="63"/>
      <c r="X239" s="63"/>
      <c r="Y239" s="73"/>
      <c r="Z239" s="73"/>
      <c r="AA239" s="73"/>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idden="1">
      <c r="A240" s="73"/>
      <c r="B240" s="73"/>
      <c r="C240" s="73"/>
      <c r="D240" s="76"/>
      <c r="E240" s="63"/>
      <c r="F240" s="63"/>
      <c r="G240" s="63"/>
      <c r="H240" s="63"/>
      <c r="I240" s="63"/>
      <c r="J240" s="63"/>
      <c r="K240" s="63"/>
      <c r="L240" s="63"/>
      <c r="M240" s="63"/>
      <c r="N240" s="63"/>
      <c r="O240" s="63"/>
      <c r="P240" s="63"/>
      <c r="Q240" s="63"/>
      <c r="R240" s="63"/>
      <c r="S240" s="63"/>
      <c r="T240" s="63"/>
      <c r="U240" s="63"/>
      <c r="V240" s="63"/>
      <c r="W240" s="63"/>
      <c r="X240" s="63"/>
      <c r="Y240" s="73"/>
      <c r="Z240" s="73"/>
      <c r="AA240" s="73"/>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idden="1">
      <c r="A241" s="73"/>
      <c r="B241" s="73"/>
      <c r="C241" s="73"/>
      <c r="D241" s="76"/>
      <c r="E241" s="63"/>
      <c r="F241" s="63"/>
      <c r="G241" s="63"/>
      <c r="H241" s="63"/>
      <c r="I241" s="63"/>
      <c r="J241" s="63"/>
      <c r="K241" s="63"/>
      <c r="L241" s="63"/>
      <c r="M241" s="63"/>
      <c r="N241" s="63"/>
      <c r="O241" s="63"/>
      <c r="P241" s="63"/>
      <c r="Q241" s="63"/>
      <c r="R241" s="63"/>
      <c r="S241" s="63"/>
      <c r="T241" s="63"/>
      <c r="U241" s="63"/>
      <c r="V241" s="63"/>
      <c r="W241" s="63"/>
      <c r="X241" s="63"/>
      <c r="Y241" s="73"/>
      <c r="Z241" s="73"/>
      <c r="AA241" s="73"/>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idden="1">
      <c r="A242" s="73"/>
      <c r="B242" s="73"/>
      <c r="C242" s="73"/>
      <c r="D242" s="76"/>
      <c r="E242" s="63"/>
      <c r="F242" s="63"/>
      <c r="G242" s="63"/>
      <c r="H242" s="63"/>
      <c r="I242" s="63"/>
      <c r="J242" s="63"/>
      <c r="K242" s="63"/>
      <c r="L242" s="63"/>
      <c r="M242" s="63"/>
      <c r="N242" s="63"/>
      <c r="O242" s="63"/>
      <c r="P242" s="63"/>
      <c r="Q242" s="63"/>
      <c r="R242" s="63"/>
      <c r="S242" s="63"/>
      <c r="T242" s="63"/>
      <c r="U242" s="63"/>
      <c r="V242" s="63"/>
      <c r="W242" s="63"/>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idden="1">
      <c r="A243" s="73"/>
      <c r="B243" s="73"/>
      <c r="C243" s="73"/>
      <c r="D243" s="76"/>
      <c r="E243" s="63"/>
      <c r="F243" s="63"/>
      <c r="G243" s="63"/>
      <c r="H243" s="63"/>
      <c r="I243" s="63"/>
      <c r="J243" s="63"/>
      <c r="K243" s="63"/>
      <c r="L243" s="63"/>
      <c r="M243" s="63"/>
      <c r="N243" s="63"/>
      <c r="O243" s="63"/>
      <c r="P243" s="63"/>
      <c r="Q243" s="63"/>
      <c r="R243" s="63"/>
      <c r="S243" s="63"/>
      <c r="T243" s="63"/>
      <c r="U243" s="63"/>
      <c r="V243" s="63"/>
      <c r="W243" s="63"/>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idden="1">
      <c r="A244" s="73"/>
      <c r="B244" s="73"/>
      <c r="C244" s="73"/>
      <c r="D244" s="76"/>
      <c r="E244" s="63"/>
      <c r="F244" s="63"/>
      <c r="G244" s="63"/>
      <c r="H244" s="63"/>
      <c r="I244" s="63"/>
      <c r="J244" s="63"/>
      <c r="K244" s="63"/>
      <c r="L244" s="63"/>
      <c r="M244" s="63"/>
      <c r="N244" s="63"/>
      <c r="O244" s="63"/>
      <c r="P244" s="63"/>
      <c r="Q244" s="63"/>
      <c r="R244" s="63"/>
      <c r="S244" s="63"/>
      <c r="T244" s="63"/>
      <c r="U244" s="63"/>
      <c r="V244" s="63"/>
      <c r="W244" s="63"/>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idden="1">
      <c r="A245" s="73"/>
      <c r="B245" s="73"/>
      <c r="C245" s="73"/>
      <c r="D245" s="76"/>
      <c r="E245" s="63"/>
      <c r="F245" s="63"/>
      <c r="G245" s="63"/>
      <c r="H245" s="63"/>
      <c r="I245" s="63"/>
      <c r="J245" s="63"/>
      <c r="K245" s="63"/>
      <c r="L245" s="63"/>
      <c r="M245" s="63"/>
      <c r="N245" s="63"/>
      <c r="O245" s="63"/>
      <c r="P245" s="63"/>
      <c r="Q245" s="63"/>
      <c r="R245" s="63"/>
      <c r="S245" s="63"/>
      <c r="T245" s="63"/>
      <c r="U245" s="63"/>
      <c r="V245" s="63"/>
      <c r="W245" s="63"/>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idden="1">
      <c r="A246" s="73"/>
      <c r="B246" s="73"/>
      <c r="C246" s="73"/>
      <c r="D246" s="76"/>
      <c r="E246" s="63"/>
      <c r="F246" s="63"/>
      <c r="G246" s="63"/>
      <c r="H246" s="63"/>
      <c r="I246" s="63"/>
      <c r="J246" s="63"/>
      <c r="K246" s="63"/>
      <c r="L246" s="63"/>
      <c r="M246" s="63"/>
      <c r="N246" s="63"/>
      <c r="O246" s="63"/>
      <c r="P246" s="63"/>
      <c r="Q246" s="63"/>
      <c r="R246" s="63"/>
      <c r="S246" s="63"/>
      <c r="T246" s="63"/>
      <c r="U246" s="63"/>
      <c r="V246" s="63"/>
      <c r="W246" s="63"/>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idden="1">
      <c r="A247" s="73"/>
      <c r="B247" s="73"/>
      <c r="C247" s="73"/>
      <c r="D247" s="76"/>
      <c r="E247" s="63"/>
      <c r="F247" s="63"/>
      <c r="G247" s="63"/>
      <c r="H247" s="63"/>
      <c r="I247" s="63"/>
      <c r="J247" s="63"/>
      <c r="K247" s="63"/>
      <c r="L247" s="63"/>
      <c r="M247" s="63"/>
      <c r="N247" s="63"/>
      <c r="O247" s="63"/>
      <c r="P247" s="63"/>
      <c r="Q247" s="63"/>
      <c r="R247" s="63"/>
      <c r="S247" s="63"/>
      <c r="T247" s="63"/>
      <c r="U247" s="63"/>
      <c r="V247" s="63"/>
      <c r="W247" s="63"/>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idden="1">
      <c r="A248" s="73"/>
      <c r="B248" s="73"/>
      <c r="C248" s="73"/>
      <c r="D248" s="76"/>
      <c r="E248" s="63"/>
      <c r="F248" s="63"/>
      <c r="G248" s="63"/>
      <c r="H248" s="63"/>
      <c r="I248" s="63"/>
      <c r="J248" s="63"/>
      <c r="K248" s="63"/>
      <c r="L248" s="63"/>
      <c r="M248" s="63"/>
      <c r="N248" s="63"/>
      <c r="O248" s="63"/>
      <c r="P248" s="63"/>
      <c r="Q248" s="63"/>
      <c r="R248" s="63"/>
      <c r="S248" s="63"/>
      <c r="T248" s="63"/>
      <c r="U248" s="63"/>
      <c r="V248" s="63"/>
      <c r="W248" s="63"/>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idden="1">
      <c r="A249" s="73"/>
      <c r="B249" s="73"/>
      <c r="C249" s="73"/>
      <c r="D249" s="76"/>
      <c r="E249" s="63"/>
      <c r="F249" s="63"/>
      <c r="G249" s="63"/>
      <c r="H249" s="63"/>
      <c r="I249" s="63"/>
      <c r="J249" s="63"/>
      <c r="K249" s="63"/>
      <c r="L249" s="63"/>
      <c r="M249" s="63"/>
      <c r="N249" s="63"/>
      <c r="O249" s="63"/>
      <c r="P249" s="63"/>
      <c r="Q249" s="63"/>
      <c r="R249" s="63"/>
      <c r="S249" s="63"/>
      <c r="T249" s="63"/>
      <c r="U249" s="63"/>
      <c r="V249" s="63"/>
      <c r="W249" s="63"/>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idden="1">
      <c r="A250" s="73"/>
      <c r="B250" s="73"/>
      <c r="C250" s="73"/>
      <c r="D250" s="76"/>
      <c r="E250" s="63"/>
      <c r="F250" s="63"/>
      <c r="G250" s="63"/>
      <c r="H250" s="63"/>
      <c r="I250" s="63"/>
      <c r="J250" s="63"/>
      <c r="K250" s="63"/>
      <c r="L250" s="63"/>
      <c r="M250" s="63"/>
      <c r="N250" s="63"/>
      <c r="O250" s="63"/>
      <c r="P250" s="63"/>
      <c r="Q250" s="63"/>
      <c r="R250" s="63"/>
      <c r="S250" s="63"/>
      <c r="T250" s="63"/>
      <c r="U250" s="63"/>
      <c r="V250" s="63"/>
      <c r="W250" s="63"/>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idden="1">
      <c r="A251" s="73"/>
      <c r="B251" s="73"/>
      <c r="C251" s="73"/>
      <c r="D251" s="76"/>
      <c r="E251" s="63"/>
      <c r="F251" s="63"/>
      <c r="G251" s="63"/>
      <c r="H251" s="63"/>
      <c r="I251" s="63"/>
      <c r="J251" s="63"/>
      <c r="K251" s="63"/>
      <c r="L251" s="63"/>
      <c r="M251" s="63"/>
      <c r="N251" s="63"/>
      <c r="O251" s="63"/>
      <c r="P251" s="63"/>
      <c r="Q251" s="63"/>
      <c r="R251" s="63"/>
      <c r="S251" s="63"/>
      <c r="T251" s="63"/>
      <c r="U251" s="63"/>
      <c r="V251" s="63"/>
      <c r="W251" s="63"/>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idden="1">
      <c r="A252" s="73"/>
      <c r="B252" s="73"/>
      <c r="C252" s="73"/>
      <c r="D252" s="76"/>
      <c r="E252" s="63"/>
      <c r="F252" s="63"/>
      <c r="G252" s="63"/>
      <c r="H252" s="63"/>
      <c r="I252" s="63"/>
      <c r="J252" s="63"/>
      <c r="K252" s="63"/>
      <c r="L252" s="63"/>
      <c r="M252" s="63"/>
      <c r="N252" s="63"/>
      <c r="O252" s="63"/>
      <c r="P252" s="63"/>
      <c r="Q252" s="63"/>
      <c r="R252" s="63"/>
      <c r="S252" s="63"/>
      <c r="T252" s="63"/>
      <c r="U252" s="63"/>
      <c r="V252" s="63"/>
      <c r="W252" s="63"/>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idden="1">
      <c r="A253" s="73"/>
      <c r="B253" s="73"/>
      <c r="C253" s="73"/>
      <c r="D253" s="76"/>
      <c r="E253" s="63"/>
      <c r="F253" s="63"/>
      <c r="G253" s="63"/>
      <c r="H253" s="63"/>
      <c r="I253" s="63"/>
      <c r="J253" s="63"/>
      <c r="K253" s="63"/>
      <c r="L253" s="63"/>
      <c r="M253" s="63"/>
      <c r="N253" s="63"/>
      <c r="O253" s="63"/>
      <c r="P253" s="63"/>
      <c r="Q253" s="63"/>
      <c r="R253" s="63"/>
      <c r="S253" s="63"/>
      <c r="T253" s="63"/>
      <c r="U253" s="63"/>
      <c r="V253" s="63"/>
      <c r="W253" s="63"/>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idden="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idden="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idden="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idden="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idden="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idden="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idden="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idden="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idden="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idden="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idden="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idden="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idden="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idden="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idden="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idden="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idden="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idden="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idden="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idden="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idden="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idden="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idden="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idden="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idden="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idden="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idden="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idden="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idden="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idden="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idden="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idden="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idden="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idden="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idden="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81" customFormat="1" hidden="1">
      <c r="A289" s="77"/>
      <c r="B289" s="77"/>
      <c r="C289" s="77"/>
      <c r="D289" s="78"/>
      <c r="E289" s="79"/>
      <c r="F289" s="79"/>
      <c r="G289" s="79"/>
      <c r="H289" s="79"/>
      <c r="I289" s="79"/>
      <c r="J289" s="79"/>
      <c r="K289" s="79"/>
      <c r="L289" s="79"/>
      <c r="M289" s="79"/>
      <c r="N289" s="79"/>
      <c r="O289" s="79"/>
      <c r="P289" s="79"/>
      <c r="Q289" s="79"/>
      <c r="R289" s="79"/>
      <c r="S289" s="79"/>
      <c r="T289" s="79"/>
      <c r="U289" s="79"/>
      <c r="V289" s="79"/>
      <c r="W289" s="79"/>
      <c r="X289" s="79"/>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80"/>
      <c r="BD289" s="80"/>
      <c r="BE289" s="80"/>
      <c r="BF289" s="80"/>
      <c r="BG289" s="80"/>
      <c r="BH289" s="80"/>
      <c r="BI289" s="80"/>
      <c r="BJ289" s="80"/>
      <c r="BK289" s="80"/>
      <c r="BL289" s="80"/>
      <c r="BM289" s="80"/>
      <c r="BN289" s="80"/>
      <c r="BO289" s="80"/>
      <c r="BP289" s="80"/>
      <c r="BQ289" s="80"/>
      <c r="BR289" s="80"/>
      <c r="BS289" s="80"/>
      <c r="BT289" s="80"/>
      <c r="BU289" s="80"/>
      <c r="BV289" s="80"/>
      <c r="BW289" s="80"/>
      <c r="BX289" s="80"/>
    </row>
    <row r="290" spans="1:76" s="81" customFormat="1" hidden="1">
      <c r="A290" s="77"/>
      <c r="B290" s="77"/>
      <c r="C290" s="77"/>
      <c r="D290" s="78"/>
      <c r="E290" s="79"/>
      <c r="F290" s="79"/>
      <c r="G290" s="79"/>
      <c r="H290" s="79"/>
      <c r="I290" s="79"/>
      <c r="J290" s="79"/>
      <c r="K290" s="79"/>
      <c r="L290" s="79"/>
      <c r="M290" s="79"/>
      <c r="N290" s="79"/>
      <c r="O290" s="79"/>
      <c r="P290" s="79"/>
      <c r="Q290" s="79"/>
      <c r="R290" s="79"/>
      <c r="S290" s="79"/>
      <c r="T290" s="79"/>
      <c r="U290" s="79"/>
      <c r="V290" s="79"/>
      <c r="W290" s="79"/>
      <c r="X290" s="79"/>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80"/>
      <c r="BD290" s="80"/>
      <c r="BE290" s="80"/>
      <c r="BF290" s="80"/>
      <c r="BG290" s="80"/>
      <c r="BH290" s="80"/>
      <c r="BI290" s="80"/>
      <c r="BJ290" s="80"/>
      <c r="BK290" s="80"/>
      <c r="BL290" s="80"/>
      <c r="BM290" s="80"/>
      <c r="BN290" s="80"/>
      <c r="BO290" s="80"/>
      <c r="BP290" s="80"/>
      <c r="BQ290" s="80"/>
      <c r="BR290" s="80"/>
      <c r="BS290" s="80"/>
      <c r="BT290" s="80"/>
      <c r="BU290" s="80"/>
      <c r="BV290" s="80"/>
      <c r="BW290" s="80"/>
      <c r="BX290" s="80"/>
    </row>
    <row r="291" spans="1:76" s="81" customFormat="1" hidden="1">
      <c r="A291" s="77"/>
      <c r="B291" s="77"/>
      <c r="C291" s="77"/>
      <c r="D291" s="78"/>
      <c r="E291" s="79"/>
      <c r="F291" s="79"/>
      <c r="G291" s="79"/>
      <c r="H291" s="79"/>
      <c r="I291" s="79"/>
      <c r="J291" s="79"/>
      <c r="K291" s="79"/>
      <c r="L291" s="79"/>
      <c r="M291" s="79"/>
      <c r="N291" s="79"/>
      <c r="O291" s="79"/>
      <c r="P291" s="79"/>
      <c r="Q291" s="79"/>
      <c r="R291" s="79"/>
      <c r="S291" s="79"/>
      <c r="T291" s="79"/>
      <c r="U291" s="79"/>
      <c r="V291" s="79"/>
      <c r="W291" s="79"/>
      <c r="X291" s="79"/>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80"/>
      <c r="BD291" s="80"/>
      <c r="BE291" s="80"/>
      <c r="BF291" s="80"/>
      <c r="BG291" s="80"/>
      <c r="BH291" s="80"/>
      <c r="BI291" s="80"/>
      <c r="BJ291" s="80"/>
      <c r="BK291" s="80"/>
      <c r="BL291" s="80"/>
      <c r="BM291" s="80"/>
      <c r="BN291" s="80"/>
      <c r="BO291" s="80"/>
      <c r="BP291" s="80"/>
      <c r="BQ291" s="80"/>
      <c r="BR291" s="80"/>
      <c r="BS291" s="80"/>
      <c r="BT291" s="80"/>
      <c r="BU291" s="80"/>
      <c r="BV291" s="80"/>
      <c r="BW291" s="80"/>
      <c r="BX291" s="80"/>
    </row>
    <row r="292" spans="1:76" s="81" customFormat="1" hidden="1">
      <c r="A292" s="77"/>
      <c r="B292" s="77"/>
      <c r="C292" s="77"/>
      <c r="D292" s="78"/>
      <c r="E292" s="79"/>
      <c r="F292" s="79"/>
      <c r="G292" s="79"/>
      <c r="H292" s="79"/>
      <c r="I292" s="79"/>
      <c r="J292" s="79"/>
      <c r="K292" s="79"/>
      <c r="L292" s="79"/>
      <c r="M292" s="79"/>
      <c r="N292" s="79"/>
      <c r="O292" s="79"/>
      <c r="P292" s="79"/>
      <c r="Q292" s="79"/>
      <c r="R292" s="79"/>
      <c r="S292" s="79"/>
      <c r="T292" s="79"/>
      <c r="U292" s="79"/>
      <c r="V292" s="79"/>
      <c r="W292" s="79"/>
      <c r="X292" s="79"/>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80"/>
      <c r="BD292" s="80"/>
      <c r="BE292" s="80"/>
      <c r="BF292" s="80"/>
      <c r="BG292" s="80"/>
      <c r="BH292" s="80"/>
      <c r="BI292" s="80"/>
      <c r="BJ292" s="80"/>
      <c r="BK292" s="80"/>
      <c r="BL292" s="80"/>
      <c r="BM292" s="80"/>
      <c r="BN292" s="80"/>
      <c r="BO292" s="80"/>
      <c r="BP292" s="80"/>
      <c r="BQ292" s="80"/>
      <c r="BR292" s="80"/>
      <c r="BS292" s="80"/>
      <c r="BT292" s="80"/>
      <c r="BU292" s="80"/>
      <c r="BV292" s="80"/>
      <c r="BW292" s="80"/>
      <c r="BX292" s="80"/>
    </row>
    <row r="293" spans="1:76" s="81" customFormat="1" hidden="1">
      <c r="A293" s="77"/>
      <c r="B293" s="77"/>
      <c r="C293" s="77"/>
      <c r="D293" s="78"/>
      <c r="E293" s="79"/>
      <c r="F293" s="79"/>
      <c r="G293" s="79"/>
      <c r="H293" s="79"/>
      <c r="I293" s="79"/>
      <c r="J293" s="79"/>
      <c r="K293" s="79"/>
      <c r="L293" s="79"/>
      <c r="M293" s="79"/>
      <c r="N293" s="79"/>
      <c r="O293" s="79"/>
      <c r="P293" s="79"/>
      <c r="Q293" s="79"/>
      <c r="R293" s="79"/>
      <c r="S293" s="79"/>
      <c r="T293" s="79"/>
      <c r="U293" s="79"/>
      <c r="V293" s="79"/>
      <c r="W293" s="79"/>
      <c r="X293" s="79"/>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80"/>
      <c r="BD293" s="80"/>
      <c r="BE293" s="80"/>
      <c r="BF293" s="80"/>
      <c r="BG293" s="80"/>
      <c r="BH293" s="80"/>
      <c r="BI293" s="80"/>
      <c r="BJ293" s="80"/>
      <c r="BK293" s="80"/>
      <c r="BL293" s="80"/>
      <c r="BM293" s="80"/>
      <c r="BN293" s="80"/>
      <c r="BO293" s="80"/>
      <c r="BP293" s="80"/>
      <c r="BQ293" s="80"/>
      <c r="BR293" s="80"/>
      <c r="BS293" s="80"/>
      <c r="BT293" s="80"/>
      <c r="BU293" s="80"/>
      <c r="BV293" s="80"/>
      <c r="BW293" s="80"/>
      <c r="BX293" s="80"/>
    </row>
    <row r="294" spans="1:76" s="81" customFormat="1" hidden="1">
      <c r="A294" s="77"/>
      <c r="B294" s="77"/>
      <c r="C294" s="77"/>
      <c r="D294" s="78"/>
      <c r="E294" s="79"/>
      <c r="F294" s="79"/>
      <c r="G294" s="79"/>
      <c r="H294" s="79"/>
      <c r="I294" s="79"/>
      <c r="J294" s="79"/>
      <c r="K294" s="79"/>
      <c r="L294" s="79"/>
      <c r="M294" s="79"/>
      <c r="N294" s="79"/>
      <c r="O294" s="79"/>
      <c r="P294" s="79"/>
      <c r="Q294" s="79"/>
      <c r="R294" s="79"/>
      <c r="S294" s="79"/>
      <c r="T294" s="79"/>
      <c r="U294" s="79"/>
      <c r="V294" s="79"/>
      <c r="W294" s="79"/>
      <c r="X294" s="79"/>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80"/>
      <c r="BD294" s="80"/>
      <c r="BE294" s="80"/>
      <c r="BF294" s="80"/>
      <c r="BG294" s="80"/>
      <c r="BH294" s="80"/>
      <c r="BI294" s="80"/>
      <c r="BJ294" s="80"/>
      <c r="BK294" s="80"/>
      <c r="BL294" s="80"/>
      <c r="BM294" s="80"/>
      <c r="BN294" s="80"/>
      <c r="BO294" s="80"/>
      <c r="BP294" s="80"/>
      <c r="BQ294" s="80"/>
      <c r="BR294" s="80"/>
      <c r="BS294" s="80"/>
      <c r="BT294" s="80"/>
      <c r="BU294" s="80"/>
      <c r="BV294" s="80"/>
      <c r="BW294" s="80"/>
      <c r="BX294" s="80"/>
    </row>
    <row r="295" spans="1:76" s="81" customFormat="1" hidden="1">
      <c r="A295" s="77"/>
      <c r="B295" s="77"/>
      <c r="C295" s="77"/>
      <c r="D295" s="78"/>
      <c r="E295" s="79"/>
      <c r="F295" s="79"/>
      <c r="G295" s="79"/>
      <c r="H295" s="79"/>
      <c r="I295" s="79"/>
      <c r="J295" s="79"/>
      <c r="K295" s="79"/>
      <c r="L295" s="79"/>
      <c r="M295" s="79"/>
      <c r="N295" s="79"/>
      <c r="O295" s="79"/>
      <c r="P295" s="79"/>
      <c r="Q295" s="79"/>
      <c r="R295" s="79"/>
      <c r="S295" s="79"/>
      <c r="T295" s="79"/>
      <c r="U295" s="79"/>
      <c r="V295" s="79"/>
      <c r="W295" s="79"/>
      <c r="X295" s="79"/>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80"/>
      <c r="BD295" s="80"/>
      <c r="BE295" s="80"/>
      <c r="BF295" s="80"/>
      <c r="BG295" s="80"/>
      <c r="BH295" s="80"/>
      <c r="BI295" s="80"/>
      <c r="BJ295" s="80"/>
      <c r="BK295" s="80"/>
      <c r="BL295" s="80"/>
      <c r="BM295" s="80"/>
      <c r="BN295" s="80"/>
      <c r="BO295" s="80"/>
      <c r="BP295" s="80"/>
      <c r="BQ295" s="80"/>
      <c r="BR295" s="80"/>
      <c r="BS295" s="80"/>
      <c r="BT295" s="80"/>
      <c r="BU295" s="80"/>
      <c r="BV295" s="80"/>
      <c r="BW295" s="80"/>
      <c r="BX295" s="80"/>
    </row>
    <row r="296" spans="1:76" s="81" customFormat="1" hidden="1">
      <c r="A296" s="77"/>
      <c r="B296" s="77"/>
      <c r="C296" s="77"/>
      <c r="D296" s="78"/>
      <c r="E296" s="79"/>
      <c r="F296" s="79"/>
      <c r="G296" s="79"/>
      <c r="H296" s="79"/>
      <c r="I296" s="79"/>
      <c r="J296" s="79"/>
      <c r="K296" s="79"/>
      <c r="L296" s="79"/>
      <c r="M296" s="79"/>
      <c r="N296" s="79"/>
      <c r="O296" s="79"/>
      <c r="P296" s="79"/>
      <c r="Q296" s="79"/>
      <c r="R296" s="79"/>
      <c r="S296" s="79"/>
      <c r="T296" s="79"/>
      <c r="U296" s="79"/>
      <c r="V296" s="79"/>
      <c r="W296" s="79"/>
      <c r="X296" s="79"/>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row>
    <row r="297" spans="1:76" s="81" customFormat="1" hidden="1">
      <c r="A297" s="77"/>
      <c r="B297" s="77"/>
      <c r="C297" s="77"/>
      <c r="D297" s="78"/>
      <c r="E297" s="79"/>
      <c r="F297" s="79"/>
      <c r="G297" s="79"/>
      <c r="H297" s="79"/>
      <c r="I297" s="79"/>
      <c r="J297" s="79"/>
      <c r="K297" s="79"/>
      <c r="L297" s="79"/>
      <c r="M297" s="79"/>
      <c r="N297" s="79"/>
      <c r="O297" s="79"/>
      <c r="P297" s="79"/>
      <c r="Q297" s="79"/>
      <c r="R297" s="79"/>
      <c r="S297" s="79"/>
      <c r="T297" s="79"/>
      <c r="U297" s="79"/>
      <c r="V297" s="79"/>
      <c r="W297" s="79"/>
      <c r="X297" s="79"/>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row>
    <row r="298" spans="1:76" s="81" customFormat="1" hidden="1">
      <c r="A298" s="77"/>
      <c r="B298" s="77"/>
      <c r="C298" s="77"/>
      <c r="D298" s="78"/>
      <c r="E298" s="79"/>
      <c r="F298" s="79"/>
      <c r="G298" s="79"/>
      <c r="H298" s="79"/>
      <c r="I298" s="79"/>
      <c r="J298" s="79"/>
      <c r="K298" s="79"/>
      <c r="L298" s="79"/>
      <c r="M298" s="79"/>
      <c r="N298" s="79"/>
      <c r="O298" s="79"/>
      <c r="P298" s="79"/>
      <c r="Q298" s="79"/>
      <c r="R298" s="79"/>
      <c r="S298" s="79"/>
      <c r="T298" s="79"/>
      <c r="U298" s="79"/>
      <c r="V298" s="79"/>
      <c r="W298" s="79"/>
      <c r="X298" s="79"/>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row>
    <row r="299" spans="1:76" s="81" customFormat="1" hidden="1">
      <c r="A299" s="77"/>
      <c r="B299" s="77"/>
      <c r="C299" s="77"/>
      <c r="D299" s="78"/>
      <c r="E299" s="79"/>
      <c r="F299" s="79"/>
      <c r="G299" s="79"/>
      <c r="H299" s="79"/>
      <c r="I299" s="79"/>
      <c r="J299" s="79"/>
      <c r="K299" s="79"/>
      <c r="L299" s="79"/>
      <c r="M299" s="79"/>
      <c r="N299" s="79"/>
      <c r="O299" s="79"/>
      <c r="P299" s="79"/>
      <c r="Q299" s="79"/>
      <c r="R299" s="79"/>
      <c r="S299" s="79"/>
      <c r="T299" s="79"/>
      <c r="U299" s="79"/>
      <c r="V299" s="79"/>
      <c r="W299" s="79"/>
      <c r="X299" s="79"/>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row>
    <row r="300" spans="1:76" s="81" customFormat="1" hidden="1">
      <c r="A300" s="77"/>
      <c r="B300" s="77"/>
      <c r="C300" s="77"/>
      <c r="D300" s="78"/>
      <c r="E300" s="79"/>
      <c r="F300" s="79"/>
      <c r="G300" s="79"/>
      <c r="H300" s="79"/>
      <c r="I300" s="79"/>
      <c r="J300" s="79"/>
      <c r="K300" s="79"/>
      <c r="L300" s="79"/>
      <c r="M300" s="79"/>
      <c r="N300" s="79"/>
      <c r="O300" s="79"/>
      <c r="P300" s="79"/>
      <c r="Q300" s="79"/>
      <c r="R300" s="79"/>
      <c r="S300" s="79"/>
      <c r="T300" s="79"/>
      <c r="U300" s="79"/>
      <c r="V300" s="79"/>
      <c r="W300" s="79"/>
      <c r="X300" s="79"/>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row>
    <row r="301" spans="1:76" s="81" customFormat="1" hidden="1">
      <c r="A301" s="77"/>
      <c r="B301" s="77"/>
      <c r="C301" s="77"/>
      <c r="D301" s="78"/>
      <c r="E301" s="79"/>
      <c r="F301" s="79"/>
      <c r="G301" s="79"/>
      <c r="H301" s="79"/>
      <c r="I301" s="79"/>
      <c r="J301" s="79"/>
      <c r="K301" s="79"/>
      <c r="L301" s="79"/>
      <c r="M301" s="79"/>
      <c r="N301" s="79"/>
      <c r="O301" s="79"/>
      <c r="P301" s="79"/>
      <c r="Q301" s="79"/>
      <c r="R301" s="79"/>
      <c r="S301" s="79"/>
      <c r="T301" s="79"/>
      <c r="U301" s="79"/>
      <c r="V301" s="79"/>
      <c r="W301" s="79"/>
      <c r="X301" s="79"/>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row>
    <row r="302" spans="1:76" s="81" customFormat="1" hidden="1">
      <c r="A302" s="77"/>
      <c r="B302" s="77"/>
      <c r="C302" s="77"/>
      <c r="D302" s="78"/>
      <c r="E302" s="79"/>
      <c r="F302" s="79"/>
      <c r="G302" s="79"/>
      <c r="H302" s="79"/>
      <c r="I302" s="79"/>
      <c r="J302" s="79"/>
      <c r="K302" s="79"/>
      <c r="L302" s="79"/>
      <c r="M302" s="79"/>
      <c r="N302" s="79"/>
      <c r="O302" s="79"/>
      <c r="P302" s="79"/>
      <c r="Q302" s="79"/>
      <c r="R302" s="79"/>
      <c r="S302" s="79"/>
      <c r="T302" s="79"/>
      <c r="U302" s="79"/>
      <c r="V302" s="79"/>
      <c r="W302" s="79"/>
      <c r="X302" s="79"/>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80"/>
      <c r="BD302" s="80"/>
      <c r="BE302" s="80"/>
      <c r="BF302" s="80"/>
      <c r="BG302" s="80"/>
      <c r="BH302" s="80"/>
      <c r="BI302" s="80"/>
      <c r="BJ302" s="80"/>
      <c r="BK302" s="80"/>
      <c r="BL302" s="80"/>
      <c r="BM302" s="80"/>
      <c r="BN302" s="80"/>
      <c r="BO302" s="80"/>
      <c r="BP302" s="80"/>
      <c r="BQ302" s="80"/>
      <c r="BR302" s="80"/>
      <c r="BS302" s="80"/>
      <c r="BT302" s="80"/>
      <c r="BU302" s="80"/>
      <c r="BV302" s="80"/>
      <c r="BW302" s="80"/>
      <c r="BX302" s="80"/>
    </row>
    <row r="303" spans="1:76" s="81" customFormat="1" hidden="1">
      <c r="A303" s="77"/>
      <c r="B303" s="77"/>
      <c r="C303" s="77"/>
      <c r="D303" s="78"/>
      <c r="E303" s="79"/>
      <c r="F303" s="79"/>
      <c r="G303" s="79"/>
      <c r="H303" s="79"/>
      <c r="I303" s="79"/>
      <c r="J303" s="79"/>
      <c r="K303" s="79"/>
      <c r="L303" s="79"/>
      <c r="M303" s="79"/>
      <c r="N303" s="79"/>
      <c r="O303" s="79"/>
      <c r="P303" s="79"/>
      <c r="Q303" s="79"/>
      <c r="R303" s="79"/>
      <c r="S303" s="79"/>
      <c r="T303" s="79"/>
      <c r="U303" s="79"/>
      <c r="V303" s="79"/>
      <c r="W303" s="79"/>
      <c r="X303" s="79"/>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80"/>
      <c r="BD303" s="80"/>
      <c r="BE303" s="80"/>
      <c r="BF303" s="80"/>
      <c r="BG303" s="80"/>
      <c r="BH303" s="80"/>
      <c r="BI303" s="80"/>
      <c r="BJ303" s="80"/>
      <c r="BK303" s="80"/>
      <c r="BL303" s="80"/>
      <c r="BM303" s="80"/>
      <c r="BN303" s="80"/>
      <c r="BO303" s="80"/>
      <c r="BP303" s="80"/>
      <c r="BQ303" s="80"/>
      <c r="BR303" s="80"/>
      <c r="BS303" s="80"/>
      <c r="BT303" s="80"/>
      <c r="BU303" s="80"/>
      <c r="BV303" s="80"/>
      <c r="BW303" s="80"/>
      <c r="BX303" s="80"/>
    </row>
    <row r="304" spans="1:76" s="81" customFormat="1" hidden="1">
      <c r="A304" s="77"/>
      <c r="B304" s="77"/>
      <c r="C304" s="77"/>
      <c r="D304" s="78"/>
      <c r="E304" s="79"/>
      <c r="F304" s="79"/>
      <c r="G304" s="79"/>
      <c r="H304" s="79"/>
      <c r="I304" s="79"/>
      <c r="J304" s="79"/>
      <c r="K304" s="79"/>
      <c r="L304" s="79"/>
      <c r="M304" s="79"/>
      <c r="N304" s="79"/>
      <c r="O304" s="79"/>
      <c r="P304" s="79"/>
      <c r="Q304" s="79"/>
      <c r="R304" s="79"/>
      <c r="S304" s="79"/>
      <c r="T304" s="79"/>
      <c r="U304" s="79"/>
      <c r="V304" s="79"/>
      <c r="W304" s="79"/>
      <c r="X304" s="79"/>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80"/>
      <c r="BD304" s="80"/>
      <c r="BE304" s="80"/>
      <c r="BF304" s="80"/>
      <c r="BG304" s="80"/>
      <c r="BH304" s="80"/>
      <c r="BI304" s="80"/>
      <c r="BJ304" s="80"/>
      <c r="BK304" s="80"/>
      <c r="BL304" s="80"/>
      <c r="BM304" s="80"/>
      <c r="BN304" s="80"/>
      <c r="BO304" s="80"/>
      <c r="BP304" s="80"/>
      <c r="BQ304" s="80"/>
      <c r="BR304" s="80"/>
      <c r="BS304" s="80"/>
      <c r="BT304" s="80"/>
      <c r="BU304" s="80"/>
      <c r="BV304" s="80"/>
      <c r="BW304" s="80"/>
      <c r="BX304" s="80"/>
    </row>
    <row r="305" spans="1:76" s="81" customFormat="1" hidden="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idden="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idden="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idden="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idden="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idden="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idden="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idden="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idden="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idden="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idden="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idden="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idden="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idden="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idden="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idden="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idden="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idden="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idden="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idden="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idden="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idden="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idden="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idden="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idden="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idden="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idden="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idden="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idden="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idden="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idden="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idden="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idden="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idden="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idden="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idden="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idden="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idden="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idden="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idden="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idden="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idden="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idden="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idden="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idden="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idden="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idden="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idden="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idden="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idden="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idden="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idden="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82"/>
      <c r="AV356" s="82"/>
      <c r="AW356" s="82"/>
      <c r="AX356" s="82"/>
      <c r="AY356" s="82"/>
      <c r="AZ356" s="82"/>
      <c r="BA356" s="82"/>
      <c r="BB356" s="82"/>
    </row>
    <row r="357" spans="1:76" s="81" customFormat="1" hidden="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82"/>
      <c r="AV357" s="82"/>
      <c r="AW357" s="82"/>
      <c r="AX357" s="82"/>
      <c r="AY357" s="82"/>
      <c r="AZ357" s="82"/>
      <c r="BA357" s="82"/>
      <c r="BB357" s="82"/>
    </row>
    <row r="358" spans="1:76" s="81" customFormat="1" hidden="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82"/>
      <c r="AV358" s="82"/>
      <c r="AW358" s="82"/>
      <c r="AX358" s="82"/>
      <c r="AY358" s="82"/>
      <c r="AZ358" s="82"/>
      <c r="BA358" s="82"/>
      <c r="BB358" s="82"/>
    </row>
    <row r="359" spans="1:76" s="81" customFormat="1" hidden="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82"/>
      <c r="AV359" s="82"/>
      <c r="AW359" s="82"/>
      <c r="AX359" s="82"/>
      <c r="AY359" s="82"/>
      <c r="AZ359" s="82"/>
      <c r="BA359" s="82"/>
      <c r="BB359" s="82"/>
    </row>
    <row r="360" spans="1:76" s="81" customFormat="1" hidden="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82"/>
      <c r="AV360" s="82"/>
      <c r="AW360" s="82"/>
      <c r="AX360" s="82"/>
      <c r="AY360" s="82"/>
      <c r="AZ360" s="82"/>
      <c r="BA360" s="82"/>
      <c r="BB360" s="82"/>
    </row>
    <row r="361" spans="1:76" s="81" customFormat="1" hidden="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82"/>
      <c r="AV361" s="82"/>
      <c r="AW361" s="82"/>
      <c r="AX361" s="82"/>
      <c r="AY361" s="82"/>
      <c r="AZ361" s="82"/>
      <c r="BA361" s="82"/>
      <c r="BB361" s="82"/>
    </row>
    <row r="362" spans="1:76" s="81" customFormat="1" hidden="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82"/>
      <c r="AV362" s="82"/>
      <c r="AW362" s="82"/>
      <c r="AX362" s="82"/>
      <c r="AY362" s="82"/>
      <c r="AZ362" s="82"/>
      <c r="BA362" s="82"/>
      <c r="BB362" s="82"/>
    </row>
    <row r="363" spans="1:76" s="81" customFormat="1" hidden="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82"/>
      <c r="AV363" s="82"/>
      <c r="AW363" s="82"/>
      <c r="AX363" s="82"/>
      <c r="AY363" s="82"/>
      <c r="AZ363" s="82"/>
      <c r="BA363" s="82"/>
      <c r="BB363" s="82"/>
    </row>
    <row r="364" spans="1:76" s="81" customFormat="1" hidden="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82"/>
      <c r="AV364" s="82"/>
      <c r="AW364" s="82"/>
      <c r="AX364" s="82"/>
      <c r="AY364" s="82"/>
      <c r="AZ364" s="82"/>
      <c r="BA364" s="82"/>
      <c r="BB364" s="82"/>
    </row>
    <row r="365" spans="1:76" s="81" customFormat="1" hidden="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82"/>
      <c r="AV365" s="82"/>
      <c r="AW365" s="82"/>
      <c r="AX365" s="82"/>
      <c r="AY365" s="82"/>
      <c r="AZ365" s="82"/>
      <c r="BA365" s="82"/>
      <c r="BB365" s="82"/>
    </row>
    <row r="366" spans="1:76" s="81" customFormat="1" hidden="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82"/>
      <c r="AV366" s="82"/>
      <c r="AW366" s="82"/>
      <c r="AX366" s="82"/>
      <c r="AY366" s="82"/>
      <c r="AZ366" s="82"/>
      <c r="BA366" s="82"/>
      <c r="BB366" s="82"/>
    </row>
    <row r="367" spans="1:76" s="81" customFormat="1" hidden="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82"/>
      <c r="AV367" s="82"/>
      <c r="AW367" s="82"/>
      <c r="AX367" s="82"/>
      <c r="AY367" s="82"/>
      <c r="AZ367" s="82"/>
      <c r="BA367" s="82"/>
      <c r="BB367" s="82"/>
    </row>
    <row r="368" spans="1:76" s="81" customFormat="1" hidden="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82"/>
      <c r="AV368" s="82"/>
      <c r="AW368" s="82"/>
      <c r="AX368" s="82"/>
      <c r="AY368" s="82"/>
      <c r="AZ368" s="82"/>
      <c r="BA368" s="82"/>
      <c r="BB368" s="82"/>
    </row>
    <row r="369" spans="1:54" s="81" customFormat="1" hidden="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82"/>
      <c r="AV369" s="82"/>
      <c r="AW369" s="82"/>
      <c r="AX369" s="82"/>
      <c r="AY369" s="82"/>
      <c r="AZ369" s="82"/>
      <c r="BA369" s="82"/>
      <c r="BB369" s="82"/>
    </row>
    <row r="370" spans="1:54" s="81" customFormat="1" hidden="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82"/>
      <c r="AV370" s="82"/>
      <c r="AW370" s="82"/>
      <c r="AX370" s="82"/>
      <c r="AY370" s="82"/>
      <c r="AZ370" s="82"/>
      <c r="BA370" s="82"/>
      <c r="BB370" s="82"/>
    </row>
    <row r="371" spans="1:54" s="81" customFormat="1" hidden="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82"/>
      <c r="AV371" s="82"/>
      <c r="AW371" s="82"/>
      <c r="AX371" s="82"/>
      <c r="AY371" s="82"/>
      <c r="AZ371" s="82"/>
      <c r="BA371" s="82"/>
      <c r="BB371" s="82"/>
    </row>
    <row r="372" spans="1:54" s="81" customFormat="1" hidden="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54" s="81" customFormat="1" hidden="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54" s="81" customFormat="1" hidden="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54" s="81" customFormat="1" hidden="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54" s="81" customFormat="1" hidden="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54" s="81" customFormat="1" hidden="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54" s="81" customFormat="1" hidden="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54" s="81" customFormat="1" hidden="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54" s="81" customFormat="1" hidden="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54" s="81" customFormat="1" hidden="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54" s="81" customFormat="1" hidden="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54" s="81" customFormat="1" hidden="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54" s="81" customFormat="1" hidden="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71" s="81" customFormat="1" hidden="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71" s="81" customFormat="1" hidden="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71" s="81" customFormat="1" hidden="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71" s="81" customFormat="1" hidden="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71" s="81" customFormat="1" hidden="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71" s="81" customFormat="1" hidden="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71" s="81" customFormat="1" hidden="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71" s="81" customFormat="1" hidden="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71" s="81" customFormat="1" hidden="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71" s="81" customFormat="1" hidden="1">
      <c r="A394" s="80"/>
      <c r="B394" s="80"/>
      <c r="C394" s="80"/>
      <c r="D394" s="83"/>
      <c r="E394" s="84"/>
      <c r="F394" s="84"/>
      <c r="G394" s="84"/>
      <c r="H394" s="84"/>
      <c r="I394" s="84"/>
      <c r="J394" s="84"/>
      <c r="K394" s="84"/>
      <c r="L394" s="84"/>
      <c r="M394" s="84"/>
      <c r="N394" s="84"/>
      <c r="O394" s="84"/>
      <c r="P394" s="84"/>
      <c r="Q394" s="84"/>
      <c r="R394" s="84"/>
      <c r="S394" s="84"/>
      <c r="T394" s="84"/>
      <c r="U394" s="84"/>
      <c r="V394" s="84"/>
      <c r="W394" s="84"/>
      <c r="X394" s="84"/>
      <c r="Y394" s="80"/>
      <c r="Z394" s="80"/>
      <c r="AA394" s="80"/>
      <c r="AB394" s="80"/>
      <c r="AC394" s="80"/>
      <c r="AD394" s="80"/>
      <c r="AE394" s="80"/>
      <c r="AF394" s="80"/>
      <c r="AG394" s="80"/>
      <c r="AH394" s="80"/>
      <c r="AI394" s="80"/>
      <c r="AJ394" s="80"/>
      <c r="AK394" s="80"/>
      <c r="AL394" s="80"/>
      <c r="AM394" s="80"/>
      <c r="AN394" s="80"/>
      <c r="AO394" s="80"/>
      <c r="AP394" s="80"/>
      <c r="AQ394" s="80"/>
      <c r="AR394" s="80"/>
      <c r="AS394" s="80"/>
      <c r="AT394" s="80"/>
    </row>
    <row r="395" spans="1:71" s="81" customFormat="1" hidden="1">
      <c r="A395" s="80"/>
      <c r="B395" s="80"/>
      <c r="C395" s="80"/>
      <c r="D395" s="83"/>
      <c r="E395" s="84"/>
      <c r="F395" s="84"/>
      <c r="G395" s="84"/>
      <c r="H395" s="84"/>
      <c r="I395" s="84"/>
      <c r="J395" s="84"/>
      <c r="K395" s="84"/>
      <c r="L395" s="84"/>
      <c r="M395" s="84"/>
      <c r="N395" s="84"/>
      <c r="O395" s="84"/>
      <c r="P395" s="84"/>
      <c r="Q395" s="84"/>
      <c r="R395" s="84"/>
      <c r="S395" s="84"/>
      <c r="T395" s="84"/>
      <c r="U395" s="84"/>
      <c r="V395" s="84"/>
      <c r="W395" s="84"/>
      <c r="X395" s="84"/>
      <c r="Y395" s="80"/>
      <c r="Z395" s="80"/>
      <c r="AA395" s="80"/>
      <c r="AB395" s="80"/>
      <c r="AC395" s="80"/>
      <c r="AD395" s="80"/>
      <c r="AE395" s="80"/>
      <c r="AF395" s="80"/>
      <c r="AG395" s="80"/>
      <c r="AH395" s="80"/>
      <c r="AI395" s="80"/>
      <c r="AJ395" s="80"/>
      <c r="AK395" s="80"/>
      <c r="AL395" s="80"/>
      <c r="AM395" s="80"/>
      <c r="AN395" s="80"/>
      <c r="AO395" s="80"/>
      <c r="AP395" s="80"/>
      <c r="AQ395" s="80"/>
      <c r="AR395" s="80"/>
      <c r="AS395" s="80"/>
      <c r="AT395" s="80"/>
    </row>
    <row r="396" spans="1:71" s="81" customFormat="1" hidden="1">
      <c r="A396" s="80"/>
      <c r="B396" s="80"/>
      <c r="C396" s="80"/>
      <c r="D396" s="83"/>
      <c r="E396" s="84"/>
      <c r="F396" s="84"/>
      <c r="G396" s="84"/>
      <c r="H396" s="84"/>
      <c r="I396" s="84"/>
      <c r="J396" s="84"/>
      <c r="K396" s="84"/>
      <c r="L396" s="84"/>
      <c r="M396" s="84"/>
      <c r="N396" s="84"/>
      <c r="O396" s="84"/>
      <c r="P396" s="84"/>
      <c r="Q396" s="84"/>
      <c r="R396" s="84"/>
      <c r="S396" s="84"/>
      <c r="T396" s="84"/>
      <c r="U396" s="84"/>
      <c r="V396" s="84"/>
      <c r="W396" s="84"/>
      <c r="X396" s="84"/>
      <c r="Y396" s="80"/>
      <c r="Z396" s="80"/>
      <c r="AA396" s="80"/>
      <c r="AB396" s="80"/>
      <c r="AC396" s="80"/>
      <c r="AD396" s="80"/>
      <c r="AE396" s="80"/>
      <c r="AF396" s="80"/>
      <c r="AG396" s="80"/>
      <c r="AH396" s="80"/>
      <c r="AI396" s="80"/>
      <c r="AJ396" s="80"/>
      <c r="AK396" s="80"/>
      <c r="AL396" s="80"/>
      <c r="AM396" s="80"/>
      <c r="AN396" s="80"/>
      <c r="AO396" s="80"/>
      <c r="AP396" s="80"/>
      <c r="AQ396" s="80"/>
      <c r="AR396" s="80"/>
      <c r="AS396" s="80"/>
      <c r="AT396" s="80"/>
    </row>
    <row r="397" spans="1:71" hidden="1">
      <c r="A397" s="80"/>
      <c r="B397" s="80"/>
      <c r="C397" s="80"/>
      <c r="D397" s="83"/>
      <c r="E397" s="84"/>
      <c r="F397" s="84"/>
      <c r="G397" s="84"/>
      <c r="H397" s="84"/>
      <c r="I397" s="84"/>
      <c r="J397" s="84"/>
      <c r="K397" s="84"/>
      <c r="L397" s="84"/>
      <c r="M397" s="84"/>
      <c r="N397" s="84"/>
      <c r="O397" s="84"/>
      <c r="P397" s="84"/>
      <c r="Q397" s="84"/>
      <c r="R397" s="84"/>
      <c r="S397" s="84"/>
      <c r="T397" s="84"/>
      <c r="U397" s="84"/>
      <c r="V397" s="84"/>
      <c r="W397" s="84"/>
      <c r="X397" s="84"/>
      <c r="Y397" s="80"/>
      <c r="Z397" s="80"/>
      <c r="AA397" s="80"/>
      <c r="AB397" s="80"/>
      <c r="AC397" s="80"/>
      <c r="AD397" s="80"/>
      <c r="AE397" s="80"/>
      <c r="AF397" s="80"/>
      <c r="AG397" s="80"/>
      <c r="AH397" s="80"/>
      <c r="AI397" s="80"/>
      <c r="AJ397" s="80"/>
      <c r="AK397" s="80"/>
      <c r="AL397" s="80"/>
      <c r="AM397" s="80"/>
      <c r="AN397" s="80"/>
      <c r="AO397" s="80"/>
      <c r="AP397" s="80"/>
      <c r="AQ397" s="80"/>
      <c r="AR397" s="80"/>
      <c r="AS397" s="80"/>
      <c r="AT397" s="80"/>
      <c r="AU397" s="81"/>
      <c r="AV397" s="81"/>
      <c r="AW397" s="81"/>
      <c r="AX397" s="81"/>
      <c r="AY397" s="81"/>
      <c r="AZ397" s="81"/>
      <c r="BA397" s="81"/>
      <c r="BB397" s="81"/>
      <c r="BC397" s="81"/>
      <c r="BD397" s="81"/>
      <c r="BE397" s="81"/>
      <c r="BF397" s="81"/>
      <c r="BG397" s="81"/>
      <c r="BH397" s="81"/>
      <c r="BI397" s="81"/>
      <c r="BJ397" s="81"/>
      <c r="BK397" s="81"/>
      <c r="BL397" s="81"/>
      <c r="BM397" s="81"/>
      <c r="BN397" s="81"/>
      <c r="BO397" s="81"/>
      <c r="BP397" s="81"/>
      <c r="BQ397" s="81"/>
      <c r="BR397" s="81"/>
      <c r="BS397" s="81"/>
    </row>
    <row r="398" spans="1:71" hidden="1">
      <c r="A398" s="80"/>
      <c r="B398" s="80"/>
      <c r="C398" s="80"/>
      <c r="D398" s="83"/>
      <c r="E398" s="84"/>
      <c r="F398" s="84"/>
      <c r="G398" s="84"/>
      <c r="H398" s="84"/>
      <c r="I398" s="84"/>
      <c r="J398" s="84"/>
      <c r="K398" s="84"/>
      <c r="L398" s="84"/>
      <c r="M398" s="84"/>
      <c r="N398" s="84"/>
      <c r="O398" s="84"/>
      <c r="P398" s="84"/>
      <c r="Q398" s="84"/>
      <c r="R398" s="84"/>
      <c r="S398" s="84"/>
      <c r="T398" s="84"/>
      <c r="U398" s="84"/>
      <c r="V398" s="84"/>
      <c r="W398" s="84"/>
      <c r="X398" s="84"/>
      <c r="Y398" s="80"/>
      <c r="Z398" s="80"/>
      <c r="AA398" s="80"/>
      <c r="AB398" s="80"/>
      <c r="AC398" s="80"/>
      <c r="AD398" s="80"/>
      <c r="AE398" s="80"/>
      <c r="AF398" s="80"/>
      <c r="AG398" s="80"/>
      <c r="AH398" s="80"/>
      <c r="AI398" s="80"/>
      <c r="AJ398" s="80"/>
      <c r="AK398" s="80"/>
      <c r="AL398" s="80"/>
      <c r="AM398" s="80"/>
      <c r="AN398" s="80"/>
      <c r="AO398" s="80"/>
      <c r="AP398" s="80"/>
      <c r="AQ398" s="80"/>
      <c r="AR398" s="80"/>
      <c r="AS398" s="80"/>
      <c r="AT398" s="80"/>
      <c r="AU398" s="81"/>
      <c r="AV398" s="81"/>
      <c r="AW398" s="81"/>
      <c r="AX398" s="81"/>
      <c r="AY398" s="81"/>
      <c r="AZ398" s="81"/>
      <c r="BA398" s="81"/>
      <c r="BB398" s="81"/>
      <c r="BC398" s="81"/>
      <c r="BD398" s="81"/>
      <c r="BE398" s="81"/>
      <c r="BF398" s="81"/>
      <c r="BG398" s="81"/>
      <c r="BH398" s="81"/>
      <c r="BI398" s="81"/>
      <c r="BJ398" s="81"/>
      <c r="BK398" s="81"/>
      <c r="BL398" s="81"/>
      <c r="BM398" s="81"/>
      <c r="BN398" s="81"/>
      <c r="BO398" s="81"/>
      <c r="BP398" s="81"/>
      <c r="BQ398" s="81"/>
      <c r="BR398" s="81"/>
      <c r="BS398" s="81"/>
    </row>
    <row r="399" spans="1:71" hidden="1">
      <c r="A399" s="80"/>
      <c r="B399" s="80"/>
      <c r="C399" s="80"/>
      <c r="D399" s="83"/>
      <c r="E399" s="84"/>
      <c r="F399" s="84"/>
      <c r="G399" s="84"/>
      <c r="H399" s="84"/>
      <c r="I399" s="84"/>
      <c r="J399" s="84"/>
      <c r="K399" s="84"/>
      <c r="L399" s="84"/>
      <c r="M399" s="84"/>
      <c r="N399" s="84"/>
      <c r="O399" s="84"/>
      <c r="P399" s="84"/>
      <c r="Q399" s="84"/>
      <c r="R399" s="84"/>
      <c r="S399" s="84"/>
      <c r="T399" s="84"/>
      <c r="U399" s="84"/>
      <c r="V399" s="84"/>
      <c r="W399" s="84"/>
      <c r="X399" s="84"/>
      <c r="Y399" s="80"/>
      <c r="Z399" s="80"/>
      <c r="AA399" s="80"/>
      <c r="AB399" s="80"/>
      <c r="AC399" s="80"/>
      <c r="AD399" s="80"/>
      <c r="AE399" s="80"/>
      <c r="AF399" s="80"/>
      <c r="AG399" s="80"/>
      <c r="AH399" s="80"/>
      <c r="AI399" s="80"/>
      <c r="AJ399" s="80"/>
      <c r="AK399" s="80"/>
      <c r="AL399" s="80"/>
      <c r="AM399" s="80"/>
      <c r="AN399" s="80"/>
      <c r="AO399" s="80"/>
      <c r="AP399" s="80"/>
      <c r="AQ399" s="80"/>
      <c r="AR399" s="80"/>
      <c r="AS399" s="80"/>
      <c r="AT399" s="80"/>
      <c r="AU399" s="81"/>
      <c r="AV399" s="81"/>
      <c r="AW399" s="81"/>
      <c r="AX399" s="81"/>
      <c r="AY399" s="81"/>
      <c r="AZ399" s="81"/>
      <c r="BA399" s="81"/>
      <c r="BB399" s="81"/>
      <c r="BC399" s="81"/>
      <c r="BD399" s="81"/>
      <c r="BE399" s="81"/>
      <c r="BF399" s="81"/>
      <c r="BG399" s="81"/>
      <c r="BH399" s="81"/>
      <c r="BI399" s="81"/>
      <c r="BJ399" s="81"/>
      <c r="BK399" s="81"/>
      <c r="BL399" s="81"/>
      <c r="BM399" s="81"/>
      <c r="BN399" s="81"/>
      <c r="BO399" s="81"/>
      <c r="BP399" s="81"/>
      <c r="BQ399" s="81"/>
      <c r="BR399" s="81"/>
      <c r="BS399" s="81"/>
    </row>
    <row r="400" spans="1:71" hidden="1">
      <c r="A400" s="80"/>
      <c r="B400" s="80"/>
      <c r="C400" s="80"/>
      <c r="D400" s="83"/>
      <c r="E400" s="84"/>
      <c r="F400" s="84"/>
      <c r="G400" s="84"/>
      <c r="H400" s="84"/>
      <c r="I400" s="84"/>
      <c r="J400" s="84"/>
      <c r="K400" s="84"/>
      <c r="L400" s="84"/>
      <c r="M400" s="84"/>
      <c r="N400" s="84"/>
      <c r="O400" s="84"/>
      <c r="P400" s="84"/>
      <c r="Q400" s="84"/>
      <c r="R400" s="84"/>
      <c r="S400" s="84"/>
      <c r="T400" s="84"/>
      <c r="U400" s="84"/>
      <c r="V400" s="84"/>
      <c r="W400" s="84"/>
      <c r="X400" s="84"/>
      <c r="Y400" s="80"/>
      <c r="Z400" s="80"/>
      <c r="AA400" s="80"/>
      <c r="AB400" s="80"/>
      <c r="AC400" s="80"/>
      <c r="AD400" s="80"/>
      <c r="AE400" s="80"/>
      <c r="AF400" s="80"/>
      <c r="AG400" s="80"/>
      <c r="AH400" s="80"/>
      <c r="AI400" s="80"/>
      <c r="AJ400" s="80"/>
      <c r="AK400" s="80"/>
      <c r="AL400" s="80"/>
      <c r="AM400" s="80"/>
      <c r="AN400" s="80"/>
      <c r="AO400" s="80"/>
      <c r="AP400" s="80"/>
      <c r="AQ400" s="80"/>
      <c r="AR400" s="80"/>
      <c r="AS400" s="80"/>
      <c r="AT400" s="80"/>
      <c r="AU400" s="81"/>
      <c r="AV400" s="81"/>
      <c r="AW400" s="81"/>
      <c r="AX400" s="81"/>
      <c r="AY400" s="81"/>
      <c r="AZ400" s="81"/>
      <c r="BA400" s="81"/>
      <c r="BB400" s="81"/>
      <c r="BC400" s="81"/>
      <c r="BD400" s="81"/>
      <c r="BE400" s="81"/>
      <c r="BF400" s="81"/>
      <c r="BG400" s="81"/>
      <c r="BH400" s="81"/>
      <c r="BI400" s="81"/>
      <c r="BJ400" s="81"/>
      <c r="BK400" s="81"/>
      <c r="BL400" s="81"/>
      <c r="BM400" s="81"/>
      <c r="BN400" s="81"/>
      <c r="BO400" s="81"/>
      <c r="BP400" s="81"/>
      <c r="BQ400" s="81"/>
      <c r="BR400" s="81"/>
      <c r="BS400" s="81"/>
    </row>
    <row r="401" spans="1:71" hidden="1">
      <c r="A401" s="80"/>
      <c r="B401" s="80"/>
      <c r="C401" s="80"/>
      <c r="D401" s="83"/>
      <c r="E401" s="84"/>
      <c r="F401" s="84"/>
      <c r="G401" s="84"/>
      <c r="H401" s="84"/>
      <c r="I401" s="84"/>
      <c r="J401" s="84"/>
      <c r="K401" s="84"/>
      <c r="L401" s="84"/>
      <c r="M401" s="84"/>
      <c r="N401" s="84"/>
      <c r="O401" s="84"/>
      <c r="P401" s="84"/>
      <c r="Q401" s="84"/>
      <c r="R401" s="84"/>
      <c r="S401" s="84"/>
      <c r="T401" s="84"/>
      <c r="U401" s="84"/>
      <c r="V401" s="84"/>
      <c r="W401" s="84"/>
      <c r="X401" s="84"/>
      <c r="Y401" s="80"/>
      <c r="Z401" s="80"/>
      <c r="AA401" s="80"/>
      <c r="AB401" s="80"/>
      <c r="AC401" s="80"/>
      <c r="AD401" s="80"/>
      <c r="AE401" s="80"/>
      <c r="AF401" s="80"/>
      <c r="AG401" s="80"/>
      <c r="AH401" s="80"/>
      <c r="AI401" s="80"/>
      <c r="AJ401" s="80"/>
      <c r="AK401" s="80"/>
      <c r="AL401" s="80"/>
      <c r="AM401" s="80"/>
      <c r="AN401" s="80"/>
      <c r="AO401" s="80"/>
      <c r="AP401" s="80"/>
      <c r="AQ401" s="80"/>
      <c r="AR401" s="80"/>
      <c r="AS401" s="80"/>
      <c r="AT401" s="80"/>
      <c r="AU401" s="81"/>
      <c r="AV401" s="81"/>
      <c r="AW401" s="81"/>
      <c r="AX401" s="81"/>
      <c r="AY401" s="81"/>
      <c r="AZ401" s="81"/>
      <c r="BA401" s="81"/>
      <c r="BB401" s="81"/>
      <c r="BC401" s="81"/>
      <c r="BD401" s="81"/>
      <c r="BE401" s="81"/>
      <c r="BF401" s="81"/>
      <c r="BG401" s="81"/>
      <c r="BH401" s="81"/>
      <c r="BI401" s="81"/>
      <c r="BJ401" s="81"/>
      <c r="BK401" s="81"/>
      <c r="BL401" s="81"/>
      <c r="BM401" s="81"/>
      <c r="BN401" s="81"/>
      <c r="BO401" s="81"/>
      <c r="BP401" s="81"/>
      <c r="BQ401" s="81"/>
      <c r="BR401" s="81"/>
      <c r="BS401" s="81"/>
    </row>
    <row r="402" spans="1:71" hidden="1">
      <c r="A402" s="80"/>
      <c r="B402" s="80"/>
      <c r="C402" s="80"/>
      <c r="D402" s="83"/>
      <c r="E402" s="84"/>
      <c r="F402" s="84"/>
      <c r="G402" s="84"/>
      <c r="H402" s="84"/>
      <c r="I402" s="84"/>
      <c r="J402" s="84"/>
      <c r="K402" s="84"/>
      <c r="L402" s="84"/>
      <c r="M402" s="84"/>
      <c r="N402" s="84"/>
      <c r="O402" s="84"/>
      <c r="P402" s="84"/>
      <c r="Q402" s="84"/>
      <c r="R402" s="84"/>
      <c r="S402" s="84"/>
      <c r="T402" s="84"/>
      <c r="U402" s="84"/>
      <c r="V402" s="84"/>
      <c r="W402" s="84"/>
      <c r="X402" s="84"/>
      <c r="Y402" s="80"/>
      <c r="Z402" s="80"/>
      <c r="AA402" s="80"/>
      <c r="AB402" s="80"/>
      <c r="AC402" s="80"/>
      <c r="AD402" s="80"/>
      <c r="AE402" s="80"/>
      <c r="AF402" s="80"/>
      <c r="AG402" s="80"/>
      <c r="AH402" s="80"/>
      <c r="AI402" s="80"/>
      <c r="AJ402" s="80"/>
      <c r="AK402" s="80"/>
      <c r="AL402" s="80"/>
      <c r="AM402" s="80"/>
      <c r="AN402" s="80"/>
      <c r="AO402" s="80"/>
      <c r="AP402" s="80"/>
      <c r="AQ402" s="80"/>
      <c r="AR402" s="80"/>
      <c r="AS402" s="80"/>
      <c r="AT402" s="80"/>
      <c r="AU402" s="81"/>
      <c r="AV402" s="81"/>
      <c r="AW402" s="81"/>
      <c r="AX402" s="81"/>
      <c r="AY402" s="81"/>
      <c r="AZ402" s="81"/>
      <c r="BA402" s="81"/>
      <c r="BB402" s="81"/>
      <c r="BC402" s="81"/>
      <c r="BD402" s="81"/>
      <c r="BE402" s="81"/>
      <c r="BF402" s="81"/>
      <c r="BG402" s="81"/>
      <c r="BH402" s="81"/>
      <c r="BI402" s="81"/>
      <c r="BJ402" s="81"/>
      <c r="BK402" s="81"/>
      <c r="BL402" s="81"/>
      <c r="BM402" s="81"/>
      <c r="BN402" s="81"/>
      <c r="BO402" s="81"/>
      <c r="BP402" s="81"/>
      <c r="BQ402" s="81"/>
      <c r="BR402" s="81"/>
      <c r="BS402" s="81"/>
    </row>
    <row r="403" spans="1:71" hidden="1">
      <c r="A403" s="80"/>
      <c r="B403" s="80"/>
      <c r="C403" s="80"/>
      <c r="D403" s="83"/>
      <c r="E403" s="84"/>
      <c r="F403" s="84"/>
      <c r="G403" s="84"/>
      <c r="H403" s="84"/>
      <c r="I403" s="84"/>
      <c r="J403" s="84"/>
      <c r="K403" s="84"/>
      <c r="L403" s="84"/>
      <c r="M403" s="84"/>
      <c r="N403" s="84"/>
      <c r="O403" s="84"/>
      <c r="P403" s="84"/>
      <c r="Q403" s="84"/>
      <c r="R403" s="84"/>
      <c r="S403" s="84"/>
      <c r="T403" s="84"/>
      <c r="U403" s="84"/>
      <c r="V403" s="84"/>
      <c r="W403" s="84"/>
      <c r="X403" s="84"/>
      <c r="Y403" s="80"/>
      <c r="Z403" s="80"/>
      <c r="AA403" s="80"/>
      <c r="AB403" s="80"/>
      <c r="AC403" s="80"/>
      <c r="AD403" s="80"/>
      <c r="AE403" s="80"/>
      <c r="AF403" s="80"/>
      <c r="AG403" s="80"/>
      <c r="AH403" s="80"/>
      <c r="AI403" s="80"/>
      <c r="AJ403" s="80"/>
      <c r="AK403" s="80"/>
      <c r="AL403" s="80"/>
      <c r="AM403" s="80"/>
      <c r="AN403" s="80"/>
      <c r="AO403" s="80"/>
      <c r="AP403" s="80"/>
      <c r="AQ403" s="80"/>
      <c r="AR403" s="80"/>
      <c r="AS403" s="80"/>
      <c r="AT403" s="80"/>
      <c r="AU403" s="81"/>
      <c r="AV403" s="81"/>
      <c r="AW403" s="81"/>
      <c r="AX403" s="81"/>
      <c r="AY403" s="81"/>
      <c r="AZ403" s="81"/>
      <c r="BA403" s="81"/>
      <c r="BB403" s="81"/>
      <c r="BC403" s="81"/>
      <c r="BD403" s="81"/>
      <c r="BE403" s="81"/>
      <c r="BF403" s="81"/>
      <c r="BG403" s="81"/>
      <c r="BH403" s="81"/>
      <c r="BI403" s="81"/>
      <c r="BJ403" s="81"/>
      <c r="BK403" s="81"/>
      <c r="BL403" s="81"/>
      <c r="BM403" s="81"/>
      <c r="BN403" s="81"/>
      <c r="BO403" s="81"/>
      <c r="BP403" s="81"/>
      <c r="BQ403" s="81"/>
      <c r="BR403" s="81"/>
      <c r="BS403" s="81"/>
    </row>
    <row r="404" spans="1:71" hidden="1">
      <c r="A404" s="80"/>
      <c r="B404" s="80"/>
      <c r="C404" s="80"/>
      <c r="D404" s="83"/>
      <c r="E404" s="84"/>
      <c r="F404" s="84"/>
      <c r="G404" s="84"/>
      <c r="H404" s="84"/>
      <c r="I404" s="84"/>
      <c r="J404" s="84"/>
      <c r="K404" s="84"/>
      <c r="L404" s="84"/>
      <c r="M404" s="84"/>
      <c r="N404" s="84"/>
      <c r="O404" s="84"/>
      <c r="P404" s="84"/>
      <c r="Q404" s="84"/>
      <c r="R404" s="84"/>
      <c r="S404" s="84"/>
      <c r="T404" s="84"/>
      <c r="U404" s="84"/>
      <c r="V404" s="84"/>
      <c r="W404" s="84"/>
      <c r="X404" s="84"/>
      <c r="Y404" s="80"/>
      <c r="Z404" s="80"/>
      <c r="AA404" s="80"/>
      <c r="AB404" s="80"/>
      <c r="AC404" s="80"/>
      <c r="AD404" s="80"/>
      <c r="AE404" s="80"/>
      <c r="AF404" s="80"/>
      <c r="AG404" s="80"/>
      <c r="AH404" s="80"/>
      <c r="AI404" s="80"/>
      <c r="AJ404" s="80"/>
      <c r="AK404" s="80"/>
      <c r="AL404" s="80"/>
      <c r="AM404" s="80"/>
      <c r="AN404" s="80"/>
      <c r="AO404" s="80"/>
      <c r="AP404" s="80"/>
      <c r="AQ404" s="80"/>
      <c r="AR404" s="80"/>
      <c r="AS404" s="80"/>
      <c r="AT404" s="80"/>
      <c r="AU404" s="81"/>
      <c r="AV404" s="81"/>
      <c r="AW404" s="81"/>
      <c r="AX404" s="81"/>
      <c r="AY404" s="81"/>
      <c r="AZ404" s="81"/>
      <c r="BA404" s="81"/>
      <c r="BB404" s="81"/>
      <c r="BC404" s="81"/>
      <c r="BD404" s="81"/>
      <c r="BE404" s="81"/>
      <c r="BF404" s="81"/>
      <c r="BG404" s="81"/>
      <c r="BH404" s="81"/>
      <c r="BI404" s="81"/>
      <c r="BJ404" s="81"/>
      <c r="BK404" s="81"/>
      <c r="BL404" s="81"/>
      <c r="BM404" s="81"/>
      <c r="BN404" s="81"/>
      <c r="BO404" s="81"/>
      <c r="BP404" s="81"/>
      <c r="BQ404" s="81"/>
      <c r="BR404" s="81"/>
      <c r="BS404" s="81"/>
    </row>
    <row r="405" spans="1:71" hidden="1">
      <c r="A405" s="80"/>
      <c r="B405" s="80"/>
      <c r="C405" s="80"/>
      <c r="D405" s="83"/>
      <c r="E405" s="84"/>
      <c r="F405" s="84"/>
      <c r="G405" s="84"/>
      <c r="H405" s="84"/>
      <c r="I405" s="84"/>
      <c r="J405" s="84"/>
      <c r="K405" s="84"/>
      <c r="L405" s="84"/>
      <c r="M405" s="84"/>
      <c r="N405" s="84"/>
      <c r="O405" s="84"/>
      <c r="P405" s="84"/>
      <c r="Q405" s="84"/>
      <c r="R405" s="84"/>
      <c r="S405" s="84"/>
      <c r="T405" s="84"/>
      <c r="U405" s="84"/>
      <c r="V405" s="84"/>
      <c r="W405" s="84"/>
      <c r="X405" s="84"/>
      <c r="Y405" s="80"/>
      <c r="Z405" s="80"/>
      <c r="AA405" s="80"/>
      <c r="AB405" s="80"/>
      <c r="AC405" s="80"/>
      <c r="AD405" s="80"/>
      <c r="AE405" s="80"/>
      <c r="AF405" s="80"/>
      <c r="AG405" s="80"/>
      <c r="AH405" s="80"/>
      <c r="AI405" s="80"/>
      <c r="AJ405" s="80"/>
      <c r="AK405" s="80"/>
      <c r="AL405" s="80"/>
      <c r="AM405" s="80"/>
      <c r="AN405" s="80"/>
      <c r="AO405" s="80"/>
      <c r="AP405" s="80"/>
      <c r="AQ405" s="80"/>
      <c r="AR405" s="80"/>
      <c r="AS405" s="80"/>
      <c r="AT405" s="80"/>
      <c r="AU405" s="81"/>
      <c r="AV405" s="81"/>
      <c r="AW405" s="81"/>
      <c r="AX405" s="81"/>
      <c r="AY405" s="81"/>
      <c r="AZ405" s="81"/>
      <c r="BA405" s="81"/>
      <c r="BB405" s="81"/>
      <c r="BC405" s="81"/>
      <c r="BD405" s="81"/>
      <c r="BE405" s="81"/>
      <c r="BF405" s="81"/>
      <c r="BG405" s="81"/>
      <c r="BH405" s="81"/>
      <c r="BI405" s="81"/>
      <c r="BJ405" s="81"/>
      <c r="BK405" s="81"/>
      <c r="BL405" s="81"/>
      <c r="BM405" s="81"/>
      <c r="BN405" s="81"/>
      <c r="BO405" s="81"/>
      <c r="BP405" s="81"/>
      <c r="BQ405" s="81"/>
      <c r="BR405" s="81"/>
      <c r="BS405" s="81"/>
    </row>
    <row r="406" spans="1:71" hidden="1">
      <c r="A406" s="80"/>
      <c r="B406" s="80"/>
      <c r="C406" s="80"/>
      <c r="D406" s="83"/>
      <c r="E406" s="84"/>
      <c r="F406" s="84"/>
      <c r="G406" s="84"/>
      <c r="H406" s="84"/>
      <c r="I406" s="84"/>
      <c r="J406" s="84"/>
      <c r="K406" s="84"/>
      <c r="L406" s="84"/>
      <c r="M406" s="84"/>
      <c r="N406" s="84"/>
      <c r="O406" s="84"/>
      <c r="P406" s="84"/>
      <c r="Q406" s="84"/>
      <c r="R406" s="84"/>
      <c r="S406" s="84"/>
      <c r="T406" s="84"/>
      <c r="U406" s="84"/>
      <c r="V406" s="84"/>
      <c r="W406" s="84"/>
      <c r="X406" s="84"/>
      <c r="Y406" s="80"/>
      <c r="Z406" s="80"/>
      <c r="AA406" s="80"/>
      <c r="AB406" s="80"/>
      <c r="AC406" s="80"/>
      <c r="AD406" s="80"/>
      <c r="AE406" s="80"/>
      <c r="AF406" s="80"/>
      <c r="AG406" s="80"/>
      <c r="AH406" s="80"/>
      <c r="AI406" s="80"/>
      <c r="AJ406" s="80"/>
      <c r="AK406" s="80"/>
      <c r="AL406" s="80"/>
      <c r="AM406" s="80"/>
      <c r="AN406" s="80"/>
      <c r="AO406" s="80"/>
      <c r="AP406" s="80"/>
      <c r="AQ406" s="80"/>
      <c r="AR406" s="80"/>
      <c r="AS406" s="80"/>
      <c r="AT406" s="80"/>
      <c r="AU406" s="81"/>
      <c r="AV406" s="81"/>
      <c r="AW406" s="81"/>
      <c r="AX406" s="81"/>
      <c r="AY406" s="81"/>
      <c r="AZ406" s="81"/>
      <c r="BA406" s="81"/>
      <c r="BB406" s="81"/>
      <c r="BC406" s="81"/>
      <c r="BD406" s="81"/>
      <c r="BE406" s="81"/>
      <c r="BF406" s="81"/>
      <c r="BG406" s="81"/>
      <c r="BH406" s="81"/>
      <c r="BI406" s="81"/>
      <c r="BJ406" s="81"/>
      <c r="BK406" s="81"/>
      <c r="BL406" s="81"/>
      <c r="BM406" s="81"/>
      <c r="BN406" s="81"/>
      <c r="BO406" s="81"/>
      <c r="BP406" s="81"/>
      <c r="BQ406" s="81"/>
      <c r="BR406" s="81"/>
      <c r="BS406" s="81"/>
    </row>
    <row r="407" spans="1:71" hidden="1">
      <c r="A407" s="80"/>
      <c r="B407" s="80"/>
      <c r="C407" s="80"/>
      <c r="D407" s="83"/>
      <c r="E407" s="84"/>
      <c r="F407" s="84"/>
      <c r="G407" s="84"/>
      <c r="H407" s="84"/>
      <c r="I407" s="84"/>
      <c r="J407" s="84"/>
      <c r="K407" s="84"/>
      <c r="L407" s="84"/>
      <c r="M407" s="84"/>
      <c r="N407" s="84"/>
      <c r="O407" s="84"/>
      <c r="P407" s="84"/>
      <c r="Q407" s="84"/>
      <c r="R407" s="84"/>
      <c r="S407" s="84"/>
      <c r="T407" s="84"/>
      <c r="U407" s="84"/>
      <c r="V407" s="84"/>
      <c r="W407" s="84"/>
      <c r="X407" s="84"/>
      <c r="Y407" s="80"/>
      <c r="Z407" s="80"/>
      <c r="AA407" s="80"/>
      <c r="AB407" s="80"/>
      <c r="AC407" s="80"/>
      <c r="AD407" s="80"/>
      <c r="AE407" s="80"/>
      <c r="AF407" s="80"/>
      <c r="AG407" s="80"/>
      <c r="AH407" s="80"/>
      <c r="AI407" s="80"/>
      <c r="AJ407" s="80"/>
      <c r="AK407" s="80"/>
      <c r="AL407" s="80"/>
      <c r="AM407" s="80"/>
      <c r="AN407" s="80"/>
      <c r="AO407" s="80"/>
      <c r="AP407" s="80"/>
      <c r="AQ407" s="80"/>
      <c r="AR407" s="80"/>
      <c r="AS407" s="80"/>
      <c r="AT407" s="80"/>
      <c r="AU407" s="81"/>
      <c r="AV407" s="81"/>
      <c r="AW407" s="81"/>
      <c r="AX407" s="81"/>
      <c r="AY407" s="81"/>
      <c r="AZ407" s="81"/>
      <c r="BA407" s="81"/>
      <c r="BB407" s="81"/>
      <c r="BC407" s="81"/>
      <c r="BD407" s="81"/>
      <c r="BE407" s="81"/>
      <c r="BF407" s="81"/>
      <c r="BG407" s="81"/>
      <c r="BH407" s="81"/>
      <c r="BI407" s="81"/>
      <c r="BJ407" s="81"/>
      <c r="BK407" s="81"/>
      <c r="BL407" s="81"/>
      <c r="BM407" s="81"/>
      <c r="BN407" s="81"/>
      <c r="BO407" s="81"/>
      <c r="BP407" s="81"/>
      <c r="BQ407" s="81"/>
      <c r="BR407" s="81"/>
      <c r="BS407" s="81"/>
    </row>
    <row r="408" spans="1:71" hidden="1">
      <c r="A408" s="80"/>
      <c r="B408" s="80"/>
      <c r="C408" s="80"/>
      <c r="D408" s="83"/>
      <c r="E408" s="84"/>
      <c r="F408" s="84"/>
      <c r="G408" s="84"/>
      <c r="H408" s="84"/>
      <c r="I408" s="84"/>
      <c r="J408" s="84"/>
      <c r="K408" s="84"/>
      <c r="L408" s="84"/>
      <c r="M408" s="84"/>
      <c r="N408" s="84"/>
      <c r="O408" s="84"/>
      <c r="P408" s="84"/>
      <c r="Q408" s="84"/>
      <c r="R408" s="84"/>
      <c r="S408" s="84"/>
      <c r="T408" s="84"/>
      <c r="U408" s="84"/>
      <c r="V408" s="84"/>
      <c r="W408" s="84"/>
      <c r="X408" s="84"/>
      <c r="Y408" s="80"/>
      <c r="Z408" s="80"/>
      <c r="AA408" s="80"/>
      <c r="AB408" s="80"/>
      <c r="AC408" s="80"/>
      <c r="AD408" s="80"/>
      <c r="AE408" s="80"/>
      <c r="AF408" s="80"/>
      <c r="AG408" s="80"/>
      <c r="AH408" s="80"/>
      <c r="AI408" s="80"/>
      <c r="AJ408" s="80"/>
      <c r="AK408" s="80"/>
      <c r="AL408" s="80"/>
      <c r="AM408" s="80"/>
      <c r="AN408" s="80"/>
      <c r="AO408" s="80"/>
      <c r="AP408" s="80"/>
      <c r="AQ408" s="80"/>
      <c r="AR408" s="80"/>
      <c r="AS408" s="80"/>
      <c r="AT408" s="80"/>
      <c r="AU408" s="81"/>
      <c r="AV408" s="81"/>
      <c r="AW408" s="81"/>
      <c r="AX408" s="81"/>
      <c r="AY408" s="81"/>
      <c r="AZ408" s="81"/>
      <c r="BA408" s="81"/>
      <c r="BB408" s="81"/>
      <c r="BC408" s="81"/>
      <c r="BD408" s="81"/>
      <c r="BE408" s="81"/>
      <c r="BF408" s="81"/>
      <c r="BG408" s="81"/>
      <c r="BH408" s="81"/>
      <c r="BI408" s="81"/>
      <c r="BJ408" s="81"/>
      <c r="BK408" s="81"/>
      <c r="BL408" s="81"/>
      <c r="BM408" s="81"/>
      <c r="BN408" s="81"/>
      <c r="BO408" s="81"/>
      <c r="BP408" s="81"/>
      <c r="BQ408" s="81"/>
      <c r="BR408" s="81"/>
      <c r="BS408" s="81"/>
    </row>
    <row r="409" spans="1:71" hidden="1">
      <c r="A409" s="80"/>
      <c r="B409" s="80"/>
      <c r="C409" s="80"/>
      <c r="D409" s="83"/>
      <c r="E409" s="84"/>
      <c r="F409" s="84"/>
      <c r="G409" s="84"/>
      <c r="H409" s="84"/>
      <c r="I409" s="84"/>
      <c r="J409" s="84"/>
      <c r="K409" s="84"/>
      <c r="L409" s="84"/>
      <c r="M409" s="84"/>
      <c r="N409" s="84"/>
      <c r="O409" s="84"/>
      <c r="P409" s="84"/>
      <c r="Q409" s="84"/>
      <c r="R409" s="84"/>
      <c r="S409" s="84"/>
      <c r="T409" s="84"/>
      <c r="U409" s="84"/>
      <c r="V409" s="84"/>
      <c r="W409" s="84"/>
      <c r="X409" s="84"/>
      <c r="Y409" s="80"/>
      <c r="Z409" s="80"/>
      <c r="AA409" s="80"/>
      <c r="AB409" s="80"/>
      <c r="AC409" s="80"/>
      <c r="AD409" s="80"/>
      <c r="AE409" s="80"/>
      <c r="AF409" s="80"/>
      <c r="AG409" s="80"/>
      <c r="AH409" s="80"/>
      <c r="AI409" s="80"/>
      <c r="AJ409" s="80"/>
      <c r="AK409" s="80"/>
      <c r="AL409" s="80"/>
      <c r="AM409" s="80"/>
      <c r="AN409" s="80"/>
      <c r="AO409" s="80"/>
      <c r="AP409" s="80"/>
      <c r="AQ409" s="80"/>
      <c r="AR409" s="80"/>
      <c r="AS409" s="80"/>
      <c r="AT409" s="80"/>
      <c r="AU409" s="81"/>
      <c r="AV409" s="81"/>
      <c r="AW409" s="81"/>
      <c r="AX409" s="81"/>
      <c r="AY409" s="81"/>
      <c r="AZ409" s="81"/>
      <c r="BA409" s="81"/>
      <c r="BB409" s="81"/>
      <c r="BC409" s="81"/>
      <c r="BD409" s="81"/>
      <c r="BE409" s="81"/>
      <c r="BF409" s="81"/>
      <c r="BG409" s="81"/>
      <c r="BH409" s="81"/>
      <c r="BI409" s="81"/>
      <c r="BJ409" s="81"/>
      <c r="BK409" s="81"/>
      <c r="BL409" s="81"/>
      <c r="BM409" s="81"/>
      <c r="BN409" s="81"/>
      <c r="BO409" s="81"/>
      <c r="BP409" s="81"/>
      <c r="BQ409" s="81"/>
      <c r="BR409" s="81"/>
      <c r="BS409" s="81"/>
    </row>
    <row r="410" spans="1:71" hidden="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c r="AU410" s="81"/>
      <c r="AV410" s="81"/>
      <c r="AW410" s="81"/>
      <c r="AX410" s="81"/>
      <c r="AY410" s="81"/>
      <c r="AZ410" s="81"/>
      <c r="BA410" s="81"/>
      <c r="BB410" s="81"/>
      <c r="BC410" s="81"/>
      <c r="BD410" s="81"/>
      <c r="BE410" s="81"/>
      <c r="BF410" s="81"/>
      <c r="BG410" s="81"/>
      <c r="BH410" s="81"/>
      <c r="BI410" s="81"/>
      <c r="BJ410" s="81"/>
      <c r="BK410" s="81"/>
      <c r="BL410" s="81"/>
      <c r="BM410" s="81"/>
      <c r="BN410" s="81"/>
      <c r="BO410" s="81"/>
      <c r="BP410" s="81"/>
      <c r="BQ410" s="81"/>
      <c r="BR410" s="81"/>
      <c r="BS410" s="81"/>
    </row>
    <row r="411" spans="1:71" hidden="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c r="AU411" s="81"/>
      <c r="AV411" s="81"/>
      <c r="AW411" s="81"/>
      <c r="AX411" s="81"/>
      <c r="AY411" s="81"/>
      <c r="AZ411" s="81"/>
      <c r="BA411" s="81"/>
      <c r="BB411" s="81"/>
      <c r="BC411" s="81"/>
      <c r="BD411" s="81"/>
      <c r="BE411" s="81"/>
      <c r="BF411" s="81"/>
      <c r="BG411" s="81"/>
      <c r="BH411" s="81"/>
      <c r="BI411" s="81"/>
      <c r="BJ411" s="81"/>
      <c r="BK411" s="81"/>
      <c r="BL411" s="81"/>
      <c r="BM411" s="81"/>
      <c r="BN411" s="81"/>
      <c r="BO411" s="81"/>
      <c r="BP411" s="81"/>
      <c r="BQ411" s="81"/>
      <c r="BR411" s="81"/>
      <c r="BS411" s="81"/>
    </row>
    <row r="412" spans="1:71" hidden="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c r="AU412" s="81"/>
      <c r="AV412" s="81"/>
      <c r="AW412" s="81"/>
      <c r="AX412" s="81"/>
      <c r="AY412" s="81"/>
      <c r="AZ412" s="81"/>
      <c r="BA412" s="81"/>
      <c r="BB412" s="81"/>
      <c r="BC412" s="81"/>
      <c r="BD412" s="81"/>
      <c r="BE412" s="81"/>
      <c r="BF412" s="81"/>
      <c r="BG412" s="81"/>
      <c r="BH412" s="81"/>
      <c r="BI412" s="81"/>
      <c r="BJ412" s="81"/>
      <c r="BK412" s="81"/>
      <c r="BL412" s="81"/>
      <c r="BM412" s="81"/>
      <c r="BN412" s="81"/>
      <c r="BO412" s="81"/>
      <c r="BP412" s="81"/>
      <c r="BQ412" s="81"/>
      <c r="BR412" s="81"/>
      <c r="BS412" s="81"/>
    </row>
    <row r="413" spans="1:71" hidden="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idden="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idden="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idden="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idden="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idden="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idden="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idden="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idden="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idden="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idden="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idden="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idden="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idden="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idden="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idden="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idden="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idden="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idden="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idden="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idden="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idden="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idden="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idden="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idden="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idden="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idden="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idden="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idden="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idden="1">
      <c r="A442" s="11"/>
      <c r="B442" s="11"/>
      <c r="C442" s="11"/>
      <c r="D442" s="85"/>
      <c r="E442" s="86"/>
      <c r="F442" s="86"/>
      <c r="G442" s="86"/>
      <c r="H442" s="86"/>
      <c r="I442" s="86"/>
      <c r="J442" s="86"/>
      <c r="K442" s="86"/>
      <c r="L442" s="86"/>
      <c r="M442" s="86"/>
      <c r="N442" s="86"/>
      <c r="O442" s="86"/>
      <c r="P442" s="86"/>
      <c r="Q442" s="86"/>
      <c r="R442" s="86"/>
      <c r="S442" s="86"/>
      <c r="T442" s="86"/>
      <c r="U442" s="86"/>
      <c r="V442" s="86"/>
      <c r="W442" s="86"/>
      <c r="X442" s="86"/>
    </row>
    <row r="443" spans="1:71" hidden="1">
      <c r="A443" s="11"/>
      <c r="B443" s="11"/>
      <c r="C443" s="11"/>
      <c r="D443" s="85"/>
      <c r="E443" s="86"/>
      <c r="F443" s="86"/>
      <c r="G443" s="86"/>
      <c r="H443" s="86"/>
      <c r="I443" s="86"/>
      <c r="J443" s="86"/>
      <c r="K443" s="86"/>
      <c r="L443" s="86"/>
      <c r="M443" s="86"/>
      <c r="N443" s="86"/>
      <c r="O443" s="86"/>
      <c r="P443" s="86"/>
      <c r="Q443" s="86"/>
      <c r="R443" s="86"/>
      <c r="S443" s="86"/>
      <c r="T443" s="86"/>
      <c r="U443" s="86"/>
      <c r="V443" s="86"/>
      <c r="W443" s="86"/>
      <c r="X443" s="86"/>
    </row>
    <row r="444" spans="1:71" hidden="1">
      <c r="A444" s="11"/>
      <c r="B444" s="11"/>
      <c r="C444" s="11"/>
      <c r="D444" s="85"/>
      <c r="E444" s="86"/>
      <c r="F444" s="86"/>
      <c r="G444" s="86"/>
      <c r="H444" s="86"/>
      <c r="I444" s="86"/>
      <c r="J444" s="86"/>
      <c r="K444" s="86"/>
      <c r="L444" s="86"/>
      <c r="M444" s="86"/>
      <c r="N444" s="86"/>
      <c r="O444" s="86"/>
      <c r="P444" s="86"/>
      <c r="Q444" s="86"/>
      <c r="R444" s="86"/>
      <c r="S444" s="86"/>
      <c r="T444" s="86"/>
      <c r="U444" s="86"/>
      <c r="V444" s="86"/>
      <c r="W444" s="86"/>
      <c r="X444" s="86"/>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row>
    <row r="445" spans="1:71" hidden="1">
      <c r="A445" s="11"/>
      <c r="B445" s="11"/>
      <c r="C445" s="11"/>
      <c r="D445" s="85"/>
      <c r="E445" s="86"/>
      <c r="F445" s="86"/>
      <c r="G445" s="86"/>
      <c r="H445" s="86"/>
      <c r="I445" s="86"/>
      <c r="J445" s="86"/>
      <c r="K445" s="86"/>
      <c r="L445" s="86"/>
      <c r="M445" s="86"/>
      <c r="N445" s="86"/>
      <c r="O445" s="86"/>
      <c r="P445" s="86"/>
      <c r="Q445" s="86"/>
      <c r="R445" s="86"/>
      <c r="S445" s="86"/>
      <c r="T445" s="86"/>
      <c r="U445" s="86"/>
      <c r="V445" s="86"/>
      <c r="W445" s="86"/>
      <c r="X445" s="86"/>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row>
    <row r="446" spans="1:71" hidden="1">
      <c r="A446" s="11"/>
      <c r="B446" s="11"/>
      <c r="C446" s="11"/>
      <c r="D446" s="85"/>
      <c r="E446" s="86"/>
      <c r="F446" s="86"/>
      <c r="G446" s="86"/>
      <c r="H446" s="86"/>
      <c r="I446" s="86"/>
      <c r="J446" s="86"/>
      <c r="K446" s="86"/>
      <c r="L446" s="86"/>
      <c r="M446" s="86"/>
      <c r="N446" s="86"/>
      <c r="O446" s="86"/>
      <c r="P446" s="86"/>
      <c r="Q446" s="86"/>
      <c r="R446" s="86"/>
      <c r="S446" s="86"/>
      <c r="T446" s="86"/>
      <c r="U446" s="86"/>
      <c r="V446" s="86"/>
      <c r="W446" s="86"/>
      <c r="X446" s="86"/>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row>
    <row r="447" spans="1:71" hidden="1">
      <c r="A447" s="11"/>
      <c r="B447" s="11"/>
      <c r="C447" s="11"/>
      <c r="D447" s="85"/>
      <c r="E447" s="86"/>
      <c r="F447" s="86"/>
      <c r="G447" s="86"/>
      <c r="H447" s="86"/>
      <c r="I447" s="86"/>
      <c r="J447" s="86"/>
      <c r="K447" s="86"/>
      <c r="L447" s="86"/>
      <c r="M447" s="86"/>
      <c r="N447" s="86"/>
      <c r="O447" s="86"/>
      <c r="P447" s="86"/>
      <c r="Q447" s="86"/>
      <c r="R447" s="86"/>
      <c r="S447" s="86"/>
      <c r="T447" s="86"/>
      <c r="U447" s="86"/>
      <c r="V447" s="86"/>
      <c r="W447" s="86"/>
      <c r="X447" s="86"/>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row>
    <row r="448" spans="1:71" hidden="1">
      <c r="A448" s="11"/>
      <c r="B448" s="11"/>
      <c r="C448" s="11"/>
      <c r="D448" s="85"/>
      <c r="E448" s="86"/>
      <c r="F448" s="86"/>
      <c r="G448" s="86"/>
      <c r="H448" s="86"/>
      <c r="I448" s="86"/>
      <c r="J448" s="86"/>
      <c r="K448" s="86"/>
      <c r="L448" s="86"/>
      <c r="M448" s="86"/>
      <c r="N448" s="86"/>
      <c r="O448" s="86"/>
      <c r="P448" s="86"/>
      <c r="Q448" s="86"/>
      <c r="R448" s="86"/>
      <c r="S448" s="86"/>
      <c r="T448" s="86"/>
      <c r="U448" s="86"/>
      <c r="V448" s="86"/>
      <c r="W448" s="86"/>
      <c r="X448" s="86"/>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row>
    <row r="449" spans="1:46" hidden="1">
      <c r="A449" s="11"/>
      <c r="B449" s="11"/>
      <c r="C449" s="11"/>
      <c r="D449" s="85"/>
      <c r="E449" s="86"/>
      <c r="F449" s="86"/>
      <c r="G449" s="86"/>
      <c r="H449" s="86"/>
      <c r="I449" s="86"/>
      <c r="J449" s="86"/>
      <c r="K449" s="86"/>
      <c r="L449" s="86"/>
      <c r="M449" s="86"/>
      <c r="N449" s="86"/>
      <c r="O449" s="86"/>
      <c r="P449" s="86"/>
      <c r="Q449" s="86"/>
      <c r="R449" s="86"/>
      <c r="S449" s="86"/>
      <c r="T449" s="86"/>
      <c r="U449" s="86"/>
      <c r="V449" s="86"/>
      <c r="W449" s="86"/>
      <c r="X449" s="86"/>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row>
    <row r="450" spans="1:46" hidden="1">
      <c r="A450" s="11"/>
      <c r="B450" s="11"/>
      <c r="C450" s="11"/>
      <c r="D450" s="85"/>
      <c r="E450" s="86"/>
      <c r="F450" s="86"/>
      <c r="G450" s="86"/>
      <c r="H450" s="86"/>
      <c r="I450" s="86"/>
      <c r="J450" s="86"/>
      <c r="K450" s="86"/>
      <c r="L450" s="86"/>
      <c r="M450" s="86"/>
      <c r="N450" s="86"/>
      <c r="O450" s="86"/>
      <c r="P450" s="86"/>
      <c r="Q450" s="86"/>
      <c r="R450" s="86"/>
      <c r="S450" s="86"/>
      <c r="T450" s="86"/>
      <c r="U450" s="86"/>
      <c r="V450" s="86"/>
      <c r="W450" s="86"/>
      <c r="X450" s="86"/>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row>
    <row r="451" spans="1:46" hidden="1">
      <c r="A451" s="11"/>
      <c r="B451" s="11"/>
      <c r="C451" s="11"/>
      <c r="D451" s="85"/>
      <c r="E451" s="86"/>
      <c r="F451" s="86"/>
      <c r="G451" s="86"/>
      <c r="H451" s="86"/>
      <c r="I451" s="86"/>
      <c r="J451" s="86"/>
      <c r="K451" s="86"/>
      <c r="L451" s="86"/>
      <c r="M451" s="86"/>
      <c r="N451" s="86"/>
      <c r="O451" s="86"/>
      <c r="P451" s="86"/>
      <c r="Q451" s="86"/>
      <c r="R451" s="86"/>
      <c r="S451" s="86"/>
      <c r="T451" s="86"/>
      <c r="U451" s="86"/>
      <c r="V451" s="86"/>
      <c r="W451" s="86"/>
      <c r="X451" s="86"/>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row>
    <row r="452" spans="1:46" hidden="1">
      <c r="A452" s="11"/>
      <c r="B452" s="11"/>
      <c r="C452" s="11"/>
      <c r="D452" s="85"/>
      <c r="E452" s="86"/>
      <c r="F452" s="86"/>
      <c r="G452" s="86"/>
      <c r="H452" s="86"/>
      <c r="I452" s="86"/>
      <c r="J452" s="86"/>
      <c r="K452" s="86"/>
      <c r="L452" s="86"/>
      <c r="M452" s="86"/>
      <c r="N452" s="86"/>
      <c r="O452" s="86"/>
      <c r="P452" s="86"/>
      <c r="Q452" s="86"/>
      <c r="R452" s="86"/>
      <c r="S452" s="86"/>
      <c r="T452" s="86"/>
      <c r="U452" s="86"/>
      <c r="V452" s="86"/>
      <c r="W452" s="86"/>
      <c r="X452" s="86"/>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row>
    <row r="453" spans="1:46" hidden="1">
      <c r="A453" s="11"/>
      <c r="B453" s="11"/>
      <c r="C453" s="11"/>
      <c r="D453" s="85"/>
      <c r="E453" s="86"/>
      <c r="F453" s="86"/>
      <c r="G453" s="86"/>
      <c r="H453" s="86"/>
      <c r="I453" s="86"/>
      <c r="J453" s="86"/>
      <c r="K453" s="86"/>
      <c r="L453" s="86"/>
      <c r="M453" s="86"/>
      <c r="N453" s="86"/>
      <c r="O453" s="86"/>
      <c r="P453" s="86"/>
      <c r="Q453" s="86"/>
      <c r="R453" s="86"/>
      <c r="S453" s="86"/>
      <c r="T453" s="86"/>
      <c r="U453" s="86"/>
      <c r="V453" s="86"/>
      <c r="W453" s="86"/>
      <c r="X453" s="86"/>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row>
    <row r="454" spans="1:46" hidden="1">
      <c r="A454" s="11"/>
      <c r="B454" s="11"/>
      <c r="C454" s="11"/>
      <c r="D454" s="85"/>
      <c r="E454" s="86"/>
      <c r="F454" s="86"/>
      <c r="G454" s="86"/>
      <c r="H454" s="86"/>
      <c r="I454" s="86"/>
      <c r="J454" s="86"/>
      <c r="K454" s="86"/>
      <c r="L454" s="86"/>
      <c r="M454" s="86"/>
      <c r="N454" s="86"/>
      <c r="O454" s="86"/>
      <c r="P454" s="86"/>
      <c r="Q454" s="86"/>
      <c r="R454" s="86"/>
      <c r="S454" s="86"/>
      <c r="T454" s="86"/>
      <c r="U454" s="86"/>
      <c r="V454" s="86"/>
      <c r="W454" s="86"/>
      <c r="X454" s="86"/>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row>
    <row r="455" spans="1:46" hidden="1">
      <c r="A455" s="11"/>
      <c r="B455" s="11"/>
      <c r="C455" s="11"/>
      <c r="D455" s="85"/>
      <c r="E455" s="86"/>
      <c r="F455" s="86"/>
      <c r="G455" s="86"/>
      <c r="H455" s="86"/>
      <c r="I455" s="86"/>
      <c r="J455" s="86"/>
      <c r="K455" s="86"/>
      <c r="L455" s="86"/>
      <c r="M455" s="86"/>
      <c r="N455" s="86"/>
      <c r="O455" s="86"/>
      <c r="P455" s="86"/>
      <c r="Q455" s="86"/>
      <c r="R455" s="86"/>
      <c r="S455" s="86"/>
      <c r="T455" s="86"/>
      <c r="U455" s="86"/>
      <c r="V455" s="86"/>
      <c r="W455" s="86"/>
      <c r="X455" s="86"/>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row>
    <row r="456" spans="1:46" hidden="1">
      <c r="A456" s="11"/>
      <c r="B456" s="11"/>
      <c r="C456" s="11"/>
      <c r="D456" s="85"/>
      <c r="E456" s="86"/>
      <c r="F456" s="86"/>
      <c r="G456" s="86"/>
      <c r="H456" s="86"/>
      <c r="I456" s="86"/>
      <c r="J456" s="86"/>
      <c r="K456" s="86"/>
      <c r="L456" s="86"/>
      <c r="M456" s="86"/>
      <c r="N456" s="86"/>
      <c r="O456" s="86"/>
      <c r="P456" s="86"/>
      <c r="Q456" s="86"/>
      <c r="R456" s="86"/>
      <c r="S456" s="86"/>
      <c r="T456" s="86"/>
      <c r="U456" s="86"/>
      <c r="V456" s="86"/>
      <c r="W456" s="86"/>
      <c r="X456" s="86"/>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row>
    <row r="457" spans="1:46" hidden="1">
      <c r="A457" s="11"/>
      <c r="B457" s="11"/>
      <c r="C457" s="11"/>
      <c r="D457" s="85"/>
      <c r="E457" s="86"/>
      <c r="F457" s="86"/>
      <c r="G457" s="86"/>
      <c r="H457" s="86"/>
      <c r="I457" s="86"/>
      <c r="J457" s="86"/>
      <c r="K457" s="86"/>
      <c r="L457" s="86"/>
      <c r="M457" s="86"/>
      <c r="N457" s="86"/>
      <c r="O457" s="86"/>
      <c r="P457" s="86"/>
      <c r="Q457" s="86"/>
      <c r="R457" s="86"/>
      <c r="S457" s="86"/>
      <c r="T457" s="86"/>
      <c r="U457" s="86"/>
      <c r="V457" s="86"/>
      <c r="W457" s="86"/>
      <c r="X457" s="86"/>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row>
    <row r="458" spans="1:46" hidden="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row>
    <row r="459" spans="1:46" hidden="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row>
    <row r="460" spans="1:46" hidden="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46" hidden="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46" hidden="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46" hidden="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46" hidden="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idden="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idden="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idden="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idden="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idden="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idden="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idden="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idden="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idden="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idden="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idden="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idden="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idden="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idden="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idden="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idden="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idden="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idden="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idden="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idden="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idden="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idden="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idden="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idden="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idden="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idden="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idden="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idden="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idden="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idden="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idden="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idden="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idden="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idden="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sheetData>
  <sheetProtection sheet="1" scenarios="1" formatColumns="0"/>
  <protectedRanges>
    <protectedRange sqref="E51:W51" name="Evalueringsperiode"/>
    <protectedRange sqref="W69:W70 W62:W66 W56:W60 W54 W51:W52 W44:W45 W37:W39 W31:W35 W29 W24 W19:W21 W16 W12:W13 W8:W10 U69:U70 U62:U66 U56:U60 U54 U51:U52 U44:U45 U37:U39 U31:U35 U29 U24" name="Range1"/>
  </protectedRanges>
  <mergeCells count="14">
    <mergeCell ref="B74:D74"/>
    <mergeCell ref="B3:C3"/>
    <mergeCell ref="S72:X72"/>
    <mergeCell ref="B6:E6"/>
    <mergeCell ref="B42:D42"/>
    <mergeCell ref="B48:D48"/>
    <mergeCell ref="G72:H72"/>
    <mergeCell ref="E72:F72"/>
    <mergeCell ref="C72:D72"/>
    <mergeCell ref="K72:L72"/>
    <mergeCell ref="M72:N72"/>
    <mergeCell ref="O72:P72"/>
    <mergeCell ref="Q72:R72"/>
    <mergeCell ref="B49:D49"/>
  </mergeCells>
  <conditionalFormatting sqref="F29:S29 B29:D29 B27:X28 B40:X40 V36:V39 B33:T39 X29:X39 T29:U32 B30:S32 V29:V33 W29:W32">
    <cfRule type="expression" dxfId="275" priority="201">
      <formula>$E$29="nej"</formula>
    </cfRule>
  </conditionalFormatting>
  <conditionalFormatting sqref="V32:V33 E32:E33">
    <cfRule type="expression" dxfId="274" priority="200">
      <formula>$E$31="nej"</formula>
    </cfRule>
  </conditionalFormatting>
  <conditionalFormatting sqref="E34:E35 W34:W35">
    <cfRule type="expression" dxfId="273" priority="199">
      <formula>$E$31="ja"</formula>
    </cfRule>
  </conditionalFormatting>
  <conditionalFormatting sqref="E38">
    <cfRule type="expression" dxfId="272" priority="198">
      <formula>$E$37="nej"</formula>
    </cfRule>
  </conditionalFormatting>
  <conditionalFormatting sqref="E39">
    <cfRule type="expression" dxfId="271" priority="197">
      <formula>$E$37="ja"</formula>
    </cfRule>
  </conditionalFormatting>
  <conditionalFormatting sqref="V36">
    <cfRule type="expression" dxfId="270" priority="196">
      <formula>$E$31="nej"</formula>
    </cfRule>
  </conditionalFormatting>
  <conditionalFormatting sqref="G34:G35">
    <cfRule type="expression" dxfId="269" priority="192">
      <formula>$E$31="ja"</formula>
    </cfRule>
  </conditionalFormatting>
  <conditionalFormatting sqref="G32:G33">
    <cfRule type="expression" dxfId="268" priority="191">
      <formula>$E$31="nej"</formula>
    </cfRule>
  </conditionalFormatting>
  <conditionalFormatting sqref="I34:I35">
    <cfRule type="expression" dxfId="267" priority="190">
      <formula>$E$31="ja"</formula>
    </cfRule>
  </conditionalFormatting>
  <conditionalFormatting sqref="I32:I33">
    <cfRule type="expression" dxfId="266" priority="189">
      <formula>$E$31="nej"</formula>
    </cfRule>
  </conditionalFormatting>
  <conditionalFormatting sqref="K34:K35">
    <cfRule type="expression" dxfId="265" priority="188">
      <formula>$E$31="ja"</formula>
    </cfRule>
  </conditionalFormatting>
  <conditionalFormatting sqref="K32:K33">
    <cfRule type="expression" dxfId="264" priority="187">
      <formula>$E$31="nej"</formula>
    </cfRule>
  </conditionalFormatting>
  <conditionalFormatting sqref="M34:M35">
    <cfRule type="expression" dxfId="263" priority="186">
      <formula>$E$31="ja"</formula>
    </cfRule>
  </conditionalFormatting>
  <conditionalFormatting sqref="M32:M33">
    <cfRule type="expression" dxfId="262" priority="185">
      <formula>$E$31="nej"</formula>
    </cfRule>
  </conditionalFormatting>
  <conditionalFormatting sqref="O34:O35">
    <cfRule type="expression" dxfId="261" priority="184">
      <formula>$E$31="ja"</formula>
    </cfRule>
  </conditionalFormatting>
  <conditionalFormatting sqref="O32:O33">
    <cfRule type="expression" dxfId="260" priority="183">
      <formula>$E$31="nej"</formula>
    </cfRule>
  </conditionalFormatting>
  <conditionalFormatting sqref="Q34:Q35">
    <cfRule type="expression" dxfId="259" priority="182">
      <formula>$E$31="ja"</formula>
    </cfRule>
  </conditionalFormatting>
  <conditionalFormatting sqref="Q32:Q33">
    <cfRule type="expression" dxfId="258" priority="181">
      <formula>$E$31="nej"</formula>
    </cfRule>
  </conditionalFormatting>
  <conditionalFormatting sqref="S34:S35">
    <cfRule type="expression" dxfId="257" priority="180">
      <formula>$E$31="ja"</formula>
    </cfRule>
  </conditionalFormatting>
  <conditionalFormatting sqref="S32:S33">
    <cfRule type="expression" dxfId="256" priority="179">
      <formula>$E$31="nej"</formula>
    </cfRule>
  </conditionalFormatting>
  <conditionalFormatting sqref="I32:I33">
    <cfRule type="expression" dxfId="255" priority="178">
      <formula>$E$31="nej"</formula>
    </cfRule>
  </conditionalFormatting>
  <conditionalFormatting sqref="I36">
    <cfRule type="expression" dxfId="254" priority="177">
      <formula>$E$31="nej"</formula>
    </cfRule>
  </conditionalFormatting>
  <conditionalFormatting sqref="I36">
    <cfRule type="expression" dxfId="253" priority="176">
      <formula>$E$31="nej"</formula>
    </cfRule>
  </conditionalFormatting>
  <conditionalFormatting sqref="I34:I35">
    <cfRule type="expression" dxfId="252" priority="175">
      <formula>$E$31="ja"</formula>
    </cfRule>
  </conditionalFormatting>
  <conditionalFormatting sqref="I32:I33">
    <cfRule type="expression" dxfId="251" priority="174">
      <formula>$E$31="nej"</formula>
    </cfRule>
  </conditionalFormatting>
  <conditionalFormatting sqref="I34:I35">
    <cfRule type="expression" dxfId="250" priority="173">
      <formula>$E$31="ja"</formula>
    </cfRule>
  </conditionalFormatting>
  <conditionalFormatting sqref="I32:I33">
    <cfRule type="expression" dxfId="249" priority="172">
      <formula>$E$31="nej"</formula>
    </cfRule>
  </conditionalFormatting>
  <conditionalFormatting sqref="K34:K35">
    <cfRule type="expression" dxfId="248" priority="171">
      <formula>$E$31="ja"</formula>
    </cfRule>
  </conditionalFormatting>
  <conditionalFormatting sqref="K32:K33">
    <cfRule type="expression" dxfId="247" priority="170">
      <formula>$E$31="nej"</formula>
    </cfRule>
  </conditionalFormatting>
  <conditionalFormatting sqref="M34:M35">
    <cfRule type="expression" dxfId="246" priority="169">
      <formula>$E$31="ja"</formula>
    </cfRule>
  </conditionalFormatting>
  <conditionalFormatting sqref="M32:M33">
    <cfRule type="expression" dxfId="245" priority="168">
      <formula>$E$31="nej"</formula>
    </cfRule>
  </conditionalFormatting>
  <conditionalFormatting sqref="O34:O35">
    <cfRule type="expression" dxfId="244" priority="167">
      <formula>$E$31="ja"</formula>
    </cfRule>
  </conditionalFormatting>
  <conditionalFormatting sqref="O32:O33">
    <cfRule type="expression" dxfId="243" priority="166">
      <formula>$E$31="nej"</formula>
    </cfRule>
  </conditionalFormatting>
  <conditionalFormatting sqref="Q34:Q35">
    <cfRule type="expression" dxfId="242" priority="165">
      <formula>$E$31="ja"</formula>
    </cfRule>
  </conditionalFormatting>
  <conditionalFormatting sqref="Q32:Q33">
    <cfRule type="expression" dxfId="241" priority="164">
      <formula>$E$31="nej"</formula>
    </cfRule>
  </conditionalFormatting>
  <conditionalFormatting sqref="S34:S35">
    <cfRule type="expression" dxfId="240" priority="163">
      <formula>$E$31="ja"</formula>
    </cfRule>
  </conditionalFormatting>
  <conditionalFormatting sqref="S32:S33">
    <cfRule type="expression" dxfId="239" priority="162">
      <formula>$E$31="nej"</formula>
    </cfRule>
  </conditionalFormatting>
  <conditionalFormatting sqref="U34:U39">
    <cfRule type="expression" dxfId="238" priority="139">
      <formula>$E$29="nej"</formula>
    </cfRule>
  </conditionalFormatting>
  <conditionalFormatting sqref="U34:U35">
    <cfRule type="expression" dxfId="237" priority="138">
      <formula>$E$31="ja"</formula>
    </cfRule>
  </conditionalFormatting>
  <conditionalFormatting sqref="U32">
    <cfRule type="expression" dxfId="236" priority="137">
      <formula>$E$31="nej"</formula>
    </cfRule>
  </conditionalFormatting>
  <conditionalFormatting sqref="U34:U35">
    <cfRule type="expression" dxfId="235" priority="136">
      <formula>$E$31="ja"</formula>
    </cfRule>
  </conditionalFormatting>
  <conditionalFormatting sqref="U32">
    <cfRule type="expression" dxfId="234" priority="135">
      <formula>$E$31="nej"</formula>
    </cfRule>
  </conditionalFormatting>
  <conditionalFormatting sqref="W34:W39">
    <cfRule type="expression" dxfId="233" priority="134">
      <formula>$E$29="nej"</formula>
    </cfRule>
  </conditionalFormatting>
  <conditionalFormatting sqref="W34:W35">
    <cfRule type="expression" dxfId="232" priority="133">
      <formula>$E$31="ja"</formula>
    </cfRule>
  </conditionalFormatting>
  <conditionalFormatting sqref="W32">
    <cfRule type="expression" dxfId="231" priority="132">
      <formula>$E$31="nej"</formula>
    </cfRule>
  </conditionalFormatting>
  <conditionalFormatting sqref="W34:W35">
    <cfRule type="expression" dxfId="230" priority="131">
      <formula>$E$31="ja"</formula>
    </cfRule>
  </conditionalFormatting>
  <conditionalFormatting sqref="W32">
    <cfRule type="expression" dxfId="229" priority="130">
      <formula>$E$31="nej"</formula>
    </cfRule>
  </conditionalFormatting>
  <conditionalFormatting sqref="E57:E58">
    <cfRule type="expression" dxfId="228" priority="114">
      <formula>$E$56="nej"</formula>
    </cfRule>
  </conditionalFormatting>
  <conditionalFormatting sqref="E59:E60">
    <cfRule type="expression" dxfId="227" priority="113">
      <formula>$E$56="ja"</formula>
    </cfRule>
  </conditionalFormatting>
  <conditionalFormatting sqref="E63:E64">
    <cfRule type="expression" dxfId="226" priority="112">
      <formula>$E$62="nej"</formula>
    </cfRule>
  </conditionalFormatting>
  <conditionalFormatting sqref="E65:E66">
    <cfRule type="expression" dxfId="225" priority="111">
      <formula>$E$62="ja"</formula>
    </cfRule>
  </conditionalFormatting>
  <conditionalFormatting sqref="M57:M58">
    <cfRule type="expression" dxfId="224" priority="46">
      <formula>$E$56="nej"</formula>
    </cfRule>
  </conditionalFormatting>
  <conditionalFormatting sqref="M59:M60">
    <cfRule type="expression" dxfId="223" priority="45">
      <formula>$E$56="ja"</formula>
    </cfRule>
  </conditionalFormatting>
  <conditionalFormatting sqref="M63:M64">
    <cfRule type="expression" dxfId="222" priority="44">
      <formula>$E$62="nej"</formula>
    </cfRule>
  </conditionalFormatting>
  <conditionalFormatting sqref="M65:M66">
    <cfRule type="expression" dxfId="221" priority="43">
      <formula>$E$62="ja"</formula>
    </cfRule>
  </conditionalFormatting>
  <conditionalFormatting sqref="O57:O58">
    <cfRule type="expression" dxfId="220" priority="40">
      <formula>$E$56="nej"</formula>
    </cfRule>
  </conditionalFormatting>
  <conditionalFormatting sqref="O59:O60">
    <cfRule type="expression" dxfId="219" priority="39">
      <formula>$E$56="ja"</formula>
    </cfRule>
  </conditionalFormatting>
  <conditionalFormatting sqref="O63:O64">
    <cfRule type="expression" dxfId="218" priority="38">
      <formula>$E$62="nej"</formula>
    </cfRule>
  </conditionalFormatting>
  <conditionalFormatting sqref="O65:O66">
    <cfRule type="expression" dxfId="217" priority="37">
      <formula>$E$62="ja"</formula>
    </cfRule>
  </conditionalFormatting>
  <conditionalFormatting sqref="K57:K58">
    <cfRule type="expression" dxfId="216" priority="52">
      <formula>$E$56="nej"</formula>
    </cfRule>
  </conditionalFormatting>
  <conditionalFormatting sqref="K59:K60">
    <cfRule type="expression" dxfId="215" priority="51">
      <formula>$E$56="ja"</formula>
    </cfRule>
  </conditionalFormatting>
  <conditionalFormatting sqref="K63:K64">
    <cfRule type="expression" dxfId="214" priority="50">
      <formula>$E$62="nej"</formula>
    </cfRule>
  </conditionalFormatting>
  <conditionalFormatting sqref="K65:K66">
    <cfRule type="expression" dxfId="213" priority="49">
      <formula>$E$62="ja"</formula>
    </cfRule>
  </conditionalFormatting>
  <conditionalFormatting sqref="E56:E60">
    <cfRule type="expression" dxfId="212" priority="66">
      <formula>E$54="Diesel"</formula>
    </cfRule>
  </conditionalFormatting>
  <conditionalFormatting sqref="E62:E66">
    <cfRule type="expression" dxfId="211" priority="65">
      <formula>E$54="benzin"</formula>
    </cfRule>
  </conditionalFormatting>
  <conditionalFormatting sqref="G57:G58">
    <cfRule type="expression" dxfId="210" priority="64">
      <formula>$E$56="nej"</formula>
    </cfRule>
  </conditionalFormatting>
  <conditionalFormatting sqref="G59:G60">
    <cfRule type="expression" dxfId="209" priority="63">
      <formula>$E$56="ja"</formula>
    </cfRule>
  </conditionalFormatting>
  <conditionalFormatting sqref="G63:G64">
    <cfRule type="expression" dxfId="208" priority="62">
      <formula>$E$62="nej"</formula>
    </cfRule>
  </conditionalFormatting>
  <conditionalFormatting sqref="G65:G66">
    <cfRule type="expression" dxfId="207" priority="61">
      <formula>$E$62="ja"</formula>
    </cfRule>
  </conditionalFormatting>
  <conditionalFormatting sqref="G56:G60">
    <cfRule type="expression" dxfId="206" priority="60">
      <formula>G$54="Diesel"</formula>
    </cfRule>
  </conditionalFormatting>
  <conditionalFormatting sqref="G62:G66">
    <cfRule type="expression" dxfId="205" priority="59">
      <formula>G$54="benzin"</formula>
    </cfRule>
  </conditionalFormatting>
  <conditionalFormatting sqref="I57:I58">
    <cfRule type="expression" dxfId="204" priority="58">
      <formula>$E$56="nej"</formula>
    </cfRule>
  </conditionalFormatting>
  <conditionalFormatting sqref="I59:I60">
    <cfRule type="expression" dxfId="203" priority="57">
      <formula>$E$56="ja"</formula>
    </cfRule>
  </conditionalFormatting>
  <conditionalFormatting sqref="I63:I64">
    <cfRule type="expression" dxfId="202" priority="56">
      <formula>$E$62="nej"</formula>
    </cfRule>
  </conditionalFormatting>
  <conditionalFormatting sqref="I65:I66">
    <cfRule type="expression" dxfId="201" priority="55">
      <formula>$E$62="ja"</formula>
    </cfRule>
  </conditionalFormatting>
  <conditionalFormatting sqref="I56:I60">
    <cfRule type="expression" dxfId="200" priority="54">
      <formula>I$54="Diesel"</formula>
    </cfRule>
  </conditionalFormatting>
  <conditionalFormatting sqref="I62:I66">
    <cfRule type="expression" dxfId="199" priority="53">
      <formula>I$54="benzin"</formula>
    </cfRule>
  </conditionalFormatting>
  <conditionalFormatting sqref="K56:K60">
    <cfRule type="expression" dxfId="198" priority="48">
      <formula>K$54="Diesel"</formula>
    </cfRule>
  </conditionalFormatting>
  <conditionalFormatting sqref="K62:K66">
    <cfRule type="expression" dxfId="197" priority="47">
      <formula>K$54="benzin"</formula>
    </cfRule>
  </conditionalFormatting>
  <conditionalFormatting sqref="M56:M60">
    <cfRule type="expression" dxfId="196" priority="42">
      <formula>M$54="Diesel"</formula>
    </cfRule>
  </conditionalFormatting>
  <conditionalFormatting sqref="M62:M66">
    <cfRule type="expression" dxfId="195" priority="41">
      <formula>M$54="benzin"</formula>
    </cfRule>
  </conditionalFormatting>
  <conditionalFormatting sqref="O56:O60">
    <cfRule type="expression" dxfId="194" priority="36">
      <formula>O$54="Diesel"</formula>
    </cfRule>
  </conditionalFormatting>
  <conditionalFormatting sqref="O62:O66">
    <cfRule type="expression" dxfId="193" priority="35">
      <formula>O$54="benzin"</formula>
    </cfRule>
  </conditionalFormatting>
  <conditionalFormatting sqref="Q57:Q58">
    <cfRule type="expression" dxfId="192" priority="34">
      <formula>$E$56="nej"</formula>
    </cfRule>
  </conditionalFormatting>
  <conditionalFormatting sqref="Q59:Q60">
    <cfRule type="expression" dxfId="191" priority="33">
      <formula>$E$56="ja"</formula>
    </cfRule>
  </conditionalFormatting>
  <conditionalFormatting sqref="Q63:Q64">
    <cfRule type="expression" dxfId="190" priority="32">
      <formula>$E$62="nej"</formula>
    </cfRule>
  </conditionalFormatting>
  <conditionalFormatting sqref="Q65:Q66">
    <cfRule type="expression" dxfId="189" priority="31">
      <formula>$E$62="ja"</formula>
    </cfRule>
  </conditionalFormatting>
  <conditionalFormatting sqref="Q56:Q60">
    <cfRule type="expression" dxfId="188" priority="30">
      <formula>Q$54="Diesel"</formula>
    </cfRule>
  </conditionalFormatting>
  <conditionalFormatting sqref="Q62:Q66">
    <cfRule type="expression" dxfId="187" priority="29">
      <formula>Q$54="benzin"</formula>
    </cfRule>
  </conditionalFormatting>
  <conditionalFormatting sqref="S57:S58">
    <cfRule type="expression" dxfId="186" priority="28">
      <formula>$E$56="nej"</formula>
    </cfRule>
  </conditionalFormatting>
  <conditionalFormatting sqref="S59:S60">
    <cfRule type="expression" dxfId="185" priority="27">
      <formula>$E$56="ja"</formula>
    </cfRule>
  </conditionalFormatting>
  <conditionalFormatting sqref="S63:S64">
    <cfRule type="expression" dxfId="184" priority="26">
      <formula>$E$62="nej"</formula>
    </cfRule>
  </conditionalFormatting>
  <conditionalFormatting sqref="S65:S66">
    <cfRule type="expression" dxfId="183" priority="25">
      <formula>$E$62="ja"</formula>
    </cfRule>
  </conditionalFormatting>
  <conditionalFormatting sqref="S56:S60">
    <cfRule type="expression" dxfId="182" priority="24">
      <formula>S$54="Diesel"</formula>
    </cfRule>
  </conditionalFormatting>
  <conditionalFormatting sqref="S62:S66">
    <cfRule type="expression" dxfId="181" priority="23">
      <formula>S$54="benzin"</formula>
    </cfRule>
  </conditionalFormatting>
  <conditionalFormatting sqref="U57:U58">
    <cfRule type="expression" dxfId="180" priority="22">
      <formula>$E$56="nej"</formula>
    </cfRule>
  </conditionalFormatting>
  <conditionalFormatting sqref="U59:U60">
    <cfRule type="expression" dxfId="179" priority="21">
      <formula>$E$56="ja"</formula>
    </cfRule>
  </conditionalFormatting>
  <conditionalFormatting sqref="U63:U64">
    <cfRule type="expression" dxfId="178" priority="20">
      <formula>$E$62="nej"</formula>
    </cfRule>
  </conditionalFormatting>
  <conditionalFormatting sqref="U65:U66">
    <cfRule type="expression" dxfId="177" priority="19">
      <formula>$E$62="ja"</formula>
    </cfRule>
  </conditionalFormatting>
  <conditionalFormatting sqref="U56:U60">
    <cfRule type="expression" dxfId="176" priority="18">
      <formula>U$54="Diesel"</formula>
    </cfRule>
  </conditionalFormatting>
  <conditionalFormatting sqref="U62:U66">
    <cfRule type="expression" dxfId="175" priority="17">
      <formula>U$54="benzin"</formula>
    </cfRule>
  </conditionalFormatting>
  <conditionalFormatting sqref="W57:W58">
    <cfRule type="expression" dxfId="174" priority="16">
      <formula>$E$56="nej"</formula>
    </cfRule>
  </conditionalFormatting>
  <conditionalFormatting sqref="W59:W60">
    <cfRule type="expression" dxfId="173" priority="15">
      <formula>$E$56="ja"</formula>
    </cfRule>
  </conditionalFormatting>
  <conditionalFormatting sqref="W63:W64">
    <cfRule type="expression" dxfId="172" priority="14">
      <formula>$E$62="nej"</formula>
    </cfRule>
  </conditionalFormatting>
  <conditionalFormatting sqref="W65:W66">
    <cfRule type="expression" dxfId="171" priority="13">
      <formula>$E$62="ja"</formula>
    </cfRule>
  </conditionalFormatting>
  <conditionalFormatting sqref="W56:W60">
    <cfRule type="expression" dxfId="170" priority="12">
      <formula>W$54="Diesel"</formula>
    </cfRule>
  </conditionalFormatting>
  <conditionalFormatting sqref="W62:W66">
    <cfRule type="expression" dxfId="169" priority="11">
      <formula>W$54="benzin"</formula>
    </cfRule>
  </conditionalFormatting>
  <conditionalFormatting sqref="I33">
    <cfRule type="expression" dxfId="168" priority="10">
      <formula>$E$31="nej"</formula>
    </cfRule>
  </conditionalFormatting>
  <conditionalFormatting sqref="K33">
    <cfRule type="expression" dxfId="167" priority="9">
      <formula>$E$31="nej"</formula>
    </cfRule>
  </conditionalFormatting>
  <conditionalFormatting sqref="M33">
    <cfRule type="expression" dxfId="166" priority="8">
      <formula>$E$31="nej"</formula>
    </cfRule>
  </conditionalFormatting>
  <conditionalFormatting sqref="O33">
    <cfRule type="expression" dxfId="165" priority="7">
      <formula>$E$31="nej"</formula>
    </cfRule>
  </conditionalFormatting>
  <conditionalFormatting sqref="Q33">
    <cfRule type="expression" dxfId="164" priority="6">
      <formula>$E$31="nej"</formula>
    </cfRule>
  </conditionalFormatting>
  <conditionalFormatting sqref="S33">
    <cfRule type="expression" dxfId="163" priority="5">
      <formula>$E$31="nej"</formula>
    </cfRule>
  </conditionalFormatting>
  <conditionalFormatting sqref="U33">
    <cfRule type="expression" dxfId="162" priority="4">
      <formula>$E$29="nej"</formula>
    </cfRule>
  </conditionalFormatting>
  <conditionalFormatting sqref="U33">
    <cfRule type="expression" dxfId="161" priority="3">
      <formula>$E$31="nej"</formula>
    </cfRule>
  </conditionalFormatting>
  <conditionalFormatting sqref="W33">
    <cfRule type="expression" dxfId="160" priority="2">
      <formula>$E$29="nej"</formula>
    </cfRule>
  </conditionalFormatting>
  <conditionalFormatting sqref="W33">
    <cfRule type="expression" dxfId="159" priority="1">
      <formula>$E$31="nej"</formula>
    </cfRule>
  </conditionalFormatting>
  <dataValidations count="6">
    <dataValidation type="decimal" operator="greaterThanOrEqual" allowBlank="1" showInputMessage="1" showErrorMessage="1" error="Indtast et positivt tal" sqref="E44:E45 G44:G45 K44:K45 I44:I45 O44:O45 M44:M45 Q44:Q45 S12:S14 W44:W45 S44:S45 U44:U45 W12:W14 U12:U14 E12:E14 G12:G14 I12:I14 K12:K14 M12:M14 O12:O14 Q12:Q14 Q16:Q22 O16:O22 M16:M22 K16:K22 I16:I22 G16:G22 E16:E22 W16:W22 S16:S22 U16:U22" xr:uid="{00000000-0002-0000-0100-000000000000}">
      <formula1>0</formula1>
    </dataValidation>
    <dataValidation type="decimal" allowBlank="1" showInputMessage="1" showErrorMessage="1" error="Indtast et tal mellem 0 og 10" sqref="E60 E52 U60 G60 I60 K60 M60 O60 Q60 S60 W60" xr:uid="{00000000-0002-0000-0100-000002000000}">
      <formula1>0</formula1>
      <formula2>10</formula2>
    </dataValidation>
    <dataValidation type="decimal" allowBlank="1" showInputMessage="1" showErrorMessage="1" error="Indtast et tal mellem 0 og 25" sqref="E51" xr:uid="{00000000-0002-0000-0100-000003000000}">
      <formula1>0</formula1>
      <formula2>25</formula2>
    </dataValidation>
    <dataValidation allowBlank="1" showInputMessage="1" showErrorMessage="1" errorTitle="Elpris" error="Indtast et tal mellem 0 og 10" sqref="O57:O59 E57:E59 U57:U59 G57:G59 I57:I59 K57:K59 S57:S59 M57:M59 Q57:Q59 W57:W59" xr:uid="{C2B0E536-56C8-4BA5-805D-FD232E1AF94D}"/>
    <dataValidation operator="greaterThanOrEqual" allowBlank="1" showInputMessage="1" showErrorMessage="1" error="Indtast et positivt tal" sqref="E24:W24" xr:uid="{AC99C328-6D8A-4722-8990-1FF442927BB5}"/>
    <dataValidation type="custom" allowBlank="1" showInputMessage="1" showErrorMessage="1" error="Sum af tid i alle tre tilstande må ikke overstige 100%" sqref="G68 U68 S68 W68 Q68 E68 I68 K68 M68 O68" xr:uid="{33DA8E60-294D-4A2D-B5FD-49A7D1226F69}">
      <formula1>SUM(E$76:E$82)&lt;=100</formula1>
    </dataValidation>
  </dataValidations>
  <pageMargins left="0.25" right="0.25" top="0.75" bottom="0.75" header="0.3" footer="0.3"/>
  <pageSetup paperSize="8" scale="95" orientation="portrait" verticalDpi="300" r:id="rId1"/>
  <ignoredErrors>
    <ignoredError sqref="F80 H44 F83 H83 J83 L83 N83 P83 R83 H80 J80 L80 N80 P80 R80 J44 L44 N44 P44 R44" unlockedFormula="1"/>
  </ignoredErrors>
  <drawing r:id="rId2"/>
  <extLst>
    <ext xmlns:x14="http://schemas.microsoft.com/office/spreadsheetml/2009/9/main" uri="{CCE6A557-97BC-4b89-ADB6-D9C93CAAB3DF}">
      <x14:dataValidations xmlns:xm="http://schemas.microsoft.com/office/excel/2006/main" count="3">
        <x14:dataValidation type="list" operator="greaterThanOrEqual" allowBlank="1" showInputMessage="1" showErrorMessage="1" error="Indtast et positivt tal" xr:uid="{2920E6CC-4F5E-41F5-BA4B-579E7DA2D266}">
          <x14:formula1>
            <xm:f>Fremskrivninger!$P$2:$P$3</xm:f>
          </x14:formula1>
          <xm:sqref>U29 S29 S31 S37 U37 Q29 O29 M29 K29 I29 G29 E29 E37 G37 Q37 I37 K37 M37 O37 E31 E56 G31 Q31 I31 K31 M31 O31 W29 W31 W37 U31 E62 U56 U62 G56 G62 I56 I62 K56 K62 M56 M62 O56 O62 Q56 Q62 S56 S62 W56 W62</xm:sqref>
        </x14:dataValidation>
        <x14:dataValidation type="list" allowBlank="1" showInputMessage="1" showErrorMessage="1" errorTitle="Tidsperiode" error="Indtast et tal mellem 0 og 40" xr:uid="{F31262C5-57E1-4A3F-8D94-0A3191C1E425}">
          <x14:formula1>
            <xm:f>Fremskrivninger!$A$9:$A$38</xm:f>
          </x14:formula1>
          <xm:sqref>E50 G50 I50 K50 M50 O50 Q50 W50 S50 U50</xm:sqref>
        </x14:dataValidation>
        <x14:dataValidation type="list" operator="greaterThanOrEqual" allowBlank="1" showInputMessage="1" showErrorMessage="1" error="Indtast et positivt tal" xr:uid="{2A0A14E2-C5D6-4515-AE69-2AF5D5A1ACE7}">
          <x14:formula1>
            <xm:f>'IB - B&amp;D&amp;H'!$AA$1:$AA$3</xm:f>
          </x14:formula1>
          <xm:sqref>E54 W54 U54 I54 K54 M54 O54 Q54 S54 G54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sheetPr>
  <dimension ref="A1:AA206"/>
  <sheetViews>
    <sheetView zoomScale="70" zoomScaleNormal="70" workbookViewId="0">
      <selection activeCell="K29" sqref="K29"/>
    </sheetView>
  </sheetViews>
  <sheetFormatPr defaultColWidth="9.15234375" defaultRowHeight="14.6" outlineLevelRow="1"/>
  <cols>
    <col min="1" max="1" width="9.15234375" style="2"/>
    <col min="2" max="2" width="14.15234375" style="2" customWidth="1"/>
    <col min="3" max="3" width="17.3828125" style="2" customWidth="1"/>
    <col min="4" max="4" width="20" style="2" customWidth="1"/>
    <col min="5" max="5" width="22.69140625" style="2" customWidth="1"/>
    <col min="6" max="6" width="9.15234375" style="2"/>
    <col min="7" max="7" width="9.3828125" style="2" bestFit="1" customWidth="1"/>
    <col min="8" max="8" width="9.15234375" style="2"/>
    <col min="9" max="9" width="9.3828125" style="2" bestFit="1" customWidth="1"/>
    <col min="10" max="10" width="9.15234375" style="2"/>
    <col min="11" max="11" width="11.69140625" style="2" customWidth="1"/>
    <col min="12" max="12" width="9.15234375" style="2"/>
    <col min="13" max="13" width="9.3828125" style="2" bestFit="1" customWidth="1"/>
    <col min="14" max="14" width="9.15234375" style="2"/>
    <col min="15" max="15" width="9.3828125" style="2" bestFit="1" customWidth="1"/>
    <col min="16" max="16" width="9.15234375" style="2"/>
    <col min="17" max="17" width="9.3828125" style="2" bestFit="1" customWidth="1"/>
    <col min="18" max="18" width="9.15234375" style="2"/>
    <col min="19" max="19" width="9.3828125" style="2" bestFit="1" customWidth="1"/>
    <col min="20" max="24" width="9.15234375" style="2"/>
    <col min="25" max="25" width="13" style="2" customWidth="1"/>
    <col min="26" max="26" width="20.15234375" style="2" customWidth="1"/>
    <col min="27" max="16384" width="9.15234375" style="2"/>
  </cols>
  <sheetData>
    <row r="1" spans="1:27">
      <c r="AA1" s="449" t="s">
        <v>125</v>
      </c>
    </row>
    <row r="2" spans="1:27">
      <c r="A2" s="147" t="s">
        <v>28</v>
      </c>
      <c r="E2" s="503" t="str">
        <f>E25</f>
        <v>PRODUKT 1</v>
      </c>
      <c r="F2" s="503"/>
      <c r="G2" s="503" t="str">
        <f t="shared" ref="G2:W2" si="0">G25</f>
        <v>PRODUKT 2</v>
      </c>
      <c r="H2" s="503"/>
      <c r="I2" s="503" t="str">
        <f t="shared" si="0"/>
        <v>PRODUKT 3</v>
      </c>
      <c r="J2" s="503"/>
      <c r="K2" s="503" t="str">
        <f t="shared" si="0"/>
        <v>PRODUKT 4</v>
      </c>
      <c r="L2" s="503"/>
      <c r="M2" s="503" t="str">
        <f t="shared" si="0"/>
        <v>PRODUKT 5</v>
      </c>
      <c r="N2" s="503"/>
      <c r="O2" s="503" t="str">
        <f t="shared" si="0"/>
        <v>PRODUKT 6</v>
      </c>
      <c r="P2" s="503"/>
      <c r="Q2" s="503" t="str">
        <f t="shared" si="0"/>
        <v>PRODUKT 7</v>
      </c>
      <c r="R2" s="503"/>
      <c r="S2" s="503" t="str">
        <f t="shared" si="0"/>
        <v>PRODUKT 8</v>
      </c>
      <c r="T2" s="503"/>
      <c r="U2" s="503" t="str">
        <f t="shared" si="0"/>
        <v>PRODUKT 9</v>
      </c>
      <c r="V2" s="503"/>
      <c r="W2" s="503" t="str">
        <f t="shared" si="0"/>
        <v>PRODUKT 10</v>
      </c>
      <c r="AA2" s="450" t="s">
        <v>109</v>
      </c>
    </row>
    <row r="3" spans="1:27">
      <c r="A3" s="295" t="s">
        <v>20</v>
      </c>
      <c r="B3" s="296"/>
      <c r="C3" s="297" t="s">
        <v>190</v>
      </c>
      <c r="D3" s="297" t="s">
        <v>191</v>
      </c>
      <c r="E3" s="150"/>
      <c r="F3" s="150"/>
      <c r="G3" s="150"/>
      <c r="H3" s="150"/>
      <c r="I3" s="150"/>
      <c r="J3" s="150"/>
      <c r="K3" s="150"/>
      <c r="L3" s="150"/>
      <c r="M3" s="150"/>
      <c r="N3" s="150"/>
      <c r="O3" s="150"/>
      <c r="P3" s="150"/>
      <c r="Q3" s="150"/>
      <c r="R3" s="150"/>
      <c r="S3" s="150"/>
      <c r="U3" s="150"/>
      <c r="W3" s="150"/>
      <c r="AA3" s="450" t="s">
        <v>110</v>
      </c>
    </row>
    <row r="4" spans="1:27">
      <c r="A4" s="298">
        <v>1</v>
      </c>
      <c r="B4" s="274"/>
      <c r="C4" s="299">
        <f>IF('Benzin - diesel - hybrid'!$E$56="ja",'Benzin - diesel - hybrid'!$E$57,'Benzin - diesel - hybrid'!$E$59)</f>
        <v>8.7367999999999988</v>
      </c>
      <c r="D4" s="299">
        <f>IF('Benzin - diesel - hybrid'!$E$62="ja",'Benzin - diesel - hybrid'!$E$63,'Benzin - diesel - hybrid'!$E$65)</f>
        <v>7.6283999999999992</v>
      </c>
      <c r="E4" s="303">
        <f>IFERROR('Benzin - diesel - hybrid'!E$44*('Benzin - diesel - hybrid'!E$45/'Benzin - diesel - hybrid'!E$16)*IF('Benzin - diesel - hybrid'!E$54="Benzin",'IB - B&amp;D&amp;H'!$C4,IF('Benzin - diesel - hybrid'!E$54="Diesel",'IB - B&amp;D&amp;H'!$D4,0))*(1+'Benzin - diesel - hybrid'!E$52)^-$A4,0)</f>
        <v>0</v>
      </c>
      <c r="F4" s="303"/>
      <c r="G4" s="303">
        <f>IFERROR('Benzin - diesel - hybrid'!G$44*('Benzin - diesel - hybrid'!G$45/'Benzin - diesel - hybrid'!G$16)*IF('Benzin - diesel - hybrid'!G$54="Benzin",'IB - B&amp;D&amp;H'!$C4,IF('Benzin - diesel - hybrid'!G$54="Diesel",'IB - B&amp;D&amp;H'!$D4,0))*(1+'Benzin - diesel - hybrid'!G$52)^-$A4,0)</f>
        <v>0</v>
      </c>
      <c r="H4" s="303"/>
      <c r="I4" s="303">
        <f>IFERROR('Benzin - diesel - hybrid'!I$44*('Benzin - diesel - hybrid'!I$45/'Benzin - diesel - hybrid'!I$16)*IF('Benzin - diesel - hybrid'!I$54="Benzin",'IB - B&amp;D&amp;H'!$C4,IF('Benzin - diesel - hybrid'!I$54="Diesel",'IB - B&amp;D&amp;H'!$D4,0))*(1+'Benzin - diesel - hybrid'!I$52)^-$A4,0)</f>
        <v>0</v>
      </c>
      <c r="J4" s="303"/>
      <c r="K4" s="303">
        <f>IFERROR('Benzin - diesel - hybrid'!K$44*('Benzin - diesel - hybrid'!K$45/'Benzin - diesel - hybrid'!K$16)*IF('Benzin - diesel - hybrid'!K$54="Benzin",'IB - B&amp;D&amp;H'!$C4,IF('Benzin - diesel - hybrid'!K$54="Diesel",'IB - B&amp;D&amp;H'!$D4,0))*(1+'Benzin - diesel - hybrid'!K$52)^-$A4,0)</f>
        <v>0</v>
      </c>
      <c r="L4" s="303"/>
      <c r="M4" s="303">
        <f>IFERROR('Benzin - diesel - hybrid'!M$44*('Benzin - diesel - hybrid'!M$45/'Benzin - diesel - hybrid'!M$16)*IF('Benzin - diesel - hybrid'!M$54="Benzin",'IB - B&amp;D&amp;H'!$C4,IF('Benzin - diesel - hybrid'!M$54="Diesel",'IB - B&amp;D&amp;H'!$D4,0))*(1+'Benzin - diesel - hybrid'!M$52)^-$A4,0)</f>
        <v>0</v>
      </c>
      <c r="N4" s="303"/>
      <c r="O4" s="303">
        <f>IFERROR('Benzin - diesel - hybrid'!O$44*('Benzin - diesel - hybrid'!O$45/'Benzin - diesel - hybrid'!O$16)*IF('Benzin - diesel - hybrid'!O$54="Benzin",'IB - B&amp;D&amp;H'!$C4,IF('Benzin - diesel - hybrid'!O$54="Diesel",'IB - B&amp;D&amp;H'!$D4,0))*(1+'Benzin - diesel - hybrid'!O$52)^-$A4,0)</f>
        <v>0</v>
      </c>
      <c r="P4" s="303"/>
      <c r="Q4" s="303">
        <f>IFERROR('Benzin - diesel - hybrid'!Q$44*('Benzin - diesel - hybrid'!Q$45/'Benzin - diesel - hybrid'!Q$16)*IF('Benzin - diesel - hybrid'!Q$54="Benzin",'IB - B&amp;D&amp;H'!$C4,IF('Benzin - diesel - hybrid'!Q$54="Diesel",'IB - B&amp;D&amp;H'!$D4,0))*(1+'Benzin - diesel - hybrid'!Q$52)^-$A4,0)</f>
        <v>0</v>
      </c>
      <c r="R4" s="303"/>
      <c r="S4" s="303">
        <f>IFERROR('Benzin - diesel - hybrid'!S$44*('Benzin - diesel - hybrid'!S$45/'Benzin - diesel - hybrid'!S$16)*IF('Benzin - diesel - hybrid'!S$54="Benzin",'IB - B&amp;D&amp;H'!$C4,IF('Benzin - diesel - hybrid'!S$54="Diesel",'IB - B&amp;D&amp;H'!$D4,0))*(1+'Benzin - diesel - hybrid'!S$52)^-$A4,0)</f>
        <v>0</v>
      </c>
      <c r="U4" s="303">
        <f>IFERROR('Benzin - diesel - hybrid'!U$44*('Benzin - diesel - hybrid'!U$45/'Benzin - diesel - hybrid'!U$16)*IF('Benzin - diesel - hybrid'!U$54="Benzin",'IB - B&amp;D&amp;H'!$C4,IF('Benzin - diesel - hybrid'!U$54="Diesel",'IB - B&amp;D&amp;H'!$D4,0))*(1+'Benzin - diesel - hybrid'!U$52)^-$A4,0)</f>
        <v>0</v>
      </c>
      <c r="W4" s="303">
        <f>IFERROR('Benzin - diesel - hybrid'!W$44*('Benzin - diesel - hybrid'!W$45/'Benzin - diesel - hybrid'!W$16)*IF('Benzin - diesel - hybrid'!W$54="Benzin",'IB - B&amp;D&amp;H'!$C4,IF('Benzin - diesel - hybrid'!W$54="Diesel",'IB - B&amp;D&amp;H'!$D4,0))*(1+'Benzin - diesel - hybrid'!W$52)^-$A4,0)</f>
        <v>0</v>
      </c>
    </row>
    <row r="5" spans="1:27">
      <c r="A5" s="298">
        <f t="shared" ref="A5:A23" si="1">A4+1</f>
        <v>2</v>
      </c>
      <c r="B5" s="274"/>
      <c r="C5" s="299">
        <f>((C4-Fremskrivninger!E48)*(1+IF('Benzin - diesel - hybrid'!$E$56="ja",'Benzin - diesel - hybrid'!$E$58,'Benzin - diesel - hybrid'!$E$60))+Fremskrivninger!E48)</f>
        <v>8.7934675200000001</v>
      </c>
      <c r="D5" s="299">
        <f>((D4-Fremskrivninger!E92)*(1+IF('Benzin - diesel - hybrid'!$E$62="ja",'Benzin - diesel - hybrid'!$E$64,'Benzin - diesel - hybrid'!$E$66))+Fremskrivninger!E92)</f>
        <v>7.6920317999999988</v>
      </c>
      <c r="E5" s="303">
        <f>IFERROR('Benzin - diesel - hybrid'!E$44*('Benzin - diesel - hybrid'!E$45/'Benzin - diesel - hybrid'!E$16)*IF('Benzin - diesel - hybrid'!E$54="Benzin",'IB - B&amp;D&amp;H'!$C5,IF('Benzin - diesel - hybrid'!E$54="Diesel",'IB - B&amp;D&amp;H'!$D5,0))*(1+'Benzin - diesel - hybrid'!E$52)^-$A5,0)</f>
        <v>0</v>
      </c>
      <c r="F5" s="303"/>
      <c r="G5" s="303">
        <f>IFERROR('Benzin - diesel - hybrid'!G$44*('Benzin - diesel - hybrid'!G$45/'Benzin - diesel - hybrid'!G$16)*IF('Benzin - diesel - hybrid'!G$54="Benzin",'IB - B&amp;D&amp;H'!$C5,IF('Benzin - diesel - hybrid'!G$54="Diesel",'IB - B&amp;D&amp;H'!$D5,0))*(1+'Benzin - diesel - hybrid'!G$52)^-$A5,0)</f>
        <v>0</v>
      </c>
      <c r="H5" s="303"/>
      <c r="I5" s="303">
        <f>IFERROR('Benzin - diesel - hybrid'!I$44*('Benzin - diesel - hybrid'!I$45/'Benzin - diesel - hybrid'!I$16)*IF('Benzin - diesel - hybrid'!I$54="Benzin",'IB - B&amp;D&amp;H'!$C5,IF('Benzin - diesel - hybrid'!I$54="Diesel",'IB - B&amp;D&amp;H'!$D5,0))*(1+'Benzin - diesel - hybrid'!I$52)^-$A5,0)</f>
        <v>0</v>
      </c>
      <c r="J5" s="303"/>
      <c r="K5" s="303">
        <f>IFERROR('Benzin - diesel - hybrid'!K$44*('Benzin - diesel - hybrid'!K$45/'Benzin - diesel - hybrid'!K$16)*IF('Benzin - diesel - hybrid'!K$54="Benzin",'IB - B&amp;D&amp;H'!$C5,IF('Benzin - diesel - hybrid'!K$54="Diesel",'IB - B&amp;D&amp;H'!$D5,0))*(1+'Benzin - diesel - hybrid'!K$52)^-$A5,0)</f>
        <v>0</v>
      </c>
      <c r="L5" s="303"/>
      <c r="M5" s="303">
        <f>IFERROR('Benzin - diesel - hybrid'!M$44*('Benzin - diesel - hybrid'!M$45/'Benzin - diesel - hybrid'!M$16)*IF('Benzin - diesel - hybrid'!M$54="Benzin",'IB - B&amp;D&amp;H'!$C5,IF('Benzin - diesel - hybrid'!M$54="Diesel",'IB - B&amp;D&amp;H'!$D5,0))*(1+'Benzin - diesel - hybrid'!M$52)^-$A5,0)</f>
        <v>0</v>
      </c>
      <c r="N5" s="303"/>
      <c r="O5" s="303">
        <f>IFERROR('Benzin - diesel - hybrid'!O$44*('Benzin - diesel - hybrid'!O$45/'Benzin - diesel - hybrid'!O$16)*IF('Benzin - diesel - hybrid'!O$54="Benzin",'IB - B&amp;D&amp;H'!$C5,IF('Benzin - diesel - hybrid'!O$54="Diesel",'IB - B&amp;D&amp;H'!$D5,0))*(1+'Benzin - diesel - hybrid'!O$52)^-$A5,0)</f>
        <v>0</v>
      </c>
      <c r="P5" s="303"/>
      <c r="Q5" s="303">
        <f>IFERROR('Benzin - diesel - hybrid'!Q$44*('Benzin - diesel - hybrid'!Q$45/'Benzin - diesel - hybrid'!Q$16)*IF('Benzin - diesel - hybrid'!Q$54="Benzin",'IB - B&amp;D&amp;H'!$C5,IF('Benzin - diesel - hybrid'!Q$54="Diesel",'IB - B&amp;D&amp;H'!$D5,0))*(1+'Benzin - diesel - hybrid'!Q$52)^-$A5,0)</f>
        <v>0</v>
      </c>
      <c r="R5" s="303"/>
      <c r="S5" s="303">
        <f>IFERROR('Benzin - diesel - hybrid'!S$44*('Benzin - diesel - hybrid'!S$45/'Benzin - diesel - hybrid'!S$16)*IF('Benzin - diesel - hybrid'!S$54="Benzin",'IB - B&amp;D&amp;H'!$C5,IF('Benzin - diesel - hybrid'!S$54="Diesel",'IB - B&amp;D&amp;H'!$D5,0))*(1+'Benzin - diesel - hybrid'!S$52)^-$A5,0)</f>
        <v>0</v>
      </c>
      <c r="U5" s="303">
        <f>IFERROR('Benzin - diesel - hybrid'!U$44*('Benzin - diesel - hybrid'!U$45/'Benzin - diesel - hybrid'!U$16)*IF('Benzin - diesel - hybrid'!U$54="Benzin",'IB - B&amp;D&amp;H'!$C5,IF('Benzin - diesel - hybrid'!U$54="Diesel",'IB - B&amp;D&amp;H'!$D5,0))*(1+'Benzin - diesel - hybrid'!U$52)^-$A5,0)</f>
        <v>0</v>
      </c>
      <c r="W5" s="303">
        <f>IFERROR('Benzin - diesel - hybrid'!W$44*('Benzin - diesel - hybrid'!W$45/'Benzin - diesel - hybrid'!W$16)*IF('Benzin - diesel - hybrid'!W$54="Benzin",'IB - B&amp;D&amp;H'!$C5,IF('Benzin - diesel - hybrid'!W$54="Diesel",'IB - B&amp;D&amp;H'!$D5,0))*(1+'Benzin - diesel - hybrid'!W$52)^-$A5,0)</f>
        <v>0</v>
      </c>
    </row>
    <row r="6" spans="1:27">
      <c r="A6" s="298">
        <f t="shared" si="1"/>
        <v>3</v>
      </c>
      <c r="B6" s="274"/>
      <c r="C6" s="299">
        <f>((C5-Fremskrivninger!E49)*(1+IF('Benzin - diesel - hybrid'!$E$56="ja",'Benzin - diesel - hybrid'!$E$58,'Benzin - diesel - hybrid'!$E$60))+Fremskrivninger!E49)</f>
        <v>8.8509227185280004</v>
      </c>
      <c r="D6" s="299">
        <f>((D5-Fremskrivninger!E93)*(1+IF('Benzin - diesel - hybrid'!$E$62="ja",'Benzin - diesel - hybrid'!$E$64,'Benzin - diesel - hybrid'!$E$66))+Fremskrivninger!E93)</f>
        <v>7.7565862610999989</v>
      </c>
      <c r="E6" s="303">
        <f>IFERROR('Benzin - diesel - hybrid'!E$44*('Benzin - diesel - hybrid'!E$45/'Benzin - diesel - hybrid'!E$16)*IF('Benzin - diesel - hybrid'!E$54="Benzin",'IB - B&amp;D&amp;H'!$C6,IF('Benzin - diesel - hybrid'!E$54="Diesel",'IB - B&amp;D&amp;H'!$D6,0))*(1+'Benzin - diesel - hybrid'!E$52)^-$A6,0)</f>
        <v>0</v>
      </c>
      <c r="F6" s="303"/>
      <c r="G6" s="303">
        <f>IFERROR('Benzin - diesel - hybrid'!G$44*('Benzin - diesel - hybrid'!G$45/'Benzin - diesel - hybrid'!G$16)*IF('Benzin - diesel - hybrid'!G$54="Benzin",'IB - B&amp;D&amp;H'!$C6,IF('Benzin - diesel - hybrid'!G$54="Diesel",'IB - B&amp;D&amp;H'!$D6,0))*(1+'Benzin - diesel - hybrid'!G$52)^-$A6,0)</f>
        <v>0</v>
      </c>
      <c r="H6" s="303"/>
      <c r="I6" s="303">
        <f>IFERROR('Benzin - diesel - hybrid'!I$44*('Benzin - diesel - hybrid'!I$45/'Benzin - diesel - hybrid'!I$16)*IF('Benzin - diesel - hybrid'!I$54="Benzin",'IB - B&amp;D&amp;H'!$C6,IF('Benzin - diesel - hybrid'!I$54="Diesel",'IB - B&amp;D&amp;H'!$D6,0))*(1+'Benzin - diesel - hybrid'!I$52)^-$A6,0)</f>
        <v>0</v>
      </c>
      <c r="J6" s="303"/>
      <c r="K6" s="303">
        <f>IFERROR('Benzin - diesel - hybrid'!K$44*('Benzin - diesel - hybrid'!K$45/'Benzin - diesel - hybrid'!K$16)*IF('Benzin - diesel - hybrid'!K$54="Benzin",'IB - B&amp;D&amp;H'!$C6,IF('Benzin - diesel - hybrid'!K$54="Diesel",'IB - B&amp;D&amp;H'!$D6,0))*(1+'Benzin - diesel - hybrid'!K$52)^-$A6,0)</f>
        <v>0</v>
      </c>
      <c r="L6" s="303"/>
      <c r="M6" s="303">
        <f>IFERROR('Benzin - diesel - hybrid'!M$44*('Benzin - diesel - hybrid'!M$45/'Benzin - diesel - hybrid'!M$16)*IF('Benzin - diesel - hybrid'!M$54="Benzin",'IB - B&amp;D&amp;H'!$C6,IF('Benzin - diesel - hybrid'!M$54="Diesel",'IB - B&amp;D&amp;H'!$D6,0))*(1+'Benzin - diesel - hybrid'!M$52)^-$A6,0)</f>
        <v>0</v>
      </c>
      <c r="N6" s="303"/>
      <c r="O6" s="303">
        <f>IFERROR('Benzin - diesel - hybrid'!O$44*('Benzin - diesel - hybrid'!O$45/'Benzin - diesel - hybrid'!O$16)*IF('Benzin - diesel - hybrid'!O$54="Benzin",'IB - B&amp;D&amp;H'!$C6,IF('Benzin - diesel - hybrid'!O$54="Diesel",'IB - B&amp;D&amp;H'!$D6,0))*(1+'Benzin - diesel - hybrid'!O$52)^-$A6,0)</f>
        <v>0</v>
      </c>
      <c r="P6" s="303"/>
      <c r="Q6" s="303">
        <f>IFERROR('Benzin - diesel - hybrid'!Q$44*('Benzin - diesel - hybrid'!Q$45/'Benzin - diesel - hybrid'!Q$16)*IF('Benzin - diesel - hybrid'!Q$54="Benzin",'IB - B&amp;D&amp;H'!$C6,IF('Benzin - diesel - hybrid'!Q$54="Diesel",'IB - B&amp;D&amp;H'!$D6,0))*(1+'Benzin - diesel - hybrid'!Q$52)^-$A6,0)</f>
        <v>0</v>
      </c>
      <c r="R6" s="303"/>
      <c r="S6" s="303">
        <f>IFERROR('Benzin - diesel - hybrid'!S$44*('Benzin - diesel - hybrid'!S$45/'Benzin - diesel - hybrid'!S$16)*IF('Benzin - diesel - hybrid'!S$54="Benzin",'IB - B&amp;D&amp;H'!$C6,IF('Benzin - diesel - hybrid'!S$54="Diesel",'IB - B&amp;D&amp;H'!$D6,0))*(1+'Benzin - diesel - hybrid'!S$52)^-$A6,0)</f>
        <v>0</v>
      </c>
      <c r="U6" s="303">
        <f>IFERROR('Benzin - diesel - hybrid'!U$44*('Benzin - diesel - hybrid'!U$45/'Benzin - diesel - hybrid'!U$16)*IF('Benzin - diesel - hybrid'!U$54="Benzin",'IB - B&amp;D&amp;H'!$C6,IF('Benzin - diesel - hybrid'!U$54="Diesel",'IB - B&amp;D&amp;H'!$D6,0))*(1+'Benzin - diesel - hybrid'!U$52)^-$A6,0)</f>
        <v>0</v>
      </c>
      <c r="W6" s="303">
        <f>IFERROR('Benzin - diesel - hybrid'!W$44*('Benzin - diesel - hybrid'!W$45/'Benzin - diesel - hybrid'!W$16)*IF('Benzin - diesel - hybrid'!W$54="Benzin",'IB - B&amp;D&amp;H'!$C6,IF('Benzin - diesel - hybrid'!W$54="Diesel",'IB - B&amp;D&amp;H'!$D6,0))*(1+'Benzin - diesel - hybrid'!W$52)^-$A6,0)</f>
        <v>0</v>
      </c>
    </row>
    <row r="7" spans="1:27">
      <c r="A7" s="298">
        <f t="shared" si="1"/>
        <v>4</v>
      </c>
      <c r="B7" s="274"/>
      <c r="C7" s="299">
        <f>((C6-Fremskrivninger!E50)*(1+IF('Benzin - diesel - hybrid'!$E$56="ja",'Benzin - diesel - hybrid'!$E$58,'Benzin - diesel - hybrid'!$E$60))+Fremskrivninger!E50)</f>
        <v>8.9091765443155388</v>
      </c>
      <c r="D7" s="299">
        <f>((D6-Fremskrivninger!E94)*(1+IF('Benzin - diesel - hybrid'!$E$62="ja",'Benzin - diesel - hybrid'!$E$64,'Benzin - diesel - hybrid'!$E$66))+Fremskrivninger!E94)</f>
        <v>7.822076761885949</v>
      </c>
      <c r="E7" s="303">
        <f>IFERROR('Benzin - diesel - hybrid'!E$44*('Benzin - diesel - hybrid'!E$45/'Benzin - diesel - hybrid'!E$16)*IF('Benzin - diesel - hybrid'!E$54="Benzin",'IB - B&amp;D&amp;H'!$C7,IF('Benzin - diesel - hybrid'!E$54="Diesel",'IB - B&amp;D&amp;H'!$D7,0))*(1+'Benzin - diesel - hybrid'!E$52)^-$A7,0)</f>
        <v>0</v>
      </c>
      <c r="F7" s="303"/>
      <c r="G7" s="303">
        <f>IFERROR('Benzin - diesel - hybrid'!G$44*('Benzin - diesel - hybrid'!G$45/'Benzin - diesel - hybrid'!G$16)*IF('Benzin - diesel - hybrid'!G$54="Benzin",'IB - B&amp;D&amp;H'!$C7,IF('Benzin - diesel - hybrid'!G$54="Diesel",'IB - B&amp;D&amp;H'!$D7,0))*(1+'Benzin - diesel - hybrid'!G$52)^-$A7,0)</f>
        <v>0</v>
      </c>
      <c r="H7" s="303"/>
      <c r="I7" s="303">
        <f>IFERROR('Benzin - diesel - hybrid'!I$44*('Benzin - diesel - hybrid'!I$45/'Benzin - diesel - hybrid'!I$16)*IF('Benzin - diesel - hybrid'!I$54="Benzin",'IB - B&amp;D&amp;H'!$C7,IF('Benzin - diesel - hybrid'!I$54="Diesel",'IB - B&amp;D&amp;H'!$D7,0))*(1+'Benzin - diesel - hybrid'!I$52)^-$A7,0)</f>
        <v>0</v>
      </c>
      <c r="J7" s="303"/>
      <c r="K7" s="303">
        <f>IFERROR('Benzin - diesel - hybrid'!K$44*('Benzin - diesel - hybrid'!K$45/'Benzin - diesel - hybrid'!K$16)*IF('Benzin - diesel - hybrid'!K$54="Benzin",'IB - B&amp;D&amp;H'!$C7,IF('Benzin - diesel - hybrid'!K$54="Diesel",'IB - B&amp;D&amp;H'!$D7,0))*(1+'Benzin - diesel - hybrid'!K$52)^-$A7,0)</f>
        <v>0</v>
      </c>
      <c r="L7" s="303"/>
      <c r="M7" s="303">
        <f>IFERROR('Benzin - diesel - hybrid'!M$44*('Benzin - diesel - hybrid'!M$45/'Benzin - diesel - hybrid'!M$16)*IF('Benzin - diesel - hybrid'!M$54="Benzin",'IB - B&amp;D&amp;H'!$C7,IF('Benzin - diesel - hybrid'!M$54="Diesel",'IB - B&amp;D&amp;H'!$D7,0))*(1+'Benzin - diesel - hybrid'!M$52)^-$A7,0)</f>
        <v>0</v>
      </c>
      <c r="N7" s="303"/>
      <c r="O7" s="303">
        <f>IFERROR('Benzin - diesel - hybrid'!O$44*('Benzin - diesel - hybrid'!O$45/'Benzin - diesel - hybrid'!O$16)*IF('Benzin - diesel - hybrid'!O$54="Benzin",'IB - B&amp;D&amp;H'!$C7,IF('Benzin - diesel - hybrid'!O$54="Diesel",'IB - B&amp;D&amp;H'!$D7,0))*(1+'Benzin - diesel - hybrid'!O$52)^-$A7,0)</f>
        <v>0</v>
      </c>
      <c r="P7" s="303"/>
      <c r="Q7" s="303">
        <f>IFERROR('Benzin - diesel - hybrid'!Q$44*('Benzin - diesel - hybrid'!Q$45/'Benzin - diesel - hybrid'!Q$16)*IF('Benzin - diesel - hybrid'!Q$54="Benzin",'IB - B&amp;D&amp;H'!$C7,IF('Benzin - diesel - hybrid'!Q$54="Diesel",'IB - B&amp;D&amp;H'!$D7,0))*(1+'Benzin - diesel - hybrid'!Q$52)^-$A7,0)</f>
        <v>0</v>
      </c>
      <c r="R7" s="303"/>
      <c r="S7" s="303">
        <f>IFERROR('Benzin - diesel - hybrid'!S$44*('Benzin - diesel - hybrid'!S$45/'Benzin - diesel - hybrid'!S$16)*IF('Benzin - diesel - hybrid'!S$54="Benzin",'IB - B&amp;D&amp;H'!$C7,IF('Benzin - diesel - hybrid'!S$54="Diesel",'IB - B&amp;D&amp;H'!$D7,0))*(1+'Benzin - diesel - hybrid'!S$52)^-$A7,0)</f>
        <v>0</v>
      </c>
      <c r="U7" s="303">
        <f>IFERROR('Benzin - diesel - hybrid'!U$44*('Benzin - diesel - hybrid'!U$45/'Benzin - diesel - hybrid'!U$16)*IF('Benzin - diesel - hybrid'!U$54="Benzin",'IB - B&amp;D&amp;H'!$C7,IF('Benzin - diesel - hybrid'!U$54="Diesel",'IB - B&amp;D&amp;H'!$D7,0))*(1+'Benzin - diesel - hybrid'!U$52)^-$A7,0)</f>
        <v>0</v>
      </c>
      <c r="W7" s="303">
        <f>IFERROR('Benzin - diesel - hybrid'!W$44*('Benzin - diesel - hybrid'!W$45/'Benzin - diesel - hybrid'!W$16)*IF('Benzin - diesel - hybrid'!W$54="Benzin",'IB - B&amp;D&amp;H'!$C7,IF('Benzin - diesel - hybrid'!W$54="Diesel",'IB - B&amp;D&amp;H'!$D7,0))*(1+'Benzin - diesel - hybrid'!W$52)^-$A7,0)</f>
        <v>0</v>
      </c>
    </row>
    <row r="8" spans="1:27">
      <c r="A8" s="298">
        <f t="shared" si="1"/>
        <v>5</v>
      </c>
      <c r="B8" s="274"/>
      <c r="C8" s="299">
        <f>((C7-Fremskrivninger!E51)*(1+IF('Benzin - diesel - hybrid'!$E$56="ja",'Benzin - diesel - hybrid'!$E$58,'Benzin - diesel - hybrid'!$E$60))+Fremskrivninger!E51)</f>
        <v>8.9682400982815249</v>
      </c>
      <c r="D8" s="299">
        <f>((D7-Fremskrivninger!E95)*(1+IF('Benzin - diesel - hybrid'!$E$62="ja",'Benzin - diesel - hybrid'!$E$64,'Benzin - diesel - hybrid'!$E$66))+Fremskrivninger!E95)</f>
        <v>7.8885168749332948</v>
      </c>
      <c r="E8" s="303">
        <f>IFERROR('Benzin - diesel - hybrid'!E$44*('Benzin - diesel - hybrid'!E$45/'Benzin - diesel - hybrid'!E$16)*IF('Benzin - diesel - hybrid'!E$54="Benzin",'IB - B&amp;D&amp;H'!$C8,IF('Benzin - diesel - hybrid'!E$54="Diesel",'IB - B&amp;D&amp;H'!$D8,0))*(1+'Benzin - diesel - hybrid'!E$52)^-$A8,0)</f>
        <v>0</v>
      </c>
      <c r="F8" s="303"/>
      <c r="G8" s="303">
        <f>IFERROR('Benzin - diesel - hybrid'!G$44*('Benzin - diesel - hybrid'!G$45/'Benzin - diesel - hybrid'!G$16)*IF('Benzin - diesel - hybrid'!G$54="Benzin",'IB - B&amp;D&amp;H'!$C8,IF('Benzin - diesel - hybrid'!G$54="Diesel",'IB - B&amp;D&amp;H'!$D8,0))*(1+'Benzin - diesel - hybrid'!G$52)^-$A8,0)</f>
        <v>0</v>
      </c>
      <c r="H8" s="303"/>
      <c r="I8" s="303">
        <f>IFERROR('Benzin - diesel - hybrid'!I$44*('Benzin - diesel - hybrid'!I$45/'Benzin - diesel - hybrid'!I$16)*IF('Benzin - diesel - hybrid'!I$54="Benzin",'IB - B&amp;D&amp;H'!$C8,IF('Benzin - diesel - hybrid'!I$54="Diesel",'IB - B&amp;D&amp;H'!$D8,0))*(1+'Benzin - diesel - hybrid'!I$52)^-$A8,0)</f>
        <v>0</v>
      </c>
      <c r="J8" s="303"/>
      <c r="K8" s="303">
        <f>IFERROR('Benzin - diesel - hybrid'!K$44*('Benzin - diesel - hybrid'!K$45/'Benzin - diesel - hybrid'!K$16)*IF('Benzin - diesel - hybrid'!K$54="Benzin",'IB - B&amp;D&amp;H'!$C8,IF('Benzin - diesel - hybrid'!K$54="Diesel",'IB - B&amp;D&amp;H'!$D8,0))*(1+'Benzin - diesel - hybrid'!K$52)^-$A8,0)</f>
        <v>0</v>
      </c>
      <c r="L8" s="303"/>
      <c r="M8" s="303">
        <f>IFERROR('Benzin - diesel - hybrid'!M$44*('Benzin - diesel - hybrid'!M$45/'Benzin - diesel - hybrid'!M$16)*IF('Benzin - diesel - hybrid'!M$54="Benzin",'IB - B&amp;D&amp;H'!$C8,IF('Benzin - diesel - hybrid'!M$54="Diesel",'IB - B&amp;D&amp;H'!$D8,0))*(1+'Benzin - diesel - hybrid'!M$52)^-$A8,0)</f>
        <v>0</v>
      </c>
      <c r="N8" s="303"/>
      <c r="O8" s="303">
        <f>IFERROR('Benzin - diesel - hybrid'!O$44*('Benzin - diesel - hybrid'!O$45/'Benzin - diesel - hybrid'!O$16)*IF('Benzin - diesel - hybrid'!O$54="Benzin",'IB - B&amp;D&amp;H'!$C8,IF('Benzin - diesel - hybrid'!O$54="Diesel",'IB - B&amp;D&amp;H'!$D8,0))*(1+'Benzin - diesel - hybrid'!O$52)^-$A8,0)</f>
        <v>0</v>
      </c>
      <c r="P8" s="303"/>
      <c r="Q8" s="303">
        <f>IFERROR('Benzin - diesel - hybrid'!Q$44*('Benzin - diesel - hybrid'!Q$45/'Benzin - diesel - hybrid'!Q$16)*IF('Benzin - diesel - hybrid'!Q$54="Benzin",'IB - B&amp;D&amp;H'!$C8,IF('Benzin - diesel - hybrid'!Q$54="Diesel",'IB - B&amp;D&amp;H'!$D8,0))*(1+'Benzin - diesel - hybrid'!Q$52)^-$A8,0)</f>
        <v>0</v>
      </c>
      <c r="R8" s="303"/>
      <c r="S8" s="303">
        <f>IFERROR('Benzin - diesel - hybrid'!S$44*('Benzin - diesel - hybrid'!S$45/'Benzin - diesel - hybrid'!S$16)*IF('Benzin - diesel - hybrid'!S$54="Benzin",'IB - B&amp;D&amp;H'!$C8,IF('Benzin - diesel - hybrid'!S$54="Diesel",'IB - B&amp;D&amp;H'!$D8,0))*(1+'Benzin - diesel - hybrid'!S$52)^-$A8,0)</f>
        <v>0</v>
      </c>
      <c r="U8" s="303">
        <f>IFERROR('Benzin - diesel - hybrid'!U$44*('Benzin - diesel - hybrid'!U$45/'Benzin - diesel - hybrid'!U$16)*IF('Benzin - diesel - hybrid'!U$54="Benzin",'IB - B&amp;D&amp;H'!$C8,IF('Benzin - diesel - hybrid'!U$54="Diesel",'IB - B&amp;D&amp;H'!$D8,0))*(1+'Benzin - diesel - hybrid'!U$52)^-$A8,0)</f>
        <v>0</v>
      </c>
      <c r="W8" s="303">
        <f>IFERROR('Benzin - diesel - hybrid'!W$44*('Benzin - diesel - hybrid'!W$45/'Benzin - diesel - hybrid'!W$16)*IF('Benzin - diesel - hybrid'!W$54="Benzin",'IB - B&amp;D&amp;H'!$C8,IF('Benzin - diesel - hybrid'!W$54="Diesel",'IB - B&amp;D&amp;H'!$D8,0))*(1+'Benzin - diesel - hybrid'!W$52)^-$A8,0)</f>
        <v>0</v>
      </c>
    </row>
    <row r="9" spans="1:27">
      <c r="A9" s="298">
        <f t="shared" si="1"/>
        <v>6</v>
      </c>
      <c r="B9" s="274"/>
      <c r="C9" s="299">
        <f>((C8-Fremskrivninger!E52)*(1+IF('Benzin - diesel - hybrid'!$E$56="ja",'Benzin - diesel - hybrid'!$E$58,'Benzin - diesel - hybrid'!$E$60))+Fremskrivninger!E52)</f>
        <v>9.0281246356476395</v>
      </c>
      <c r="D9" s="299">
        <f>((D8-Fremskrivninger!E96)*(1+IF('Benzin - diesel - hybrid'!$E$62="ja",'Benzin - diesel - hybrid'!$E$64,'Benzin - diesel - hybrid'!$E$66))+Fremskrivninger!E96)</f>
        <v>7.9559203696198271</v>
      </c>
      <c r="E9" s="303">
        <f>IFERROR('Benzin - diesel - hybrid'!E$44*('Benzin - diesel - hybrid'!E$45/'Benzin - diesel - hybrid'!E$16)*IF('Benzin - diesel - hybrid'!E$54="Benzin",'IB - B&amp;D&amp;H'!$C9,IF('Benzin - diesel - hybrid'!E$54="Diesel",'IB - B&amp;D&amp;H'!$D9,0))*(1+'Benzin - diesel - hybrid'!E$52)^-$A9,0)</f>
        <v>0</v>
      </c>
      <c r="F9" s="303"/>
      <c r="G9" s="303">
        <f>IFERROR('Benzin - diesel - hybrid'!G$44*('Benzin - diesel - hybrid'!G$45/'Benzin - diesel - hybrid'!G$16)*IF('Benzin - diesel - hybrid'!G$54="Benzin",'IB - B&amp;D&amp;H'!$C9,IF('Benzin - diesel - hybrid'!G$54="Diesel",'IB - B&amp;D&amp;H'!$D9,0))*(1+'Benzin - diesel - hybrid'!G$52)^-$A9,0)</f>
        <v>0</v>
      </c>
      <c r="H9" s="303"/>
      <c r="I9" s="303">
        <f>IFERROR('Benzin - diesel - hybrid'!I$44*('Benzin - diesel - hybrid'!I$45/'Benzin - diesel - hybrid'!I$16)*IF('Benzin - diesel - hybrid'!I$54="Benzin",'IB - B&amp;D&amp;H'!$C9,IF('Benzin - diesel - hybrid'!I$54="Diesel",'IB - B&amp;D&amp;H'!$D9,0))*(1+'Benzin - diesel - hybrid'!I$52)^-$A9,0)</f>
        <v>0</v>
      </c>
      <c r="J9" s="303"/>
      <c r="K9" s="303">
        <f>IFERROR('Benzin - diesel - hybrid'!K$44*('Benzin - diesel - hybrid'!K$45/'Benzin - diesel - hybrid'!K$16)*IF('Benzin - diesel - hybrid'!K$54="Benzin",'IB - B&amp;D&amp;H'!$C9,IF('Benzin - diesel - hybrid'!K$54="Diesel",'IB - B&amp;D&amp;H'!$D9,0))*(1+'Benzin - diesel - hybrid'!K$52)^-$A9,0)</f>
        <v>0</v>
      </c>
      <c r="L9" s="303"/>
      <c r="M9" s="303">
        <f>IFERROR('Benzin - diesel - hybrid'!M$44*('Benzin - diesel - hybrid'!M$45/'Benzin - diesel - hybrid'!M$16)*IF('Benzin - diesel - hybrid'!M$54="Benzin",'IB - B&amp;D&amp;H'!$C9,IF('Benzin - diesel - hybrid'!M$54="Diesel",'IB - B&amp;D&amp;H'!$D9,0))*(1+'Benzin - diesel - hybrid'!M$52)^-$A9,0)</f>
        <v>0</v>
      </c>
      <c r="N9" s="303"/>
      <c r="O9" s="303">
        <f>IFERROR('Benzin - diesel - hybrid'!O$44*('Benzin - diesel - hybrid'!O$45/'Benzin - diesel - hybrid'!O$16)*IF('Benzin - diesel - hybrid'!O$54="Benzin",'IB - B&amp;D&amp;H'!$C9,IF('Benzin - diesel - hybrid'!O$54="Diesel",'IB - B&amp;D&amp;H'!$D9,0))*(1+'Benzin - diesel - hybrid'!O$52)^-$A9,0)</f>
        <v>0</v>
      </c>
      <c r="P9" s="303"/>
      <c r="Q9" s="303">
        <f>IFERROR('Benzin - diesel - hybrid'!Q$44*('Benzin - diesel - hybrid'!Q$45/'Benzin - diesel - hybrid'!Q$16)*IF('Benzin - diesel - hybrid'!Q$54="Benzin",'IB - B&amp;D&amp;H'!$C9,IF('Benzin - diesel - hybrid'!Q$54="Diesel",'IB - B&amp;D&amp;H'!$D9,0))*(1+'Benzin - diesel - hybrid'!Q$52)^-$A9,0)</f>
        <v>0</v>
      </c>
      <c r="R9" s="303"/>
      <c r="S9" s="303">
        <f>IFERROR('Benzin - diesel - hybrid'!S$44*('Benzin - diesel - hybrid'!S$45/'Benzin - diesel - hybrid'!S$16)*IF('Benzin - diesel - hybrid'!S$54="Benzin",'IB - B&amp;D&amp;H'!$C9,IF('Benzin - diesel - hybrid'!S$54="Diesel",'IB - B&amp;D&amp;H'!$D9,0))*(1+'Benzin - diesel - hybrid'!S$52)^-$A9,0)</f>
        <v>0</v>
      </c>
      <c r="U9" s="303">
        <f>IFERROR('Benzin - diesel - hybrid'!U$44*('Benzin - diesel - hybrid'!U$45/'Benzin - diesel - hybrid'!U$16)*IF('Benzin - diesel - hybrid'!U$54="Benzin",'IB - B&amp;D&amp;H'!$C9,IF('Benzin - diesel - hybrid'!U$54="Diesel",'IB - B&amp;D&amp;H'!$D9,0))*(1+'Benzin - diesel - hybrid'!U$52)^-$A9,0)</f>
        <v>0</v>
      </c>
      <c r="W9" s="303">
        <f>IFERROR('Benzin - diesel - hybrid'!W$44*('Benzin - diesel - hybrid'!W$45/'Benzin - diesel - hybrid'!W$16)*IF('Benzin - diesel - hybrid'!W$54="Benzin",'IB - B&amp;D&amp;H'!$C9,IF('Benzin - diesel - hybrid'!W$54="Diesel",'IB - B&amp;D&amp;H'!$D9,0))*(1+'Benzin - diesel - hybrid'!W$52)^-$A9,0)</f>
        <v>0</v>
      </c>
    </row>
    <row r="10" spans="1:27">
      <c r="A10" s="298">
        <f t="shared" si="1"/>
        <v>7</v>
      </c>
      <c r="B10" s="274"/>
      <c r="C10" s="299">
        <f>((C9-Fremskrivninger!E53)*(1+IF('Benzin - diesel - hybrid'!$E$56="ja",'Benzin - diesel - hybrid'!$E$58,'Benzin - diesel - hybrid'!$E$60))+Fremskrivninger!E53)</f>
        <v>9.0888415680831418</v>
      </c>
      <c r="D10" s="299">
        <f>((D9-Fremskrivninger!E97)*(1+IF('Benzin - diesel - hybrid'!$E$62="ja",'Benzin - diesel - hybrid'!$E$64,'Benzin - diesel - hybrid'!$E$66))+Fremskrivninger!E97)</f>
        <v>8.0243012149793138</v>
      </c>
      <c r="E10" s="303">
        <f>IFERROR('Benzin - diesel - hybrid'!E$44*('Benzin - diesel - hybrid'!E$45/'Benzin - diesel - hybrid'!E$16)*IF('Benzin - diesel - hybrid'!E$54="Benzin",'IB - B&amp;D&amp;H'!$C10,IF('Benzin - diesel - hybrid'!E$54="Diesel",'IB - B&amp;D&amp;H'!$D10,0))*(1+'Benzin - diesel - hybrid'!E$52)^-$A10,0)</f>
        <v>0</v>
      </c>
      <c r="F10" s="303"/>
      <c r="G10" s="303">
        <f>IFERROR('Benzin - diesel - hybrid'!G$44*('Benzin - diesel - hybrid'!G$45/'Benzin - diesel - hybrid'!G$16)*IF('Benzin - diesel - hybrid'!G$54="Benzin",'IB - B&amp;D&amp;H'!$C10,IF('Benzin - diesel - hybrid'!G$54="Diesel",'IB - B&amp;D&amp;H'!$D10,0))*(1+'Benzin - diesel - hybrid'!G$52)^-$A10,0)</f>
        <v>0</v>
      </c>
      <c r="H10" s="303"/>
      <c r="I10" s="303">
        <f>IFERROR('Benzin - diesel - hybrid'!I$44*('Benzin - diesel - hybrid'!I$45/'Benzin - diesel - hybrid'!I$16)*IF('Benzin - diesel - hybrid'!I$54="Benzin",'IB - B&amp;D&amp;H'!$C10,IF('Benzin - diesel - hybrid'!I$54="Diesel",'IB - B&amp;D&amp;H'!$D10,0))*(1+'Benzin - diesel - hybrid'!I$52)^-$A10,0)</f>
        <v>0</v>
      </c>
      <c r="J10" s="303"/>
      <c r="K10" s="303">
        <f>IFERROR('Benzin - diesel - hybrid'!K$44*('Benzin - diesel - hybrid'!K$45/'Benzin - diesel - hybrid'!K$16)*IF('Benzin - diesel - hybrid'!K$54="Benzin",'IB - B&amp;D&amp;H'!$C10,IF('Benzin - diesel - hybrid'!K$54="Diesel",'IB - B&amp;D&amp;H'!$D10,0))*(1+'Benzin - diesel - hybrid'!K$52)^-$A10,0)</f>
        <v>0</v>
      </c>
      <c r="L10" s="303"/>
      <c r="M10" s="303">
        <f>IFERROR('Benzin - diesel - hybrid'!M$44*('Benzin - diesel - hybrid'!M$45/'Benzin - diesel - hybrid'!M$16)*IF('Benzin - diesel - hybrid'!M$54="Benzin",'IB - B&amp;D&amp;H'!$C10,IF('Benzin - diesel - hybrid'!M$54="Diesel",'IB - B&amp;D&amp;H'!$D10,0))*(1+'Benzin - diesel - hybrid'!M$52)^-$A10,0)</f>
        <v>0</v>
      </c>
      <c r="N10" s="303"/>
      <c r="O10" s="303">
        <f>IFERROR('Benzin - diesel - hybrid'!O$44*('Benzin - diesel - hybrid'!O$45/'Benzin - diesel - hybrid'!O$16)*IF('Benzin - diesel - hybrid'!O$54="Benzin",'IB - B&amp;D&amp;H'!$C10,IF('Benzin - diesel - hybrid'!O$54="Diesel",'IB - B&amp;D&amp;H'!$D10,0))*(1+'Benzin - diesel - hybrid'!O$52)^-$A10,0)</f>
        <v>0</v>
      </c>
      <c r="P10" s="303"/>
      <c r="Q10" s="303">
        <f>IFERROR('Benzin - diesel - hybrid'!Q$44*('Benzin - diesel - hybrid'!Q$45/'Benzin - diesel - hybrid'!Q$16)*IF('Benzin - diesel - hybrid'!Q$54="Benzin",'IB - B&amp;D&amp;H'!$C10,IF('Benzin - diesel - hybrid'!Q$54="Diesel",'IB - B&amp;D&amp;H'!$D10,0))*(1+'Benzin - diesel - hybrid'!Q$52)^-$A10,0)</f>
        <v>0</v>
      </c>
      <c r="R10" s="303"/>
      <c r="S10" s="303">
        <f>IFERROR('Benzin - diesel - hybrid'!S$44*('Benzin - diesel - hybrid'!S$45/'Benzin - diesel - hybrid'!S$16)*IF('Benzin - diesel - hybrid'!S$54="Benzin",'IB - B&amp;D&amp;H'!$C10,IF('Benzin - diesel - hybrid'!S$54="Diesel",'IB - B&amp;D&amp;H'!$D10,0))*(1+'Benzin - diesel - hybrid'!S$52)^-$A10,0)</f>
        <v>0</v>
      </c>
      <c r="U10" s="303">
        <f>IFERROR('Benzin - diesel - hybrid'!U$44*('Benzin - diesel - hybrid'!U$45/'Benzin - diesel - hybrid'!U$16)*IF('Benzin - diesel - hybrid'!U$54="Benzin",'IB - B&amp;D&amp;H'!$C10,IF('Benzin - diesel - hybrid'!U$54="Diesel",'IB - B&amp;D&amp;H'!$D10,0))*(1+'Benzin - diesel - hybrid'!U$52)^-$A10,0)</f>
        <v>0</v>
      </c>
      <c r="W10" s="303">
        <f>IFERROR('Benzin - diesel - hybrid'!W$44*('Benzin - diesel - hybrid'!W$45/'Benzin - diesel - hybrid'!W$16)*IF('Benzin - diesel - hybrid'!W$54="Benzin",'IB - B&amp;D&amp;H'!$C10,IF('Benzin - diesel - hybrid'!W$54="Diesel",'IB - B&amp;D&amp;H'!$D10,0))*(1+'Benzin - diesel - hybrid'!W$52)^-$A10,0)</f>
        <v>0</v>
      </c>
    </row>
    <row r="11" spans="1:27">
      <c r="A11" s="298">
        <f t="shared" si="1"/>
        <v>8</v>
      </c>
      <c r="B11" s="274"/>
      <c r="C11" s="299">
        <f>((C10-Fremskrivninger!E54)*(1+IF('Benzin - diesel - hybrid'!$E$56="ja",'Benzin - diesel - hybrid'!$E$58,'Benzin - diesel - hybrid'!$E$60))+Fremskrivninger!E54)</f>
        <v>9.1504024658794982</v>
      </c>
      <c r="D11" s="299">
        <f>((D10-Fremskrivninger!E98)*(1+IF('Benzin - diesel - hybrid'!$E$62="ja",'Benzin - diesel - hybrid'!$E$64,'Benzin - diesel - hybrid'!$E$66))+Fremskrivninger!E98)</f>
        <v>8.093673582596514</v>
      </c>
      <c r="E11" s="303">
        <f>IFERROR('Benzin - diesel - hybrid'!E$44*('Benzin - diesel - hybrid'!E$45/'Benzin - diesel - hybrid'!E$16)*IF('Benzin - diesel - hybrid'!E$54="Benzin",'IB - B&amp;D&amp;H'!$C11,IF('Benzin - diesel - hybrid'!E$54="Diesel",'IB - B&amp;D&amp;H'!$D11,0))*(1+'Benzin - diesel - hybrid'!E$52)^-$A11,0)</f>
        <v>0</v>
      </c>
      <c r="F11" s="303"/>
      <c r="G11" s="303">
        <f>IFERROR('Benzin - diesel - hybrid'!G$44*('Benzin - diesel - hybrid'!G$45/'Benzin - diesel - hybrid'!G$16)*IF('Benzin - diesel - hybrid'!G$54="Benzin",'IB - B&amp;D&amp;H'!$C11,IF('Benzin - diesel - hybrid'!G$54="Diesel",'IB - B&amp;D&amp;H'!$D11,0))*(1+'Benzin - diesel - hybrid'!G$52)^-$A11,0)</f>
        <v>0</v>
      </c>
      <c r="H11" s="303"/>
      <c r="I11" s="303">
        <f>IFERROR('Benzin - diesel - hybrid'!I$44*('Benzin - diesel - hybrid'!I$45/'Benzin - diesel - hybrid'!I$16)*IF('Benzin - diesel - hybrid'!I$54="Benzin",'IB - B&amp;D&amp;H'!$C11,IF('Benzin - diesel - hybrid'!I$54="Diesel",'IB - B&amp;D&amp;H'!$D11,0))*(1+'Benzin - diesel - hybrid'!I$52)^-$A11,0)</f>
        <v>0</v>
      </c>
      <c r="J11" s="303"/>
      <c r="K11" s="303">
        <f>IFERROR('Benzin - diesel - hybrid'!K$44*('Benzin - diesel - hybrid'!K$45/'Benzin - diesel - hybrid'!K$16)*IF('Benzin - diesel - hybrid'!K$54="Benzin",'IB - B&amp;D&amp;H'!$C11,IF('Benzin - diesel - hybrid'!K$54="Diesel",'IB - B&amp;D&amp;H'!$D11,0))*(1+'Benzin - diesel - hybrid'!K$52)^-$A11,0)</f>
        <v>0</v>
      </c>
      <c r="L11" s="303"/>
      <c r="M11" s="303">
        <f>IFERROR('Benzin - diesel - hybrid'!M$44*('Benzin - diesel - hybrid'!M$45/'Benzin - diesel - hybrid'!M$16)*IF('Benzin - diesel - hybrid'!M$54="Benzin",'IB - B&amp;D&amp;H'!$C11,IF('Benzin - diesel - hybrid'!M$54="Diesel",'IB - B&amp;D&amp;H'!$D11,0))*(1+'Benzin - diesel - hybrid'!M$52)^-$A11,0)</f>
        <v>0</v>
      </c>
      <c r="N11" s="303"/>
      <c r="O11" s="303">
        <f>IFERROR('Benzin - diesel - hybrid'!O$44*('Benzin - diesel - hybrid'!O$45/'Benzin - diesel - hybrid'!O$16)*IF('Benzin - diesel - hybrid'!O$54="Benzin",'IB - B&amp;D&amp;H'!$C11,IF('Benzin - diesel - hybrid'!O$54="Diesel",'IB - B&amp;D&amp;H'!$D11,0))*(1+'Benzin - diesel - hybrid'!O$52)^-$A11,0)</f>
        <v>0</v>
      </c>
      <c r="P11" s="303"/>
      <c r="Q11" s="303">
        <f>IFERROR('Benzin - diesel - hybrid'!Q$44*('Benzin - diesel - hybrid'!Q$45/'Benzin - diesel - hybrid'!Q$16)*IF('Benzin - diesel - hybrid'!Q$54="Benzin",'IB - B&amp;D&amp;H'!$C11,IF('Benzin - diesel - hybrid'!Q$54="Diesel",'IB - B&amp;D&amp;H'!$D11,0))*(1+'Benzin - diesel - hybrid'!Q$52)^-$A11,0)</f>
        <v>0</v>
      </c>
      <c r="R11" s="303"/>
      <c r="S11" s="303">
        <f>IFERROR('Benzin - diesel - hybrid'!S$44*('Benzin - diesel - hybrid'!S$45/'Benzin - diesel - hybrid'!S$16)*IF('Benzin - diesel - hybrid'!S$54="Benzin",'IB - B&amp;D&amp;H'!$C11,IF('Benzin - diesel - hybrid'!S$54="Diesel",'IB - B&amp;D&amp;H'!$D11,0))*(1+'Benzin - diesel - hybrid'!S$52)^-$A11,0)</f>
        <v>0</v>
      </c>
      <c r="U11" s="303">
        <f>IFERROR('Benzin - diesel - hybrid'!U$44*('Benzin - diesel - hybrid'!U$45/'Benzin - diesel - hybrid'!U$16)*IF('Benzin - diesel - hybrid'!U$54="Benzin",'IB - B&amp;D&amp;H'!$C11,IF('Benzin - diesel - hybrid'!U$54="Diesel",'IB - B&amp;D&amp;H'!$D11,0))*(1+'Benzin - diesel - hybrid'!U$52)^-$A11,0)</f>
        <v>0</v>
      </c>
      <c r="W11" s="303">
        <f>IFERROR('Benzin - diesel - hybrid'!W$44*('Benzin - diesel - hybrid'!W$45/'Benzin - diesel - hybrid'!W$16)*IF('Benzin - diesel - hybrid'!W$54="Benzin",'IB - B&amp;D&amp;H'!$C11,IF('Benzin - diesel - hybrid'!W$54="Diesel",'IB - B&amp;D&amp;H'!$D11,0))*(1+'Benzin - diesel - hybrid'!W$52)^-$A11,0)</f>
        <v>0</v>
      </c>
    </row>
    <row r="12" spans="1:27">
      <c r="A12" s="298">
        <f t="shared" si="1"/>
        <v>9</v>
      </c>
      <c r="B12" s="274"/>
      <c r="C12" s="299">
        <f>((C11-Fremskrivninger!E55)*(1+IF('Benzin - diesel - hybrid'!$E$56="ja",'Benzin - diesel - hybrid'!$E$58,'Benzin - diesel - hybrid'!$E$60))+Fremskrivninger!E55)</f>
        <v>9.2128190601552227</v>
      </c>
      <c r="D12" s="299">
        <f>((D11-Fremskrivninger!E99)*(1+IF('Benzin - diesel - hybrid'!$E$62="ja",'Benzin - diesel - hybrid'!$E$64,'Benzin - diesel - hybrid'!$E$66))+Fremskrivninger!E99)</f>
        <v>8.1640518495441636</v>
      </c>
      <c r="E12" s="303">
        <f>IFERROR('Benzin - diesel - hybrid'!E$44*('Benzin - diesel - hybrid'!E$45/'Benzin - diesel - hybrid'!E$16)*IF('Benzin - diesel - hybrid'!E$54="Benzin",'IB - B&amp;D&amp;H'!$C12,IF('Benzin - diesel - hybrid'!E$54="Diesel",'IB - B&amp;D&amp;H'!$D12,0))*(1+'Benzin - diesel - hybrid'!E$52)^-$A12,0)</f>
        <v>0</v>
      </c>
      <c r="F12" s="303"/>
      <c r="G12" s="303">
        <f>IFERROR('Benzin - diesel - hybrid'!G$44*('Benzin - diesel - hybrid'!G$45/'Benzin - diesel - hybrid'!G$16)*IF('Benzin - diesel - hybrid'!G$54="Benzin",'IB - B&amp;D&amp;H'!$C12,IF('Benzin - diesel - hybrid'!G$54="Diesel",'IB - B&amp;D&amp;H'!$D12,0))*(1+'Benzin - diesel - hybrid'!G$52)^-$A12,0)</f>
        <v>0</v>
      </c>
      <c r="H12" s="303"/>
      <c r="I12" s="303">
        <f>IFERROR('Benzin - diesel - hybrid'!I$44*('Benzin - diesel - hybrid'!I$45/'Benzin - diesel - hybrid'!I$16)*IF('Benzin - diesel - hybrid'!I$54="Benzin",'IB - B&amp;D&amp;H'!$C12,IF('Benzin - diesel - hybrid'!I$54="Diesel",'IB - B&amp;D&amp;H'!$D12,0))*(1+'Benzin - diesel - hybrid'!I$52)^-$A12,0)</f>
        <v>0</v>
      </c>
      <c r="J12" s="303"/>
      <c r="K12" s="303">
        <f>IFERROR('Benzin - diesel - hybrid'!K$44*('Benzin - diesel - hybrid'!K$45/'Benzin - diesel - hybrid'!K$16)*IF('Benzin - diesel - hybrid'!K$54="Benzin",'IB - B&amp;D&amp;H'!$C12,IF('Benzin - diesel - hybrid'!K$54="Diesel",'IB - B&amp;D&amp;H'!$D12,0))*(1+'Benzin - diesel - hybrid'!K$52)^-$A12,0)</f>
        <v>0</v>
      </c>
      <c r="L12" s="303"/>
      <c r="M12" s="303">
        <f>IFERROR('Benzin - diesel - hybrid'!M$44*('Benzin - diesel - hybrid'!M$45/'Benzin - diesel - hybrid'!M$16)*IF('Benzin - diesel - hybrid'!M$54="Benzin",'IB - B&amp;D&amp;H'!$C12,IF('Benzin - diesel - hybrid'!M$54="Diesel",'IB - B&amp;D&amp;H'!$D12,0))*(1+'Benzin - diesel - hybrid'!M$52)^-$A12,0)</f>
        <v>0</v>
      </c>
      <c r="N12" s="303"/>
      <c r="O12" s="303">
        <f>IFERROR('Benzin - diesel - hybrid'!O$44*('Benzin - diesel - hybrid'!O$45/'Benzin - diesel - hybrid'!O$16)*IF('Benzin - diesel - hybrid'!O$54="Benzin",'IB - B&amp;D&amp;H'!$C12,IF('Benzin - diesel - hybrid'!O$54="Diesel",'IB - B&amp;D&amp;H'!$D12,0))*(1+'Benzin - diesel - hybrid'!O$52)^-$A12,0)</f>
        <v>0</v>
      </c>
      <c r="P12" s="303"/>
      <c r="Q12" s="303">
        <f>IFERROR('Benzin - diesel - hybrid'!Q$44*('Benzin - diesel - hybrid'!Q$45/'Benzin - diesel - hybrid'!Q$16)*IF('Benzin - diesel - hybrid'!Q$54="Benzin",'IB - B&amp;D&amp;H'!$C12,IF('Benzin - diesel - hybrid'!Q$54="Diesel",'IB - B&amp;D&amp;H'!$D12,0))*(1+'Benzin - diesel - hybrid'!Q$52)^-$A12,0)</f>
        <v>0</v>
      </c>
      <c r="R12" s="303"/>
      <c r="S12" s="303">
        <f>IFERROR('Benzin - diesel - hybrid'!S$44*('Benzin - diesel - hybrid'!S$45/'Benzin - diesel - hybrid'!S$16)*IF('Benzin - diesel - hybrid'!S$54="Benzin",'IB - B&amp;D&amp;H'!$C12,IF('Benzin - diesel - hybrid'!S$54="Diesel",'IB - B&amp;D&amp;H'!$D12,0))*(1+'Benzin - diesel - hybrid'!S$52)^-$A12,0)</f>
        <v>0</v>
      </c>
      <c r="U12" s="303">
        <f>IFERROR('Benzin - diesel - hybrid'!U$44*('Benzin - diesel - hybrid'!U$45/'Benzin - diesel - hybrid'!U$16)*IF('Benzin - diesel - hybrid'!U$54="Benzin",'IB - B&amp;D&amp;H'!$C12,IF('Benzin - diesel - hybrid'!U$54="Diesel",'IB - B&amp;D&amp;H'!$D12,0))*(1+'Benzin - diesel - hybrid'!U$52)^-$A12,0)</f>
        <v>0</v>
      </c>
      <c r="W12" s="303">
        <f>IFERROR('Benzin - diesel - hybrid'!W$44*('Benzin - diesel - hybrid'!W$45/'Benzin - diesel - hybrid'!W$16)*IF('Benzin - diesel - hybrid'!W$54="Benzin",'IB - B&amp;D&amp;H'!$C12,IF('Benzin - diesel - hybrid'!W$54="Diesel",'IB - B&amp;D&amp;H'!$D12,0))*(1+'Benzin - diesel - hybrid'!W$52)^-$A12,0)</f>
        <v>0</v>
      </c>
    </row>
    <row r="13" spans="1:27">
      <c r="A13" s="298">
        <f t="shared" si="1"/>
        <v>10</v>
      </c>
      <c r="B13" s="274"/>
      <c r="C13" s="299">
        <f>((C12-Fremskrivninger!E56)*(1+IF('Benzin - diesel - hybrid'!$E$56="ja",'Benzin - diesel - hybrid'!$E$58,'Benzin - diesel - hybrid'!$E$60))+Fremskrivninger!E56)</f>
        <v>9.276103245091381</v>
      </c>
      <c r="D13" s="299">
        <f>((D12-Fremskrivninger!E100)*(1+IF('Benzin - diesel - hybrid'!$E$62="ja",'Benzin - diesel - hybrid'!$E$64,'Benzin - diesel - hybrid'!$E$66))+Fremskrivninger!E100)</f>
        <v>8.2354506013625528</v>
      </c>
      <c r="E13" s="303">
        <f>IFERROR('Benzin - diesel - hybrid'!E$44*('Benzin - diesel - hybrid'!E$45/'Benzin - diesel - hybrid'!E$16)*IF('Benzin - diesel - hybrid'!E$54="Benzin",'IB - B&amp;D&amp;H'!$C13,IF('Benzin - diesel - hybrid'!E$54="Diesel",'IB - B&amp;D&amp;H'!$D13,0))*(1+'Benzin - diesel - hybrid'!E$52)^-$A13,0)</f>
        <v>0</v>
      </c>
      <c r="F13" s="303"/>
      <c r="G13" s="303">
        <f>IFERROR('Benzin - diesel - hybrid'!G$44*('Benzin - diesel - hybrid'!G$45/'Benzin - diesel - hybrid'!G$16)*IF('Benzin - diesel - hybrid'!G$54="Benzin",'IB - B&amp;D&amp;H'!$C13,IF('Benzin - diesel - hybrid'!G$54="Diesel",'IB - B&amp;D&amp;H'!$D13,0))*(1+'Benzin - diesel - hybrid'!G$52)^-$A13,0)</f>
        <v>0</v>
      </c>
      <c r="H13" s="303"/>
      <c r="I13" s="303">
        <f>IFERROR('Benzin - diesel - hybrid'!I$44*('Benzin - diesel - hybrid'!I$45/'Benzin - diesel - hybrid'!I$16)*IF('Benzin - diesel - hybrid'!I$54="Benzin",'IB - B&amp;D&amp;H'!$C13,IF('Benzin - diesel - hybrid'!I$54="Diesel",'IB - B&amp;D&amp;H'!$D13,0))*(1+'Benzin - diesel - hybrid'!I$52)^-$A13,0)</f>
        <v>0</v>
      </c>
      <c r="J13" s="303"/>
      <c r="K13" s="303">
        <f>IFERROR('Benzin - diesel - hybrid'!K$44*('Benzin - diesel - hybrid'!K$45/'Benzin - diesel - hybrid'!K$16)*IF('Benzin - diesel - hybrid'!K$54="Benzin",'IB - B&amp;D&amp;H'!$C13,IF('Benzin - diesel - hybrid'!K$54="Diesel",'IB - B&amp;D&amp;H'!$D13,0))*(1+'Benzin - diesel - hybrid'!K$52)^-$A13,0)</f>
        <v>0</v>
      </c>
      <c r="L13" s="303"/>
      <c r="M13" s="303">
        <f>IFERROR('Benzin - diesel - hybrid'!M$44*('Benzin - diesel - hybrid'!M$45/'Benzin - diesel - hybrid'!M$16)*IF('Benzin - diesel - hybrid'!M$54="Benzin",'IB - B&amp;D&amp;H'!$C13,IF('Benzin - diesel - hybrid'!M$54="Diesel",'IB - B&amp;D&amp;H'!$D13,0))*(1+'Benzin - diesel - hybrid'!M$52)^-$A13,0)</f>
        <v>0</v>
      </c>
      <c r="N13" s="303"/>
      <c r="O13" s="303">
        <f>IFERROR('Benzin - diesel - hybrid'!O$44*('Benzin - diesel - hybrid'!O$45/'Benzin - diesel - hybrid'!O$16)*IF('Benzin - diesel - hybrid'!O$54="Benzin",'IB - B&amp;D&amp;H'!$C13,IF('Benzin - diesel - hybrid'!O$54="Diesel",'IB - B&amp;D&amp;H'!$D13,0))*(1+'Benzin - diesel - hybrid'!O$52)^-$A13,0)</f>
        <v>0</v>
      </c>
      <c r="P13" s="303"/>
      <c r="Q13" s="303">
        <f>IFERROR('Benzin - diesel - hybrid'!Q$44*('Benzin - diesel - hybrid'!Q$45/'Benzin - diesel - hybrid'!Q$16)*IF('Benzin - diesel - hybrid'!Q$54="Benzin",'IB - B&amp;D&amp;H'!$C13,IF('Benzin - diesel - hybrid'!Q$54="Diesel",'IB - B&amp;D&amp;H'!$D13,0))*(1+'Benzin - diesel - hybrid'!Q$52)^-$A13,0)</f>
        <v>0</v>
      </c>
      <c r="R13" s="303"/>
      <c r="S13" s="303">
        <f>IFERROR('Benzin - diesel - hybrid'!S$44*('Benzin - diesel - hybrid'!S$45/'Benzin - diesel - hybrid'!S$16)*IF('Benzin - diesel - hybrid'!S$54="Benzin",'IB - B&amp;D&amp;H'!$C13,IF('Benzin - diesel - hybrid'!S$54="Diesel",'IB - B&amp;D&amp;H'!$D13,0))*(1+'Benzin - diesel - hybrid'!S$52)^-$A13,0)</f>
        <v>0</v>
      </c>
      <c r="U13" s="303">
        <f>IFERROR('Benzin - diesel - hybrid'!U$44*('Benzin - diesel - hybrid'!U$45/'Benzin - diesel - hybrid'!U$16)*IF('Benzin - diesel - hybrid'!U$54="Benzin",'IB - B&amp;D&amp;H'!$C13,IF('Benzin - diesel - hybrid'!U$54="Diesel",'IB - B&amp;D&amp;H'!$D13,0))*(1+'Benzin - diesel - hybrid'!U$52)^-$A13,0)</f>
        <v>0</v>
      </c>
      <c r="W13" s="303">
        <f>IFERROR('Benzin - diesel - hybrid'!W$44*('Benzin - diesel - hybrid'!W$45/'Benzin - diesel - hybrid'!W$16)*IF('Benzin - diesel - hybrid'!W$54="Benzin",'IB - B&amp;D&amp;H'!$C13,IF('Benzin - diesel - hybrid'!W$54="Diesel",'IB - B&amp;D&amp;H'!$D13,0))*(1+'Benzin - diesel - hybrid'!W$52)^-$A13,0)</f>
        <v>0</v>
      </c>
    </row>
    <row r="14" spans="1:27">
      <c r="A14" s="298">
        <f t="shared" si="1"/>
        <v>11</v>
      </c>
      <c r="B14" s="274"/>
      <c r="C14" s="299">
        <f>((C13-Fremskrivninger!E57)*(1+IF('Benzin - diesel - hybrid'!$E$56="ja",'Benzin - diesel - hybrid'!$E$58,'Benzin - diesel - hybrid'!$E$60))+Fremskrivninger!E57)</f>
        <v>9.3402670801981511</v>
      </c>
      <c r="D14" s="299">
        <f>((D13-Fremskrivninger!E101)*(1+IF('Benzin - diesel - hybrid'!$E$62="ja",'Benzin - diesel - hybrid'!$E$64,'Benzin - diesel - hybrid'!$E$66))+Fremskrivninger!E101)</f>
        <v>8.3078846350823099</v>
      </c>
      <c r="E14" s="303">
        <f>IFERROR('Benzin - diesel - hybrid'!E$44*('Benzin - diesel - hybrid'!E$45/'Benzin - diesel - hybrid'!E$16)*IF('Benzin - diesel - hybrid'!E$54="Benzin",'IB - B&amp;D&amp;H'!$C14,IF('Benzin - diesel - hybrid'!E$54="Diesel",'IB - B&amp;D&amp;H'!$D14,0))*(1+'Benzin - diesel - hybrid'!E$52)^-$A14,0)</f>
        <v>0</v>
      </c>
      <c r="F14" s="303"/>
      <c r="G14" s="303">
        <f>IFERROR('Benzin - diesel - hybrid'!G$44*('Benzin - diesel - hybrid'!G$45/'Benzin - diesel - hybrid'!G$16)*IF('Benzin - diesel - hybrid'!G$54="Benzin",'IB - B&amp;D&amp;H'!$C14,IF('Benzin - diesel - hybrid'!G$54="Diesel",'IB - B&amp;D&amp;H'!$D14,0))*(1+'Benzin - diesel - hybrid'!G$52)^-$A14,0)</f>
        <v>0</v>
      </c>
      <c r="H14" s="303"/>
      <c r="I14" s="303">
        <f>IFERROR('Benzin - diesel - hybrid'!I$44*('Benzin - diesel - hybrid'!I$45/'Benzin - diesel - hybrid'!I$16)*IF('Benzin - diesel - hybrid'!I$54="Benzin",'IB - B&amp;D&amp;H'!$C14,IF('Benzin - diesel - hybrid'!I$54="Diesel",'IB - B&amp;D&amp;H'!$D14,0))*(1+'Benzin - diesel - hybrid'!I$52)^-$A14,0)</f>
        <v>0</v>
      </c>
      <c r="J14" s="303"/>
      <c r="K14" s="303">
        <f>IFERROR('Benzin - diesel - hybrid'!K$44*('Benzin - diesel - hybrid'!K$45/'Benzin - diesel - hybrid'!K$16)*IF('Benzin - diesel - hybrid'!K$54="Benzin",'IB - B&amp;D&amp;H'!$C14,IF('Benzin - diesel - hybrid'!K$54="Diesel",'IB - B&amp;D&amp;H'!$D14,0))*(1+'Benzin - diesel - hybrid'!K$52)^-$A14,0)</f>
        <v>0</v>
      </c>
      <c r="L14" s="303"/>
      <c r="M14" s="303">
        <f>IFERROR('Benzin - diesel - hybrid'!M$44*('Benzin - diesel - hybrid'!M$45/'Benzin - diesel - hybrid'!M$16)*IF('Benzin - diesel - hybrid'!M$54="Benzin",'IB - B&amp;D&amp;H'!$C14,IF('Benzin - diesel - hybrid'!M$54="Diesel",'IB - B&amp;D&amp;H'!$D14,0))*(1+'Benzin - diesel - hybrid'!M$52)^-$A14,0)</f>
        <v>0</v>
      </c>
      <c r="N14" s="303"/>
      <c r="O14" s="303">
        <f>IFERROR('Benzin - diesel - hybrid'!O$44*('Benzin - diesel - hybrid'!O$45/'Benzin - diesel - hybrid'!O$16)*IF('Benzin - diesel - hybrid'!O$54="Benzin",'IB - B&amp;D&amp;H'!$C14,IF('Benzin - diesel - hybrid'!O$54="Diesel",'IB - B&amp;D&amp;H'!$D14,0))*(1+'Benzin - diesel - hybrid'!O$52)^-$A14,0)</f>
        <v>0</v>
      </c>
      <c r="P14" s="303"/>
      <c r="Q14" s="303">
        <f>IFERROR('Benzin - diesel - hybrid'!Q$44*('Benzin - diesel - hybrid'!Q$45/'Benzin - diesel - hybrid'!Q$16)*IF('Benzin - diesel - hybrid'!Q$54="Benzin",'IB - B&amp;D&amp;H'!$C14,IF('Benzin - diesel - hybrid'!Q$54="Diesel",'IB - B&amp;D&amp;H'!$D14,0))*(1+'Benzin - diesel - hybrid'!Q$52)^-$A14,0)</f>
        <v>0</v>
      </c>
      <c r="R14" s="303"/>
      <c r="S14" s="303">
        <f>IFERROR('Benzin - diesel - hybrid'!S$44*('Benzin - diesel - hybrid'!S$45/'Benzin - diesel - hybrid'!S$16)*IF('Benzin - diesel - hybrid'!S$54="Benzin",'IB - B&amp;D&amp;H'!$C14,IF('Benzin - diesel - hybrid'!S$54="Diesel",'IB - B&amp;D&amp;H'!$D14,0))*(1+'Benzin - diesel - hybrid'!S$52)^-$A14,0)</f>
        <v>0</v>
      </c>
      <c r="U14" s="303">
        <f>IFERROR('Benzin - diesel - hybrid'!U$44*('Benzin - diesel - hybrid'!U$45/'Benzin - diesel - hybrid'!U$16)*IF('Benzin - diesel - hybrid'!U$54="Benzin",'IB - B&amp;D&amp;H'!$C14,IF('Benzin - diesel - hybrid'!U$54="Diesel",'IB - B&amp;D&amp;H'!$D14,0))*(1+'Benzin - diesel - hybrid'!U$52)^-$A14,0)</f>
        <v>0</v>
      </c>
      <c r="W14" s="303">
        <f>IFERROR('Benzin - diesel - hybrid'!W$44*('Benzin - diesel - hybrid'!W$45/'Benzin - diesel - hybrid'!W$16)*IF('Benzin - diesel - hybrid'!W$54="Benzin",'IB - B&amp;D&amp;H'!$C14,IF('Benzin - diesel - hybrid'!W$54="Diesel",'IB - B&amp;D&amp;H'!$D14,0))*(1+'Benzin - diesel - hybrid'!W$52)^-$A14,0)</f>
        <v>0</v>
      </c>
    </row>
    <row r="15" spans="1:27">
      <c r="A15" s="298">
        <f t="shared" si="1"/>
        <v>12</v>
      </c>
      <c r="B15" s="274"/>
      <c r="C15" s="299">
        <f>((C14-Fremskrivninger!E58)*(1+IF('Benzin - diesel - hybrid'!$E$56="ja",'Benzin - diesel - hybrid'!$E$58,'Benzin - diesel - hybrid'!$E$60))+Fremskrivninger!E58)</f>
        <v>9.4053227926129068</v>
      </c>
      <c r="D15" s="299">
        <f>((D14-Fremskrivninger!E102)*(1+IF('Benzin - diesel - hybrid'!$E$62="ja",'Benzin - diesel - hybrid'!$E$64,'Benzin - diesel - hybrid'!$E$66))+Fremskrivninger!E102)</f>
        <v>8.3813689622910026</v>
      </c>
      <c r="E15" s="303">
        <f>IFERROR('Benzin - diesel - hybrid'!E$44*('Benzin - diesel - hybrid'!E$45/'Benzin - diesel - hybrid'!E$16)*IF('Benzin - diesel - hybrid'!E$54="Benzin",'IB - B&amp;D&amp;H'!$C15,IF('Benzin - diesel - hybrid'!E$54="Diesel",'IB - B&amp;D&amp;H'!$D15,0))*(1+'Benzin - diesel - hybrid'!E$52)^-$A15,0)</f>
        <v>0</v>
      </c>
      <c r="F15" s="303"/>
      <c r="G15" s="303">
        <f>IFERROR('Benzin - diesel - hybrid'!G$44*('Benzin - diesel - hybrid'!G$45/'Benzin - diesel - hybrid'!G$16)*IF('Benzin - diesel - hybrid'!G$54="Benzin",'IB - B&amp;D&amp;H'!$C15,IF('Benzin - diesel - hybrid'!G$54="Diesel",'IB - B&amp;D&amp;H'!$D15,0))*(1+'Benzin - diesel - hybrid'!G$52)^-$A15,0)</f>
        <v>0</v>
      </c>
      <c r="H15" s="303"/>
      <c r="I15" s="303">
        <f>IFERROR('Benzin - diesel - hybrid'!I$44*('Benzin - diesel - hybrid'!I$45/'Benzin - diesel - hybrid'!I$16)*IF('Benzin - diesel - hybrid'!I$54="Benzin",'IB - B&amp;D&amp;H'!$C15,IF('Benzin - diesel - hybrid'!I$54="Diesel",'IB - B&amp;D&amp;H'!$D15,0))*(1+'Benzin - diesel - hybrid'!I$52)^-$A15,0)</f>
        <v>0</v>
      </c>
      <c r="J15" s="303"/>
      <c r="K15" s="303">
        <f>IFERROR('Benzin - diesel - hybrid'!K$44*('Benzin - diesel - hybrid'!K$45/'Benzin - diesel - hybrid'!K$16)*IF('Benzin - diesel - hybrid'!K$54="Benzin",'IB - B&amp;D&amp;H'!$C15,IF('Benzin - diesel - hybrid'!K$54="Diesel",'IB - B&amp;D&amp;H'!$D15,0))*(1+'Benzin - diesel - hybrid'!K$52)^-$A15,0)</f>
        <v>0</v>
      </c>
      <c r="L15" s="303"/>
      <c r="M15" s="303">
        <f>IFERROR('Benzin - diesel - hybrid'!M$44*('Benzin - diesel - hybrid'!M$45/'Benzin - diesel - hybrid'!M$16)*IF('Benzin - diesel - hybrid'!M$54="Benzin",'IB - B&amp;D&amp;H'!$C15,IF('Benzin - diesel - hybrid'!M$54="Diesel",'IB - B&amp;D&amp;H'!$D15,0))*(1+'Benzin - diesel - hybrid'!M$52)^-$A15,0)</f>
        <v>0</v>
      </c>
      <c r="N15" s="303"/>
      <c r="O15" s="303">
        <f>IFERROR('Benzin - diesel - hybrid'!O$44*('Benzin - diesel - hybrid'!O$45/'Benzin - diesel - hybrid'!O$16)*IF('Benzin - diesel - hybrid'!O$54="Benzin",'IB - B&amp;D&amp;H'!$C15,IF('Benzin - diesel - hybrid'!O$54="Diesel",'IB - B&amp;D&amp;H'!$D15,0))*(1+'Benzin - diesel - hybrid'!O$52)^-$A15,0)</f>
        <v>0</v>
      </c>
      <c r="P15" s="303"/>
      <c r="Q15" s="303">
        <f>IFERROR('Benzin - diesel - hybrid'!Q$44*('Benzin - diesel - hybrid'!Q$45/'Benzin - diesel - hybrid'!Q$16)*IF('Benzin - diesel - hybrid'!Q$54="Benzin",'IB - B&amp;D&amp;H'!$C15,IF('Benzin - diesel - hybrid'!Q$54="Diesel",'IB - B&amp;D&amp;H'!$D15,0))*(1+'Benzin - diesel - hybrid'!Q$52)^-$A15,0)</f>
        <v>0</v>
      </c>
      <c r="R15" s="303"/>
      <c r="S15" s="303">
        <f>IFERROR('Benzin - diesel - hybrid'!S$44*('Benzin - diesel - hybrid'!S$45/'Benzin - diesel - hybrid'!S$16)*IF('Benzin - diesel - hybrid'!S$54="Benzin",'IB - B&amp;D&amp;H'!$C15,IF('Benzin - diesel - hybrid'!S$54="Diesel",'IB - B&amp;D&amp;H'!$D15,0))*(1+'Benzin - diesel - hybrid'!S$52)^-$A15,0)</f>
        <v>0</v>
      </c>
      <c r="U15" s="303">
        <f>IFERROR('Benzin - diesel - hybrid'!U$44*('Benzin - diesel - hybrid'!U$45/'Benzin - diesel - hybrid'!U$16)*IF('Benzin - diesel - hybrid'!U$54="Benzin",'IB - B&amp;D&amp;H'!$C15,IF('Benzin - diesel - hybrid'!U$54="Diesel",'IB - B&amp;D&amp;H'!$D15,0))*(1+'Benzin - diesel - hybrid'!U$52)^-$A15,0)</f>
        <v>0</v>
      </c>
      <c r="W15" s="303">
        <f>IFERROR('Benzin - diesel - hybrid'!W$44*('Benzin - diesel - hybrid'!W$45/'Benzin - diesel - hybrid'!W$16)*IF('Benzin - diesel - hybrid'!W$54="Benzin",'IB - B&amp;D&amp;H'!$C15,IF('Benzin - diesel - hybrid'!W$54="Diesel",'IB - B&amp;D&amp;H'!$D15,0))*(1+'Benzin - diesel - hybrid'!W$52)^-$A15,0)</f>
        <v>0</v>
      </c>
    </row>
    <row r="16" spans="1:27">
      <c r="A16" s="298">
        <f t="shared" si="1"/>
        <v>13</v>
      </c>
      <c r="B16" s="274"/>
      <c r="C16" s="299">
        <f>((C15-Fremskrivninger!E59)*(1+IF('Benzin - diesel - hybrid'!$E$56="ja",'Benzin - diesel - hybrid'!$E$58,'Benzin - diesel - hybrid'!$E$60))+Fremskrivninger!E59)</f>
        <v>9.4712827794302257</v>
      </c>
      <c r="D16" s="299">
        <f>((D15-Fremskrivninger!E103)*(1+IF('Benzin - diesel - hybrid'!$E$62="ja",'Benzin - diesel - hybrid'!$E$64,'Benzin - diesel - hybrid'!$E$66))+Fremskrivninger!E103)</f>
        <v>8.4559188122442208</v>
      </c>
      <c r="E16" s="303">
        <f>IFERROR('Benzin - diesel - hybrid'!E$44*('Benzin - diesel - hybrid'!E$45/'Benzin - diesel - hybrid'!E$16)*IF('Benzin - diesel - hybrid'!E$54="Benzin",'IB - B&amp;D&amp;H'!$C16,IF('Benzin - diesel - hybrid'!E$54="Diesel",'IB - B&amp;D&amp;H'!$D16,0))*(1+'Benzin - diesel - hybrid'!E$52)^-$A16,0)</f>
        <v>0</v>
      </c>
      <c r="F16" s="303"/>
      <c r="G16" s="303">
        <f>IFERROR('Benzin - diesel - hybrid'!G$44*('Benzin - diesel - hybrid'!G$45/'Benzin - diesel - hybrid'!G$16)*IF('Benzin - diesel - hybrid'!G$54="Benzin",'IB - B&amp;D&amp;H'!$C16,IF('Benzin - diesel - hybrid'!G$54="Diesel",'IB - B&amp;D&amp;H'!$D16,0))*(1+'Benzin - diesel - hybrid'!G$52)^-$A16,0)</f>
        <v>0</v>
      </c>
      <c r="H16" s="303"/>
      <c r="I16" s="303">
        <f>IFERROR('Benzin - diesel - hybrid'!I$44*('Benzin - diesel - hybrid'!I$45/'Benzin - diesel - hybrid'!I$16)*IF('Benzin - diesel - hybrid'!I$54="Benzin",'IB - B&amp;D&amp;H'!$C16,IF('Benzin - diesel - hybrid'!I$54="Diesel",'IB - B&amp;D&amp;H'!$D16,0))*(1+'Benzin - diesel - hybrid'!I$52)^-$A16,0)</f>
        <v>0</v>
      </c>
      <c r="J16" s="303"/>
      <c r="K16" s="303">
        <f>IFERROR('Benzin - diesel - hybrid'!K$44*('Benzin - diesel - hybrid'!K$45/'Benzin - diesel - hybrid'!K$16)*IF('Benzin - diesel - hybrid'!K$54="Benzin",'IB - B&amp;D&amp;H'!$C16,IF('Benzin - diesel - hybrid'!K$54="Diesel",'IB - B&amp;D&amp;H'!$D16,0))*(1+'Benzin - diesel - hybrid'!K$52)^-$A16,0)</f>
        <v>0</v>
      </c>
      <c r="L16" s="303"/>
      <c r="M16" s="303">
        <f>IFERROR('Benzin - diesel - hybrid'!M$44*('Benzin - diesel - hybrid'!M$45/'Benzin - diesel - hybrid'!M$16)*IF('Benzin - diesel - hybrid'!M$54="Benzin",'IB - B&amp;D&amp;H'!$C16,IF('Benzin - diesel - hybrid'!M$54="Diesel",'IB - B&amp;D&amp;H'!$D16,0))*(1+'Benzin - diesel - hybrid'!M$52)^-$A16,0)</f>
        <v>0</v>
      </c>
      <c r="N16" s="303"/>
      <c r="O16" s="303">
        <f>IFERROR('Benzin - diesel - hybrid'!O$44*('Benzin - diesel - hybrid'!O$45/'Benzin - diesel - hybrid'!O$16)*IF('Benzin - diesel - hybrid'!O$54="Benzin",'IB - B&amp;D&amp;H'!$C16,IF('Benzin - diesel - hybrid'!O$54="Diesel",'IB - B&amp;D&amp;H'!$D16,0))*(1+'Benzin - diesel - hybrid'!O$52)^-$A16,0)</f>
        <v>0</v>
      </c>
      <c r="P16" s="303"/>
      <c r="Q16" s="303">
        <f>IFERROR('Benzin - diesel - hybrid'!Q$44*('Benzin - diesel - hybrid'!Q$45/'Benzin - diesel - hybrid'!Q$16)*IF('Benzin - diesel - hybrid'!Q$54="Benzin",'IB - B&amp;D&amp;H'!$C16,IF('Benzin - diesel - hybrid'!Q$54="Diesel",'IB - B&amp;D&amp;H'!$D16,0))*(1+'Benzin - diesel - hybrid'!Q$52)^-$A16,0)</f>
        <v>0</v>
      </c>
      <c r="R16" s="303"/>
      <c r="S16" s="303">
        <f>IFERROR('Benzin - diesel - hybrid'!S$44*('Benzin - diesel - hybrid'!S$45/'Benzin - diesel - hybrid'!S$16)*IF('Benzin - diesel - hybrid'!S$54="Benzin",'IB - B&amp;D&amp;H'!$C16,IF('Benzin - diesel - hybrid'!S$54="Diesel",'IB - B&amp;D&amp;H'!$D16,0))*(1+'Benzin - diesel - hybrid'!S$52)^-$A16,0)</f>
        <v>0</v>
      </c>
      <c r="U16" s="303">
        <f>IFERROR('Benzin - diesel - hybrid'!U$44*('Benzin - diesel - hybrid'!U$45/'Benzin - diesel - hybrid'!U$16)*IF('Benzin - diesel - hybrid'!U$54="Benzin",'IB - B&amp;D&amp;H'!$C16,IF('Benzin - diesel - hybrid'!U$54="Diesel",'IB - B&amp;D&amp;H'!$D16,0))*(1+'Benzin - diesel - hybrid'!U$52)^-$A16,0)</f>
        <v>0</v>
      </c>
      <c r="W16" s="303">
        <f>IFERROR('Benzin - diesel - hybrid'!W$44*('Benzin - diesel - hybrid'!W$45/'Benzin - diesel - hybrid'!W$16)*IF('Benzin - diesel - hybrid'!W$54="Benzin",'IB - B&amp;D&amp;H'!$C16,IF('Benzin - diesel - hybrid'!W$54="Diesel",'IB - B&amp;D&amp;H'!$D16,0))*(1+'Benzin - diesel - hybrid'!W$52)^-$A16,0)</f>
        <v>0</v>
      </c>
    </row>
    <row r="17" spans="1:26">
      <c r="A17" s="298">
        <f t="shared" si="1"/>
        <v>14</v>
      </c>
      <c r="B17" s="274"/>
      <c r="C17" s="299">
        <f>((C16-Fremskrivninger!E60)*(1+IF('Benzin - diesel - hybrid'!$E$56="ja",'Benzin - diesel - hybrid'!$E$58,'Benzin - diesel - hybrid'!$E$60))+Fremskrivninger!E60)</f>
        <v>9.5381596100643051</v>
      </c>
      <c r="D17" s="299">
        <f>((D16-Fremskrivninger!E104)*(1+IF('Benzin - diesel - hybrid'!$E$62="ja",'Benzin - diesel - hybrid'!$E$64,'Benzin - diesel - hybrid'!$E$66))+Fremskrivninger!E104)</f>
        <v>8.5315496350217614</v>
      </c>
      <c r="E17" s="303">
        <f>IFERROR('Benzin - diesel - hybrid'!E$44*('Benzin - diesel - hybrid'!E$45/'Benzin - diesel - hybrid'!E$16)*IF('Benzin - diesel - hybrid'!E$54="Benzin",'IB - B&amp;D&amp;H'!$C17,IF('Benzin - diesel - hybrid'!E$54="Diesel",'IB - B&amp;D&amp;H'!$D17,0))*(1+'Benzin - diesel - hybrid'!E$52)^-$A17,0)</f>
        <v>0</v>
      </c>
      <c r="F17" s="303"/>
      <c r="G17" s="303">
        <f>IFERROR('Benzin - diesel - hybrid'!G$44*('Benzin - diesel - hybrid'!G$45/'Benzin - diesel - hybrid'!G$16)*IF('Benzin - diesel - hybrid'!G$54="Benzin",'IB - B&amp;D&amp;H'!$C17,IF('Benzin - diesel - hybrid'!G$54="Diesel",'IB - B&amp;D&amp;H'!$D17,0))*(1+'Benzin - diesel - hybrid'!G$52)^-$A17,0)</f>
        <v>0</v>
      </c>
      <c r="H17" s="303"/>
      <c r="I17" s="303">
        <f>IFERROR('Benzin - diesel - hybrid'!I$44*('Benzin - diesel - hybrid'!I$45/'Benzin - diesel - hybrid'!I$16)*IF('Benzin - diesel - hybrid'!I$54="Benzin",'IB - B&amp;D&amp;H'!$C17,IF('Benzin - diesel - hybrid'!I$54="Diesel",'IB - B&amp;D&amp;H'!$D17,0))*(1+'Benzin - diesel - hybrid'!I$52)^-$A17,0)</f>
        <v>0</v>
      </c>
      <c r="J17" s="303"/>
      <c r="K17" s="303">
        <f>IFERROR('Benzin - diesel - hybrid'!K$44*('Benzin - diesel - hybrid'!K$45/'Benzin - diesel - hybrid'!K$16)*IF('Benzin - diesel - hybrid'!K$54="Benzin",'IB - B&amp;D&amp;H'!$C17,IF('Benzin - diesel - hybrid'!K$54="Diesel",'IB - B&amp;D&amp;H'!$D17,0))*(1+'Benzin - diesel - hybrid'!K$52)^-$A17,0)</f>
        <v>0</v>
      </c>
      <c r="L17" s="303"/>
      <c r="M17" s="303">
        <f>IFERROR('Benzin - diesel - hybrid'!M$44*('Benzin - diesel - hybrid'!M$45/'Benzin - diesel - hybrid'!M$16)*IF('Benzin - diesel - hybrid'!M$54="Benzin",'IB - B&amp;D&amp;H'!$C17,IF('Benzin - diesel - hybrid'!M$54="Diesel",'IB - B&amp;D&amp;H'!$D17,0))*(1+'Benzin - diesel - hybrid'!M$52)^-$A17,0)</f>
        <v>0</v>
      </c>
      <c r="N17" s="303"/>
      <c r="O17" s="303">
        <f>IFERROR('Benzin - diesel - hybrid'!O$44*('Benzin - diesel - hybrid'!O$45/'Benzin - diesel - hybrid'!O$16)*IF('Benzin - diesel - hybrid'!O$54="Benzin",'IB - B&amp;D&amp;H'!$C17,IF('Benzin - diesel - hybrid'!O$54="Diesel",'IB - B&amp;D&amp;H'!$D17,0))*(1+'Benzin - diesel - hybrid'!O$52)^-$A17,0)</f>
        <v>0</v>
      </c>
      <c r="P17" s="303"/>
      <c r="Q17" s="303">
        <f>IFERROR('Benzin - diesel - hybrid'!Q$44*('Benzin - diesel - hybrid'!Q$45/'Benzin - diesel - hybrid'!Q$16)*IF('Benzin - diesel - hybrid'!Q$54="Benzin",'IB - B&amp;D&amp;H'!$C17,IF('Benzin - diesel - hybrid'!Q$54="Diesel",'IB - B&amp;D&amp;H'!$D17,0))*(1+'Benzin - diesel - hybrid'!Q$52)^-$A17,0)</f>
        <v>0</v>
      </c>
      <c r="R17" s="303"/>
      <c r="S17" s="303">
        <f>IFERROR('Benzin - diesel - hybrid'!S$44*('Benzin - diesel - hybrid'!S$45/'Benzin - diesel - hybrid'!S$16)*IF('Benzin - diesel - hybrid'!S$54="Benzin",'IB - B&amp;D&amp;H'!$C17,IF('Benzin - diesel - hybrid'!S$54="Diesel",'IB - B&amp;D&amp;H'!$D17,0))*(1+'Benzin - diesel - hybrid'!S$52)^-$A17,0)</f>
        <v>0</v>
      </c>
      <c r="U17" s="303">
        <f>IFERROR('Benzin - diesel - hybrid'!U$44*('Benzin - diesel - hybrid'!U$45/'Benzin - diesel - hybrid'!U$16)*IF('Benzin - diesel - hybrid'!U$54="Benzin",'IB - B&amp;D&amp;H'!$C17,IF('Benzin - diesel - hybrid'!U$54="Diesel",'IB - B&amp;D&amp;H'!$D17,0))*(1+'Benzin - diesel - hybrid'!U$52)^-$A17,0)</f>
        <v>0</v>
      </c>
      <c r="W17" s="303">
        <f>IFERROR('Benzin - diesel - hybrid'!W$44*('Benzin - diesel - hybrid'!W$45/'Benzin - diesel - hybrid'!W$16)*IF('Benzin - diesel - hybrid'!W$54="Benzin",'IB - B&amp;D&amp;H'!$C17,IF('Benzin - diesel - hybrid'!W$54="Diesel",'IB - B&amp;D&amp;H'!$D17,0))*(1+'Benzin - diesel - hybrid'!W$52)^-$A17,0)</f>
        <v>0</v>
      </c>
    </row>
    <row r="18" spans="1:26">
      <c r="A18" s="298">
        <f t="shared" si="1"/>
        <v>15</v>
      </c>
      <c r="B18" s="274"/>
      <c r="C18" s="299">
        <f>((C17-Fremskrivninger!E61)*(1+IF('Benzin - diesel - hybrid'!$E$56="ja",'Benzin - diesel - hybrid'!$E$58,'Benzin - diesel - hybrid'!$E$60))+Fremskrivninger!E61)</f>
        <v>9.6059660286442003</v>
      </c>
      <c r="D18" s="299">
        <f>((D17-Fremskrivninger!E105)*(1+IF('Benzin - diesel - hybrid'!$E$62="ja",'Benzin - diesel - hybrid'!$E$64,'Benzin - diesel - hybrid'!$E$66))+Fremskrivninger!E105)</f>
        <v>8.6082771047295772</v>
      </c>
      <c r="E18" s="303">
        <f>IFERROR('Benzin - diesel - hybrid'!E$44*('Benzin - diesel - hybrid'!E$45/'Benzin - diesel - hybrid'!E$16)*IF('Benzin - diesel - hybrid'!E$54="Benzin",'IB - B&amp;D&amp;H'!$C18,IF('Benzin - diesel - hybrid'!E$54="Diesel",'IB - B&amp;D&amp;H'!$D18,0))*(1+'Benzin - diesel - hybrid'!E$52)^-$A18,0)</f>
        <v>0</v>
      </c>
      <c r="F18" s="303"/>
      <c r="G18" s="303">
        <f>IFERROR('Benzin - diesel - hybrid'!G$44*('Benzin - diesel - hybrid'!G$45/'Benzin - diesel - hybrid'!G$16)*IF('Benzin - diesel - hybrid'!G$54="Benzin",'IB - B&amp;D&amp;H'!$C18,IF('Benzin - diesel - hybrid'!G$54="Diesel",'IB - B&amp;D&amp;H'!$D18,0))*(1+'Benzin - diesel - hybrid'!G$52)^-$A18,0)</f>
        <v>0</v>
      </c>
      <c r="H18" s="303"/>
      <c r="I18" s="303">
        <f>IFERROR('Benzin - diesel - hybrid'!I$44*('Benzin - diesel - hybrid'!I$45/'Benzin - diesel - hybrid'!I$16)*IF('Benzin - diesel - hybrid'!I$54="Benzin",'IB - B&amp;D&amp;H'!$C18,IF('Benzin - diesel - hybrid'!I$54="Diesel",'IB - B&amp;D&amp;H'!$D18,0))*(1+'Benzin - diesel - hybrid'!I$52)^-$A18,0)</f>
        <v>0</v>
      </c>
      <c r="J18" s="303"/>
      <c r="K18" s="303">
        <f>IFERROR('Benzin - diesel - hybrid'!K$44*('Benzin - diesel - hybrid'!K$45/'Benzin - diesel - hybrid'!K$16)*IF('Benzin - diesel - hybrid'!K$54="Benzin",'IB - B&amp;D&amp;H'!$C18,IF('Benzin - diesel - hybrid'!K$54="Diesel",'IB - B&amp;D&amp;H'!$D18,0))*(1+'Benzin - diesel - hybrid'!K$52)^-$A18,0)</f>
        <v>0</v>
      </c>
      <c r="L18" s="303"/>
      <c r="M18" s="303">
        <f>IFERROR('Benzin - diesel - hybrid'!M$44*('Benzin - diesel - hybrid'!M$45/'Benzin - diesel - hybrid'!M$16)*IF('Benzin - diesel - hybrid'!M$54="Benzin",'IB - B&amp;D&amp;H'!$C18,IF('Benzin - diesel - hybrid'!M$54="Diesel",'IB - B&amp;D&amp;H'!$D18,0))*(1+'Benzin - diesel - hybrid'!M$52)^-$A18,0)</f>
        <v>0</v>
      </c>
      <c r="N18" s="303"/>
      <c r="O18" s="303">
        <f>IFERROR('Benzin - diesel - hybrid'!O$44*('Benzin - diesel - hybrid'!O$45/'Benzin - diesel - hybrid'!O$16)*IF('Benzin - diesel - hybrid'!O$54="Benzin",'IB - B&amp;D&amp;H'!$C18,IF('Benzin - diesel - hybrid'!O$54="Diesel",'IB - B&amp;D&amp;H'!$D18,0))*(1+'Benzin - diesel - hybrid'!O$52)^-$A18,0)</f>
        <v>0</v>
      </c>
      <c r="P18" s="303"/>
      <c r="Q18" s="303">
        <f>IFERROR('Benzin - diesel - hybrid'!Q$44*('Benzin - diesel - hybrid'!Q$45/'Benzin - diesel - hybrid'!Q$16)*IF('Benzin - diesel - hybrid'!Q$54="Benzin",'IB - B&amp;D&amp;H'!$C18,IF('Benzin - diesel - hybrid'!Q$54="Diesel",'IB - B&amp;D&amp;H'!$D18,0))*(1+'Benzin - diesel - hybrid'!Q$52)^-$A18,0)</f>
        <v>0</v>
      </c>
      <c r="R18" s="303"/>
      <c r="S18" s="303">
        <f>IFERROR('Benzin - diesel - hybrid'!S$44*('Benzin - diesel - hybrid'!S$45/'Benzin - diesel - hybrid'!S$16)*IF('Benzin - diesel - hybrid'!S$54="Benzin",'IB - B&amp;D&amp;H'!$C18,IF('Benzin - diesel - hybrid'!S$54="Diesel",'IB - B&amp;D&amp;H'!$D18,0))*(1+'Benzin - diesel - hybrid'!S$52)^-$A18,0)</f>
        <v>0</v>
      </c>
      <c r="U18" s="303">
        <f>IFERROR('Benzin - diesel - hybrid'!U$44*('Benzin - diesel - hybrid'!U$45/'Benzin - diesel - hybrid'!U$16)*IF('Benzin - diesel - hybrid'!U$54="Benzin",'IB - B&amp;D&amp;H'!$C18,IF('Benzin - diesel - hybrid'!U$54="Diesel",'IB - B&amp;D&amp;H'!$D18,0))*(1+'Benzin - diesel - hybrid'!U$52)^-$A18,0)</f>
        <v>0</v>
      </c>
      <c r="W18" s="303">
        <f>IFERROR('Benzin - diesel - hybrid'!W$44*('Benzin - diesel - hybrid'!W$45/'Benzin - diesel - hybrid'!W$16)*IF('Benzin - diesel - hybrid'!W$54="Benzin",'IB - B&amp;D&amp;H'!$C18,IF('Benzin - diesel - hybrid'!W$54="Diesel",'IB - B&amp;D&amp;H'!$D18,0))*(1+'Benzin - diesel - hybrid'!W$52)^-$A18,0)</f>
        <v>0</v>
      </c>
    </row>
    <row r="19" spans="1:26">
      <c r="A19" s="298">
        <f t="shared" si="1"/>
        <v>16</v>
      </c>
      <c r="B19" s="274"/>
      <c r="C19" s="299">
        <f>((C18-Fremskrivninger!E62)*(1+IF('Benzin - diesel - hybrid'!$E$56="ja",'Benzin - diesel - hybrid'!$E$58,'Benzin - diesel - hybrid'!$E$60))+Fremskrivninger!E62)</f>
        <v>9.6747149564423545</v>
      </c>
      <c r="D19" s="299">
        <f>((D18-Fremskrivninger!E106)*(1+IF('Benzin - diesel - hybrid'!$E$62="ja",'Benzin - diesel - hybrid'!$E$64,'Benzin - diesel - hybrid'!$E$66))+Fremskrivninger!E106)</f>
        <v>8.6861171227481559</v>
      </c>
      <c r="E19" s="303">
        <f>IFERROR('Benzin - diesel - hybrid'!E$44*('Benzin - diesel - hybrid'!E$45/'Benzin - diesel - hybrid'!E$16)*IF('Benzin - diesel - hybrid'!E$54="Benzin",'IB - B&amp;D&amp;H'!$C19,IF('Benzin - diesel - hybrid'!E$54="Diesel",'IB - B&amp;D&amp;H'!$D19,0))*(1+'Benzin - diesel - hybrid'!E$52)^-$A19,0)</f>
        <v>0</v>
      </c>
      <c r="F19" s="303"/>
      <c r="G19" s="303">
        <f>IFERROR('Benzin - diesel - hybrid'!G$44*('Benzin - diesel - hybrid'!G$45/'Benzin - diesel - hybrid'!G$16)*IF('Benzin - diesel - hybrid'!G$54="Benzin",'IB - B&amp;D&amp;H'!$C19,IF('Benzin - diesel - hybrid'!G$54="Diesel",'IB - B&amp;D&amp;H'!$D19,0))*(1+'Benzin - diesel - hybrid'!G$52)^-$A19,0)</f>
        <v>0</v>
      </c>
      <c r="H19" s="303"/>
      <c r="I19" s="303">
        <f>IFERROR('Benzin - diesel - hybrid'!I$44*('Benzin - diesel - hybrid'!I$45/'Benzin - diesel - hybrid'!I$16)*IF('Benzin - diesel - hybrid'!I$54="Benzin",'IB - B&amp;D&amp;H'!$C19,IF('Benzin - diesel - hybrid'!I$54="Diesel",'IB - B&amp;D&amp;H'!$D19,0))*(1+'Benzin - diesel - hybrid'!I$52)^-$A19,0)</f>
        <v>0</v>
      </c>
      <c r="J19" s="303"/>
      <c r="K19" s="303">
        <f>IFERROR('Benzin - diesel - hybrid'!K$44*('Benzin - diesel - hybrid'!K$45/'Benzin - diesel - hybrid'!K$16)*IF('Benzin - diesel - hybrid'!K$54="Benzin",'IB - B&amp;D&amp;H'!$C19,IF('Benzin - diesel - hybrid'!K$54="Diesel",'IB - B&amp;D&amp;H'!$D19,0))*(1+'Benzin - diesel - hybrid'!K$52)^-$A19,0)</f>
        <v>0</v>
      </c>
      <c r="L19" s="303"/>
      <c r="M19" s="303">
        <f>IFERROR('Benzin - diesel - hybrid'!M$44*('Benzin - diesel - hybrid'!M$45/'Benzin - diesel - hybrid'!M$16)*IF('Benzin - diesel - hybrid'!M$54="Benzin",'IB - B&amp;D&amp;H'!$C19,IF('Benzin - diesel - hybrid'!M$54="Diesel",'IB - B&amp;D&amp;H'!$D19,0))*(1+'Benzin - diesel - hybrid'!M$52)^-$A19,0)</f>
        <v>0</v>
      </c>
      <c r="N19" s="303"/>
      <c r="O19" s="303">
        <f>IFERROR('Benzin - diesel - hybrid'!O$44*('Benzin - diesel - hybrid'!O$45/'Benzin - diesel - hybrid'!O$16)*IF('Benzin - diesel - hybrid'!O$54="Benzin",'IB - B&amp;D&amp;H'!$C19,IF('Benzin - diesel - hybrid'!O$54="Diesel",'IB - B&amp;D&amp;H'!$D19,0))*(1+'Benzin - diesel - hybrid'!O$52)^-$A19,0)</f>
        <v>0</v>
      </c>
      <c r="P19" s="303"/>
      <c r="Q19" s="303">
        <f>IFERROR('Benzin - diesel - hybrid'!Q$44*('Benzin - diesel - hybrid'!Q$45/'Benzin - diesel - hybrid'!Q$16)*IF('Benzin - diesel - hybrid'!Q$54="Benzin",'IB - B&amp;D&amp;H'!$C19,IF('Benzin - diesel - hybrid'!Q$54="Diesel",'IB - B&amp;D&amp;H'!$D19,0))*(1+'Benzin - diesel - hybrid'!Q$52)^-$A19,0)</f>
        <v>0</v>
      </c>
      <c r="R19" s="303"/>
      <c r="S19" s="303">
        <f>IFERROR('Benzin - diesel - hybrid'!S$44*('Benzin - diesel - hybrid'!S$45/'Benzin - diesel - hybrid'!S$16)*IF('Benzin - diesel - hybrid'!S$54="Benzin",'IB - B&amp;D&amp;H'!$C19,IF('Benzin - diesel - hybrid'!S$54="Diesel",'IB - B&amp;D&amp;H'!$D19,0))*(1+'Benzin - diesel - hybrid'!S$52)^-$A19,0)</f>
        <v>0</v>
      </c>
      <c r="U19" s="303">
        <f>IFERROR('Benzin - diesel - hybrid'!U$44*('Benzin - diesel - hybrid'!U$45/'Benzin - diesel - hybrid'!U$16)*IF('Benzin - diesel - hybrid'!U$54="Benzin",'IB - B&amp;D&amp;H'!$C19,IF('Benzin - diesel - hybrid'!U$54="Diesel",'IB - B&amp;D&amp;H'!$D19,0))*(1+'Benzin - diesel - hybrid'!U$52)^-$A19,0)</f>
        <v>0</v>
      </c>
      <c r="W19" s="303">
        <f>IFERROR('Benzin - diesel - hybrid'!W$44*('Benzin - diesel - hybrid'!W$45/'Benzin - diesel - hybrid'!W$16)*IF('Benzin - diesel - hybrid'!W$54="Benzin",'IB - B&amp;D&amp;H'!$C19,IF('Benzin - diesel - hybrid'!W$54="Diesel",'IB - B&amp;D&amp;H'!$D19,0))*(1+'Benzin - diesel - hybrid'!W$52)^-$A19,0)</f>
        <v>0</v>
      </c>
    </row>
    <row r="20" spans="1:26">
      <c r="A20" s="298">
        <f t="shared" si="1"/>
        <v>17</v>
      </c>
      <c r="B20" s="274"/>
      <c r="C20" s="299">
        <f>((C19-Fremskrivninger!E63)*(1+IF('Benzin - diesel - hybrid'!$E$56="ja",'Benzin - diesel - hybrid'!$E$58,'Benzin - diesel - hybrid'!$E$60))+Fremskrivninger!E63)</f>
        <v>9.7444194943369027</v>
      </c>
      <c r="D20" s="299">
        <f>((D19-Fremskrivninger!E107)*(1+IF('Benzin - diesel - hybrid'!$E$62="ja",'Benzin - diesel - hybrid'!$E$64,'Benzin - diesel - hybrid'!$E$66))+Fremskrivninger!E107)</f>
        <v>8.7650858210280038</v>
      </c>
      <c r="E20" s="303">
        <f>IFERROR('Benzin - diesel - hybrid'!E$44*('Benzin - diesel - hybrid'!E$45/'Benzin - diesel - hybrid'!E$16)*IF('Benzin - diesel - hybrid'!E$54="Benzin",'IB - B&amp;D&amp;H'!$C20,IF('Benzin - diesel - hybrid'!E$54="Diesel",'IB - B&amp;D&amp;H'!$D20,0))*(1+'Benzin - diesel - hybrid'!E$52)^-$A20,0)</f>
        <v>0</v>
      </c>
      <c r="F20" s="303"/>
      <c r="G20" s="303">
        <f>IFERROR('Benzin - diesel - hybrid'!G$44*('Benzin - diesel - hybrid'!G$45/'Benzin - diesel - hybrid'!G$16)*IF('Benzin - diesel - hybrid'!G$54="Benzin",'IB - B&amp;D&amp;H'!$C20,IF('Benzin - diesel - hybrid'!G$54="Diesel",'IB - B&amp;D&amp;H'!$D20,0))*(1+'Benzin - diesel - hybrid'!G$52)^-$A20,0)</f>
        <v>0</v>
      </c>
      <c r="H20" s="303"/>
      <c r="I20" s="303">
        <f>IFERROR('Benzin - diesel - hybrid'!I$44*('Benzin - diesel - hybrid'!I$45/'Benzin - diesel - hybrid'!I$16)*IF('Benzin - diesel - hybrid'!I$54="Benzin",'IB - B&amp;D&amp;H'!$C20,IF('Benzin - diesel - hybrid'!I$54="Diesel",'IB - B&amp;D&amp;H'!$D20,0))*(1+'Benzin - diesel - hybrid'!I$52)^-$A20,0)</f>
        <v>0</v>
      </c>
      <c r="J20" s="303"/>
      <c r="K20" s="303">
        <f>IFERROR('Benzin - diesel - hybrid'!K$44*('Benzin - diesel - hybrid'!K$45/'Benzin - diesel - hybrid'!K$16)*IF('Benzin - diesel - hybrid'!K$54="Benzin",'IB - B&amp;D&amp;H'!$C20,IF('Benzin - diesel - hybrid'!K$54="Diesel",'IB - B&amp;D&amp;H'!$D20,0))*(1+'Benzin - diesel - hybrid'!K$52)^-$A20,0)</f>
        <v>0</v>
      </c>
      <c r="L20" s="303"/>
      <c r="M20" s="303">
        <f>IFERROR('Benzin - diesel - hybrid'!M$44*('Benzin - diesel - hybrid'!M$45/'Benzin - diesel - hybrid'!M$16)*IF('Benzin - diesel - hybrid'!M$54="Benzin",'IB - B&amp;D&amp;H'!$C20,IF('Benzin - diesel - hybrid'!M$54="Diesel",'IB - B&amp;D&amp;H'!$D20,0))*(1+'Benzin - diesel - hybrid'!M$52)^-$A20,0)</f>
        <v>0</v>
      </c>
      <c r="N20" s="303"/>
      <c r="O20" s="303">
        <f>IFERROR('Benzin - diesel - hybrid'!O$44*('Benzin - diesel - hybrid'!O$45/'Benzin - diesel - hybrid'!O$16)*IF('Benzin - diesel - hybrid'!O$54="Benzin",'IB - B&amp;D&amp;H'!$C20,IF('Benzin - diesel - hybrid'!O$54="Diesel",'IB - B&amp;D&amp;H'!$D20,0))*(1+'Benzin - diesel - hybrid'!O$52)^-$A20,0)</f>
        <v>0</v>
      </c>
      <c r="P20" s="303"/>
      <c r="Q20" s="303">
        <f>IFERROR('Benzin - diesel - hybrid'!Q$44*('Benzin - diesel - hybrid'!Q$45/'Benzin - diesel - hybrid'!Q$16)*IF('Benzin - diesel - hybrid'!Q$54="Benzin",'IB - B&amp;D&amp;H'!$C20,IF('Benzin - diesel - hybrid'!Q$54="Diesel",'IB - B&amp;D&amp;H'!$D20,0))*(1+'Benzin - diesel - hybrid'!Q$52)^-$A20,0)</f>
        <v>0</v>
      </c>
      <c r="R20" s="303"/>
      <c r="S20" s="303">
        <f>IFERROR('Benzin - diesel - hybrid'!S$44*('Benzin - diesel - hybrid'!S$45/'Benzin - diesel - hybrid'!S$16)*IF('Benzin - diesel - hybrid'!S$54="Benzin",'IB - B&amp;D&amp;H'!$C20,IF('Benzin - diesel - hybrid'!S$54="Diesel",'IB - B&amp;D&amp;H'!$D20,0))*(1+'Benzin - diesel - hybrid'!S$52)^-$A20,0)</f>
        <v>0</v>
      </c>
      <c r="U20" s="303">
        <f>IFERROR('Benzin - diesel - hybrid'!U$44*('Benzin - diesel - hybrid'!U$45/'Benzin - diesel - hybrid'!U$16)*IF('Benzin - diesel - hybrid'!U$54="Benzin",'IB - B&amp;D&amp;H'!$C20,IF('Benzin - diesel - hybrid'!U$54="Diesel",'IB - B&amp;D&amp;H'!$D20,0))*(1+'Benzin - diesel - hybrid'!U$52)^-$A20,0)</f>
        <v>0</v>
      </c>
      <c r="W20" s="303">
        <f>IFERROR('Benzin - diesel - hybrid'!W$44*('Benzin - diesel - hybrid'!W$45/'Benzin - diesel - hybrid'!W$16)*IF('Benzin - diesel - hybrid'!W$54="Benzin",'IB - B&amp;D&amp;H'!$C20,IF('Benzin - diesel - hybrid'!W$54="Diesel",'IB - B&amp;D&amp;H'!$D20,0))*(1+'Benzin - diesel - hybrid'!W$52)^-$A20,0)</f>
        <v>0</v>
      </c>
    </row>
    <row r="21" spans="1:26">
      <c r="A21" s="298">
        <f t="shared" si="1"/>
        <v>18</v>
      </c>
      <c r="B21" s="274"/>
      <c r="C21" s="299">
        <f>((C20-Fremskrivninger!E64)*(1+IF('Benzin - diesel - hybrid'!$E$56="ja",'Benzin - diesel - hybrid'!$E$58,'Benzin - diesel - hybrid'!$E$60))+Fremskrivninger!E64)</f>
        <v>9.8150929253081856</v>
      </c>
      <c r="D21" s="299">
        <f>((D20-Fremskrivninger!E108)*(1+IF('Benzin - diesel - hybrid'!$E$62="ja",'Benzin - diesel - hybrid'!$E$64,'Benzin - diesel - hybrid'!$E$66))+Fremskrivninger!E108)</f>
        <v>8.8451995654329085</v>
      </c>
      <c r="E21" s="303">
        <f>IFERROR('Benzin - diesel - hybrid'!E$44*('Benzin - diesel - hybrid'!E$45/'Benzin - diesel - hybrid'!E$16)*IF('Benzin - diesel - hybrid'!E$54="Benzin",'IB - B&amp;D&amp;H'!$C21,IF('Benzin - diesel - hybrid'!E$54="Diesel",'IB - B&amp;D&amp;H'!$D21,0))*(1+'Benzin - diesel - hybrid'!E$52)^-$A21,0)</f>
        <v>0</v>
      </c>
      <c r="F21" s="303"/>
      <c r="G21" s="303">
        <f>IFERROR('Benzin - diesel - hybrid'!G$44*('Benzin - diesel - hybrid'!G$45/'Benzin - diesel - hybrid'!G$16)*IF('Benzin - diesel - hybrid'!G$54="Benzin",'IB - B&amp;D&amp;H'!$C21,IF('Benzin - diesel - hybrid'!G$54="Diesel",'IB - B&amp;D&amp;H'!$D21,0))*(1+'Benzin - diesel - hybrid'!G$52)^-$A21,0)</f>
        <v>0</v>
      </c>
      <c r="H21" s="303"/>
      <c r="I21" s="303">
        <f>IFERROR('Benzin - diesel - hybrid'!I$44*('Benzin - diesel - hybrid'!I$45/'Benzin - diesel - hybrid'!I$16)*IF('Benzin - diesel - hybrid'!I$54="Benzin",'IB - B&amp;D&amp;H'!$C21,IF('Benzin - diesel - hybrid'!I$54="Diesel",'IB - B&amp;D&amp;H'!$D21,0))*(1+'Benzin - diesel - hybrid'!I$52)^-$A21,0)</f>
        <v>0</v>
      </c>
      <c r="J21" s="303"/>
      <c r="K21" s="303">
        <f>IFERROR('Benzin - diesel - hybrid'!K$44*('Benzin - diesel - hybrid'!K$45/'Benzin - diesel - hybrid'!K$16)*IF('Benzin - diesel - hybrid'!K$54="Benzin",'IB - B&amp;D&amp;H'!$C21,IF('Benzin - diesel - hybrid'!K$54="Diesel",'IB - B&amp;D&amp;H'!$D21,0))*(1+'Benzin - diesel - hybrid'!K$52)^-$A21,0)</f>
        <v>0</v>
      </c>
      <c r="L21" s="303"/>
      <c r="M21" s="303">
        <f>IFERROR('Benzin - diesel - hybrid'!M$44*('Benzin - diesel - hybrid'!M$45/'Benzin - diesel - hybrid'!M$16)*IF('Benzin - diesel - hybrid'!M$54="Benzin",'IB - B&amp;D&amp;H'!$C21,IF('Benzin - diesel - hybrid'!M$54="Diesel",'IB - B&amp;D&amp;H'!$D21,0))*(1+'Benzin - diesel - hybrid'!M$52)^-$A21,0)</f>
        <v>0</v>
      </c>
      <c r="N21" s="303"/>
      <c r="O21" s="303">
        <f>IFERROR('Benzin - diesel - hybrid'!O$44*('Benzin - diesel - hybrid'!O$45/'Benzin - diesel - hybrid'!O$16)*IF('Benzin - diesel - hybrid'!O$54="Benzin",'IB - B&amp;D&amp;H'!$C21,IF('Benzin - diesel - hybrid'!O$54="Diesel",'IB - B&amp;D&amp;H'!$D21,0))*(1+'Benzin - diesel - hybrid'!O$52)^-$A21,0)</f>
        <v>0</v>
      </c>
      <c r="P21" s="303"/>
      <c r="Q21" s="303">
        <f>IFERROR('Benzin - diesel - hybrid'!Q$44*('Benzin - diesel - hybrid'!Q$45/'Benzin - diesel - hybrid'!Q$16)*IF('Benzin - diesel - hybrid'!Q$54="Benzin",'IB - B&amp;D&amp;H'!$C21,IF('Benzin - diesel - hybrid'!Q$54="Diesel",'IB - B&amp;D&amp;H'!$D21,0))*(1+'Benzin - diesel - hybrid'!Q$52)^-$A21,0)</f>
        <v>0</v>
      </c>
      <c r="R21" s="303"/>
      <c r="S21" s="303">
        <f>IFERROR('Benzin - diesel - hybrid'!S$44*('Benzin - diesel - hybrid'!S$45/'Benzin - diesel - hybrid'!S$16)*IF('Benzin - diesel - hybrid'!S$54="Benzin",'IB - B&amp;D&amp;H'!$C21,IF('Benzin - diesel - hybrid'!S$54="Diesel",'IB - B&amp;D&amp;H'!$D21,0))*(1+'Benzin - diesel - hybrid'!S$52)^-$A21,0)</f>
        <v>0</v>
      </c>
      <c r="U21" s="303">
        <f>IFERROR('Benzin - diesel - hybrid'!U$44*('Benzin - diesel - hybrid'!U$45/'Benzin - diesel - hybrid'!U$16)*IF('Benzin - diesel - hybrid'!U$54="Benzin",'IB - B&amp;D&amp;H'!$C21,IF('Benzin - diesel - hybrid'!U$54="Diesel",'IB - B&amp;D&amp;H'!$D21,0))*(1+'Benzin - diesel - hybrid'!U$52)^-$A21,0)</f>
        <v>0</v>
      </c>
      <c r="W21" s="303">
        <f>IFERROR('Benzin - diesel - hybrid'!W$44*('Benzin - diesel - hybrid'!W$45/'Benzin - diesel - hybrid'!W$16)*IF('Benzin - diesel - hybrid'!W$54="Benzin",'IB - B&amp;D&amp;H'!$C21,IF('Benzin - diesel - hybrid'!W$54="Diesel",'IB - B&amp;D&amp;H'!$D21,0))*(1+'Benzin - diesel - hybrid'!W$52)^-$A21,0)</f>
        <v>0</v>
      </c>
    </row>
    <row r="22" spans="1:26">
      <c r="A22" s="298">
        <f t="shared" si="1"/>
        <v>19</v>
      </c>
      <c r="B22" s="274"/>
      <c r="C22" s="299">
        <f>((C21-Fremskrivninger!E65)*(1+IF('Benzin - diesel - hybrid'!$E$56="ja",'Benzin - diesel - hybrid'!$E$58,'Benzin - diesel - hybrid'!$E$60))+Fremskrivninger!E65)</f>
        <v>9.8867487169699686</v>
      </c>
      <c r="D22" s="299">
        <f>((D21-Fremskrivninger!E109)*(1+IF('Benzin - diesel - hybrid'!$E$62="ja",'Benzin - diesel - hybrid'!$E$64,'Benzin - diesel - hybrid'!$E$66))+Fremskrivninger!E109)</f>
        <v>8.926474959131685</v>
      </c>
      <c r="E22" s="303">
        <f>IFERROR('Benzin - diesel - hybrid'!E$44*('Benzin - diesel - hybrid'!E$45/'Benzin - diesel - hybrid'!E$16)*IF('Benzin - diesel - hybrid'!E$54="Benzin",'IB - B&amp;D&amp;H'!$C22,IF('Benzin - diesel - hybrid'!E$54="Diesel",'IB - B&amp;D&amp;H'!$D22,0))*(1+'Benzin - diesel - hybrid'!E$52)^-$A22,0)</f>
        <v>0</v>
      </c>
      <c r="F22" s="303"/>
      <c r="G22" s="303">
        <f>IFERROR('Benzin - diesel - hybrid'!G$44*('Benzin - diesel - hybrid'!G$45/'Benzin - diesel - hybrid'!G$16)*IF('Benzin - diesel - hybrid'!G$54="Benzin",'IB - B&amp;D&amp;H'!$C22,IF('Benzin - diesel - hybrid'!G$54="Diesel",'IB - B&amp;D&amp;H'!$D22,0))*(1+'Benzin - diesel - hybrid'!G$52)^-$A22,0)</f>
        <v>0</v>
      </c>
      <c r="H22" s="303"/>
      <c r="I22" s="303">
        <f>IFERROR('Benzin - diesel - hybrid'!I$44*('Benzin - diesel - hybrid'!I$45/'Benzin - diesel - hybrid'!I$16)*IF('Benzin - diesel - hybrid'!I$54="Benzin",'IB - B&amp;D&amp;H'!$C22,IF('Benzin - diesel - hybrid'!I$54="Diesel",'IB - B&amp;D&amp;H'!$D22,0))*(1+'Benzin - diesel - hybrid'!I$52)^-$A22,0)</f>
        <v>0</v>
      </c>
      <c r="J22" s="303"/>
      <c r="K22" s="303">
        <f>IFERROR('Benzin - diesel - hybrid'!K$44*('Benzin - diesel - hybrid'!K$45/'Benzin - diesel - hybrid'!K$16)*IF('Benzin - diesel - hybrid'!K$54="Benzin",'IB - B&amp;D&amp;H'!$C22,IF('Benzin - diesel - hybrid'!K$54="Diesel",'IB - B&amp;D&amp;H'!$D22,0))*(1+'Benzin - diesel - hybrid'!K$52)^-$A22,0)</f>
        <v>0</v>
      </c>
      <c r="L22" s="303"/>
      <c r="M22" s="303">
        <f>IFERROR('Benzin - diesel - hybrid'!M$44*('Benzin - diesel - hybrid'!M$45/'Benzin - diesel - hybrid'!M$16)*IF('Benzin - diesel - hybrid'!M$54="Benzin",'IB - B&amp;D&amp;H'!$C22,IF('Benzin - diesel - hybrid'!M$54="Diesel",'IB - B&amp;D&amp;H'!$D22,0))*(1+'Benzin - diesel - hybrid'!M$52)^-$A22,0)</f>
        <v>0</v>
      </c>
      <c r="N22" s="303"/>
      <c r="O22" s="303">
        <f>IFERROR('Benzin - diesel - hybrid'!O$44*('Benzin - diesel - hybrid'!O$45/'Benzin - diesel - hybrid'!O$16)*IF('Benzin - diesel - hybrid'!O$54="Benzin",'IB - B&amp;D&amp;H'!$C22,IF('Benzin - diesel - hybrid'!O$54="Diesel",'IB - B&amp;D&amp;H'!$D22,0))*(1+'Benzin - diesel - hybrid'!O$52)^-$A22,0)</f>
        <v>0</v>
      </c>
      <c r="P22" s="303"/>
      <c r="Q22" s="303">
        <f>IFERROR('Benzin - diesel - hybrid'!Q$44*('Benzin - diesel - hybrid'!Q$45/'Benzin - diesel - hybrid'!Q$16)*IF('Benzin - diesel - hybrid'!Q$54="Benzin",'IB - B&amp;D&amp;H'!$C22,IF('Benzin - diesel - hybrid'!Q$54="Diesel",'IB - B&amp;D&amp;H'!$D22,0))*(1+'Benzin - diesel - hybrid'!Q$52)^-$A22,0)</f>
        <v>0</v>
      </c>
      <c r="R22" s="303"/>
      <c r="S22" s="303">
        <f>IFERROR('Benzin - diesel - hybrid'!S$44*('Benzin - diesel - hybrid'!S$45/'Benzin - diesel - hybrid'!S$16)*IF('Benzin - diesel - hybrid'!S$54="Benzin",'IB - B&amp;D&amp;H'!$C22,IF('Benzin - diesel - hybrid'!S$54="Diesel",'IB - B&amp;D&amp;H'!$D22,0))*(1+'Benzin - diesel - hybrid'!S$52)^-$A22,0)</f>
        <v>0</v>
      </c>
      <c r="U22" s="303">
        <f>IFERROR('Benzin - diesel - hybrid'!U$44*('Benzin - diesel - hybrid'!U$45/'Benzin - diesel - hybrid'!U$16)*IF('Benzin - diesel - hybrid'!U$54="Benzin",'IB - B&amp;D&amp;H'!$C22,IF('Benzin - diesel - hybrid'!U$54="Diesel",'IB - B&amp;D&amp;H'!$D22,0))*(1+'Benzin - diesel - hybrid'!U$52)^-$A22,0)</f>
        <v>0</v>
      </c>
      <c r="W22" s="303">
        <f>IFERROR('Benzin - diesel - hybrid'!W$44*('Benzin - diesel - hybrid'!W$45/'Benzin - diesel - hybrid'!W$16)*IF('Benzin - diesel - hybrid'!W$54="Benzin",'IB - B&amp;D&amp;H'!$C22,IF('Benzin - diesel - hybrid'!W$54="Diesel",'IB - B&amp;D&amp;H'!$D22,0))*(1+'Benzin - diesel - hybrid'!W$52)^-$A22,0)</f>
        <v>0</v>
      </c>
    </row>
    <row r="23" spans="1:26">
      <c r="A23" s="300">
        <f t="shared" si="1"/>
        <v>20</v>
      </c>
      <c r="B23" s="301"/>
      <c r="C23" s="302">
        <f>((C22-Fremskrivninger!E66)*(1+IF('Benzin - diesel - hybrid'!$E$56="ja",'Benzin - diesel - hybrid'!$E$58,'Benzin - diesel - hybrid'!$E$60))+Fremskrivninger!E66)</f>
        <v>9.9594005241358516</v>
      </c>
      <c r="D23" s="302">
        <f>((D22-Fremskrivninger!E110)*(1+IF('Benzin - diesel - hybrid'!$E$62="ja",'Benzin - diesel - hybrid'!$E$64,'Benzin - diesel - hybrid'!$E$66))+Fremskrivninger!E110)</f>
        <v>9.0089288460390939</v>
      </c>
      <c r="E23" s="303">
        <f>IFERROR('Benzin - diesel - hybrid'!E$44*('Benzin - diesel - hybrid'!E$45/'Benzin - diesel - hybrid'!E$16)*IF('Benzin - diesel - hybrid'!E$54="Benzin",'IB - B&amp;D&amp;H'!$C23,IF('Benzin - diesel - hybrid'!E$54="Diesel",'IB - B&amp;D&amp;H'!$D23,0))*(1+'Benzin - diesel - hybrid'!E$52)^-$A23,0)</f>
        <v>0</v>
      </c>
      <c r="F23" s="303"/>
      <c r="G23" s="303">
        <f>IFERROR('Benzin - diesel - hybrid'!G$44*('Benzin - diesel - hybrid'!G$45/'Benzin - diesel - hybrid'!G$16)*IF('Benzin - diesel - hybrid'!G$54="Benzin",'IB - B&amp;D&amp;H'!$C23,IF('Benzin - diesel - hybrid'!G$54="Diesel",'IB - B&amp;D&amp;H'!$D23,0))*(1+'Benzin - diesel - hybrid'!G$52)^-$A23,0)</f>
        <v>0</v>
      </c>
      <c r="H23" s="303"/>
      <c r="I23" s="303">
        <f>IFERROR('Benzin - diesel - hybrid'!I$44*('Benzin - diesel - hybrid'!I$45/'Benzin - diesel - hybrid'!I$16)*IF('Benzin - diesel - hybrid'!I$54="Benzin",'IB - B&amp;D&amp;H'!$C23,IF('Benzin - diesel - hybrid'!I$54="Diesel",'IB - B&amp;D&amp;H'!$D23,0))*(1+'Benzin - diesel - hybrid'!I$52)^-$A23,0)</f>
        <v>0</v>
      </c>
      <c r="J23" s="303"/>
      <c r="K23" s="303">
        <f>IFERROR('Benzin - diesel - hybrid'!K$44*('Benzin - diesel - hybrid'!K$45/'Benzin - diesel - hybrid'!K$16)*IF('Benzin - diesel - hybrid'!K$54="Benzin",'IB - B&amp;D&amp;H'!$C23,IF('Benzin - diesel - hybrid'!K$54="Diesel",'IB - B&amp;D&amp;H'!$D23,0))*(1+'Benzin - diesel - hybrid'!K$52)^-$A23,0)</f>
        <v>0</v>
      </c>
      <c r="L23" s="303"/>
      <c r="M23" s="303">
        <f>IFERROR('Benzin - diesel - hybrid'!M$44*('Benzin - diesel - hybrid'!M$45/'Benzin - diesel - hybrid'!M$16)*IF('Benzin - diesel - hybrid'!M$54="Benzin",'IB - B&amp;D&amp;H'!$C23,IF('Benzin - diesel - hybrid'!M$54="Diesel",'IB - B&amp;D&amp;H'!$D23,0))*(1+'Benzin - diesel - hybrid'!M$52)^-$A23,0)</f>
        <v>0</v>
      </c>
      <c r="N23" s="303"/>
      <c r="O23" s="303">
        <f>IFERROR('Benzin - diesel - hybrid'!O$44*('Benzin - diesel - hybrid'!O$45/'Benzin - diesel - hybrid'!O$16)*IF('Benzin - diesel - hybrid'!O$54="Benzin",'IB - B&amp;D&amp;H'!$C23,IF('Benzin - diesel - hybrid'!O$54="Diesel",'IB - B&amp;D&amp;H'!$D23,0))*(1+'Benzin - diesel - hybrid'!O$52)^-$A23,0)</f>
        <v>0</v>
      </c>
      <c r="P23" s="303"/>
      <c r="Q23" s="303">
        <f>IFERROR('Benzin - diesel - hybrid'!Q$44*('Benzin - diesel - hybrid'!Q$45/'Benzin - diesel - hybrid'!Q$16)*IF('Benzin - diesel - hybrid'!Q$54="Benzin",'IB - B&amp;D&amp;H'!$C23,IF('Benzin - diesel - hybrid'!Q$54="Diesel",'IB - B&amp;D&amp;H'!$D23,0))*(1+'Benzin - diesel - hybrid'!Q$52)^-$A23,0)</f>
        <v>0</v>
      </c>
      <c r="R23" s="303"/>
      <c r="S23" s="303">
        <f>IFERROR('Benzin - diesel - hybrid'!S$44*('Benzin - diesel - hybrid'!S$45/'Benzin - diesel - hybrid'!S$16)*IF('Benzin - diesel - hybrid'!S$54="Benzin",'IB - B&amp;D&amp;H'!$C23,IF('Benzin - diesel - hybrid'!S$54="Diesel",'IB - B&amp;D&amp;H'!$D23,0))*(1+'Benzin - diesel - hybrid'!S$52)^-$A23,0)</f>
        <v>0</v>
      </c>
      <c r="U23" s="303">
        <f>IFERROR('Benzin - diesel - hybrid'!U$44*('Benzin - diesel - hybrid'!U$45/'Benzin - diesel - hybrid'!U$16)*IF('Benzin - diesel - hybrid'!U$54="Benzin",'IB - B&amp;D&amp;H'!$C23,IF('Benzin - diesel - hybrid'!U$54="Diesel",'IB - B&amp;D&amp;H'!$D23,0))*(1+'Benzin - diesel - hybrid'!U$52)^-$A23,0)</f>
        <v>0</v>
      </c>
      <c r="W23" s="303">
        <f>IFERROR('Benzin - diesel - hybrid'!W$44*('Benzin - diesel - hybrid'!W$45/'Benzin - diesel - hybrid'!W$16)*IF('Benzin - diesel - hybrid'!W$54="Benzin",'IB - B&amp;D&amp;H'!$C23,IF('Benzin - diesel - hybrid'!W$54="Diesel",'IB - B&amp;D&amp;H'!$D23,0))*(1+'Benzin - diesel - hybrid'!W$52)^-$A23,0)</f>
        <v>0</v>
      </c>
    </row>
    <row r="24" spans="1:26">
      <c r="A24" s="3"/>
      <c r="B24" s="3"/>
      <c r="C24" s="3"/>
      <c r="D24" s="4"/>
      <c r="E24" s="4"/>
      <c r="F24" s="4"/>
      <c r="G24" s="4"/>
      <c r="H24" s="4"/>
      <c r="I24" s="4"/>
      <c r="J24" s="4"/>
      <c r="K24" s="4"/>
      <c r="L24" s="4"/>
      <c r="M24" s="4"/>
      <c r="N24" s="4"/>
      <c r="O24" s="4"/>
      <c r="P24" s="4"/>
      <c r="Q24" s="4"/>
      <c r="R24" s="4"/>
      <c r="S24" s="4"/>
      <c r="U24" s="4"/>
      <c r="W24" s="4"/>
    </row>
    <row r="25" spans="1:26" ht="39">
      <c r="A25" s="135"/>
      <c r="B25" s="136" t="s">
        <v>32</v>
      </c>
      <c r="C25" s="5"/>
      <c r="D25" s="5"/>
      <c r="E25" s="6" t="str">
        <f>'Benzin - diesel - hybrid'!E8</f>
        <v>PRODUKT 1</v>
      </c>
      <c r="F25" s="6"/>
      <c r="G25" s="6" t="str">
        <f>'Benzin - diesel - hybrid'!G8</f>
        <v>PRODUKT 2</v>
      </c>
      <c r="H25" s="6"/>
      <c r="I25" s="6" t="str">
        <f>'Benzin - diesel - hybrid'!I8</f>
        <v>PRODUKT 3</v>
      </c>
      <c r="J25" s="6"/>
      <c r="K25" s="6" t="str">
        <f>'Benzin - diesel - hybrid'!K8</f>
        <v>PRODUKT 4</v>
      </c>
      <c r="L25" s="6"/>
      <c r="M25" s="6" t="str">
        <f>'Benzin - diesel - hybrid'!M8</f>
        <v>PRODUKT 5</v>
      </c>
      <c r="N25" s="6"/>
      <c r="O25" s="6" t="str">
        <f>'Benzin - diesel - hybrid'!O8</f>
        <v>PRODUKT 6</v>
      </c>
      <c r="P25" s="6"/>
      <c r="Q25" s="6" t="str">
        <f>'Benzin - diesel - hybrid'!Q8</f>
        <v>PRODUKT 7</v>
      </c>
      <c r="R25" s="6"/>
      <c r="S25" s="6" t="str">
        <f>'Benzin - diesel - hybrid'!S8</f>
        <v>PRODUKT 8</v>
      </c>
      <c r="U25" s="6" t="str">
        <f>'Benzin - diesel - hybrid'!U8</f>
        <v>PRODUKT 9</v>
      </c>
      <c r="W25" s="6" t="str">
        <f>'Benzin - diesel - hybrid'!W8</f>
        <v>PRODUKT 10</v>
      </c>
    </row>
    <row r="26" spans="1:26" ht="30" customHeight="1">
      <c r="A26" s="5"/>
      <c r="B26" s="5">
        <v>1</v>
      </c>
      <c r="C26" s="5"/>
      <c r="D26" s="5"/>
      <c r="E26" s="148">
        <f>'Benzin - diesel - hybrid'!E76+E4+E49+IF($B26='Benzin - diesel - hybrid'!$E51,'Benzin - diesel - hybrid'!E$80,0)+IF('Benzin - diesel - hybrid'!E$29="ja",E187,0)</f>
        <v>0</v>
      </c>
      <c r="F26" s="148"/>
      <c r="G26" s="148">
        <f>'Benzin - diesel - hybrid'!G76+G4+G49+IF($B26='Benzin - diesel - hybrid'!$E51,'Benzin - diesel - hybrid'!G$80,0)+IF('Benzin - diesel - hybrid'!G$29="ja",G187,0)</f>
        <v>0</v>
      </c>
      <c r="H26" s="148"/>
      <c r="I26" s="148">
        <f>'Benzin - diesel - hybrid'!I76+I4+I49+IF($B26='Benzin - diesel - hybrid'!$E51,'Benzin - diesel - hybrid'!I$80,0)+IF('Benzin - diesel - hybrid'!I$29="ja",I187,0)</f>
        <v>0</v>
      </c>
      <c r="J26" s="148"/>
      <c r="K26" s="148">
        <f>'Benzin - diesel - hybrid'!K76+K4+K49+IF($B26='Benzin - diesel - hybrid'!$E51,'Benzin - diesel - hybrid'!K$80,0)+IF('Benzin - diesel - hybrid'!K$29="ja",K187,0)</f>
        <v>0</v>
      </c>
      <c r="L26" s="148"/>
      <c r="M26" s="148">
        <f>'Benzin - diesel - hybrid'!M76+M4+M49+IF($B26='Benzin - diesel - hybrid'!$E51,'Benzin - diesel - hybrid'!M$80,0)+IF('Benzin - diesel - hybrid'!M$29="ja",M187,0)</f>
        <v>0</v>
      </c>
      <c r="N26" s="148"/>
      <c r="O26" s="148">
        <f>'Benzin - diesel - hybrid'!O76+O4+O49+IF($B26='Benzin - diesel - hybrid'!$E51,'Benzin - diesel - hybrid'!O$80,0)+IF('Benzin - diesel - hybrid'!O$29="ja",O187,0)</f>
        <v>0</v>
      </c>
      <c r="P26" s="148"/>
      <c r="Q26" s="148">
        <f>'Benzin - diesel - hybrid'!Q76+Q4+Q49+IF($B26='Benzin - diesel - hybrid'!$E51,'Benzin - diesel - hybrid'!Q$80,0)+IF('Benzin - diesel - hybrid'!Q$29="ja",Q187,0)</f>
        <v>0</v>
      </c>
      <c r="R26" s="148"/>
      <c r="S26" s="148">
        <f>'Benzin - diesel - hybrid'!S76+S4+S49+IF($B26='Benzin - diesel - hybrid'!$E51,'Benzin - diesel - hybrid'!S$80,0)+IF('Benzin - diesel - hybrid'!S$29="ja",S187,0)</f>
        <v>0</v>
      </c>
      <c r="U26" s="148">
        <f>'Benzin - diesel - hybrid'!U76+U4+U49+IF($B26='Benzin - diesel - hybrid'!$E51,'Benzin - diesel - hybrid'!U$80,0)+IF('Benzin - diesel - hybrid'!U$29="ja",U187,0)</f>
        <v>0</v>
      </c>
      <c r="W26" s="148">
        <f>'Benzin - diesel - hybrid'!W76+W4+W49+IF($B26='Benzin - diesel - hybrid'!$E51,'Benzin - diesel - hybrid'!W$80,0)+IF('Benzin - diesel - hybrid'!W$29="ja",W187,0)</f>
        <v>0</v>
      </c>
      <c r="Z26" s="246" t="s">
        <v>54</v>
      </c>
    </row>
    <row r="27" spans="1:26">
      <c r="A27" s="5"/>
      <c r="B27" s="5">
        <v>2</v>
      </c>
      <c r="C27" s="5"/>
      <c r="D27" s="5"/>
      <c r="E27" s="148">
        <f>E26+E5+E50+IF($B27='Benzin - diesel - hybrid'!$E52,'Benzin - diesel - hybrid'!E$80,0)+IF('Benzin - diesel - hybrid'!E$29="ja",E188,0)</f>
        <v>0</v>
      </c>
      <c r="F27" s="148"/>
      <c r="G27" s="148">
        <f>G26+G5+G50+IF($B27='Benzin - diesel - hybrid'!$E52,'Benzin - diesel - hybrid'!G$80,0)+IF('Benzin - diesel - hybrid'!G$29="ja",G188,0)</f>
        <v>0</v>
      </c>
      <c r="H27" s="148"/>
      <c r="I27" s="148">
        <f>I26+I5+I50+IF($B27='Benzin - diesel - hybrid'!$E52,'Benzin - diesel - hybrid'!I$80,0)+IF('Benzin - diesel - hybrid'!I$29="ja",I188,0)</f>
        <v>0</v>
      </c>
      <c r="J27" s="148"/>
      <c r="K27" s="148">
        <f>K26+K5+K50+IF($B27='Benzin - diesel - hybrid'!$E52,'Benzin - diesel - hybrid'!K$80,0)+IF('Benzin - diesel - hybrid'!K$29="ja",K188,0)</f>
        <v>0</v>
      </c>
      <c r="L27" s="148"/>
      <c r="M27" s="148">
        <f>M26+M5+M50+IF($B27='Benzin - diesel - hybrid'!$E52,'Benzin - diesel - hybrid'!M$80,0)+IF('Benzin - diesel - hybrid'!M$29="ja",M188,0)</f>
        <v>0</v>
      </c>
      <c r="N27" s="148"/>
      <c r="O27" s="148">
        <f>O26+O5+O50+IF($B27='Benzin - diesel - hybrid'!$E52,'Benzin - diesel - hybrid'!O$80,0)+IF('Benzin - diesel - hybrid'!O$29="ja",O188,0)</f>
        <v>0</v>
      </c>
      <c r="P27" s="148"/>
      <c r="Q27" s="148">
        <f>Q26+Q5+Q50+IF($B27='Benzin - diesel - hybrid'!$E52,'Benzin - diesel - hybrid'!Q$80,0)+IF('Benzin - diesel - hybrid'!Q$29="ja",Q188,0)</f>
        <v>0</v>
      </c>
      <c r="R27" s="148"/>
      <c r="S27" s="148">
        <f>S26+S5+S50+IF($B27='Benzin - diesel - hybrid'!$E52,'Benzin - diesel - hybrid'!S$80,0)+IF('Benzin - diesel - hybrid'!S$29="ja",S188,0)</f>
        <v>0</v>
      </c>
      <c r="U27" s="148">
        <f>U26+U5+U50+IF($B27='Benzin - diesel - hybrid'!$E52,'Benzin - diesel - hybrid'!U$80,0)+IF('Benzin - diesel - hybrid'!U$29="ja",U188,0)</f>
        <v>0</v>
      </c>
      <c r="W27" s="148">
        <f>W26+W5+W50+IF($B27='Benzin - diesel - hybrid'!$E52,'Benzin - diesel - hybrid'!W$80,0)+IF('Benzin - diesel - hybrid'!W$29="ja",W188,0)</f>
        <v>0</v>
      </c>
      <c r="Z27" s="247">
        <v>1</v>
      </c>
    </row>
    <row r="28" spans="1:26">
      <c r="A28" s="5"/>
      <c r="B28" s="5">
        <v>3</v>
      </c>
      <c r="C28" s="5"/>
      <c r="D28" s="5"/>
      <c r="E28" s="148">
        <f>E27+E6+E51+IF($B28='Benzin - diesel - hybrid'!$E53,'Benzin - diesel - hybrid'!E$80,0)+IF('Benzin - diesel - hybrid'!E$29="ja",E189,0)</f>
        <v>0</v>
      </c>
      <c r="F28" s="148"/>
      <c r="G28" s="148">
        <f>G27+G6+G51+IF($B28='Benzin - diesel - hybrid'!$E53,'Benzin - diesel - hybrid'!G$80,0)+IF('Benzin - diesel - hybrid'!G$29="ja",G189,0)</f>
        <v>0</v>
      </c>
      <c r="H28" s="148"/>
      <c r="I28" s="148">
        <f>I27+I6+I51+IF($B28='Benzin - diesel - hybrid'!$E53,'Benzin - diesel - hybrid'!I$80,0)+IF('Benzin - diesel - hybrid'!I$29="ja",I189,0)</f>
        <v>0</v>
      </c>
      <c r="J28" s="148"/>
      <c r="K28" s="148">
        <f>K27+K6+K51+IF($B28='Benzin - diesel - hybrid'!$E53,'Benzin - diesel - hybrid'!K$80,0)+IF('Benzin - diesel - hybrid'!K$29="ja",K189,0)</f>
        <v>0</v>
      </c>
      <c r="L28" s="148"/>
      <c r="M28" s="148">
        <f>M27+M6+M51+IF($B28='Benzin - diesel - hybrid'!$E53,'Benzin - diesel - hybrid'!M$80,0)+IF('Benzin - diesel - hybrid'!M$29="ja",M189,0)</f>
        <v>0</v>
      </c>
      <c r="N28" s="148"/>
      <c r="O28" s="148">
        <f>O27+O6+O51+IF($B28='Benzin - diesel - hybrid'!$E53,'Benzin - diesel - hybrid'!O$80,0)+IF('Benzin - diesel - hybrid'!O$29="ja",O189,0)</f>
        <v>0</v>
      </c>
      <c r="P28" s="148"/>
      <c r="Q28" s="148">
        <f>Q27+Q6+Q51+IF($B28='Benzin - diesel - hybrid'!$E53,'Benzin - diesel - hybrid'!Q$80,0)+IF('Benzin - diesel - hybrid'!Q$29="ja",Q189,0)</f>
        <v>0</v>
      </c>
      <c r="R28" s="148"/>
      <c r="S28" s="148">
        <f>S27+S6+S51+IF($B28='Benzin - diesel - hybrid'!$E53,'Benzin - diesel - hybrid'!S$80,0)+IF('Benzin - diesel - hybrid'!S$29="ja",S189,0)</f>
        <v>0</v>
      </c>
      <c r="U28" s="148">
        <f>U27+U6+U51+IF($B28='Benzin - diesel - hybrid'!$E53,'Benzin - diesel - hybrid'!U$80,0)+IF('Benzin - diesel - hybrid'!U$29="ja",U189,0)</f>
        <v>0</v>
      </c>
      <c r="W28" s="148">
        <f>W27+W6+W51+IF($B28='Benzin - diesel - hybrid'!$E53,'Benzin - diesel - hybrid'!W$80,0)+IF('Benzin - diesel - hybrid'!W$29="ja",W189,0)</f>
        <v>0</v>
      </c>
      <c r="Z28" s="247">
        <f>IF('Benzin - diesel - hybrid'!$E$51&gt;=B27,B27,"")</f>
        <v>2</v>
      </c>
    </row>
    <row r="29" spans="1:26">
      <c r="A29" s="5"/>
      <c r="B29" s="5">
        <v>4</v>
      </c>
      <c r="C29" s="5"/>
      <c r="D29" s="5"/>
      <c r="E29" s="148">
        <f>E28+E7+E52+IF($B29='Benzin - diesel - hybrid'!$E54,'Benzin - diesel - hybrid'!E$80,0)+IF('Benzin - diesel - hybrid'!E$29="ja",E190,0)</f>
        <v>0</v>
      </c>
      <c r="F29" s="148"/>
      <c r="G29" s="148">
        <f>G28+G7+G52+IF($B29='Benzin - diesel - hybrid'!$E54,'Benzin - diesel - hybrid'!G$80,0)+IF('Benzin - diesel - hybrid'!G$29="ja",G190,0)</f>
        <v>0</v>
      </c>
      <c r="H29" s="148"/>
      <c r="I29" s="148">
        <f>I28+I7+I52+IF($B29='Benzin - diesel - hybrid'!$E54,'Benzin - diesel - hybrid'!I$80,0)+IF('Benzin - diesel - hybrid'!I$29="ja",I190,0)</f>
        <v>0</v>
      </c>
      <c r="J29" s="148"/>
      <c r="K29" s="148">
        <f>K28+K7+K52+IF($B29='Benzin - diesel - hybrid'!$E54,'Benzin - diesel - hybrid'!K$80,0)+IF('Benzin - diesel - hybrid'!K$29="ja",K190,0)</f>
        <v>0</v>
      </c>
      <c r="L29" s="148"/>
      <c r="M29" s="148">
        <f>M28+M7+M52+IF($B29='Benzin - diesel - hybrid'!$E54,'Benzin - diesel - hybrid'!M$80,0)+IF('Benzin - diesel - hybrid'!M$29="ja",M190,0)</f>
        <v>0</v>
      </c>
      <c r="N29" s="148"/>
      <c r="O29" s="148">
        <f>O28+O7+O52+IF($B29='Benzin - diesel - hybrid'!$E54,'Benzin - diesel - hybrid'!O$80,0)+IF('Benzin - diesel - hybrid'!O$29="ja",O190,0)</f>
        <v>0</v>
      </c>
      <c r="P29" s="148"/>
      <c r="Q29" s="148">
        <f>Q28+Q7+Q52+IF($B29='Benzin - diesel - hybrid'!$E54,'Benzin - diesel - hybrid'!Q$80,0)+IF('Benzin - diesel - hybrid'!Q$29="ja",Q190,0)</f>
        <v>0</v>
      </c>
      <c r="R29" s="148"/>
      <c r="S29" s="148">
        <f>S28+S7+S52+IF($B29='Benzin - diesel - hybrid'!$E54,'Benzin - diesel - hybrid'!S$80,0)+IF('Benzin - diesel - hybrid'!S$29="ja",S190,0)</f>
        <v>0</v>
      </c>
      <c r="U29" s="148">
        <f>U28+U7+U52+IF($B29='Benzin - diesel - hybrid'!$E54,'Benzin - diesel - hybrid'!U$80,0)+IF('Benzin - diesel - hybrid'!U$29="ja",U190,0)</f>
        <v>0</v>
      </c>
      <c r="W29" s="148">
        <f>W28+W7+W52+IF($B29='Benzin - diesel - hybrid'!$E54,'Benzin - diesel - hybrid'!W$80,0)+IF('Benzin - diesel - hybrid'!W$29="ja",W190,0)</f>
        <v>0</v>
      </c>
      <c r="Z29" s="247">
        <f>IF('Benzin - diesel - hybrid'!$E$51&gt;=B28,B28,"")</f>
        <v>3</v>
      </c>
    </row>
    <row r="30" spans="1:26">
      <c r="A30" s="5"/>
      <c r="B30" s="5">
        <v>5</v>
      </c>
      <c r="C30" s="5"/>
      <c r="D30" s="5"/>
      <c r="E30" s="148">
        <f>E29+E8+E53+IF($B30='Benzin - diesel - hybrid'!$E55,'Benzin - diesel - hybrid'!E$80,0)+IF('Benzin - diesel - hybrid'!E$29="ja",E191,0)</f>
        <v>0</v>
      </c>
      <c r="F30" s="148"/>
      <c r="G30" s="148">
        <f>G29+G8+G53+IF($B30='Benzin - diesel - hybrid'!$E55,'Benzin - diesel - hybrid'!G$80,0)+IF('Benzin - diesel - hybrid'!G$29="ja",G191,0)</f>
        <v>0</v>
      </c>
      <c r="H30" s="148"/>
      <c r="I30" s="148">
        <f>I29+I8+I53+IF($B30='Benzin - diesel - hybrid'!$E55,'Benzin - diesel - hybrid'!I$80,0)+IF('Benzin - diesel - hybrid'!I$29="ja",I191,0)</f>
        <v>0</v>
      </c>
      <c r="J30" s="148"/>
      <c r="K30" s="148">
        <f>K29+K8+K53+IF($B30='Benzin - diesel - hybrid'!$E55,'Benzin - diesel - hybrid'!K$80,0)+IF('Benzin - diesel - hybrid'!K$29="ja",K191,0)</f>
        <v>0</v>
      </c>
      <c r="L30" s="148"/>
      <c r="M30" s="148">
        <f>M29+M8+M53+IF($B30='Benzin - diesel - hybrid'!$E55,'Benzin - diesel - hybrid'!M$80,0)+IF('Benzin - diesel - hybrid'!M$29="ja",M191,0)</f>
        <v>0</v>
      </c>
      <c r="N30" s="148"/>
      <c r="O30" s="148">
        <f>O29+O8+O53+IF($B30='Benzin - diesel - hybrid'!$E55,'Benzin - diesel - hybrid'!O$80,0)+IF('Benzin - diesel - hybrid'!O$29="ja",O191,0)</f>
        <v>0</v>
      </c>
      <c r="P30" s="148"/>
      <c r="Q30" s="148">
        <f>Q29+Q8+Q53+IF($B30='Benzin - diesel - hybrid'!$E55,'Benzin - diesel - hybrid'!Q$80,0)+IF('Benzin - diesel - hybrid'!Q$29="ja",Q191,0)</f>
        <v>0</v>
      </c>
      <c r="R30" s="148"/>
      <c r="S30" s="148">
        <f>S29+S8+S53+IF($B30='Benzin - diesel - hybrid'!$E55,'Benzin - diesel - hybrid'!S$80,0)+IF('Benzin - diesel - hybrid'!S$29="ja",S191,0)</f>
        <v>0</v>
      </c>
      <c r="U30" s="148">
        <f>U29+U8+U53+IF($B30='Benzin - diesel - hybrid'!$E55,'Benzin - diesel - hybrid'!U$80,0)+IF('Benzin - diesel - hybrid'!U$29="ja",U191,0)</f>
        <v>0</v>
      </c>
      <c r="W30" s="148">
        <f>W29+W8+W53+IF($B30='Benzin - diesel - hybrid'!$E55,'Benzin - diesel - hybrid'!W$80,0)+IF('Benzin - diesel - hybrid'!W$29="ja",W191,0)</f>
        <v>0</v>
      </c>
      <c r="Z30" s="247">
        <f>IF('Benzin - diesel - hybrid'!$E$51&gt;=B29,B29,"")</f>
        <v>4</v>
      </c>
    </row>
    <row r="31" spans="1:26">
      <c r="A31" s="5"/>
      <c r="B31" s="5">
        <v>6</v>
      </c>
      <c r="C31" s="5"/>
      <c r="D31" s="5"/>
      <c r="E31" s="148">
        <f>E30+E9+E54+IF($B31='Benzin - diesel - hybrid'!$E56,'Benzin - diesel - hybrid'!E$80,0)+IF('Benzin - diesel - hybrid'!E$29="ja",E192,0)</f>
        <v>0</v>
      </c>
      <c r="F31" s="148"/>
      <c r="G31" s="148">
        <f>G30+G9+G54+IF($B31='Benzin - diesel - hybrid'!$E56,'Benzin - diesel - hybrid'!G$80,0)+IF('Benzin - diesel - hybrid'!G$29="ja",G192,0)</f>
        <v>0</v>
      </c>
      <c r="H31" s="148"/>
      <c r="I31" s="148">
        <f>I30+I9+I54+IF($B31='Benzin - diesel - hybrid'!$E56,'Benzin - diesel - hybrid'!I$80,0)+IF('Benzin - diesel - hybrid'!I$29="ja",I192,0)</f>
        <v>0</v>
      </c>
      <c r="J31" s="148"/>
      <c r="K31" s="148">
        <f>K30+K9+K54+IF($B31='Benzin - diesel - hybrid'!$E56,'Benzin - diesel - hybrid'!K$80,0)+IF('Benzin - diesel - hybrid'!K$29="ja",K192,0)</f>
        <v>0</v>
      </c>
      <c r="L31" s="148"/>
      <c r="M31" s="148">
        <f>M30+M9+M54+IF($B31='Benzin - diesel - hybrid'!$E56,'Benzin - diesel - hybrid'!M$80,0)+IF('Benzin - diesel - hybrid'!M$29="ja",M192,0)</f>
        <v>0</v>
      </c>
      <c r="N31" s="148"/>
      <c r="O31" s="148">
        <f>O30+O9+O54+IF($B31='Benzin - diesel - hybrid'!$E56,'Benzin - diesel - hybrid'!O$80,0)+IF('Benzin - diesel - hybrid'!O$29="ja",O192,0)</f>
        <v>0</v>
      </c>
      <c r="P31" s="148"/>
      <c r="Q31" s="148">
        <f>Q30+Q9+Q54+IF($B31='Benzin - diesel - hybrid'!$E56,'Benzin - diesel - hybrid'!Q$80,0)+IF('Benzin - diesel - hybrid'!Q$29="ja",Q192,0)</f>
        <v>0</v>
      </c>
      <c r="R31" s="148"/>
      <c r="S31" s="148">
        <f>S30+S9+S54+IF($B31='Benzin - diesel - hybrid'!$E56,'Benzin - diesel - hybrid'!S$80,0)+IF('Benzin - diesel - hybrid'!S$29="ja",S192,0)</f>
        <v>0</v>
      </c>
      <c r="U31" s="148">
        <f>U30+U9+U54+IF($B31='Benzin - diesel - hybrid'!$E56,'Benzin - diesel - hybrid'!U$80,0)+IF('Benzin - diesel - hybrid'!U$29="ja",U192,0)</f>
        <v>0</v>
      </c>
      <c r="W31" s="148">
        <f>W30+W9+W54+IF($B31='Benzin - diesel - hybrid'!$E56,'Benzin - diesel - hybrid'!W$80,0)+IF('Benzin - diesel - hybrid'!W$29="ja",W192,0)</f>
        <v>0</v>
      </c>
      <c r="Z31" s="247" t="str">
        <f>IF('Benzin - diesel - hybrid'!$E$51&gt;=B30,B30,"")</f>
        <v/>
      </c>
    </row>
    <row r="32" spans="1:26">
      <c r="A32" s="5"/>
      <c r="B32" s="5">
        <v>7</v>
      </c>
      <c r="C32" s="5"/>
      <c r="D32" s="5"/>
      <c r="E32" s="148">
        <f>E31+E10+E55+IF($B32='Benzin - diesel - hybrid'!$E57,'Benzin - diesel - hybrid'!E$80,0)+IF('Benzin - diesel - hybrid'!E$29="ja",E193,0)</f>
        <v>0</v>
      </c>
      <c r="F32" s="148"/>
      <c r="G32" s="148">
        <f>G31+G10+G55+IF($B32='Benzin - diesel - hybrid'!$E57,'Benzin - diesel - hybrid'!G$80,0)+IF('Benzin - diesel - hybrid'!G$29="ja",G193,0)</f>
        <v>0</v>
      </c>
      <c r="H32" s="148"/>
      <c r="I32" s="148">
        <f>I31+I10+I55+IF($B32='Benzin - diesel - hybrid'!$E57,'Benzin - diesel - hybrid'!I$80,0)+IF('Benzin - diesel - hybrid'!I$29="ja",I193,0)</f>
        <v>0</v>
      </c>
      <c r="J32" s="148"/>
      <c r="K32" s="148">
        <f>K31+K10+K55+IF($B32='Benzin - diesel - hybrid'!$E57,'Benzin - diesel - hybrid'!K$80,0)+IF('Benzin - diesel - hybrid'!K$29="ja",K193,0)</f>
        <v>0</v>
      </c>
      <c r="L32" s="148"/>
      <c r="M32" s="148">
        <f>M31+M10+M55+IF($B32='Benzin - diesel - hybrid'!$E57,'Benzin - diesel - hybrid'!M$80,0)+IF('Benzin - diesel - hybrid'!M$29="ja",M193,0)</f>
        <v>0</v>
      </c>
      <c r="N32" s="148"/>
      <c r="O32" s="148">
        <f>O31+O10+O55+IF($B32='Benzin - diesel - hybrid'!$E57,'Benzin - diesel - hybrid'!O$80,0)+IF('Benzin - diesel - hybrid'!O$29="ja",O193,0)</f>
        <v>0</v>
      </c>
      <c r="P32" s="148"/>
      <c r="Q32" s="148">
        <f>Q31+Q10+Q55+IF($B32='Benzin - diesel - hybrid'!$E57,'Benzin - diesel - hybrid'!Q$80,0)+IF('Benzin - diesel - hybrid'!Q$29="ja",Q193,0)</f>
        <v>0</v>
      </c>
      <c r="R32" s="148"/>
      <c r="S32" s="148">
        <f>S31+S10+S55+IF($B32='Benzin - diesel - hybrid'!$E57,'Benzin - diesel - hybrid'!S$80,0)+IF('Benzin - diesel - hybrid'!S$29="ja",S193,0)</f>
        <v>0</v>
      </c>
      <c r="U32" s="148">
        <f>U31+U10+U55+IF($B32='Benzin - diesel - hybrid'!$E57,'Benzin - diesel - hybrid'!U$80,0)+IF('Benzin - diesel - hybrid'!U$29="ja",U193,0)</f>
        <v>0</v>
      </c>
      <c r="W32" s="148">
        <f>W31+W10+W55+IF($B32='Benzin - diesel - hybrid'!$E57,'Benzin - diesel - hybrid'!W$80,0)+IF('Benzin - diesel - hybrid'!W$29="ja",W193,0)</f>
        <v>0</v>
      </c>
      <c r="Z32" s="247" t="str">
        <f>IF('Benzin - diesel - hybrid'!$E$51&gt;=B31,B31,"")</f>
        <v/>
      </c>
    </row>
    <row r="33" spans="1:26">
      <c r="A33" s="5"/>
      <c r="B33" s="5">
        <v>8</v>
      </c>
      <c r="C33" s="5"/>
      <c r="D33" s="5"/>
      <c r="E33" s="148">
        <f>E32+E11+E56+IF($B33='Benzin - diesel - hybrid'!$E58,'Benzin - diesel - hybrid'!E$80,0)+IF('Benzin - diesel - hybrid'!E$29="ja",E194,0)</f>
        <v>0</v>
      </c>
      <c r="F33" s="148"/>
      <c r="G33" s="148">
        <f>G32+G11+G56+IF($B33='Benzin - diesel - hybrid'!$E58,'Benzin - diesel - hybrid'!G$80,0)+IF('Benzin - diesel - hybrid'!G$29="ja",G194,0)</f>
        <v>0</v>
      </c>
      <c r="H33" s="148"/>
      <c r="I33" s="148">
        <f>I32+I11+I56+IF($B33='Benzin - diesel - hybrid'!$E58,'Benzin - diesel - hybrid'!I$80,0)+IF('Benzin - diesel - hybrid'!I$29="ja",I194,0)</f>
        <v>0</v>
      </c>
      <c r="J33" s="148"/>
      <c r="K33" s="148">
        <f>K32+K11+K56+IF($B33='Benzin - diesel - hybrid'!$E58,'Benzin - diesel - hybrid'!K$80,0)+IF('Benzin - diesel - hybrid'!K$29="ja",K194,0)</f>
        <v>0</v>
      </c>
      <c r="L33" s="148"/>
      <c r="M33" s="148">
        <f>M32+M11+M56+IF($B33='Benzin - diesel - hybrid'!$E58,'Benzin - diesel - hybrid'!M$80,0)+IF('Benzin - diesel - hybrid'!M$29="ja",M194,0)</f>
        <v>0</v>
      </c>
      <c r="N33" s="148"/>
      <c r="O33" s="148">
        <f>O32+O11+O56+IF($B33='Benzin - diesel - hybrid'!$E58,'Benzin - diesel - hybrid'!O$80,0)+IF('Benzin - diesel - hybrid'!O$29="ja",O194,0)</f>
        <v>0</v>
      </c>
      <c r="P33" s="148"/>
      <c r="Q33" s="148">
        <f>Q32+Q11+Q56+IF($B33='Benzin - diesel - hybrid'!$E58,'Benzin - diesel - hybrid'!Q$80,0)+IF('Benzin - diesel - hybrid'!Q$29="ja",Q194,0)</f>
        <v>0</v>
      </c>
      <c r="R33" s="148"/>
      <c r="S33" s="148">
        <f>S32+S11+S56+IF($B33='Benzin - diesel - hybrid'!$E58,'Benzin - diesel - hybrid'!S$80,0)+IF('Benzin - diesel - hybrid'!S$29="ja",S194,0)</f>
        <v>0</v>
      </c>
      <c r="U33" s="148">
        <f>U32+U11+U56+IF($B33='Benzin - diesel - hybrid'!$E58,'Benzin - diesel - hybrid'!U$80,0)+IF('Benzin - diesel - hybrid'!U$29="ja",U194,0)</f>
        <v>0</v>
      </c>
      <c r="W33" s="148">
        <f>W32+W11+W56+IF($B33='Benzin - diesel - hybrid'!$E58,'Benzin - diesel - hybrid'!W$80,0)+IF('Benzin - diesel - hybrid'!W$29="ja",W194,0)</f>
        <v>0</v>
      </c>
      <c r="Z33" s="247" t="str">
        <f>IF('Benzin - diesel - hybrid'!$E$51&gt;=B32,B32,"")</f>
        <v/>
      </c>
    </row>
    <row r="34" spans="1:26">
      <c r="A34" s="5"/>
      <c r="B34" s="5">
        <v>9</v>
      </c>
      <c r="C34" s="5"/>
      <c r="D34" s="5"/>
      <c r="E34" s="148">
        <f>E33+E12+E57+IF($B34='Benzin - diesel - hybrid'!$E59,'Benzin - diesel - hybrid'!E$80,0)+IF('Benzin - diesel - hybrid'!E$29="ja",E195,0)</f>
        <v>0</v>
      </c>
      <c r="F34" s="148"/>
      <c r="G34" s="148">
        <f>G33+G12+G57+IF($B34='Benzin - diesel - hybrid'!$E59,'Benzin - diesel - hybrid'!G$80,0)+IF('Benzin - diesel - hybrid'!G$29="ja",G195,0)</f>
        <v>0</v>
      </c>
      <c r="H34" s="148"/>
      <c r="I34" s="148">
        <f>I33+I12+I57+IF($B34='Benzin - diesel - hybrid'!$E59,'Benzin - diesel - hybrid'!I$80,0)+IF('Benzin - diesel - hybrid'!I$29="ja",I195,0)</f>
        <v>0</v>
      </c>
      <c r="J34" s="148"/>
      <c r="K34" s="148">
        <f>K33+K12+K57+IF($B34='Benzin - diesel - hybrid'!$E59,'Benzin - diesel - hybrid'!K$80,0)+IF('Benzin - diesel - hybrid'!K$29="ja",K195,0)</f>
        <v>0</v>
      </c>
      <c r="L34" s="148"/>
      <c r="M34" s="148">
        <f>M33+M12+M57+IF($B34='Benzin - diesel - hybrid'!$E59,'Benzin - diesel - hybrid'!M$80,0)+IF('Benzin - diesel - hybrid'!M$29="ja",M195,0)</f>
        <v>0</v>
      </c>
      <c r="N34" s="148"/>
      <c r="O34" s="148">
        <f>O33+O12+O57+IF($B34='Benzin - diesel - hybrid'!$E59,'Benzin - diesel - hybrid'!O$80,0)+IF('Benzin - diesel - hybrid'!O$29="ja",O195,0)</f>
        <v>0</v>
      </c>
      <c r="P34" s="148"/>
      <c r="Q34" s="148">
        <f>Q33+Q12+Q57+IF($B34='Benzin - diesel - hybrid'!$E59,'Benzin - diesel - hybrid'!Q$80,0)+IF('Benzin - diesel - hybrid'!Q$29="ja",Q195,0)</f>
        <v>0</v>
      </c>
      <c r="R34" s="148"/>
      <c r="S34" s="148">
        <f>S33+S12+S57+IF($B34='Benzin - diesel - hybrid'!$E59,'Benzin - diesel - hybrid'!S$80,0)+IF('Benzin - diesel - hybrid'!S$29="ja",S195,0)</f>
        <v>0</v>
      </c>
      <c r="U34" s="148">
        <f>U33+U12+U57+IF($B34='Benzin - diesel - hybrid'!$E59,'Benzin - diesel - hybrid'!U$80,0)+IF('Benzin - diesel - hybrid'!U$29="ja",U195,0)</f>
        <v>0</v>
      </c>
      <c r="W34" s="148">
        <f>W33+W12+W57+IF($B34='Benzin - diesel - hybrid'!$E59,'Benzin - diesel - hybrid'!W$80,0)+IF('Benzin - diesel - hybrid'!W$29="ja",W195,0)</f>
        <v>0</v>
      </c>
      <c r="Z34" s="247" t="str">
        <f>IF('Benzin - diesel - hybrid'!$E$51&gt;=B33,B33,"")</f>
        <v/>
      </c>
    </row>
    <row r="35" spans="1:26">
      <c r="A35" s="5"/>
      <c r="B35" s="5">
        <v>10</v>
      </c>
      <c r="C35" s="5"/>
      <c r="D35" s="5"/>
      <c r="E35" s="148">
        <f>E34+E13+E58+IF($B35='Benzin - diesel - hybrid'!$E60,'Benzin - diesel - hybrid'!E$80,0)+IF('Benzin - diesel - hybrid'!E$29="ja",E196,0)</f>
        <v>0</v>
      </c>
      <c r="F35" s="148"/>
      <c r="G35" s="148">
        <f>G34+G13+G58+IF($B35='Benzin - diesel - hybrid'!$E60,'Benzin - diesel - hybrid'!G$80,0)+IF('Benzin - diesel - hybrid'!G$29="ja",G196,0)</f>
        <v>0</v>
      </c>
      <c r="H35" s="148"/>
      <c r="I35" s="148">
        <f>I34+I13+I58+IF($B35='Benzin - diesel - hybrid'!$E60,'Benzin - diesel - hybrid'!I$80,0)+IF('Benzin - diesel - hybrid'!I$29="ja",I196,0)</f>
        <v>0</v>
      </c>
      <c r="J35" s="148"/>
      <c r="K35" s="148">
        <f>K34+K13+K58+IF($B35='Benzin - diesel - hybrid'!$E60,'Benzin - diesel - hybrid'!K$80,0)+IF('Benzin - diesel - hybrid'!K$29="ja",K196,0)</f>
        <v>0</v>
      </c>
      <c r="L35" s="148"/>
      <c r="M35" s="148">
        <f>M34+M13+M58+IF($B35='Benzin - diesel - hybrid'!$E60,'Benzin - diesel - hybrid'!M$80,0)+IF('Benzin - diesel - hybrid'!M$29="ja",M196,0)</f>
        <v>0</v>
      </c>
      <c r="N35" s="148"/>
      <c r="O35" s="148">
        <f>O34+O13+O58+IF($B35='Benzin - diesel - hybrid'!$E60,'Benzin - diesel - hybrid'!O$80,0)+IF('Benzin - diesel - hybrid'!O$29="ja",O196,0)</f>
        <v>0</v>
      </c>
      <c r="P35" s="148"/>
      <c r="Q35" s="148">
        <f>Q34+Q13+Q58+IF($B35='Benzin - diesel - hybrid'!$E60,'Benzin - diesel - hybrid'!Q$80,0)+IF('Benzin - diesel - hybrid'!Q$29="ja",Q196,0)</f>
        <v>0</v>
      </c>
      <c r="R35" s="148"/>
      <c r="S35" s="148">
        <f>S34+S13+S58+IF($B35='Benzin - diesel - hybrid'!$E60,'Benzin - diesel - hybrid'!S$80,0)+IF('Benzin - diesel - hybrid'!S$29="ja",S196,0)</f>
        <v>0</v>
      </c>
      <c r="U35" s="148">
        <f>U34+U13+U58+IF($B35='Benzin - diesel - hybrid'!$E60,'Benzin - diesel - hybrid'!U$80,0)+IF('Benzin - diesel - hybrid'!U$29="ja",U196,0)</f>
        <v>0</v>
      </c>
      <c r="W35" s="148">
        <f>W34+W13+W58+IF($B35='Benzin - diesel - hybrid'!$E60,'Benzin - diesel - hybrid'!W$80,0)+IF('Benzin - diesel - hybrid'!W$29="ja",W196,0)</f>
        <v>0</v>
      </c>
      <c r="Z35" s="247" t="str">
        <f>IF('Benzin - diesel - hybrid'!$E$51&gt;=B34,B34,"")</f>
        <v/>
      </c>
    </row>
    <row r="36" spans="1:26">
      <c r="A36" s="5"/>
      <c r="B36" s="5">
        <v>11</v>
      </c>
      <c r="C36" s="5"/>
      <c r="D36" s="5"/>
      <c r="E36" s="148">
        <f>E35+E14+E59+IF($B36='Benzin - diesel - hybrid'!$E61,'Benzin - diesel - hybrid'!E$80,0)+IF('Benzin - diesel - hybrid'!E$29="ja",E197,0)</f>
        <v>0</v>
      </c>
      <c r="F36" s="148"/>
      <c r="G36" s="148">
        <f>G35+G14+G59+IF($B36='Benzin - diesel - hybrid'!$E61,'Benzin - diesel - hybrid'!G$80,0)+IF('Benzin - diesel - hybrid'!G$29="ja",G197,0)</f>
        <v>0</v>
      </c>
      <c r="H36" s="148"/>
      <c r="I36" s="148">
        <f>I35+I14+I59+IF($B36='Benzin - diesel - hybrid'!$E61,'Benzin - diesel - hybrid'!I$80,0)+IF('Benzin - diesel - hybrid'!I$29="ja",I197,0)</f>
        <v>0</v>
      </c>
      <c r="J36" s="148"/>
      <c r="K36" s="148">
        <f>K35+K14+K59+IF($B36='Benzin - diesel - hybrid'!$E61,'Benzin - diesel - hybrid'!K$80,0)+IF('Benzin - diesel - hybrid'!K$29="ja",K197,0)</f>
        <v>0</v>
      </c>
      <c r="L36" s="148"/>
      <c r="M36" s="148">
        <f>M35+M14+M59+IF($B36='Benzin - diesel - hybrid'!$E61,'Benzin - diesel - hybrid'!M$80,0)+IF('Benzin - diesel - hybrid'!M$29="ja",M197,0)</f>
        <v>0</v>
      </c>
      <c r="N36" s="148"/>
      <c r="O36" s="148">
        <f>O35+O14+O59+IF($B36='Benzin - diesel - hybrid'!$E61,'Benzin - diesel - hybrid'!O$80,0)+IF('Benzin - diesel - hybrid'!O$29="ja",O197,0)</f>
        <v>0</v>
      </c>
      <c r="P36" s="148"/>
      <c r="Q36" s="148">
        <f>Q35+Q14+Q59+IF($B36='Benzin - diesel - hybrid'!$E61,'Benzin - diesel - hybrid'!Q$80,0)+IF('Benzin - diesel - hybrid'!Q$29="ja",Q197,0)</f>
        <v>0</v>
      </c>
      <c r="R36" s="148"/>
      <c r="S36" s="148">
        <f>S35+S14+S59+IF($B36='Benzin - diesel - hybrid'!$E61,'Benzin - diesel - hybrid'!S$80,0)+IF('Benzin - diesel - hybrid'!S$29="ja",S197,0)</f>
        <v>0</v>
      </c>
      <c r="U36" s="148">
        <f>U35+U14+U59+IF($B36='Benzin - diesel - hybrid'!$E61,'Benzin - diesel - hybrid'!U$80,0)+IF('Benzin - diesel - hybrid'!U$29="ja",U197,0)</f>
        <v>0</v>
      </c>
      <c r="W36" s="148">
        <f>W35+W14+W59+IF($B36='Benzin - diesel - hybrid'!$E61,'Benzin - diesel - hybrid'!W$80,0)+IF('Benzin - diesel - hybrid'!W$29="ja",W197,0)</f>
        <v>0</v>
      </c>
      <c r="Z36" s="247" t="str">
        <f>IF('Benzin - diesel - hybrid'!$E$51&gt;=B35,B35,"")</f>
        <v/>
      </c>
    </row>
    <row r="37" spans="1:26">
      <c r="A37" s="3"/>
      <c r="B37" s="5">
        <v>12</v>
      </c>
      <c r="C37" s="3"/>
      <c r="D37" s="3"/>
      <c r="E37" s="148">
        <f>E36+E15+E60+IF($B37='Benzin - diesel - hybrid'!$E62,'Benzin - diesel - hybrid'!E$80,0)+IF('Benzin - diesel - hybrid'!E$29="ja",E198,0)</f>
        <v>0</v>
      </c>
      <c r="F37" s="148"/>
      <c r="G37" s="148">
        <f>G36+G15+G60+IF($B37='Benzin - diesel - hybrid'!$E62,'Benzin - diesel - hybrid'!G$80,0)+IF('Benzin - diesel - hybrid'!G$29="ja",G198,0)</f>
        <v>0</v>
      </c>
      <c r="H37" s="148"/>
      <c r="I37" s="148">
        <f>I36+I15+I60+IF($B37='Benzin - diesel - hybrid'!$E62,'Benzin - diesel - hybrid'!I$80,0)+IF('Benzin - diesel - hybrid'!I$29="ja",I198,0)</f>
        <v>0</v>
      </c>
      <c r="J37" s="148"/>
      <c r="K37" s="148">
        <f>K36+K15+K60+IF($B37='Benzin - diesel - hybrid'!$E62,'Benzin - diesel - hybrid'!K$80,0)+IF('Benzin - diesel - hybrid'!K$29="ja",K198,0)</f>
        <v>0</v>
      </c>
      <c r="L37" s="148"/>
      <c r="M37" s="148">
        <f>M36+M15+M60+IF($B37='Benzin - diesel - hybrid'!$E62,'Benzin - diesel - hybrid'!M$80,0)+IF('Benzin - diesel - hybrid'!M$29="ja",M198,0)</f>
        <v>0</v>
      </c>
      <c r="N37" s="148"/>
      <c r="O37" s="148">
        <f>O36+O15+O60+IF($B37='Benzin - diesel - hybrid'!$E62,'Benzin - diesel - hybrid'!O$80,0)+IF('Benzin - diesel - hybrid'!O$29="ja",O198,0)</f>
        <v>0</v>
      </c>
      <c r="P37" s="148"/>
      <c r="Q37" s="148">
        <f>Q36+Q15+Q60+IF($B37='Benzin - diesel - hybrid'!$E62,'Benzin - diesel - hybrid'!Q$80,0)+IF('Benzin - diesel - hybrid'!Q$29="ja",Q198,0)</f>
        <v>0</v>
      </c>
      <c r="R37" s="148"/>
      <c r="S37" s="148">
        <f>S36+S15+S60+IF($B37='Benzin - diesel - hybrid'!$E62,'Benzin - diesel - hybrid'!S$80,0)+IF('Benzin - diesel - hybrid'!S$29="ja",S198,0)</f>
        <v>0</v>
      </c>
      <c r="U37" s="148">
        <f>U36+U15+U60+IF($B37='Benzin - diesel - hybrid'!$E62,'Benzin - diesel - hybrid'!U$80,0)+IF('Benzin - diesel - hybrid'!U$29="ja",U198,0)</f>
        <v>0</v>
      </c>
      <c r="W37" s="148">
        <f>W36+W15+W60+IF($B37='Benzin - diesel - hybrid'!$E62,'Benzin - diesel - hybrid'!W$80,0)+IF('Benzin - diesel - hybrid'!W$29="ja",W198,0)</f>
        <v>0</v>
      </c>
      <c r="Z37" s="247" t="str">
        <f>IF('Benzin - diesel - hybrid'!$E$51&gt;=B36,B36,"")</f>
        <v/>
      </c>
    </row>
    <row r="38" spans="1:26">
      <c r="A38" s="3"/>
      <c r="B38" s="5">
        <v>13</v>
      </c>
      <c r="C38" s="3"/>
      <c r="D38" s="3"/>
      <c r="E38" s="148">
        <f>E37+E16+E61+IF($B38='Benzin - diesel - hybrid'!$E63,'Benzin - diesel - hybrid'!E$80,0)+IF('Benzin - diesel - hybrid'!E$29="ja",E199,0)</f>
        <v>0</v>
      </c>
      <c r="F38" s="148"/>
      <c r="G38" s="148">
        <f>G37+G16+G61+IF($B38='Benzin - diesel - hybrid'!$E63,'Benzin - diesel - hybrid'!G$80,0)+IF('Benzin - diesel - hybrid'!G$29="ja",G199,0)</f>
        <v>0</v>
      </c>
      <c r="H38" s="148"/>
      <c r="I38" s="148">
        <f>I37+I16+I61+IF($B38='Benzin - diesel - hybrid'!$E63,'Benzin - diesel - hybrid'!I$80,0)+IF('Benzin - diesel - hybrid'!I$29="ja",I199,0)</f>
        <v>0</v>
      </c>
      <c r="J38" s="148"/>
      <c r="K38" s="148">
        <f>K37+K16+K61+IF($B38='Benzin - diesel - hybrid'!$E63,'Benzin - diesel - hybrid'!K$80,0)+IF('Benzin - diesel - hybrid'!K$29="ja",K199,0)</f>
        <v>0</v>
      </c>
      <c r="L38" s="148"/>
      <c r="M38" s="148">
        <f>M37+M16+M61+IF($B38='Benzin - diesel - hybrid'!$E63,'Benzin - diesel - hybrid'!M$80,0)+IF('Benzin - diesel - hybrid'!M$29="ja",M199,0)</f>
        <v>0</v>
      </c>
      <c r="N38" s="148"/>
      <c r="O38" s="148">
        <f>O37+O16+O61+IF($B38='Benzin - diesel - hybrid'!$E63,'Benzin - diesel - hybrid'!O$80,0)+IF('Benzin - diesel - hybrid'!O$29="ja",O199,0)</f>
        <v>0</v>
      </c>
      <c r="P38" s="148"/>
      <c r="Q38" s="148">
        <f>Q37+Q16+Q61+IF($B38='Benzin - diesel - hybrid'!$E63,'Benzin - diesel - hybrid'!Q$80,0)+IF('Benzin - diesel - hybrid'!Q$29="ja",Q199,0)</f>
        <v>0</v>
      </c>
      <c r="R38" s="148"/>
      <c r="S38" s="148">
        <f>S37+S16+S61+IF($B38='Benzin - diesel - hybrid'!$E63,'Benzin - diesel - hybrid'!S$80,0)+IF('Benzin - diesel - hybrid'!S$29="ja",S199,0)</f>
        <v>0</v>
      </c>
      <c r="U38" s="148">
        <f>U37+U16+U61+IF($B38='Benzin - diesel - hybrid'!$E63,'Benzin - diesel - hybrid'!U$80,0)+IF('Benzin - diesel - hybrid'!U$29="ja",U199,0)</f>
        <v>0</v>
      </c>
      <c r="W38" s="148">
        <f>W37+W16+W61+IF($B38='Benzin - diesel - hybrid'!$E63,'Benzin - diesel - hybrid'!W$80,0)+IF('Benzin - diesel - hybrid'!W$29="ja",W199,0)</f>
        <v>0</v>
      </c>
      <c r="Z38" s="247" t="str">
        <f>IF('Benzin - diesel - hybrid'!$E$51&gt;=B37,B37,"")</f>
        <v/>
      </c>
    </row>
    <row r="39" spans="1:26">
      <c r="A39" s="3"/>
      <c r="B39" s="5">
        <v>14</v>
      </c>
      <c r="C39" s="3"/>
      <c r="D39" s="3"/>
      <c r="E39" s="148">
        <f>E38+E17+E62+IF($B39='Benzin - diesel - hybrid'!$E64,'Benzin - diesel - hybrid'!E$80,0)+IF('Benzin - diesel - hybrid'!E$29="ja",E200,0)</f>
        <v>0</v>
      </c>
      <c r="F39" s="148"/>
      <c r="G39" s="148">
        <f>G38+G17+G62+IF($B39='Benzin - diesel - hybrid'!$E64,'Benzin - diesel - hybrid'!G$80,0)+IF('Benzin - diesel - hybrid'!G$29="ja",G200,0)</f>
        <v>0</v>
      </c>
      <c r="H39" s="148"/>
      <c r="I39" s="148">
        <f>I38+I17+I62+IF($B39='Benzin - diesel - hybrid'!$E64,'Benzin - diesel - hybrid'!I$80,0)+IF('Benzin - diesel - hybrid'!I$29="ja",I200,0)</f>
        <v>0</v>
      </c>
      <c r="J39" s="148"/>
      <c r="K39" s="148">
        <f>K38+K17+K62+IF($B39='Benzin - diesel - hybrid'!$E64,'Benzin - diesel - hybrid'!K$80,0)+IF('Benzin - diesel - hybrid'!K$29="ja",K200,0)</f>
        <v>0</v>
      </c>
      <c r="L39" s="148"/>
      <c r="M39" s="148">
        <f>M38+M17+M62+IF($B39='Benzin - diesel - hybrid'!$E64,'Benzin - diesel - hybrid'!M$80,0)+IF('Benzin - diesel - hybrid'!M$29="ja",M200,0)</f>
        <v>0</v>
      </c>
      <c r="N39" s="148"/>
      <c r="O39" s="148">
        <f>O38+O17+O62+IF($B39='Benzin - diesel - hybrid'!$E64,'Benzin - diesel - hybrid'!O$80,0)+IF('Benzin - diesel - hybrid'!O$29="ja",O200,0)</f>
        <v>0</v>
      </c>
      <c r="P39" s="148"/>
      <c r="Q39" s="148">
        <f>Q38+Q17+Q62+IF($B39='Benzin - diesel - hybrid'!$E64,'Benzin - diesel - hybrid'!Q$80,0)+IF('Benzin - diesel - hybrid'!Q$29="ja",Q200,0)</f>
        <v>0</v>
      </c>
      <c r="R39" s="148"/>
      <c r="S39" s="148">
        <f>S38+S17+S62+IF($B39='Benzin - diesel - hybrid'!$E64,'Benzin - diesel - hybrid'!S$80,0)+IF('Benzin - diesel - hybrid'!S$29="ja",S200,0)</f>
        <v>0</v>
      </c>
      <c r="U39" s="148">
        <f>U38+U17+U62+IF($B39='Benzin - diesel - hybrid'!$E64,'Benzin - diesel - hybrid'!U$80,0)+IF('Benzin - diesel - hybrid'!U$29="ja",U200,0)</f>
        <v>0</v>
      </c>
      <c r="W39" s="148">
        <f>W38+W17+W62+IF($B39='Benzin - diesel - hybrid'!$E64,'Benzin - diesel - hybrid'!W$80,0)+IF('Benzin - diesel - hybrid'!W$29="ja",W200,0)</f>
        <v>0</v>
      </c>
      <c r="Z39" s="247" t="str">
        <f>IF('Benzin - diesel - hybrid'!$E$51&gt;=B38,B38,"")</f>
        <v/>
      </c>
    </row>
    <row r="40" spans="1:26">
      <c r="A40" s="3"/>
      <c r="B40" s="5">
        <v>15</v>
      </c>
      <c r="C40" s="3"/>
      <c r="D40" s="3"/>
      <c r="E40" s="148">
        <f>E39+E18+E63+IF($B40='Benzin - diesel - hybrid'!$E65,'Benzin - diesel - hybrid'!E$80,0)+IF('Benzin - diesel - hybrid'!E$29="ja",E201,0)</f>
        <v>0</v>
      </c>
      <c r="F40" s="148"/>
      <c r="G40" s="148">
        <f>G39+G18+G63+IF($B40='Benzin - diesel - hybrid'!$E65,'Benzin - diesel - hybrid'!G$80,0)+IF('Benzin - diesel - hybrid'!G$29="ja",G201,0)</f>
        <v>0</v>
      </c>
      <c r="H40" s="148"/>
      <c r="I40" s="148">
        <f>I39+I18+I63+IF($B40='Benzin - diesel - hybrid'!$E65,'Benzin - diesel - hybrid'!I$80,0)+IF('Benzin - diesel - hybrid'!I$29="ja",I201,0)</f>
        <v>0</v>
      </c>
      <c r="J40" s="148"/>
      <c r="K40" s="148">
        <f>K39+K18+K63+IF($B40='Benzin - diesel - hybrid'!$E65,'Benzin - diesel - hybrid'!K$80,0)+IF('Benzin - diesel - hybrid'!K$29="ja",K201,0)</f>
        <v>0</v>
      </c>
      <c r="L40" s="148"/>
      <c r="M40" s="148">
        <f>M39+M18+M63+IF($B40='Benzin - diesel - hybrid'!$E65,'Benzin - diesel - hybrid'!M$80,0)+IF('Benzin - diesel - hybrid'!M$29="ja",M201,0)</f>
        <v>0</v>
      </c>
      <c r="N40" s="148"/>
      <c r="O40" s="148">
        <f>O39+O18+O63+IF($B40='Benzin - diesel - hybrid'!$E65,'Benzin - diesel - hybrid'!O$80,0)+IF('Benzin - diesel - hybrid'!O$29="ja",O201,0)</f>
        <v>0</v>
      </c>
      <c r="P40" s="148"/>
      <c r="Q40" s="148">
        <f>Q39+Q18+Q63+IF($B40='Benzin - diesel - hybrid'!$E65,'Benzin - diesel - hybrid'!Q$80,0)+IF('Benzin - diesel - hybrid'!Q$29="ja",Q201,0)</f>
        <v>0</v>
      </c>
      <c r="R40" s="148"/>
      <c r="S40" s="148">
        <f>S39+S18+S63+IF($B40='Benzin - diesel - hybrid'!$E65,'Benzin - diesel - hybrid'!S$80,0)+IF('Benzin - diesel - hybrid'!S$29="ja",S201,0)</f>
        <v>0</v>
      </c>
      <c r="U40" s="148">
        <f>U39+U18+U63+IF($B40='Benzin - diesel - hybrid'!$E65,'Benzin - diesel - hybrid'!U$80,0)+IF('Benzin - diesel - hybrid'!U$29="ja",U201,0)</f>
        <v>0</v>
      </c>
      <c r="W40" s="148">
        <f>W39+W18+W63+IF($B40='Benzin - diesel - hybrid'!$E65,'Benzin - diesel - hybrid'!W$80,0)+IF('Benzin - diesel - hybrid'!W$29="ja",W201,0)</f>
        <v>0</v>
      </c>
      <c r="Z40" s="247" t="str">
        <f>IF('Benzin - diesel - hybrid'!$E$51&gt;=B39,B39,"")</f>
        <v/>
      </c>
    </row>
    <row r="41" spans="1:26">
      <c r="A41" s="3"/>
      <c r="B41" s="5">
        <v>16</v>
      </c>
      <c r="C41" s="3"/>
      <c r="D41" s="3"/>
      <c r="E41" s="148">
        <f>E40+E19+E64+IF($B41='Benzin - diesel - hybrid'!$E66,'Benzin - diesel - hybrid'!E$80,0)+IF('Benzin - diesel - hybrid'!E$29="ja",E202,0)</f>
        <v>0</v>
      </c>
      <c r="F41" s="148"/>
      <c r="G41" s="148">
        <f>G40+G19+G64+IF($B41='Benzin - diesel - hybrid'!$E66,'Benzin - diesel - hybrid'!G$80,0)+IF('Benzin - diesel - hybrid'!G$29="ja",G202,0)</f>
        <v>0</v>
      </c>
      <c r="H41" s="148"/>
      <c r="I41" s="148">
        <f>I40+I19+I64+IF($B41='Benzin - diesel - hybrid'!$E66,'Benzin - diesel - hybrid'!I$80,0)+IF('Benzin - diesel - hybrid'!I$29="ja",I202,0)</f>
        <v>0</v>
      </c>
      <c r="J41" s="148"/>
      <c r="K41" s="148">
        <f>K40+K19+K64+IF($B41='Benzin - diesel - hybrid'!$E66,'Benzin - diesel - hybrid'!K$80,0)+IF('Benzin - diesel - hybrid'!K$29="ja",K202,0)</f>
        <v>0</v>
      </c>
      <c r="L41" s="148"/>
      <c r="M41" s="148">
        <f>M40+M19+M64+IF($B41='Benzin - diesel - hybrid'!$E66,'Benzin - diesel - hybrid'!M$80,0)+IF('Benzin - diesel - hybrid'!M$29="ja",M202,0)</f>
        <v>0</v>
      </c>
      <c r="N41" s="148"/>
      <c r="O41" s="148">
        <f>O40+O19+O64+IF($B41='Benzin - diesel - hybrid'!$E66,'Benzin - diesel - hybrid'!O$80,0)+IF('Benzin - diesel - hybrid'!O$29="ja",O202,0)</f>
        <v>0</v>
      </c>
      <c r="P41" s="148"/>
      <c r="Q41" s="148">
        <f>Q40+Q19+Q64+IF($B41='Benzin - diesel - hybrid'!$E66,'Benzin - diesel - hybrid'!Q$80,0)+IF('Benzin - diesel - hybrid'!Q$29="ja",Q202,0)</f>
        <v>0</v>
      </c>
      <c r="R41" s="148"/>
      <c r="S41" s="148">
        <f>S40+S19+S64+IF($B41='Benzin - diesel - hybrid'!$E66,'Benzin - diesel - hybrid'!S$80,0)+IF('Benzin - diesel - hybrid'!S$29="ja",S202,0)</f>
        <v>0</v>
      </c>
      <c r="U41" s="148">
        <f>U40+U19+U64+IF($B41='Benzin - diesel - hybrid'!$E66,'Benzin - diesel - hybrid'!U$80,0)+IF('Benzin - diesel - hybrid'!U$29="ja",U202,0)</f>
        <v>0</v>
      </c>
      <c r="W41" s="148">
        <f>W40+W19+W64+IF($B41='Benzin - diesel - hybrid'!$E66,'Benzin - diesel - hybrid'!W$80,0)+IF('Benzin - diesel - hybrid'!W$29="ja",W202,0)</f>
        <v>0</v>
      </c>
      <c r="Z41" s="247" t="str">
        <f>IF('Benzin - diesel - hybrid'!$E$51&gt;=B40,B40,"")</f>
        <v/>
      </c>
    </row>
    <row r="42" spans="1:26">
      <c r="A42" s="3"/>
      <c r="B42" s="5">
        <v>17</v>
      </c>
      <c r="C42" s="3"/>
      <c r="D42" s="3"/>
      <c r="E42" s="148">
        <f>E41+E20+E65+IF($B42='Benzin - diesel - hybrid'!$E67,'Benzin - diesel - hybrid'!E$80,0)+IF('Benzin - diesel - hybrid'!E$29="ja",E203,0)</f>
        <v>0</v>
      </c>
      <c r="F42" s="148"/>
      <c r="G42" s="148">
        <f>G41+G20+G65+IF($B42='Benzin - diesel - hybrid'!$E67,'Benzin - diesel - hybrid'!G$80,0)+IF('Benzin - diesel - hybrid'!G$29="ja",G203,0)</f>
        <v>0</v>
      </c>
      <c r="H42" s="148"/>
      <c r="I42" s="148">
        <f>I41+I20+I65+IF($B42='Benzin - diesel - hybrid'!$E67,'Benzin - diesel - hybrid'!I$80,0)+IF('Benzin - diesel - hybrid'!I$29="ja",I203,0)</f>
        <v>0</v>
      </c>
      <c r="J42" s="148"/>
      <c r="K42" s="148">
        <f>K41+K20+K65+IF($B42='Benzin - diesel - hybrid'!$E67,'Benzin - diesel - hybrid'!K$80,0)+IF('Benzin - diesel - hybrid'!K$29="ja",K203,0)</f>
        <v>0</v>
      </c>
      <c r="L42" s="148"/>
      <c r="M42" s="148">
        <f>M41+M20+M65+IF($B42='Benzin - diesel - hybrid'!$E67,'Benzin - diesel - hybrid'!M$80,0)+IF('Benzin - diesel - hybrid'!M$29="ja",M203,0)</f>
        <v>0</v>
      </c>
      <c r="N42" s="148"/>
      <c r="O42" s="148">
        <f>O41+O20+O65+IF($B42='Benzin - diesel - hybrid'!$E67,'Benzin - diesel - hybrid'!O$80,0)+IF('Benzin - diesel - hybrid'!O$29="ja",O203,0)</f>
        <v>0</v>
      </c>
      <c r="P42" s="148"/>
      <c r="Q42" s="148">
        <f>Q41+Q20+Q65+IF($B42='Benzin - diesel - hybrid'!$E67,'Benzin - diesel - hybrid'!Q$80,0)+IF('Benzin - diesel - hybrid'!Q$29="ja",Q203,0)</f>
        <v>0</v>
      </c>
      <c r="R42" s="148"/>
      <c r="S42" s="148">
        <f>S41+S20+S65+IF($B42='Benzin - diesel - hybrid'!$E67,'Benzin - diesel - hybrid'!S$80,0)+IF('Benzin - diesel - hybrid'!S$29="ja",S203,0)</f>
        <v>0</v>
      </c>
      <c r="U42" s="148">
        <f>U41+U20+U65+IF($B42='Benzin - diesel - hybrid'!$E67,'Benzin - diesel - hybrid'!U$80,0)+IF('Benzin - diesel - hybrid'!U$29="ja",U203,0)</f>
        <v>0</v>
      </c>
      <c r="W42" s="148">
        <f>W41+W20+W65+IF($B42='Benzin - diesel - hybrid'!$E67,'Benzin - diesel - hybrid'!W$80,0)+IF('Benzin - diesel - hybrid'!W$29="ja",W203,0)</f>
        <v>0</v>
      </c>
      <c r="Z42" s="247" t="str">
        <f>IF('Benzin - diesel - hybrid'!$E$51&gt;=B41,B41,"")</f>
        <v/>
      </c>
    </row>
    <row r="43" spans="1:26">
      <c r="A43" s="3"/>
      <c r="B43" s="5">
        <v>18</v>
      </c>
      <c r="C43" s="3"/>
      <c r="D43" s="3"/>
      <c r="E43" s="148">
        <f>E42+E21+E66+IF($B43='Benzin - diesel - hybrid'!$E68,'Benzin - diesel - hybrid'!E$80,0)+IF('Benzin - diesel - hybrid'!E$29="ja",E204,0)</f>
        <v>0</v>
      </c>
      <c r="F43" s="148"/>
      <c r="G43" s="148">
        <f>G42+G21+G66+IF($B43='Benzin - diesel - hybrid'!$E68,'Benzin - diesel - hybrid'!G$80,0)+IF('Benzin - diesel - hybrid'!G$29="ja",G204,0)</f>
        <v>0</v>
      </c>
      <c r="H43" s="148"/>
      <c r="I43" s="148">
        <f>I42+I21+I66+IF($B43='Benzin - diesel - hybrid'!$E68,'Benzin - diesel - hybrid'!I$80,0)+IF('Benzin - diesel - hybrid'!I$29="ja",I204,0)</f>
        <v>0</v>
      </c>
      <c r="J43" s="148"/>
      <c r="K43" s="148">
        <f>K42+K21+K66+IF($B43='Benzin - diesel - hybrid'!$E68,'Benzin - diesel - hybrid'!K$80,0)+IF('Benzin - diesel - hybrid'!K$29="ja",K204,0)</f>
        <v>0</v>
      </c>
      <c r="L43" s="148"/>
      <c r="M43" s="148">
        <f>M42+M21+M66+IF($B43='Benzin - diesel - hybrid'!$E68,'Benzin - diesel - hybrid'!M$80,0)+IF('Benzin - diesel - hybrid'!M$29="ja",M204,0)</f>
        <v>0</v>
      </c>
      <c r="N43" s="148"/>
      <c r="O43" s="148">
        <f>O42+O21+O66+IF($B43='Benzin - diesel - hybrid'!$E68,'Benzin - diesel - hybrid'!O$80,0)+IF('Benzin - diesel - hybrid'!O$29="ja",O204,0)</f>
        <v>0</v>
      </c>
      <c r="P43" s="148"/>
      <c r="Q43" s="148">
        <f>Q42+Q21+Q66+IF($B43='Benzin - diesel - hybrid'!$E68,'Benzin - diesel - hybrid'!Q$80,0)+IF('Benzin - diesel - hybrid'!Q$29="ja",Q204,0)</f>
        <v>0</v>
      </c>
      <c r="R43" s="148"/>
      <c r="S43" s="148">
        <f>S42+S21+S66+IF($B43='Benzin - diesel - hybrid'!$E68,'Benzin - diesel - hybrid'!S$80,0)+IF('Benzin - diesel - hybrid'!S$29="ja",S204,0)</f>
        <v>0</v>
      </c>
      <c r="U43" s="148">
        <f>U42+U21+U66+IF($B43='Benzin - diesel - hybrid'!$E68,'Benzin - diesel - hybrid'!U$80,0)+IF('Benzin - diesel - hybrid'!U$29="ja",U204,0)</f>
        <v>0</v>
      </c>
      <c r="W43" s="148">
        <f>W42+W21+W66+IF($B43='Benzin - diesel - hybrid'!$E68,'Benzin - diesel - hybrid'!W$80,0)+IF('Benzin - diesel - hybrid'!W$29="ja",W204,0)</f>
        <v>0</v>
      </c>
      <c r="Z43" s="247" t="str">
        <f>IF('Benzin - diesel - hybrid'!$E$51&gt;=B42,B42,"")</f>
        <v/>
      </c>
    </row>
    <row r="44" spans="1:26">
      <c r="A44" s="3"/>
      <c r="B44" s="5">
        <v>19</v>
      </c>
      <c r="C44" s="3"/>
      <c r="D44" s="3"/>
      <c r="E44" s="148">
        <f>E43+E22+E67+IF($B44='Benzin - diesel - hybrid'!$E69,'Benzin - diesel - hybrid'!E$80,0)+IF('Benzin - diesel - hybrid'!E$29="ja",E205,0)</f>
        <v>0</v>
      </c>
      <c r="F44" s="148"/>
      <c r="G44" s="148">
        <f>G43+G22+G67+IF($B44='Benzin - diesel - hybrid'!$E69,'Benzin - diesel - hybrid'!G$80,0)+IF('Benzin - diesel - hybrid'!G$29="ja",G205,0)</f>
        <v>0</v>
      </c>
      <c r="H44" s="148"/>
      <c r="I44" s="148">
        <f>I43+I22+I67+IF($B44='Benzin - diesel - hybrid'!$E69,'Benzin - diesel - hybrid'!I$80,0)+IF('Benzin - diesel - hybrid'!I$29="ja",I205,0)</f>
        <v>0</v>
      </c>
      <c r="J44" s="148"/>
      <c r="K44" s="148">
        <f>K43+K22+K67+IF($B44='Benzin - diesel - hybrid'!$E69,'Benzin - diesel - hybrid'!K$80,0)+IF('Benzin - diesel - hybrid'!K$29="ja",K205,0)</f>
        <v>0</v>
      </c>
      <c r="L44" s="148"/>
      <c r="M44" s="148">
        <f>M43+M22+M67+IF($B44='Benzin - diesel - hybrid'!$E69,'Benzin - diesel - hybrid'!M$80,0)+IF('Benzin - diesel - hybrid'!M$29="ja",M205,0)</f>
        <v>0</v>
      </c>
      <c r="N44" s="148"/>
      <c r="O44" s="148">
        <f>O43+O22+O67+IF($B44='Benzin - diesel - hybrid'!$E69,'Benzin - diesel - hybrid'!O$80,0)+IF('Benzin - diesel - hybrid'!O$29="ja",O205,0)</f>
        <v>0</v>
      </c>
      <c r="P44" s="148"/>
      <c r="Q44" s="148">
        <f>Q43+Q22+Q67+IF($B44='Benzin - diesel - hybrid'!$E69,'Benzin - diesel - hybrid'!Q$80,0)+IF('Benzin - diesel - hybrid'!Q$29="ja",Q205,0)</f>
        <v>0</v>
      </c>
      <c r="R44" s="148"/>
      <c r="S44" s="148">
        <f>S43+S22+S67+IF($B44='Benzin - diesel - hybrid'!$E69,'Benzin - diesel - hybrid'!S$80,0)+IF('Benzin - diesel - hybrid'!S$29="ja",S205,0)</f>
        <v>0</v>
      </c>
      <c r="U44" s="148">
        <f>U43+U22+U67+IF($B44='Benzin - diesel - hybrid'!$E69,'Benzin - diesel - hybrid'!U$80,0)+IF('Benzin - diesel - hybrid'!U$29="ja",U205,0)</f>
        <v>0</v>
      </c>
      <c r="W44" s="148">
        <f>W43+W22+W67+IF($B44='Benzin - diesel - hybrid'!$E69,'Benzin - diesel - hybrid'!W$80,0)+IF('Benzin - diesel - hybrid'!W$29="ja",W205,0)</f>
        <v>0</v>
      </c>
      <c r="Z44" s="247" t="str">
        <f>IF('Benzin - diesel - hybrid'!$E$51&gt;=B43,B43,"")</f>
        <v/>
      </c>
    </row>
    <row r="45" spans="1:26">
      <c r="B45" s="5">
        <v>20</v>
      </c>
      <c r="C45" s="3"/>
      <c r="D45" s="3"/>
      <c r="E45" s="148">
        <f>E44+E23+E68+IF($B45='Benzin - diesel - hybrid'!$E70,'Benzin - diesel - hybrid'!E$80,0)+IF('Benzin - diesel - hybrid'!E$29="ja",E206,0)</f>
        <v>0</v>
      </c>
      <c r="F45" s="148"/>
      <c r="G45" s="148">
        <f>G44+G23+G68+IF($B45='Benzin - diesel - hybrid'!$E70,'Benzin - diesel - hybrid'!G$80,0)+IF('Benzin - diesel - hybrid'!G$29="ja",G206,0)</f>
        <v>0</v>
      </c>
      <c r="H45" s="148"/>
      <c r="I45" s="148">
        <f>I44+I23+I68+IF($B45='Benzin - diesel - hybrid'!$E70,'Benzin - diesel - hybrid'!I$80,0)+IF('Benzin - diesel - hybrid'!I$29="ja",I206,0)</f>
        <v>0</v>
      </c>
      <c r="J45" s="148"/>
      <c r="K45" s="148">
        <f>K44+K23+K68+IF($B45='Benzin - diesel - hybrid'!$E70,'Benzin - diesel - hybrid'!K$80,0)+IF('Benzin - diesel - hybrid'!K$29="ja",K206,0)</f>
        <v>0</v>
      </c>
      <c r="L45" s="148"/>
      <c r="M45" s="148">
        <f>M44+M23+M68+IF($B45='Benzin - diesel - hybrid'!$E70,'Benzin - diesel - hybrid'!M$80,0)+IF('Benzin - diesel - hybrid'!M$29="ja",M206,0)</f>
        <v>0</v>
      </c>
      <c r="N45" s="148"/>
      <c r="O45" s="148">
        <f>O44+O23+O68+IF($B45='Benzin - diesel - hybrid'!$E70,'Benzin - diesel - hybrid'!O$80,0)+IF('Benzin - diesel - hybrid'!O$29="ja",O206,0)</f>
        <v>0</v>
      </c>
      <c r="P45" s="148"/>
      <c r="Q45" s="148">
        <f>Q44+Q23+Q68+IF($B45='Benzin - diesel - hybrid'!$E70,'Benzin - diesel - hybrid'!Q$80,0)+IF('Benzin - diesel - hybrid'!Q$29="ja",Q206,0)</f>
        <v>0</v>
      </c>
      <c r="R45" s="148"/>
      <c r="S45" s="148">
        <f>S44+S23+S68+IF($B45='Benzin - diesel - hybrid'!$E70,'Benzin - diesel - hybrid'!S$80,0)+IF('Benzin - diesel - hybrid'!S$29="ja",S206,0)</f>
        <v>0</v>
      </c>
      <c r="U45" s="148">
        <f>U44+U23+U68+IF($B45='Benzin - diesel - hybrid'!$E70,'Benzin - diesel - hybrid'!U$80,0)+IF('Benzin - diesel - hybrid'!U$29="ja",U206,0)</f>
        <v>0</v>
      </c>
      <c r="W45" s="148">
        <f>W44+W23+W68+IF($B45='Benzin - diesel - hybrid'!$E70,'Benzin - diesel - hybrid'!W$80,0)+IF('Benzin - diesel - hybrid'!W$29="ja",W206,0)</f>
        <v>0</v>
      </c>
      <c r="Z45" s="247" t="str">
        <f>IF('Benzin - diesel - hybrid'!$E$51&gt;=B44,B44,"")</f>
        <v/>
      </c>
    </row>
    <row r="46" spans="1:26">
      <c r="B46" s="5"/>
      <c r="C46" s="3"/>
      <c r="D46" s="3"/>
      <c r="E46" s="148"/>
      <c r="F46" s="148"/>
      <c r="G46" s="148"/>
      <c r="H46" s="148"/>
      <c r="I46" s="148"/>
      <c r="J46" s="149"/>
      <c r="K46" s="149"/>
      <c r="L46" s="149"/>
      <c r="M46" s="149"/>
      <c r="N46" s="149"/>
      <c r="O46" s="149"/>
      <c r="P46" s="149"/>
      <c r="Q46" s="149"/>
      <c r="R46" s="149"/>
      <c r="S46" s="149"/>
      <c r="U46" s="149"/>
      <c r="W46" s="149"/>
      <c r="Z46" s="248" t="str">
        <f>IF('Benzin - diesel - hybrid'!$E$51&gt;=B45,B45,"")</f>
        <v/>
      </c>
    </row>
    <row r="47" spans="1:26">
      <c r="A47" s="137" t="s">
        <v>25</v>
      </c>
      <c r="B47"/>
      <c r="C47"/>
      <c r="D47"/>
      <c r="E47"/>
      <c r="F47"/>
      <c r="G47"/>
      <c r="H47"/>
      <c r="I47"/>
      <c r="J47"/>
      <c r="K47"/>
      <c r="L47"/>
      <c r="M47"/>
      <c r="N47"/>
      <c r="O47"/>
      <c r="P47"/>
      <c r="Q47"/>
      <c r="R47"/>
      <c r="S47"/>
      <c r="U47"/>
      <c r="W47"/>
    </row>
    <row r="48" spans="1:26" ht="43.75">
      <c r="A48"/>
      <c r="B48" s="138" t="s">
        <v>20</v>
      </c>
      <c r="C48" s="139" t="s">
        <v>29</v>
      </c>
      <c r="D48"/>
      <c r="E48" s="504" t="str">
        <f>E25</f>
        <v>PRODUKT 1</v>
      </c>
      <c r="F48"/>
      <c r="G48" s="504" t="str">
        <f>G25</f>
        <v>PRODUKT 2</v>
      </c>
      <c r="H48"/>
      <c r="I48" s="504" t="str">
        <f>I25</f>
        <v>PRODUKT 3</v>
      </c>
      <c r="J48"/>
      <c r="K48" s="504" t="str">
        <f>K25</f>
        <v>PRODUKT 4</v>
      </c>
      <c r="L48"/>
      <c r="M48" s="504" t="str">
        <f>M25</f>
        <v>PRODUKT 5</v>
      </c>
      <c r="N48"/>
      <c r="O48" s="504" t="str">
        <f>O25</f>
        <v>PRODUKT 6</v>
      </c>
      <c r="P48"/>
      <c r="Q48" s="504" t="str">
        <f>Q25</f>
        <v>PRODUKT 7</v>
      </c>
      <c r="R48"/>
      <c r="S48" s="504" t="str">
        <f>S25</f>
        <v>PRODUKT 8</v>
      </c>
      <c r="U48" s="504" t="str">
        <f>U25</f>
        <v>PRODUKT 9</v>
      </c>
      <c r="W48" s="504" t="str">
        <f>W25</f>
        <v>PRODUKT 10</v>
      </c>
    </row>
    <row r="49" spans="1:23">
      <c r="A49"/>
      <c r="B49" s="140">
        <v>1</v>
      </c>
      <c r="C49" s="141">
        <f>B49</f>
        <v>1</v>
      </c>
      <c r="D49"/>
      <c r="E49" s="243">
        <f>(IF($B49&lt;='Benzin - diesel - hybrid'!E$51,'Benzin - diesel - hybrid'!E$19+'Benzin - diesel - hybrid'!E$20+'Benzin - diesel - hybrid'!E$21+'Benzin - diesel - hybrid'!E$69+'Benzin - diesel - hybrid'!E$70,0)*'Benzin - diesel - hybrid'!E$51*(1+'Benzin - diesel - hybrid'!E$52)^-$B49)</f>
        <v>0</v>
      </c>
      <c r="F49" s="243"/>
      <c r="G49" s="243">
        <f>(IF($B49&lt;='Benzin - diesel - hybrid'!G$51,'Benzin - diesel - hybrid'!G$19+'Benzin - diesel - hybrid'!G$20+'Benzin - diesel - hybrid'!G$21+'Benzin - diesel - hybrid'!G$69+'Benzin - diesel - hybrid'!G$70,0)*'Benzin - diesel - hybrid'!G$51*(1+'Benzin - diesel - hybrid'!G$52)^-$B49)</f>
        <v>0</v>
      </c>
      <c r="H49" s="243"/>
      <c r="I49" s="243">
        <f>(IF($B49&lt;='Benzin - diesel - hybrid'!I$51,'Benzin - diesel - hybrid'!I$19+'Benzin - diesel - hybrid'!I$20+'Benzin - diesel - hybrid'!I$21+'Benzin - diesel - hybrid'!I$69+'Benzin - diesel - hybrid'!I$70,0)*'Benzin - diesel - hybrid'!I$51*(1+'Benzin - diesel - hybrid'!I$52)^-$B49)</f>
        <v>0</v>
      </c>
      <c r="J49" s="243"/>
      <c r="K49" s="243">
        <f>(IF($B49&lt;='Benzin - diesel - hybrid'!K$51,'Benzin - diesel - hybrid'!K$19+'Benzin - diesel - hybrid'!K$20+'Benzin - diesel - hybrid'!K$21+'Benzin - diesel - hybrid'!K$69+'Benzin - diesel - hybrid'!K$70,0)*'Benzin - diesel - hybrid'!K$51*(1+'Benzin - diesel - hybrid'!K$52)^-$B49)</f>
        <v>0</v>
      </c>
      <c r="L49" s="243"/>
      <c r="M49" s="243">
        <f>(IF($B49&lt;='Benzin - diesel - hybrid'!M$51,'Benzin - diesel - hybrid'!M$19+'Benzin - diesel - hybrid'!M$20+'Benzin - diesel - hybrid'!M$21+'Benzin - diesel - hybrid'!M$69+'Benzin - diesel - hybrid'!M$70,0)*'Benzin - diesel - hybrid'!M$51*(1+'Benzin - diesel - hybrid'!M$52)^-$B49)</f>
        <v>0</v>
      </c>
      <c r="N49" s="243"/>
      <c r="O49" s="243">
        <f>(IF($B49&lt;='Benzin - diesel - hybrid'!O$51,'Benzin - diesel - hybrid'!O$19+'Benzin - diesel - hybrid'!O$20+'Benzin - diesel - hybrid'!O$21+'Benzin - diesel - hybrid'!O$69+'Benzin - diesel - hybrid'!O$70,0)*'Benzin - diesel - hybrid'!O$51*(1+'Benzin - diesel - hybrid'!O$52)^-$B49)</f>
        <v>0</v>
      </c>
      <c r="P49" s="243"/>
      <c r="Q49" s="243">
        <f>(IF($B49&lt;='Benzin - diesel - hybrid'!Q$51,'Benzin - diesel - hybrid'!Q$19+'Benzin - diesel - hybrid'!Q$20+'Benzin - diesel - hybrid'!Q$21+'Benzin - diesel - hybrid'!Q$69+'Benzin - diesel - hybrid'!Q$70,0)*'Benzin - diesel - hybrid'!Q$51*(1+'Benzin - diesel - hybrid'!Q$52)^-$B49)</f>
        <v>0</v>
      </c>
      <c r="R49" s="243"/>
      <c r="S49" s="243">
        <f>(IF($B49&lt;='Benzin - diesel - hybrid'!S$51,'Benzin - diesel - hybrid'!S$19+'Benzin - diesel - hybrid'!S$20+'Benzin - diesel - hybrid'!S$21+'Benzin - diesel - hybrid'!S$69+'Benzin - diesel - hybrid'!S$70,0)*'Benzin - diesel - hybrid'!S$51*(1+'Benzin - diesel - hybrid'!S$52)^-$B49)</f>
        <v>0</v>
      </c>
      <c r="U49" s="243">
        <f>(IF($B49&lt;='Benzin - diesel - hybrid'!U$51,'Benzin - diesel - hybrid'!U$19+'Benzin - diesel - hybrid'!U$20+'Benzin - diesel - hybrid'!U$21+'Benzin - diesel - hybrid'!U$69+'Benzin - diesel - hybrid'!U$70,0)*'Benzin - diesel - hybrid'!U$51*(1+'Benzin - diesel - hybrid'!U$52)^-$B49)</f>
        <v>0</v>
      </c>
      <c r="W49" s="243">
        <f>(IF($B49&lt;='Benzin - diesel - hybrid'!W$51,'Benzin - diesel - hybrid'!W$19+'Benzin - diesel - hybrid'!W$20+'Benzin - diesel - hybrid'!W$21+'Benzin - diesel - hybrid'!W$69+'Benzin - diesel - hybrid'!W$70,0)*'Benzin - diesel - hybrid'!W$51*(1+'Benzin - diesel - hybrid'!W$52)^-$B49)</f>
        <v>0</v>
      </c>
    </row>
    <row r="50" spans="1:23">
      <c r="A50"/>
      <c r="B50" s="140">
        <v>2</v>
      </c>
      <c r="C50" s="141">
        <f t="shared" ref="C50:C63" si="2">B50</f>
        <v>2</v>
      </c>
      <c r="D50"/>
      <c r="E50" s="243">
        <f>(IF($B50&lt;='Benzin - diesel - hybrid'!E$51,'Benzin - diesel - hybrid'!E$19+'Benzin - diesel - hybrid'!E$20+'Benzin - diesel - hybrid'!E$21+'Benzin - diesel - hybrid'!E$69+'Benzin - diesel - hybrid'!E$70,0)*'Benzin - diesel - hybrid'!E$51*(1+'Benzin - diesel - hybrid'!E$52)^-$B50)</f>
        <v>0</v>
      </c>
      <c r="F50" s="243"/>
      <c r="G50" s="243">
        <f>(IF($B50&lt;='Benzin - diesel - hybrid'!G$51,'Benzin - diesel - hybrid'!G$19+'Benzin - diesel - hybrid'!G$20+'Benzin - diesel - hybrid'!G$21+'Benzin - diesel - hybrid'!G$69+'Benzin - diesel - hybrid'!G$70,0)*'Benzin - diesel - hybrid'!G$51*(1+'Benzin - diesel - hybrid'!G$52)^-$B50)</f>
        <v>0</v>
      </c>
      <c r="H50" s="243"/>
      <c r="I50" s="243">
        <f>(IF($B50&lt;='Benzin - diesel - hybrid'!I$51,'Benzin - diesel - hybrid'!I$19+'Benzin - diesel - hybrid'!I$20+'Benzin - diesel - hybrid'!I$21+'Benzin - diesel - hybrid'!I$69+'Benzin - diesel - hybrid'!I$70,0)*'Benzin - diesel - hybrid'!I$51*(1+'Benzin - diesel - hybrid'!I$52)^-$B50)</f>
        <v>0</v>
      </c>
      <c r="J50" s="243"/>
      <c r="K50" s="243">
        <f>(IF($B50&lt;='Benzin - diesel - hybrid'!K$51,'Benzin - diesel - hybrid'!K$19+'Benzin - diesel - hybrid'!K$20+'Benzin - diesel - hybrid'!K$21+'Benzin - diesel - hybrid'!K$69+'Benzin - diesel - hybrid'!K$70,0)*'Benzin - diesel - hybrid'!K$51*(1+'Benzin - diesel - hybrid'!K$52)^-$B50)</f>
        <v>0</v>
      </c>
      <c r="L50" s="243"/>
      <c r="M50" s="243">
        <f>(IF($B50&lt;='Benzin - diesel - hybrid'!M$51,'Benzin - diesel - hybrid'!M$19+'Benzin - diesel - hybrid'!M$20+'Benzin - diesel - hybrid'!M$21+'Benzin - diesel - hybrid'!M$69+'Benzin - diesel - hybrid'!M$70,0)*'Benzin - diesel - hybrid'!M$51*(1+'Benzin - diesel - hybrid'!M$52)^-$B50)</f>
        <v>0</v>
      </c>
      <c r="N50" s="243"/>
      <c r="O50" s="243">
        <f>(IF($B50&lt;='Benzin - diesel - hybrid'!O$51,'Benzin - diesel - hybrid'!O$19+'Benzin - diesel - hybrid'!O$20+'Benzin - diesel - hybrid'!O$21+'Benzin - diesel - hybrid'!O$69+'Benzin - diesel - hybrid'!O$70,0)*'Benzin - diesel - hybrid'!O$51*(1+'Benzin - diesel - hybrid'!O$52)^-$B50)</f>
        <v>0</v>
      </c>
      <c r="P50" s="243"/>
      <c r="Q50" s="243">
        <f>(IF($B50&lt;='Benzin - diesel - hybrid'!Q$51,'Benzin - diesel - hybrid'!Q$19+'Benzin - diesel - hybrid'!Q$20+'Benzin - diesel - hybrid'!Q$21+'Benzin - diesel - hybrid'!Q$69+'Benzin - diesel - hybrid'!Q$70,0)*'Benzin - diesel - hybrid'!Q$51*(1+'Benzin - diesel - hybrid'!Q$52)^-$B50)</f>
        <v>0</v>
      </c>
      <c r="R50" s="243"/>
      <c r="S50" s="243">
        <f>(IF($B50&lt;='Benzin - diesel - hybrid'!S$51,'Benzin - diesel - hybrid'!S$19+'Benzin - diesel - hybrid'!S$20+'Benzin - diesel - hybrid'!S$21+'Benzin - diesel - hybrid'!S$69+'Benzin - diesel - hybrid'!S$70,0)*'Benzin - diesel - hybrid'!S$51*(1+'Benzin - diesel - hybrid'!S$52)^-$B50)</f>
        <v>0</v>
      </c>
      <c r="U50" s="243">
        <f>(IF($B50&lt;='Benzin - diesel - hybrid'!U$51,'Benzin - diesel - hybrid'!U$19+'Benzin - diesel - hybrid'!U$20+'Benzin - diesel - hybrid'!U$21+'Benzin - diesel - hybrid'!U$69+'Benzin - diesel - hybrid'!U$70,0)*'Benzin - diesel - hybrid'!U$51*(1+'Benzin - diesel - hybrid'!U$52)^-$B50)</f>
        <v>0</v>
      </c>
      <c r="W50" s="243">
        <f>(IF($B50&lt;='Benzin - diesel - hybrid'!W$51,'Benzin - diesel - hybrid'!W$19+'Benzin - diesel - hybrid'!W$20+'Benzin - diesel - hybrid'!W$21+'Benzin - diesel - hybrid'!W$69+'Benzin - diesel - hybrid'!W$70,0)*'Benzin - diesel - hybrid'!W$51*(1+'Benzin - diesel - hybrid'!W$52)^-$B50)</f>
        <v>0</v>
      </c>
    </row>
    <row r="51" spans="1:23">
      <c r="A51"/>
      <c r="B51" s="140">
        <v>3</v>
      </c>
      <c r="C51" s="141">
        <f t="shared" si="2"/>
        <v>3</v>
      </c>
      <c r="D51"/>
      <c r="E51" s="243">
        <f>(IF($B51&lt;='Benzin - diesel - hybrid'!E$51,'Benzin - diesel - hybrid'!E$19+'Benzin - diesel - hybrid'!E$20+'Benzin - diesel - hybrid'!E$21+'Benzin - diesel - hybrid'!E$69+'Benzin - diesel - hybrid'!E$70,0)*'Benzin - diesel - hybrid'!E$51*(1+'Benzin - diesel - hybrid'!E$52)^-$B51)</f>
        <v>0</v>
      </c>
      <c r="F51" s="243"/>
      <c r="G51" s="243">
        <f>(IF($B51&lt;='Benzin - diesel - hybrid'!G$51,'Benzin - diesel - hybrid'!G$19+'Benzin - diesel - hybrid'!G$20+'Benzin - diesel - hybrid'!G$21+'Benzin - diesel - hybrid'!G$69+'Benzin - diesel - hybrid'!G$70,0)*'Benzin - diesel - hybrid'!G$51*(1+'Benzin - diesel - hybrid'!G$52)^-$B51)</f>
        <v>0</v>
      </c>
      <c r="H51" s="243"/>
      <c r="I51" s="243">
        <f>(IF($B51&lt;='Benzin - diesel - hybrid'!I$51,'Benzin - diesel - hybrid'!I$19+'Benzin - diesel - hybrid'!I$20+'Benzin - diesel - hybrid'!I$21+'Benzin - diesel - hybrid'!I$69+'Benzin - diesel - hybrid'!I$70,0)*'Benzin - diesel - hybrid'!I$51*(1+'Benzin - diesel - hybrid'!I$52)^-$B51)</f>
        <v>0</v>
      </c>
      <c r="J51" s="243"/>
      <c r="K51" s="243">
        <f>(IF($B51&lt;='Benzin - diesel - hybrid'!K$51,'Benzin - diesel - hybrid'!K$19+'Benzin - diesel - hybrid'!K$20+'Benzin - diesel - hybrid'!K$21+'Benzin - diesel - hybrid'!K$69+'Benzin - diesel - hybrid'!K$70,0)*'Benzin - diesel - hybrid'!K$51*(1+'Benzin - diesel - hybrid'!K$52)^-$B51)</f>
        <v>0</v>
      </c>
      <c r="L51" s="243"/>
      <c r="M51" s="243">
        <f>(IF($B51&lt;='Benzin - diesel - hybrid'!M$51,'Benzin - diesel - hybrid'!M$19+'Benzin - diesel - hybrid'!M$20+'Benzin - diesel - hybrid'!M$21+'Benzin - diesel - hybrid'!M$69+'Benzin - diesel - hybrid'!M$70,0)*'Benzin - diesel - hybrid'!M$51*(1+'Benzin - diesel - hybrid'!M$52)^-$B51)</f>
        <v>0</v>
      </c>
      <c r="N51" s="243"/>
      <c r="O51" s="243">
        <f>(IF($B51&lt;='Benzin - diesel - hybrid'!O$51,'Benzin - diesel - hybrid'!O$19+'Benzin - diesel - hybrid'!O$20+'Benzin - diesel - hybrid'!O$21+'Benzin - diesel - hybrid'!O$69+'Benzin - diesel - hybrid'!O$70,0)*'Benzin - diesel - hybrid'!O$51*(1+'Benzin - diesel - hybrid'!O$52)^-$B51)</f>
        <v>0</v>
      </c>
      <c r="P51" s="243"/>
      <c r="Q51" s="243">
        <f>(IF($B51&lt;='Benzin - diesel - hybrid'!Q$51,'Benzin - diesel - hybrid'!Q$19+'Benzin - diesel - hybrid'!Q$20+'Benzin - diesel - hybrid'!Q$21+'Benzin - diesel - hybrid'!Q$69+'Benzin - diesel - hybrid'!Q$70,0)*'Benzin - diesel - hybrid'!Q$51*(1+'Benzin - diesel - hybrid'!Q$52)^-$B51)</f>
        <v>0</v>
      </c>
      <c r="R51" s="243"/>
      <c r="S51" s="243">
        <f>(IF($B51&lt;='Benzin - diesel - hybrid'!S$51,'Benzin - diesel - hybrid'!S$19+'Benzin - diesel - hybrid'!S$20+'Benzin - diesel - hybrid'!S$21+'Benzin - diesel - hybrid'!S$69+'Benzin - diesel - hybrid'!S$70,0)*'Benzin - diesel - hybrid'!S$51*(1+'Benzin - diesel - hybrid'!S$52)^-$B51)</f>
        <v>0</v>
      </c>
      <c r="U51" s="243">
        <f>(IF($B51&lt;='Benzin - diesel - hybrid'!U$51,'Benzin - diesel - hybrid'!U$19+'Benzin - diesel - hybrid'!U$20+'Benzin - diesel - hybrid'!U$21+'Benzin - diesel - hybrid'!U$69+'Benzin - diesel - hybrid'!U$70,0)*'Benzin - diesel - hybrid'!U$51*(1+'Benzin - diesel - hybrid'!U$52)^-$B51)</f>
        <v>0</v>
      </c>
      <c r="W51" s="243">
        <f>(IF($B51&lt;='Benzin - diesel - hybrid'!W$51,'Benzin - diesel - hybrid'!W$19+'Benzin - diesel - hybrid'!W$20+'Benzin - diesel - hybrid'!W$21+'Benzin - diesel - hybrid'!W$69+'Benzin - diesel - hybrid'!W$70,0)*'Benzin - diesel - hybrid'!W$51*(1+'Benzin - diesel - hybrid'!W$52)^-$B51)</f>
        <v>0</v>
      </c>
    </row>
    <row r="52" spans="1:23">
      <c r="A52"/>
      <c r="B52" s="140">
        <v>4</v>
      </c>
      <c r="C52" s="141">
        <f t="shared" si="2"/>
        <v>4</v>
      </c>
      <c r="D52"/>
      <c r="E52" s="243">
        <f>(IF($B52&lt;='Benzin - diesel - hybrid'!E$51,'Benzin - diesel - hybrid'!E$19+'Benzin - diesel - hybrid'!E$20+'Benzin - diesel - hybrid'!E$21+'Benzin - diesel - hybrid'!E$69+'Benzin - diesel - hybrid'!E$70,0)*'Benzin - diesel - hybrid'!E$51*(1+'Benzin - diesel - hybrid'!E$52)^-$B52)</f>
        <v>0</v>
      </c>
      <c r="F52" s="243"/>
      <c r="G52" s="243">
        <f>(IF($B52&lt;='Benzin - diesel - hybrid'!G$51,'Benzin - diesel - hybrid'!G$19+'Benzin - diesel - hybrid'!G$20+'Benzin - diesel - hybrid'!G$21+'Benzin - diesel - hybrid'!G$69+'Benzin - diesel - hybrid'!G$70,0)*'Benzin - diesel - hybrid'!G$51*(1+'Benzin - diesel - hybrid'!G$52)^-$B52)</f>
        <v>0</v>
      </c>
      <c r="H52" s="243"/>
      <c r="I52" s="243">
        <f>(IF($B52&lt;='Benzin - diesel - hybrid'!I$51,'Benzin - diesel - hybrid'!I$19+'Benzin - diesel - hybrid'!I$20+'Benzin - diesel - hybrid'!I$21+'Benzin - diesel - hybrid'!I$69+'Benzin - diesel - hybrid'!I$70,0)*'Benzin - diesel - hybrid'!I$51*(1+'Benzin - diesel - hybrid'!I$52)^-$B52)</f>
        <v>0</v>
      </c>
      <c r="J52" s="243"/>
      <c r="K52" s="243">
        <f>(IF($B52&lt;='Benzin - diesel - hybrid'!K$51,'Benzin - diesel - hybrid'!K$19+'Benzin - diesel - hybrid'!K$20+'Benzin - diesel - hybrid'!K$21+'Benzin - diesel - hybrid'!K$69+'Benzin - diesel - hybrid'!K$70,0)*'Benzin - diesel - hybrid'!K$51*(1+'Benzin - diesel - hybrid'!K$52)^-$B52)</f>
        <v>0</v>
      </c>
      <c r="L52" s="243"/>
      <c r="M52" s="243">
        <f>(IF($B52&lt;='Benzin - diesel - hybrid'!M$51,'Benzin - diesel - hybrid'!M$19+'Benzin - diesel - hybrid'!M$20+'Benzin - diesel - hybrid'!M$21+'Benzin - diesel - hybrid'!M$69+'Benzin - diesel - hybrid'!M$70,0)*'Benzin - diesel - hybrid'!M$51*(1+'Benzin - diesel - hybrid'!M$52)^-$B52)</f>
        <v>0</v>
      </c>
      <c r="N52" s="243"/>
      <c r="O52" s="243">
        <f>(IF($B52&lt;='Benzin - diesel - hybrid'!O$51,'Benzin - diesel - hybrid'!O$19+'Benzin - diesel - hybrid'!O$20+'Benzin - diesel - hybrid'!O$21+'Benzin - diesel - hybrid'!O$69+'Benzin - diesel - hybrid'!O$70,0)*'Benzin - diesel - hybrid'!O$51*(1+'Benzin - diesel - hybrid'!O$52)^-$B52)</f>
        <v>0</v>
      </c>
      <c r="P52" s="243"/>
      <c r="Q52" s="243">
        <f>(IF($B52&lt;='Benzin - diesel - hybrid'!Q$51,'Benzin - diesel - hybrid'!Q$19+'Benzin - diesel - hybrid'!Q$20+'Benzin - diesel - hybrid'!Q$21+'Benzin - diesel - hybrid'!Q$69+'Benzin - diesel - hybrid'!Q$70,0)*'Benzin - diesel - hybrid'!Q$51*(1+'Benzin - diesel - hybrid'!Q$52)^-$B52)</f>
        <v>0</v>
      </c>
      <c r="R52" s="243"/>
      <c r="S52" s="243">
        <f>(IF($B52&lt;='Benzin - diesel - hybrid'!S$51,'Benzin - diesel - hybrid'!S$19+'Benzin - diesel - hybrid'!S$20+'Benzin - diesel - hybrid'!S$21+'Benzin - diesel - hybrid'!S$69+'Benzin - diesel - hybrid'!S$70,0)*'Benzin - diesel - hybrid'!S$51*(1+'Benzin - diesel - hybrid'!S$52)^-$B52)</f>
        <v>0</v>
      </c>
      <c r="U52" s="243">
        <f>(IF($B52&lt;='Benzin - diesel - hybrid'!U$51,'Benzin - diesel - hybrid'!U$19+'Benzin - diesel - hybrid'!U$20+'Benzin - diesel - hybrid'!U$21+'Benzin - diesel - hybrid'!U$69+'Benzin - diesel - hybrid'!U$70,0)*'Benzin - diesel - hybrid'!U$51*(1+'Benzin - diesel - hybrid'!U$52)^-$B52)</f>
        <v>0</v>
      </c>
      <c r="W52" s="243">
        <f>(IF($B52&lt;='Benzin - diesel - hybrid'!W$51,'Benzin - diesel - hybrid'!W$19+'Benzin - diesel - hybrid'!W$20+'Benzin - diesel - hybrid'!W$21+'Benzin - diesel - hybrid'!W$69+'Benzin - diesel - hybrid'!W$70,0)*'Benzin - diesel - hybrid'!W$51*(1+'Benzin - diesel - hybrid'!W$52)^-$B52)</f>
        <v>0</v>
      </c>
    </row>
    <row r="53" spans="1:23">
      <c r="A53"/>
      <c r="B53" s="140">
        <v>5</v>
      </c>
      <c r="C53" s="141">
        <f t="shared" si="2"/>
        <v>5</v>
      </c>
      <c r="D53"/>
      <c r="E53" s="243">
        <f>(IF($B53&lt;='Benzin - diesel - hybrid'!E$51,'Benzin - diesel - hybrid'!E$19+'Benzin - diesel - hybrid'!E$20+'Benzin - diesel - hybrid'!E$21+'Benzin - diesel - hybrid'!E$69+'Benzin - diesel - hybrid'!E$70,0)*'Benzin - diesel - hybrid'!E$51*(1+'Benzin - diesel - hybrid'!E$52)^-$B53)</f>
        <v>0</v>
      </c>
      <c r="F53" s="243"/>
      <c r="G53" s="243">
        <f>(IF($B53&lt;='Benzin - diesel - hybrid'!G$51,'Benzin - diesel - hybrid'!G$19+'Benzin - diesel - hybrid'!G$20+'Benzin - diesel - hybrid'!G$21+'Benzin - diesel - hybrid'!G$69+'Benzin - diesel - hybrid'!G$70,0)*'Benzin - diesel - hybrid'!G$51*(1+'Benzin - diesel - hybrid'!G$52)^-$B53)</f>
        <v>0</v>
      </c>
      <c r="H53" s="243"/>
      <c r="I53" s="243">
        <f>(IF($B53&lt;='Benzin - diesel - hybrid'!I$51,'Benzin - diesel - hybrid'!I$19+'Benzin - diesel - hybrid'!I$20+'Benzin - diesel - hybrid'!I$21+'Benzin - diesel - hybrid'!I$69+'Benzin - diesel - hybrid'!I$70,0)*'Benzin - diesel - hybrid'!I$51*(1+'Benzin - diesel - hybrid'!I$52)^-$B53)</f>
        <v>0</v>
      </c>
      <c r="J53" s="243"/>
      <c r="K53" s="243">
        <f>(IF($B53&lt;='Benzin - diesel - hybrid'!K$51,'Benzin - diesel - hybrid'!K$19+'Benzin - diesel - hybrid'!K$20+'Benzin - diesel - hybrid'!K$21+'Benzin - diesel - hybrid'!K$69+'Benzin - diesel - hybrid'!K$70,0)*'Benzin - diesel - hybrid'!K$51*(1+'Benzin - diesel - hybrid'!K$52)^-$B53)</f>
        <v>0</v>
      </c>
      <c r="L53" s="243"/>
      <c r="M53" s="243">
        <f>(IF($B53&lt;='Benzin - diesel - hybrid'!M$51,'Benzin - diesel - hybrid'!M$19+'Benzin - diesel - hybrid'!M$20+'Benzin - diesel - hybrid'!M$21+'Benzin - diesel - hybrid'!M$69+'Benzin - diesel - hybrid'!M$70,0)*'Benzin - diesel - hybrid'!M$51*(1+'Benzin - diesel - hybrid'!M$52)^-$B53)</f>
        <v>0</v>
      </c>
      <c r="N53" s="243"/>
      <c r="O53" s="243">
        <f>(IF($B53&lt;='Benzin - diesel - hybrid'!O$51,'Benzin - diesel - hybrid'!O$19+'Benzin - diesel - hybrid'!O$20+'Benzin - diesel - hybrid'!O$21+'Benzin - diesel - hybrid'!O$69+'Benzin - diesel - hybrid'!O$70,0)*'Benzin - diesel - hybrid'!O$51*(1+'Benzin - diesel - hybrid'!O$52)^-$B53)</f>
        <v>0</v>
      </c>
      <c r="P53" s="243"/>
      <c r="Q53" s="243">
        <f>(IF($B53&lt;='Benzin - diesel - hybrid'!Q$51,'Benzin - diesel - hybrid'!Q$19+'Benzin - diesel - hybrid'!Q$20+'Benzin - diesel - hybrid'!Q$21+'Benzin - diesel - hybrid'!Q$69+'Benzin - diesel - hybrid'!Q$70,0)*'Benzin - diesel - hybrid'!Q$51*(1+'Benzin - diesel - hybrid'!Q$52)^-$B53)</f>
        <v>0</v>
      </c>
      <c r="R53" s="243"/>
      <c r="S53" s="243">
        <f>(IF($B53&lt;='Benzin - diesel - hybrid'!S$51,'Benzin - diesel - hybrid'!S$19+'Benzin - diesel - hybrid'!S$20+'Benzin - diesel - hybrid'!S$21+'Benzin - diesel - hybrid'!S$69+'Benzin - diesel - hybrid'!S$70,0)*'Benzin - diesel - hybrid'!S$51*(1+'Benzin - diesel - hybrid'!S$52)^-$B53)</f>
        <v>0</v>
      </c>
      <c r="U53" s="243">
        <f>(IF($B53&lt;='Benzin - diesel - hybrid'!U$51,'Benzin - diesel - hybrid'!U$19+'Benzin - diesel - hybrid'!U$20+'Benzin - diesel - hybrid'!U$21+'Benzin - diesel - hybrid'!U$69+'Benzin - diesel - hybrid'!U$70,0)*'Benzin - diesel - hybrid'!U$51*(1+'Benzin - diesel - hybrid'!U$52)^-$B53)</f>
        <v>0</v>
      </c>
      <c r="W53" s="243">
        <f>(IF($B53&lt;='Benzin - diesel - hybrid'!W$51,'Benzin - diesel - hybrid'!W$19+'Benzin - diesel - hybrid'!W$20+'Benzin - diesel - hybrid'!W$21+'Benzin - diesel - hybrid'!W$69+'Benzin - diesel - hybrid'!W$70,0)*'Benzin - diesel - hybrid'!W$51*(1+'Benzin - diesel - hybrid'!W$52)^-$B53)</f>
        <v>0</v>
      </c>
    </row>
    <row r="54" spans="1:23">
      <c r="A54"/>
      <c r="B54" s="140">
        <v>6</v>
      </c>
      <c r="C54" s="141">
        <f t="shared" si="2"/>
        <v>6</v>
      </c>
      <c r="D54"/>
      <c r="E54" s="243">
        <f>(IF($B54&lt;='Benzin - diesel - hybrid'!E$51,'Benzin - diesel - hybrid'!E$19+'Benzin - diesel - hybrid'!E$20+'Benzin - diesel - hybrid'!E$21+'Benzin - diesel - hybrid'!E$69+'Benzin - diesel - hybrid'!E$70,0)*'Benzin - diesel - hybrid'!E$51*(1+'Benzin - diesel - hybrid'!E$52)^-$B54)</f>
        <v>0</v>
      </c>
      <c r="F54" s="243"/>
      <c r="G54" s="243">
        <f>(IF($B54&lt;='Benzin - diesel - hybrid'!G$51,'Benzin - diesel - hybrid'!G$19+'Benzin - diesel - hybrid'!G$20+'Benzin - diesel - hybrid'!G$21+'Benzin - diesel - hybrid'!G$69+'Benzin - diesel - hybrid'!G$70,0)*'Benzin - diesel - hybrid'!G$51*(1+'Benzin - diesel - hybrid'!G$52)^-$B54)</f>
        <v>0</v>
      </c>
      <c r="H54" s="243"/>
      <c r="I54" s="243">
        <f>(IF($B54&lt;='Benzin - diesel - hybrid'!I$51,'Benzin - diesel - hybrid'!I$19+'Benzin - diesel - hybrid'!I$20+'Benzin - diesel - hybrid'!I$21+'Benzin - diesel - hybrid'!I$69+'Benzin - diesel - hybrid'!I$70,0)*'Benzin - diesel - hybrid'!I$51*(1+'Benzin - diesel - hybrid'!I$52)^-$B54)</f>
        <v>0</v>
      </c>
      <c r="J54" s="243"/>
      <c r="K54" s="243">
        <f>(IF($B54&lt;='Benzin - diesel - hybrid'!K$51,'Benzin - diesel - hybrid'!K$19+'Benzin - diesel - hybrid'!K$20+'Benzin - diesel - hybrid'!K$21+'Benzin - diesel - hybrid'!K$69+'Benzin - diesel - hybrid'!K$70,0)*'Benzin - diesel - hybrid'!K$51*(1+'Benzin - diesel - hybrid'!K$52)^-$B54)</f>
        <v>0</v>
      </c>
      <c r="L54" s="243"/>
      <c r="M54" s="243">
        <f>(IF($B54&lt;='Benzin - diesel - hybrid'!M$51,'Benzin - diesel - hybrid'!M$19+'Benzin - diesel - hybrid'!M$20+'Benzin - diesel - hybrid'!M$21+'Benzin - diesel - hybrid'!M$69+'Benzin - diesel - hybrid'!M$70,0)*'Benzin - diesel - hybrid'!M$51*(1+'Benzin - diesel - hybrid'!M$52)^-$B54)</f>
        <v>0</v>
      </c>
      <c r="N54" s="243"/>
      <c r="O54" s="243">
        <f>(IF($B54&lt;='Benzin - diesel - hybrid'!O$51,'Benzin - diesel - hybrid'!O$19+'Benzin - diesel - hybrid'!O$20+'Benzin - diesel - hybrid'!O$21+'Benzin - diesel - hybrid'!O$69+'Benzin - diesel - hybrid'!O$70,0)*'Benzin - diesel - hybrid'!O$51*(1+'Benzin - diesel - hybrid'!O$52)^-$B54)</f>
        <v>0</v>
      </c>
      <c r="P54" s="243"/>
      <c r="Q54" s="243">
        <f>(IF($B54&lt;='Benzin - diesel - hybrid'!Q$51,'Benzin - diesel - hybrid'!Q$19+'Benzin - diesel - hybrid'!Q$20+'Benzin - diesel - hybrid'!Q$21+'Benzin - diesel - hybrid'!Q$69+'Benzin - diesel - hybrid'!Q$70,0)*'Benzin - diesel - hybrid'!Q$51*(1+'Benzin - diesel - hybrid'!Q$52)^-$B54)</f>
        <v>0</v>
      </c>
      <c r="R54" s="243"/>
      <c r="S54" s="243">
        <f>(IF($B54&lt;='Benzin - diesel - hybrid'!S$51,'Benzin - diesel - hybrid'!S$19+'Benzin - diesel - hybrid'!S$20+'Benzin - diesel - hybrid'!S$21+'Benzin - diesel - hybrid'!S$69+'Benzin - diesel - hybrid'!S$70,0)*'Benzin - diesel - hybrid'!S$51*(1+'Benzin - diesel - hybrid'!S$52)^-$B54)</f>
        <v>0</v>
      </c>
      <c r="U54" s="243">
        <f>(IF($B54&lt;='Benzin - diesel - hybrid'!U$51,'Benzin - diesel - hybrid'!U$19+'Benzin - diesel - hybrid'!U$20+'Benzin - diesel - hybrid'!U$21+'Benzin - diesel - hybrid'!U$69+'Benzin - diesel - hybrid'!U$70,0)*'Benzin - diesel - hybrid'!U$51*(1+'Benzin - diesel - hybrid'!U$52)^-$B54)</f>
        <v>0</v>
      </c>
      <c r="W54" s="243">
        <f>(IF($B54&lt;='Benzin - diesel - hybrid'!W$51,'Benzin - diesel - hybrid'!W$19+'Benzin - diesel - hybrid'!W$20+'Benzin - diesel - hybrid'!W$21+'Benzin - diesel - hybrid'!W$69+'Benzin - diesel - hybrid'!W$70,0)*'Benzin - diesel - hybrid'!W$51*(1+'Benzin - diesel - hybrid'!W$52)^-$B54)</f>
        <v>0</v>
      </c>
    </row>
    <row r="55" spans="1:23">
      <c r="A55"/>
      <c r="B55" s="140">
        <v>7</v>
      </c>
      <c r="C55" s="141">
        <f t="shared" si="2"/>
        <v>7</v>
      </c>
      <c r="D55"/>
      <c r="E55" s="243">
        <f>(IF($B55&lt;='Benzin - diesel - hybrid'!E$51,'Benzin - diesel - hybrid'!E$19+'Benzin - diesel - hybrid'!E$20+'Benzin - diesel - hybrid'!E$21+'Benzin - diesel - hybrid'!E$69+'Benzin - diesel - hybrid'!E$70,0)*'Benzin - diesel - hybrid'!E$51*(1+'Benzin - diesel - hybrid'!E$52)^-$B55)</f>
        <v>0</v>
      </c>
      <c r="F55" s="243"/>
      <c r="G55" s="243">
        <f>(IF($B55&lt;='Benzin - diesel - hybrid'!G$51,'Benzin - diesel - hybrid'!G$19+'Benzin - diesel - hybrid'!G$20+'Benzin - diesel - hybrid'!G$21+'Benzin - diesel - hybrid'!G$69+'Benzin - diesel - hybrid'!G$70,0)*'Benzin - diesel - hybrid'!G$51*(1+'Benzin - diesel - hybrid'!G$52)^-$B55)</f>
        <v>0</v>
      </c>
      <c r="H55" s="243"/>
      <c r="I55" s="243">
        <f>(IF($B55&lt;='Benzin - diesel - hybrid'!I$51,'Benzin - diesel - hybrid'!I$19+'Benzin - diesel - hybrid'!I$20+'Benzin - diesel - hybrid'!I$21+'Benzin - diesel - hybrid'!I$69+'Benzin - diesel - hybrid'!I$70,0)*'Benzin - diesel - hybrid'!I$51*(1+'Benzin - diesel - hybrid'!I$52)^-$B55)</f>
        <v>0</v>
      </c>
      <c r="J55" s="243"/>
      <c r="K55" s="243">
        <f>(IF($B55&lt;='Benzin - diesel - hybrid'!K$51,'Benzin - diesel - hybrid'!K$19+'Benzin - diesel - hybrid'!K$20+'Benzin - diesel - hybrid'!K$21+'Benzin - diesel - hybrid'!K$69+'Benzin - diesel - hybrid'!K$70,0)*'Benzin - diesel - hybrid'!K$51*(1+'Benzin - diesel - hybrid'!K$52)^-$B55)</f>
        <v>0</v>
      </c>
      <c r="L55" s="243"/>
      <c r="M55" s="243">
        <f>(IF($B55&lt;='Benzin - diesel - hybrid'!M$51,'Benzin - diesel - hybrid'!M$19+'Benzin - diesel - hybrid'!M$20+'Benzin - diesel - hybrid'!M$21+'Benzin - diesel - hybrid'!M$69+'Benzin - diesel - hybrid'!M$70,0)*'Benzin - diesel - hybrid'!M$51*(1+'Benzin - diesel - hybrid'!M$52)^-$B55)</f>
        <v>0</v>
      </c>
      <c r="N55" s="243"/>
      <c r="O55" s="243">
        <f>(IF($B55&lt;='Benzin - diesel - hybrid'!O$51,'Benzin - diesel - hybrid'!O$19+'Benzin - diesel - hybrid'!O$20+'Benzin - diesel - hybrid'!O$21+'Benzin - diesel - hybrid'!O$69+'Benzin - diesel - hybrid'!O$70,0)*'Benzin - diesel - hybrid'!O$51*(1+'Benzin - diesel - hybrid'!O$52)^-$B55)</f>
        <v>0</v>
      </c>
      <c r="P55" s="243"/>
      <c r="Q55" s="243">
        <f>(IF($B55&lt;='Benzin - diesel - hybrid'!Q$51,'Benzin - diesel - hybrid'!Q$19+'Benzin - diesel - hybrid'!Q$20+'Benzin - diesel - hybrid'!Q$21+'Benzin - diesel - hybrid'!Q$69+'Benzin - diesel - hybrid'!Q$70,0)*'Benzin - diesel - hybrid'!Q$51*(1+'Benzin - diesel - hybrid'!Q$52)^-$B55)</f>
        <v>0</v>
      </c>
      <c r="R55" s="243"/>
      <c r="S55" s="243">
        <f>(IF($B55&lt;='Benzin - diesel - hybrid'!S$51,'Benzin - diesel - hybrid'!S$19+'Benzin - diesel - hybrid'!S$20+'Benzin - diesel - hybrid'!S$21+'Benzin - diesel - hybrid'!S$69+'Benzin - diesel - hybrid'!S$70,0)*'Benzin - diesel - hybrid'!S$51*(1+'Benzin - diesel - hybrid'!S$52)^-$B55)</f>
        <v>0</v>
      </c>
      <c r="U55" s="243">
        <f>(IF($B55&lt;='Benzin - diesel - hybrid'!U$51,'Benzin - diesel - hybrid'!U$19+'Benzin - diesel - hybrid'!U$20+'Benzin - diesel - hybrid'!U$21+'Benzin - diesel - hybrid'!U$69+'Benzin - diesel - hybrid'!U$70,0)*'Benzin - diesel - hybrid'!U$51*(1+'Benzin - diesel - hybrid'!U$52)^-$B55)</f>
        <v>0</v>
      </c>
      <c r="W55" s="243">
        <f>(IF($B55&lt;='Benzin - diesel - hybrid'!W$51,'Benzin - diesel - hybrid'!W$19+'Benzin - diesel - hybrid'!W$20+'Benzin - diesel - hybrid'!W$21+'Benzin - diesel - hybrid'!W$69+'Benzin - diesel - hybrid'!W$70,0)*'Benzin - diesel - hybrid'!W$51*(1+'Benzin - diesel - hybrid'!W$52)^-$B55)</f>
        <v>0</v>
      </c>
    </row>
    <row r="56" spans="1:23">
      <c r="A56"/>
      <c r="B56" s="140">
        <v>8</v>
      </c>
      <c r="C56" s="141">
        <f t="shared" si="2"/>
        <v>8</v>
      </c>
      <c r="D56"/>
      <c r="E56" s="243">
        <f>(IF($B56&lt;='Benzin - diesel - hybrid'!E$51,'Benzin - diesel - hybrid'!E$19+'Benzin - diesel - hybrid'!E$20+'Benzin - diesel - hybrid'!E$21+'Benzin - diesel - hybrid'!E$69+'Benzin - diesel - hybrid'!E$70,0)*'Benzin - diesel - hybrid'!E$51*(1+'Benzin - diesel - hybrid'!E$52)^-$B56)</f>
        <v>0</v>
      </c>
      <c r="F56" s="243"/>
      <c r="G56" s="243">
        <f>(IF($B56&lt;='Benzin - diesel - hybrid'!G$51,'Benzin - diesel - hybrid'!G$19+'Benzin - diesel - hybrid'!G$20+'Benzin - diesel - hybrid'!G$21+'Benzin - diesel - hybrid'!G$69+'Benzin - diesel - hybrid'!G$70,0)*'Benzin - diesel - hybrid'!G$51*(1+'Benzin - diesel - hybrid'!G$52)^-$B56)</f>
        <v>0</v>
      </c>
      <c r="H56" s="243"/>
      <c r="I56" s="243">
        <f>(IF($B56&lt;='Benzin - diesel - hybrid'!I$51,'Benzin - diesel - hybrid'!I$19+'Benzin - diesel - hybrid'!I$20+'Benzin - diesel - hybrid'!I$21+'Benzin - diesel - hybrid'!I$69+'Benzin - diesel - hybrid'!I$70,0)*'Benzin - diesel - hybrid'!I$51*(1+'Benzin - diesel - hybrid'!I$52)^-$B56)</f>
        <v>0</v>
      </c>
      <c r="J56" s="243"/>
      <c r="K56" s="243">
        <f>(IF($B56&lt;='Benzin - diesel - hybrid'!K$51,'Benzin - diesel - hybrid'!K$19+'Benzin - diesel - hybrid'!K$20+'Benzin - diesel - hybrid'!K$21+'Benzin - diesel - hybrid'!K$69+'Benzin - diesel - hybrid'!K$70,0)*'Benzin - diesel - hybrid'!K$51*(1+'Benzin - diesel - hybrid'!K$52)^-$B56)</f>
        <v>0</v>
      </c>
      <c r="L56" s="243"/>
      <c r="M56" s="243">
        <f>(IF($B56&lt;='Benzin - diesel - hybrid'!M$51,'Benzin - diesel - hybrid'!M$19+'Benzin - diesel - hybrid'!M$20+'Benzin - diesel - hybrid'!M$21+'Benzin - diesel - hybrid'!M$69+'Benzin - diesel - hybrid'!M$70,0)*'Benzin - diesel - hybrid'!M$51*(1+'Benzin - diesel - hybrid'!M$52)^-$B56)</f>
        <v>0</v>
      </c>
      <c r="N56" s="243"/>
      <c r="O56" s="243">
        <f>(IF($B56&lt;='Benzin - diesel - hybrid'!O$51,'Benzin - diesel - hybrid'!O$19+'Benzin - diesel - hybrid'!O$20+'Benzin - diesel - hybrid'!O$21+'Benzin - diesel - hybrid'!O$69+'Benzin - diesel - hybrid'!O$70,0)*'Benzin - diesel - hybrid'!O$51*(1+'Benzin - diesel - hybrid'!O$52)^-$B56)</f>
        <v>0</v>
      </c>
      <c r="P56" s="243"/>
      <c r="Q56" s="243">
        <f>(IF($B56&lt;='Benzin - diesel - hybrid'!Q$51,'Benzin - diesel - hybrid'!Q$19+'Benzin - diesel - hybrid'!Q$20+'Benzin - diesel - hybrid'!Q$21+'Benzin - diesel - hybrid'!Q$69+'Benzin - diesel - hybrid'!Q$70,0)*'Benzin - diesel - hybrid'!Q$51*(1+'Benzin - diesel - hybrid'!Q$52)^-$B56)</f>
        <v>0</v>
      </c>
      <c r="R56" s="243"/>
      <c r="S56" s="243">
        <f>(IF($B56&lt;='Benzin - diesel - hybrid'!S$51,'Benzin - diesel - hybrid'!S$19+'Benzin - diesel - hybrid'!S$20+'Benzin - diesel - hybrid'!S$21+'Benzin - diesel - hybrid'!S$69+'Benzin - diesel - hybrid'!S$70,0)*'Benzin - diesel - hybrid'!S$51*(1+'Benzin - diesel - hybrid'!S$52)^-$B56)</f>
        <v>0</v>
      </c>
      <c r="U56" s="243">
        <f>(IF($B56&lt;='Benzin - diesel - hybrid'!U$51,'Benzin - diesel - hybrid'!U$19+'Benzin - diesel - hybrid'!U$20+'Benzin - diesel - hybrid'!U$21+'Benzin - diesel - hybrid'!U$69+'Benzin - diesel - hybrid'!U$70,0)*'Benzin - diesel - hybrid'!U$51*(1+'Benzin - diesel - hybrid'!U$52)^-$B56)</f>
        <v>0</v>
      </c>
      <c r="W56" s="243">
        <f>(IF($B56&lt;='Benzin - diesel - hybrid'!W$51,'Benzin - diesel - hybrid'!W$19+'Benzin - diesel - hybrid'!W$20+'Benzin - diesel - hybrid'!W$21+'Benzin - diesel - hybrid'!W$69+'Benzin - diesel - hybrid'!W$70,0)*'Benzin - diesel - hybrid'!W$51*(1+'Benzin - diesel - hybrid'!W$52)^-$B56)</f>
        <v>0</v>
      </c>
    </row>
    <row r="57" spans="1:23">
      <c r="A57"/>
      <c r="B57" s="140">
        <v>9</v>
      </c>
      <c r="C57" s="141">
        <f t="shared" si="2"/>
        <v>9</v>
      </c>
      <c r="D57"/>
      <c r="E57" s="243">
        <f>(IF($B57&lt;='Benzin - diesel - hybrid'!E$51,'Benzin - diesel - hybrid'!E$19+'Benzin - diesel - hybrid'!E$20+'Benzin - diesel - hybrid'!E$21+'Benzin - diesel - hybrid'!E$69+'Benzin - diesel - hybrid'!E$70,0)*'Benzin - diesel - hybrid'!E$51*(1+'Benzin - diesel - hybrid'!E$52)^-$B57)</f>
        <v>0</v>
      </c>
      <c r="F57" s="243"/>
      <c r="G57" s="243">
        <f>(IF($B57&lt;='Benzin - diesel - hybrid'!G$51,'Benzin - diesel - hybrid'!G$19+'Benzin - diesel - hybrid'!G$20+'Benzin - diesel - hybrid'!G$21+'Benzin - diesel - hybrid'!G$69+'Benzin - diesel - hybrid'!G$70,0)*'Benzin - diesel - hybrid'!G$51*(1+'Benzin - diesel - hybrid'!G$52)^-$B57)</f>
        <v>0</v>
      </c>
      <c r="H57" s="243"/>
      <c r="I57" s="243">
        <f>(IF($B57&lt;='Benzin - diesel - hybrid'!I$51,'Benzin - diesel - hybrid'!I$19+'Benzin - diesel - hybrid'!I$20+'Benzin - diesel - hybrid'!I$21+'Benzin - diesel - hybrid'!I$69+'Benzin - diesel - hybrid'!I$70,0)*'Benzin - diesel - hybrid'!I$51*(1+'Benzin - diesel - hybrid'!I$52)^-$B57)</f>
        <v>0</v>
      </c>
      <c r="J57" s="243"/>
      <c r="K57" s="243">
        <f>(IF($B57&lt;='Benzin - diesel - hybrid'!K$51,'Benzin - diesel - hybrid'!K$19+'Benzin - diesel - hybrid'!K$20+'Benzin - diesel - hybrid'!K$21+'Benzin - diesel - hybrid'!K$69+'Benzin - diesel - hybrid'!K$70,0)*'Benzin - diesel - hybrid'!K$51*(1+'Benzin - diesel - hybrid'!K$52)^-$B57)</f>
        <v>0</v>
      </c>
      <c r="L57" s="243"/>
      <c r="M57" s="243">
        <f>(IF($B57&lt;='Benzin - diesel - hybrid'!M$51,'Benzin - diesel - hybrid'!M$19+'Benzin - diesel - hybrid'!M$20+'Benzin - diesel - hybrid'!M$21+'Benzin - diesel - hybrid'!M$69+'Benzin - diesel - hybrid'!M$70,0)*'Benzin - diesel - hybrid'!M$51*(1+'Benzin - diesel - hybrid'!M$52)^-$B57)</f>
        <v>0</v>
      </c>
      <c r="N57" s="243"/>
      <c r="O57" s="243">
        <f>(IF($B57&lt;='Benzin - diesel - hybrid'!O$51,'Benzin - diesel - hybrid'!O$19+'Benzin - diesel - hybrid'!O$20+'Benzin - diesel - hybrid'!O$21+'Benzin - diesel - hybrid'!O$69+'Benzin - diesel - hybrid'!O$70,0)*'Benzin - diesel - hybrid'!O$51*(1+'Benzin - diesel - hybrid'!O$52)^-$B57)</f>
        <v>0</v>
      </c>
      <c r="P57" s="243"/>
      <c r="Q57" s="243">
        <f>(IF($B57&lt;='Benzin - diesel - hybrid'!Q$51,'Benzin - diesel - hybrid'!Q$19+'Benzin - diesel - hybrid'!Q$20+'Benzin - diesel - hybrid'!Q$21+'Benzin - diesel - hybrid'!Q$69+'Benzin - diesel - hybrid'!Q$70,0)*'Benzin - diesel - hybrid'!Q$51*(1+'Benzin - diesel - hybrid'!Q$52)^-$B57)</f>
        <v>0</v>
      </c>
      <c r="R57" s="243"/>
      <c r="S57" s="243">
        <f>(IF($B57&lt;='Benzin - diesel - hybrid'!S$51,'Benzin - diesel - hybrid'!S$19+'Benzin - diesel - hybrid'!S$20+'Benzin - diesel - hybrid'!S$21+'Benzin - diesel - hybrid'!S$69+'Benzin - diesel - hybrid'!S$70,0)*'Benzin - diesel - hybrid'!S$51*(1+'Benzin - diesel - hybrid'!S$52)^-$B57)</f>
        <v>0</v>
      </c>
      <c r="U57" s="243">
        <f>(IF($B57&lt;='Benzin - diesel - hybrid'!U$51,'Benzin - diesel - hybrid'!U$19+'Benzin - diesel - hybrid'!U$20+'Benzin - diesel - hybrid'!U$21+'Benzin - diesel - hybrid'!U$69+'Benzin - diesel - hybrid'!U$70,0)*'Benzin - diesel - hybrid'!U$51*(1+'Benzin - diesel - hybrid'!U$52)^-$B57)</f>
        <v>0</v>
      </c>
      <c r="W57" s="243">
        <f>(IF($B57&lt;='Benzin - diesel - hybrid'!W$51,'Benzin - diesel - hybrid'!W$19+'Benzin - diesel - hybrid'!W$20+'Benzin - diesel - hybrid'!W$21+'Benzin - diesel - hybrid'!W$69+'Benzin - diesel - hybrid'!W$70,0)*'Benzin - diesel - hybrid'!W$51*(1+'Benzin - diesel - hybrid'!W$52)^-$B57)</f>
        <v>0</v>
      </c>
    </row>
    <row r="58" spans="1:23">
      <c r="A58"/>
      <c r="B58" s="140">
        <v>10</v>
      </c>
      <c r="C58" s="141">
        <f t="shared" si="2"/>
        <v>10</v>
      </c>
      <c r="D58"/>
      <c r="E58" s="243">
        <f>(IF($B58&lt;='Benzin - diesel - hybrid'!E$51,'Benzin - diesel - hybrid'!E$19+'Benzin - diesel - hybrid'!E$20+'Benzin - diesel - hybrid'!E$21+'Benzin - diesel - hybrid'!E$69+'Benzin - diesel - hybrid'!E$70,0)*'Benzin - diesel - hybrid'!E$51*(1+'Benzin - diesel - hybrid'!E$52)^-$B58)</f>
        <v>0</v>
      </c>
      <c r="F58" s="243"/>
      <c r="G58" s="243">
        <f>(IF($B58&lt;='Benzin - diesel - hybrid'!G$51,'Benzin - diesel - hybrid'!G$19+'Benzin - diesel - hybrid'!G$20+'Benzin - diesel - hybrid'!G$21+'Benzin - diesel - hybrid'!G$69+'Benzin - diesel - hybrid'!G$70,0)*'Benzin - diesel - hybrid'!G$51*(1+'Benzin - diesel - hybrid'!G$52)^-$B58)</f>
        <v>0</v>
      </c>
      <c r="H58" s="243"/>
      <c r="I58" s="243">
        <f>(IF($B58&lt;='Benzin - diesel - hybrid'!I$51,'Benzin - diesel - hybrid'!I$19+'Benzin - diesel - hybrid'!I$20+'Benzin - diesel - hybrid'!I$21+'Benzin - diesel - hybrid'!I$69+'Benzin - diesel - hybrid'!I$70,0)*'Benzin - diesel - hybrid'!I$51*(1+'Benzin - diesel - hybrid'!I$52)^-$B58)</f>
        <v>0</v>
      </c>
      <c r="J58" s="243"/>
      <c r="K58" s="243">
        <f>(IF($B58&lt;='Benzin - diesel - hybrid'!K$51,'Benzin - diesel - hybrid'!K$19+'Benzin - diesel - hybrid'!K$20+'Benzin - diesel - hybrid'!K$21+'Benzin - diesel - hybrid'!K$69+'Benzin - diesel - hybrid'!K$70,0)*'Benzin - diesel - hybrid'!K$51*(1+'Benzin - diesel - hybrid'!K$52)^-$B58)</f>
        <v>0</v>
      </c>
      <c r="L58" s="243"/>
      <c r="M58" s="243">
        <f>(IF($B58&lt;='Benzin - diesel - hybrid'!M$51,'Benzin - diesel - hybrid'!M$19+'Benzin - diesel - hybrid'!M$20+'Benzin - diesel - hybrid'!M$21+'Benzin - diesel - hybrid'!M$69+'Benzin - diesel - hybrid'!M$70,0)*'Benzin - diesel - hybrid'!M$51*(1+'Benzin - diesel - hybrid'!M$52)^-$B58)</f>
        <v>0</v>
      </c>
      <c r="N58" s="243"/>
      <c r="O58" s="243">
        <f>(IF($B58&lt;='Benzin - diesel - hybrid'!O$51,'Benzin - diesel - hybrid'!O$19+'Benzin - diesel - hybrid'!O$20+'Benzin - diesel - hybrid'!O$21+'Benzin - diesel - hybrid'!O$69+'Benzin - diesel - hybrid'!O$70,0)*'Benzin - diesel - hybrid'!O$51*(1+'Benzin - diesel - hybrid'!O$52)^-$B58)</f>
        <v>0</v>
      </c>
      <c r="P58" s="243"/>
      <c r="Q58" s="243">
        <f>(IF($B58&lt;='Benzin - diesel - hybrid'!Q$51,'Benzin - diesel - hybrid'!Q$19+'Benzin - diesel - hybrid'!Q$20+'Benzin - diesel - hybrid'!Q$21+'Benzin - diesel - hybrid'!Q$69+'Benzin - diesel - hybrid'!Q$70,0)*'Benzin - diesel - hybrid'!Q$51*(1+'Benzin - diesel - hybrid'!Q$52)^-$B58)</f>
        <v>0</v>
      </c>
      <c r="R58" s="243"/>
      <c r="S58" s="243">
        <f>(IF($B58&lt;='Benzin - diesel - hybrid'!S$51,'Benzin - diesel - hybrid'!S$19+'Benzin - diesel - hybrid'!S$20+'Benzin - diesel - hybrid'!S$21+'Benzin - diesel - hybrid'!S$69+'Benzin - diesel - hybrid'!S$70,0)*'Benzin - diesel - hybrid'!S$51*(1+'Benzin - diesel - hybrid'!S$52)^-$B58)</f>
        <v>0</v>
      </c>
      <c r="U58" s="243">
        <f>(IF($B58&lt;='Benzin - diesel - hybrid'!U$51,'Benzin - diesel - hybrid'!U$19+'Benzin - diesel - hybrid'!U$20+'Benzin - diesel - hybrid'!U$21+'Benzin - diesel - hybrid'!U$69+'Benzin - diesel - hybrid'!U$70,0)*'Benzin - diesel - hybrid'!U$51*(1+'Benzin - diesel - hybrid'!U$52)^-$B58)</f>
        <v>0</v>
      </c>
      <c r="W58" s="243">
        <f>(IF($B58&lt;='Benzin - diesel - hybrid'!W$51,'Benzin - diesel - hybrid'!W$19+'Benzin - diesel - hybrid'!W$20+'Benzin - diesel - hybrid'!W$21+'Benzin - diesel - hybrid'!W$69+'Benzin - diesel - hybrid'!W$70,0)*'Benzin - diesel - hybrid'!W$51*(1+'Benzin - diesel - hybrid'!W$52)^-$B58)</f>
        <v>0</v>
      </c>
    </row>
    <row r="59" spans="1:23">
      <c r="A59"/>
      <c r="B59" s="140">
        <v>11</v>
      </c>
      <c r="C59" s="141">
        <f t="shared" si="2"/>
        <v>11</v>
      </c>
      <c r="D59"/>
      <c r="E59" s="243">
        <f>(IF($B59&lt;='Benzin - diesel - hybrid'!E$51,'Benzin - diesel - hybrid'!E$19+'Benzin - diesel - hybrid'!E$20+'Benzin - diesel - hybrid'!E$21+'Benzin - diesel - hybrid'!E$69+'Benzin - diesel - hybrid'!E$70,0)*'Benzin - diesel - hybrid'!E$51*(1+'Benzin - diesel - hybrid'!E$52)^-$B59)</f>
        <v>0</v>
      </c>
      <c r="F59" s="243"/>
      <c r="G59" s="243">
        <f>(IF($B59&lt;='Benzin - diesel - hybrid'!G$51,'Benzin - diesel - hybrid'!G$19+'Benzin - diesel - hybrid'!G$20+'Benzin - diesel - hybrid'!G$21+'Benzin - diesel - hybrid'!G$69+'Benzin - diesel - hybrid'!G$70,0)*'Benzin - diesel - hybrid'!G$51*(1+'Benzin - diesel - hybrid'!G$52)^-$B59)</f>
        <v>0</v>
      </c>
      <c r="H59" s="243"/>
      <c r="I59" s="243">
        <f>(IF($B59&lt;='Benzin - diesel - hybrid'!I$51,'Benzin - diesel - hybrid'!I$19+'Benzin - diesel - hybrid'!I$20+'Benzin - diesel - hybrid'!I$21+'Benzin - diesel - hybrid'!I$69+'Benzin - diesel - hybrid'!I$70,0)*'Benzin - diesel - hybrid'!I$51*(1+'Benzin - diesel - hybrid'!I$52)^-$B59)</f>
        <v>0</v>
      </c>
      <c r="J59" s="243"/>
      <c r="K59" s="243">
        <f>(IF($B59&lt;='Benzin - diesel - hybrid'!K$51,'Benzin - diesel - hybrid'!K$19+'Benzin - diesel - hybrid'!K$20+'Benzin - diesel - hybrid'!K$21+'Benzin - diesel - hybrid'!K$69+'Benzin - diesel - hybrid'!K$70,0)*'Benzin - diesel - hybrid'!K$51*(1+'Benzin - diesel - hybrid'!K$52)^-$B59)</f>
        <v>0</v>
      </c>
      <c r="L59" s="243"/>
      <c r="M59" s="243">
        <f>(IF($B59&lt;='Benzin - diesel - hybrid'!M$51,'Benzin - diesel - hybrid'!M$19+'Benzin - diesel - hybrid'!M$20+'Benzin - diesel - hybrid'!M$21+'Benzin - diesel - hybrid'!M$69+'Benzin - diesel - hybrid'!M$70,0)*'Benzin - diesel - hybrid'!M$51*(1+'Benzin - diesel - hybrid'!M$52)^-$B59)</f>
        <v>0</v>
      </c>
      <c r="N59" s="243"/>
      <c r="O59" s="243">
        <f>(IF($B59&lt;='Benzin - diesel - hybrid'!O$51,'Benzin - diesel - hybrid'!O$19+'Benzin - diesel - hybrid'!O$20+'Benzin - diesel - hybrid'!O$21+'Benzin - diesel - hybrid'!O$69+'Benzin - diesel - hybrid'!O$70,0)*'Benzin - diesel - hybrid'!O$51*(1+'Benzin - diesel - hybrid'!O$52)^-$B59)</f>
        <v>0</v>
      </c>
      <c r="P59" s="243"/>
      <c r="Q59" s="243">
        <f>(IF($B59&lt;='Benzin - diesel - hybrid'!Q$51,'Benzin - diesel - hybrid'!Q$19+'Benzin - diesel - hybrid'!Q$20+'Benzin - diesel - hybrid'!Q$21+'Benzin - diesel - hybrid'!Q$69+'Benzin - diesel - hybrid'!Q$70,0)*'Benzin - diesel - hybrid'!Q$51*(1+'Benzin - diesel - hybrid'!Q$52)^-$B59)</f>
        <v>0</v>
      </c>
      <c r="R59" s="243"/>
      <c r="S59" s="243">
        <f>(IF($B59&lt;='Benzin - diesel - hybrid'!S$51,'Benzin - diesel - hybrid'!S$19+'Benzin - diesel - hybrid'!S$20+'Benzin - diesel - hybrid'!S$21+'Benzin - diesel - hybrid'!S$69+'Benzin - diesel - hybrid'!S$70,0)*'Benzin - diesel - hybrid'!S$51*(1+'Benzin - diesel - hybrid'!S$52)^-$B59)</f>
        <v>0</v>
      </c>
      <c r="U59" s="243">
        <f>(IF($B59&lt;='Benzin - diesel - hybrid'!U$51,'Benzin - diesel - hybrid'!U$19+'Benzin - diesel - hybrid'!U$20+'Benzin - diesel - hybrid'!U$21+'Benzin - diesel - hybrid'!U$69+'Benzin - diesel - hybrid'!U$70,0)*'Benzin - diesel - hybrid'!U$51*(1+'Benzin - diesel - hybrid'!U$52)^-$B59)</f>
        <v>0</v>
      </c>
      <c r="W59" s="243">
        <f>(IF($B59&lt;='Benzin - diesel - hybrid'!W$51,'Benzin - diesel - hybrid'!W$19+'Benzin - diesel - hybrid'!W$20+'Benzin - diesel - hybrid'!W$21+'Benzin - diesel - hybrid'!W$69+'Benzin - diesel - hybrid'!W$70,0)*'Benzin - diesel - hybrid'!W$51*(1+'Benzin - diesel - hybrid'!W$52)^-$B59)</f>
        <v>0</v>
      </c>
    </row>
    <row r="60" spans="1:23">
      <c r="A60"/>
      <c r="B60" s="140">
        <v>12</v>
      </c>
      <c r="C60" s="141">
        <f t="shared" si="2"/>
        <v>12</v>
      </c>
      <c r="D60"/>
      <c r="E60" s="243">
        <f>(IF($B60&lt;='Benzin - diesel - hybrid'!E$51,'Benzin - diesel - hybrid'!E$19+'Benzin - diesel - hybrid'!E$20+'Benzin - diesel - hybrid'!E$21+'Benzin - diesel - hybrid'!E$69+'Benzin - diesel - hybrid'!E$70,0)*'Benzin - diesel - hybrid'!E$51*(1+'Benzin - diesel - hybrid'!E$52)^-$B60)</f>
        <v>0</v>
      </c>
      <c r="F60" s="243"/>
      <c r="G60" s="243">
        <f>(IF($B60&lt;='Benzin - diesel - hybrid'!G$51,'Benzin - diesel - hybrid'!G$19+'Benzin - diesel - hybrid'!G$20+'Benzin - diesel - hybrid'!G$21+'Benzin - diesel - hybrid'!G$69+'Benzin - diesel - hybrid'!G$70,0)*'Benzin - diesel - hybrid'!G$51*(1+'Benzin - diesel - hybrid'!G$52)^-$B60)</f>
        <v>0</v>
      </c>
      <c r="H60" s="243"/>
      <c r="I60" s="243">
        <f>(IF($B60&lt;='Benzin - diesel - hybrid'!I$51,'Benzin - diesel - hybrid'!I$19+'Benzin - diesel - hybrid'!I$20+'Benzin - diesel - hybrid'!I$21+'Benzin - diesel - hybrid'!I$69+'Benzin - diesel - hybrid'!I$70,0)*'Benzin - diesel - hybrid'!I$51*(1+'Benzin - diesel - hybrid'!I$52)^-$B60)</f>
        <v>0</v>
      </c>
      <c r="J60" s="243"/>
      <c r="K60" s="243">
        <f>(IF($B60&lt;='Benzin - diesel - hybrid'!K$51,'Benzin - diesel - hybrid'!K$19+'Benzin - diesel - hybrid'!K$20+'Benzin - diesel - hybrid'!K$21+'Benzin - diesel - hybrid'!K$69+'Benzin - diesel - hybrid'!K$70,0)*'Benzin - diesel - hybrid'!K$51*(1+'Benzin - diesel - hybrid'!K$52)^-$B60)</f>
        <v>0</v>
      </c>
      <c r="L60" s="243"/>
      <c r="M60" s="243">
        <f>(IF($B60&lt;='Benzin - diesel - hybrid'!M$51,'Benzin - diesel - hybrid'!M$19+'Benzin - diesel - hybrid'!M$20+'Benzin - diesel - hybrid'!M$21+'Benzin - diesel - hybrid'!M$69+'Benzin - diesel - hybrid'!M$70,0)*'Benzin - diesel - hybrid'!M$51*(1+'Benzin - diesel - hybrid'!M$52)^-$B60)</f>
        <v>0</v>
      </c>
      <c r="N60" s="243"/>
      <c r="O60" s="243">
        <f>(IF($B60&lt;='Benzin - diesel - hybrid'!O$51,'Benzin - diesel - hybrid'!O$19+'Benzin - diesel - hybrid'!O$20+'Benzin - diesel - hybrid'!O$21+'Benzin - diesel - hybrid'!O$69+'Benzin - diesel - hybrid'!O$70,0)*'Benzin - diesel - hybrid'!O$51*(1+'Benzin - diesel - hybrid'!O$52)^-$B60)</f>
        <v>0</v>
      </c>
      <c r="P60" s="243"/>
      <c r="Q60" s="243">
        <f>(IF($B60&lt;='Benzin - diesel - hybrid'!Q$51,'Benzin - diesel - hybrid'!Q$19+'Benzin - diesel - hybrid'!Q$20+'Benzin - diesel - hybrid'!Q$21+'Benzin - diesel - hybrid'!Q$69+'Benzin - diesel - hybrid'!Q$70,0)*'Benzin - diesel - hybrid'!Q$51*(1+'Benzin - diesel - hybrid'!Q$52)^-$B60)</f>
        <v>0</v>
      </c>
      <c r="R60" s="243"/>
      <c r="S60" s="243">
        <f>(IF($B60&lt;='Benzin - diesel - hybrid'!S$51,'Benzin - diesel - hybrid'!S$19+'Benzin - diesel - hybrid'!S$20+'Benzin - diesel - hybrid'!S$21+'Benzin - diesel - hybrid'!S$69+'Benzin - diesel - hybrid'!S$70,0)*'Benzin - diesel - hybrid'!S$51*(1+'Benzin - diesel - hybrid'!S$52)^-$B60)</f>
        <v>0</v>
      </c>
      <c r="U60" s="243">
        <f>(IF($B60&lt;='Benzin - diesel - hybrid'!U$51,'Benzin - diesel - hybrid'!U$19+'Benzin - diesel - hybrid'!U$20+'Benzin - diesel - hybrid'!U$21+'Benzin - diesel - hybrid'!U$69+'Benzin - diesel - hybrid'!U$70,0)*'Benzin - diesel - hybrid'!U$51*(1+'Benzin - diesel - hybrid'!U$52)^-$B60)</f>
        <v>0</v>
      </c>
      <c r="W60" s="243">
        <f>(IF($B60&lt;='Benzin - diesel - hybrid'!W$51,'Benzin - diesel - hybrid'!W$19+'Benzin - diesel - hybrid'!W$20+'Benzin - diesel - hybrid'!W$21+'Benzin - diesel - hybrid'!W$69+'Benzin - diesel - hybrid'!W$70,0)*'Benzin - diesel - hybrid'!W$51*(1+'Benzin - diesel - hybrid'!W$52)^-$B60)</f>
        <v>0</v>
      </c>
    </row>
    <row r="61" spans="1:23">
      <c r="A61"/>
      <c r="B61" s="140">
        <v>13</v>
      </c>
      <c r="C61" s="141">
        <f t="shared" si="2"/>
        <v>13</v>
      </c>
      <c r="D61"/>
      <c r="E61" s="243">
        <f>(IF($B61&lt;='Benzin - diesel - hybrid'!E$51,'Benzin - diesel - hybrid'!E$19+'Benzin - diesel - hybrid'!E$20+'Benzin - diesel - hybrid'!E$21+'Benzin - diesel - hybrid'!E$69+'Benzin - diesel - hybrid'!E$70,0)*'Benzin - diesel - hybrid'!E$51*(1+'Benzin - diesel - hybrid'!E$52)^-$B61)</f>
        <v>0</v>
      </c>
      <c r="F61" s="243"/>
      <c r="G61" s="243">
        <f>(IF($B61&lt;='Benzin - diesel - hybrid'!G$51,'Benzin - diesel - hybrid'!G$19+'Benzin - diesel - hybrid'!G$20+'Benzin - diesel - hybrid'!G$21+'Benzin - diesel - hybrid'!G$69+'Benzin - diesel - hybrid'!G$70,0)*'Benzin - diesel - hybrid'!G$51*(1+'Benzin - diesel - hybrid'!G$52)^-$B61)</f>
        <v>0</v>
      </c>
      <c r="H61" s="243"/>
      <c r="I61" s="243">
        <f>(IF($B61&lt;='Benzin - diesel - hybrid'!I$51,'Benzin - diesel - hybrid'!I$19+'Benzin - diesel - hybrid'!I$20+'Benzin - diesel - hybrid'!I$21+'Benzin - diesel - hybrid'!I$69+'Benzin - diesel - hybrid'!I$70,0)*'Benzin - diesel - hybrid'!I$51*(1+'Benzin - diesel - hybrid'!I$52)^-$B61)</f>
        <v>0</v>
      </c>
      <c r="J61" s="243"/>
      <c r="K61" s="243">
        <f>(IF($B61&lt;='Benzin - diesel - hybrid'!K$51,'Benzin - diesel - hybrid'!K$19+'Benzin - diesel - hybrid'!K$20+'Benzin - diesel - hybrid'!K$21+'Benzin - diesel - hybrid'!K$69+'Benzin - diesel - hybrid'!K$70,0)*'Benzin - diesel - hybrid'!K$51*(1+'Benzin - diesel - hybrid'!K$52)^-$B61)</f>
        <v>0</v>
      </c>
      <c r="L61" s="243"/>
      <c r="M61" s="243">
        <f>(IF($B61&lt;='Benzin - diesel - hybrid'!M$51,'Benzin - diesel - hybrid'!M$19+'Benzin - diesel - hybrid'!M$20+'Benzin - diesel - hybrid'!M$21+'Benzin - diesel - hybrid'!M$69+'Benzin - diesel - hybrid'!M$70,0)*'Benzin - diesel - hybrid'!M$51*(1+'Benzin - diesel - hybrid'!M$52)^-$B61)</f>
        <v>0</v>
      </c>
      <c r="N61" s="243"/>
      <c r="O61" s="243">
        <f>(IF($B61&lt;='Benzin - diesel - hybrid'!O$51,'Benzin - diesel - hybrid'!O$19+'Benzin - diesel - hybrid'!O$20+'Benzin - diesel - hybrid'!O$21+'Benzin - diesel - hybrid'!O$69+'Benzin - diesel - hybrid'!O$70,0)*'Benzin - diesel - hybrid'!O$51*(1+'Benzin - diesel - hybrid'!O$52)^-$B61)</f>
        <v>0</v>
      </c>
      <c r="P61" s="243"/>
      <c r="Q61" s="243">
        <f>(IF($B61&lt;='Benzin - diesel - hybrid'!Q$51,'Benzin - diesel - hybrid'!Q$19+'Benzin - diesel - hybrid'!Q$20+'Benzin - diesel - hybrid'!Q$21+'Benzin - diesel - hybrid'!Q$69+'Benzin - diesel - hybrid'!Q$70,0)*'Benzin - diesel - hybrid'!Q$51*(1+'Benzin - diesel - hybrid'!Q$52)^-$B61)</f>
        <v>0</v>
      </c>
      <c r="R61" s="243"/>
      <c r="S61" s="243">
        <f>(IF($B61&lt;='Benzin - diesel - hybrid'!S$51,'Benzin - diesel - hybrid'!S$19+'Benzin - diesel - hybrid'!S$20+'Benzin - diesel - hybrid'!S$21+'Benzin - diesel - hybrid'!S$69+'Benzin - diesel - hybrid'!S$70,0)*'Benzin - diesel - hybrid'!S$51*(1+'Benzin - diesel - hybrid'!S$52)^-$B61)</f>
        <v>0</v>
      </c>
      <c r="U61" s="243">
        <f>(IF($B61&lt;='Benzin - diesel - hybrid'!U$51,'Benzin - diesel - hybrid'!U$19+'Benzin - diesel - hybrid'!U$20+'Benzin - diesel - hybrid'!U$21+'Benzin - diesel - hybrid'!U$69+'Benzin - diesel - hybrid'!U$70,0)*'Benzin - diesel - hybrid'!U$51*(1+'Benzin - diesel - hybrid'!U$52)^-$B61)</f>
        <v>0</v>
      </c>
      <c r="W61" s="243">
        <f>(IF($B61&lt;='Benzin - diesel - hybrid'!W$51,'Benzin - diesel - hybrid'!W$19+'Benzin - diesel - hybrid'!W$20+'Benzin - diesel - hybrid'!W$21+'Benzin - diesel - hybrid'!W$69+'Benzin - diesel - hybrid'!W$70,0)*'Benzin - diesel - hybrid'!W$51*(1+'Benzin - diesel - hybrid'!W$52)^-$B61)</f>
        <v>0</v>
      </c>
    </row>
    <row r="62" spans="1:23">
      <c r="A62"/>
      <c r="B62" s="140">
        <v>14</v>
      </c>
      <c r="C62" s="141">
        <f t="shared" si="2"/>
        <v>14</v>
      </c>
      <c r="D62"/>
      <c r="E62" s="243">
        <f>(IF($B62&lt;='Benzin - diesel - hybrid'!E$51,'Benzin - diesel - hybrid'!E$19+'Benzin - diesel - hybrid'!E$20+'Benzin - diesel - hybrid'!E$21+'Benzin - diesel - hybrid'!E$69+'Benzin - diesel - hybrid'!E$70,0)*'Benzin - diesel - hybrid'!E$51*(1+'Benzin - diesel - hybrid'!E$52)^-$B62)</f>
        <v>0</v>
      </c>
      <c r="F62" s="243"/>
      <c r="G62" s="243">
        <f>(IF($B62&lt;='Benzin - diesel - hybrid'!G$51,'Benzin - diesel - hybrid'!G$19+'Benzin - diesel - hybrid'!G$20+'Benzin - diesel - hybrid'!G$21+'Benzin - diesel - hybrid'!G$69+'Benzin - diesel - hybrid'!G$70,0)*'Benzin - diesel - hybrid'!G$51*(1+'Benzin - diesel - hybrid'!G$52)^-$B62)</f>
        <v>0</v>
      </c>
      <c r="H62" s="243"/>
      <c r="I62" s="243">
        <f>(IF($B62&lt;='Benzin - diesel - hybrid'!I$51,'Benzin - diesel - hybrid'!I$19+'Benzin - diesel - hybrid'!I$20+'Benzin - diesel - hybrid'!I$21+'Benzin - diesel - hybrid'!I$69+'Benzin - diesel - hybrid'!I$70,0)*'Benzin - diesel - hybrid'!I$51*(1+'Benzin - diesel - hybrid'!I$52)^-$B62)</f>
        <v>0</v>
      </c>
      <c r="J62" s="243"/>
      <c r="K62" s="243">
        <f>(IF($B62&lt;='Benzin - diesel - hybrid'!K$51,'Benzin - diesel - hybrid'!K$19+'Benzin - diesel - hybrid'!K$20+'Benzin - diesel - hybrid'!K$21+'Benzin - diesel - hybrid'!K$69+'Benzin - diesel - hybrid'!K$70,0)*'Benzin - diesel - hybrid'!K$51*(1+'Benzin - diesel - hybrid'!K$52)^-$B62)</f>
        <v>0</v>
      </c>
      <c r="L62" s="243"/>
      <c r="M62" s="243">
        <f>(IF($B62&lt;='Benzin - diesel - hybrid'!M$51,'Benzin - diesel - hybrid'!M$19+'Benzin - diesel - hybrid'!M$20+'Benzin - diesel - hybrid'!M$21+'Benzin - diesel - hybrid'!M$69+'Benzin - diesel - hybrid'!M$70,0)*'Benzin - diesel - hybrid'!M$51*(1+'Benzin - diesel - hybrid'!M$52)^-$B62)</f>
        <v>0</v>
      </c>
      <c r="N62" s="243"/>
      <c r="O62" s="243">
        <f>(IF($B62&lt;='Benzin - diesel - hybrid'!O$51,'Benzin - diesel - hybrid'!O$19+'Benzin - diesel - hybrid'!O$20+'Benzin - diesel - hybrid'!O$21+'Benzin - diesel - hybrid'!O$69+'Benzin - diesel - hybrid'!O$70,0)*'Benzin - diesel - hybrid'!O$51*(1+'Benzin - diesel - hybrid'!O$52)^-$B62)</f>
        <v>0</v>
      </c>
      <c r="P62" s="243"/>
      <c r="Q62" s="243">
        <f>(IF($B62&lt;='Benzin - diesel - hybrid'!Q$51,'Benzin - diesel - hybrid'!Q$19+'Benzin - diesel - hybrid'!Q$20+'Benzin - diesel - hybrid'!Q$21+'Benzin - diesel - hybrid'!Q$69+'Benzin - diesel - hybrid'!Q$70,0)*'Benzin - diesel - hybrid'!Q$51*(1+'Benzin - diesel - hybrid'!Q$52)^-$B62)</f>
        <v>0</v>
      </c>
      <c r="R62" s="243"/>
      <c r="S62" s="243">
        <f>(IF($B62&lt;='Benzin - diesel - hybrid'!S$51,'Benzin - diesel - hybrid'!S$19+'Benzin - diesel - hybrid'!S$20+'Benzin - diesel - hybrid'!S$21+'Benzin - diesel - hybrid'!S$69+'Benzin - diesel - hybrid'!S$70,0)*'Benzin - diesel - hybrid'!S$51*(1+'Benzin - diesel - hybrid'!S$52)^-$B62)</f>
        <v>0</v>
      </c>
      <c r="U62" s="243">
        <f>(IF($B62&lt;='Benzin - diesel - hybrid'!U$51,'Benzin - diesel - hybrid'!U$19+'Benzin - diesel - hybrid'!U$20+'Benzin - diesel - hybrid'!U$21+'Benzin - diesel - hybrid'!U$69+'Benzin - diesel - hybrid'!U$70,0)*'Benzin - diesel - hybrid'!U$51*(1+'Benzin - diesel - hybrid'!U$52)^-$B62)</f>
        <v>0</v>
      </c>
      <c r="W62" s="243">
        <f>(IF($B62&lt;='Benzin - diesel - hybrid'!W$51,'Benzin - diesel - hybrid'!W$19+'Benzin - diesel - hybrid'!W$20+'Benzin - diesel - hybrid'!W$21+'Benzin - diesel - hybrid'!W$69+'Benzin - diesel - hybrid'!W$70,0)*'Benzin - diesel - hybrid'!W$51*(1+'Benzin - diesel - hybrid'!W$52)^-$B62)</f>
        <v>0</v>
      </c>
    </row>
    <row r="63" spans="1:23">
      <c r="A63"/>
      <c r="B63" s="140">
        <v>15</v>
      </c>
      <c r="C63" s="141">
        <f t="shared" si="2"/>
        <v>15</v>
      </c>
      <c r="D63"/>
      <c r="E63" s="243">
        <f>(IF($B63&lt;='Benzin - diesel - hybrid'!E$51,'Benzin - diesel - hybrid'!E$19+'Benzin - diesel - hybrid'!E$20+'Benzin - diesel - hybrid'!E$21+'Benzin - diesel - hybrid'!E$69+'Benzin - diesel - hybrid'!E$70,0)*'Benzin - diesel - hybrid'!E$51*(1+'Benzin - diesel - hybrid'!E$52)^-$B63)</f>
        <v>0</v>
      </c>
      <c r="F63" s="243"/>
      <c r="G63" s="243">
        <f>(IF($B63&lt;='Benzin - diesel - hybrid'!G$51,'Benzin - diesel - hybrid'!G$19+'Benzin - diesel - hybrid'!G$20+'Benzin - diesel - hybrid'!G$21+'Benzin - diesel - hybrid'!G$69+'Benzin - diesel - hybrid'!G$70,0)*'Benzin - diesel - hybrid'!G$51*(1+'Benzin - diesel - hybrid'!G$52)^-$B63)</f>
        <v>0</v>
      </c>
      <c r="H63" s="243"/>
      <c r="I63" s="243">
        <f>(IF($B63&lt;='Benzin - diesel - hybrid'!I$51,'Benzin - diesel - hybrid'!I$19+'Benzin - diesel - hybrid'!I$20+'Benzin - diesel - hybrid'!I$21+'Benzin - diesel - hybrid'!I$69+'Benzin - diesel - hybrid'!I$70,0)*'Benzin - diesel - hybrid'!I$51*(1+'Benzin - diesel - hybrid'!I$52)^-$B63)</f>
        <v>0</v>
      </c>
      <c r="J63" s="243"/>
      <c r="K63" s="243">
        <f>(IF($B63&lt;='Benzin - diesel - hybrid'!K$51,'Benzin - diesel - hybrid'!K$19+'Benzin - diesel - hybrid'!K$20+'Benzin - diesel - hybrid'!K$21+'Benzin - diesel - hybrid'!K$69+'Benzin - diesel - hybrid'!K$70,0)*'Benzin - diesel - hybrid'!K$51*(1+'Benzin - diesel - hybrid'!K$52)^-$B63)</f>
        <v>0</v>
      </c>
      <c r="L63" s="243"/>
      <c r="M63" s="243">
        <f>(IF($B63&lt;='Benzin - diesel - hybrid'!M$51,'Benzin - diesel - hybrid'!M$19+'Benzin - diesel - hybrid'!M$20+'Benzin - diesel - hybrid'!M$21+'Benzin - diesel - hybrid'!M$69+'Benzin - diesel - hybrid'!M$70,0)*'Benzin - diesel - hybrid'!M$51*(1+'Benzin - diesel - hybrid'!M$52)^-$B63)</f>
        <v>0</v>
      </c>
      <c r="N63" s="243"/>
      <c r="O63" s="243">
        <f>(IF($B63&lt;='Benzin - diesel - hybrid'!O$51,'Benzin - diesel - hybrid'!O$19+'Benzin - diesel - hybrid'!O$20+'Benzin - diesel - hybrid'!O$21+'Benzin - diesel - hybrid'!O$69+'Benzin - diesel - hybrid'!O$70,0)*'Benzin - diesel - hybrid'!O$51*(1+'Benzin - diesel - hybrid'!O$52)^-$B63)</f>
        <v>0</v>
      </c>
      <c r="P63" s="243"/>
      <c r="Q63" s="243">
        <f>(IF($B63&lt;='Benzin - diesel - hybrid'!Q$51,'Benzin - diesel - hybrid'!Q$19+'Benzin - diesel - hybrid'!Q$20+'Benzin - diesel - hybrid'!Q$21+'Benzin - diesel - hybrid'!Q$69+'Benzin - diesel - hybrid'!Q$70,0)*'Benzin - diesel - hybrid'!Q$51*(1+'Benzin - diesel - hybrid'!Q$52)^-$B63)</f>
        <v>0</v>
      </c>
      <c r="R63" s="243"/>
      <c r="S63" s="243">
        <f>(IF($B63&lt;='Benzin - diesel - hybrid'!S$51,'Benzin - diesel - hybrid'!S$19+'Benzin - diesel - hybrid'!S$20+'Benzin - diesel - hybrid'!S$21+'Benzin - diesel - hybrid'!S$69+'Benzin - diesel - hybrid'!S$70,0)*'Benzin - diesel - hybrid'!S$51*(1+'Benzin - diesel - hybrid'!S$52)^-$B63)</f>
        <v>0</v>
      </c>
      <c r="U63" s="243">
        <f>(IF($B63&lt;='Benzin - diesel - hybrid'!U$51,'Benzin - diesel - hybrid'!U$19+'Benzin - diesel - hybrid'!U$20+'Benzin - diesel - hybrid'!U$21+'Benzin - diesel - hybrid'!U$69+'Benzin - diesel - hybrid'!U$70,0)*'Benzin - diesel - hybrid'!U$51*(1+'Benzin - diesel - hybrid'!U$52)^-$B63)</f>
        <v>0</v>
      </c>
      <c r="W63" s="243">
        <f>(IF($B63&lt;='Benzin - diesel - hybrid'!W$51,'Benzin - diesel - hybrid'!W$19+'Benzin - diesel - hybrid'!W$20+'Benzin - diesel - hybrid'!W$21+'Benzin - diesel - hybrid'!W$69+'Benzin - diesel - hybrid'!W$70,0)*'Benzin - diesel - hybrid'!W$51*(1+'Benzin - diesel - hybrid'!W$52)^-$B63)</f>
        <v>0</v>
      </c>
    </row>
    <row r="64" spans="1:23">
      <c r="A64"/>
      <c r="B64" s="140">
        <v>16</v>
      </c>
      <c r="C64" s="141">
        <f t="shared" ref="C64:C68" si="3">B64</f>
        <v>16</v>
      </c>
      <c r="D64"/>
      <c r="E64" s="243">
        <f>(IF($B64&lt;='Benzin - diesel - hybrid'!E$51,'Benzin - diesel - hybrid'!E$19+'Benzin - diesel - hybrid'!E$20+'Benzin - diesel - hybrid'!E$21+'Benzin - diesel - hybrid'!E$69+'Benzin - diesel - hybrid'!E$70,0)*'Benzin - diesel - hybrid'!E$51*(1+'Benzin - diesel - hybrid'!E$52)^-$B64)</f>
        <v>0</v>
      </c>
      <c r="F64" s="243"/>
      <c r="G64" s="243">
        <f>(IF($B64&lt;='Benzin - diesel - hybrid'!G$51,'Benzin - diesel - hybrid'!G$19+'Benzin - diesel - hybrid'!G$20+'Benzin - diesel - hybrid'!G$21+'Benzin - diesel - hybrid'!G$69+'Benzin - diesel - hybrid'!G$70,0)*'Benzin - diesel - hybrid'!G$51*(1+'Benzin - diesel - hybrid'!G$52)^-$B64)</f>
        <v>0</v>
      </c>
      <c r="H64" s="243"/>
      <c r="I64" s="243">
        <f>(IF($B64&lt;='Benzin - diesel - hybrid'!I$51,'Benzin - diesel - hybrid'!I$19+'Benzin - diesel - hybrid'!I$20+'Benzin - diesel - hybrid'!I$21+'Benzin - diesel - hybrid'!I$69+'Benzin - diesel - hybrid'!I$70,0)*'Benzin - diesel - hybrid'!I$51*(1+'Benzin - diesel - hybrid'!I$52)^-$B64)</f>
        <v>0</v>
      </c>
      <c r="J64" s="243"/>
      <c r="K64" s="243">
        <f>(IF($B64&lt;='Benzin - diesel - hybrid'!K$51,'Benzin - diesel - hybrid'!K$19+'Benzin - diesel - hybrid'!K$20+'Benzin - diesel - hybrid'!K$21+'Benzin - diesel - hybrid'!K$69+'Benzin - diesel - hybrid'!K$70,0)*'Benzin - diesel - hybrid'!K$51*(1+'Benzin - diesel - hybrid'!K$52)^-$B64)</f>
        <v>0</v>
      </c>
      <c r="L64" s="243"/>
      <c r="M64" s="243">
        <f>(IF($B64&lt;='Benzin - diesel - hybrid'!M$51,'Benzin - diesel - hybrid'!M$19+'Benzin - diesel - hybrid'!M$20+'Benzin - diesel - hybrid'!M$21+'Benzin - diesel - hybrid'!M$69+'Benzin - diesel - hybrid'!M$70,0)*'Benzin - diesel - hybrid'!M$51*(1+'Benzin - diesel - hybrid'!M$52)^-$B64)</f>
        <v>0</v>
      </c>
      <c r="N64" s="243"/>
      <c r="O64" s="243">
        <f>(IF($B64&lt;='Benzin - diesel - hybrid'!O$51,'Benzin - diesel - hybrid'!O$19+'Benzin - diesel - hybrid'!O$20+'Benzin - diesel - hybrid'!O$21+'Benzin - diesel - hybrid'!O$69+'Benzin - diesel - hybrid'!O$70,0)*'Benzin - diesel - hybrid'!O$51*(1+'Benzin - diesel - hybrid'!O$52)^-$B64)</f>
        <v>0</v>
      </c>
      <c r="P64" s="243"/>
      <c r="Q64" s="243">
        <f>(IF($B64&lt;='Benzin - diesel - hybrid'!Q$51,'Benzin - diesel - hybrid'!Q$19+'Benzin - diesel - hybrid'!Q$20+'Benzin - diesel - hybrid'!Q$21+'Benzin - diesel - hybrid'!Q$69+'Benzin - diesel - hybrid'!Q$70,0)*'Benzin - diesel - hybrid'!Q$51*(1+'Benzin - diesel - hybrid'!Q$52)^-$B64)</f>
        <v>0</v>
      </c>
      <c r="R64" s="243"/>
      <c r="S64" s="243">
        <f>(IF($B64&lt;='Benzin - diesel - hybrid'!S$51,'Benzin - diesel - hybrid'!S$19+'Benzin - diesel - hybrid'!S$20+'Benzin - diesel - hybrid'!S$21+'Benzin - diesel - hybrid'!S$69+'Benzin - diesel - hybrid'!S$70,0)*'Benzin - diesel - hybrid'!S$51*(1+'Benzin - diesel - hybrid'!S$52)^-$B64)</f>
        <v>0</v>
      </c>
      <c r="U64" s="243">
        <f>(IF($B64&lt;='Benzin - diesel - hybrid'!U$51,'Benzin - diesel - hybrid'!U$19+'Benzin - diesel - hybrid'!U$20+'Benzin - diesel - hybrid'!U$21+'Benzin - diesel - hybrid'!U$69+'Benzin - diesel - hybrid'!U$70,0)*'Benzin - diesel - hybrid'!U$51*(1+'Benzin - diesel - hybrid'!U$52)^-$B64)</f>
        <v>0</v>
      </c>
      <c r="W64" s="243">
        <f>(IF($B64&lt;='Benzin - diesel - hybrid'!W$51,'Benzin - diesel - hybrid'!W$19+'Benzin - diesel - hybrid'!W$20+'Benzin - diesel - hybrid'!W$21+'Benzin - diesel - hybrid'!W$69+'Benzin - diesel - hybrid'!W$70,0)*'Benzin - diesel - hybrid'!W$51*(1+'Benzin - diesel - hybrid'!W$52)^-$B64)</f>
        <v>0</v>
      </c>
    </row>
    <row r="65" spans="1:23">
      <c r="A65"/>
      <c r="B65" s="140">
        <v>17</v>
      </c>
      <c r="C65" s="141">
        <f t="shared" si="3"/>
        <v>17</v>
      </c>
      <c r="D65"/>
      <c r="E65" s="243">
        <f>(IF($B65&lt;='Benzin - diesel - hybrid'!E$51,'Benzin - diesel - hybrid'!E$19+'Benzin - diesel - hybrid'!E$20+'Benzin - diesel - hybrid'!E$21+'Benzin - diesel - hybrid'!E$69+'Benzin - diesel - hybrid'!E$70,0)*'Benzin - diesel - hybrid'!E$51*(1+'Benzin - diesel - hybrid'!E$52)^-$B65)</f>
        <v>0</v>
      </c>
      <c r="F65" s="243"/>
      <c r="G65" s="243">
        <f>(IF($B65&lt;='Benzin - diesel - hybrid'!G$51,'Benzin - diesel - hybrid'!G$19+'Benzin - diesel - hybrid'!G$20+'Benzin - diesel - hybrid'!G$21+'Benzin - diesel - hybrid'!G$69+'Benzin - diesel - hybrid'!G$70,0)*'Benzin - diesel - hybrid'!G$51*(1+'Benzin - diesel - hybrid'!G$52)^-$B65)</f>
        <v>0</v>
      </c>
      <c r="H65" s="243"/>
      <c r="I65" s="243">
        <f>(IF($B65&lt;='Benzin - diesel - hybrid'!I$51,'Benzin - diesel - hybrid'!I$19+'Benzin - diesel - hybrid'!I$20+'Benzin - diesel - hybrid'!I$21+'Benzin - diesel - hybrid'!I$69+'Benzin - diesel - hybrid'!I$70,0)*'Benzin - diesel - hybrid'!I$51*(1+'Benzin - diesel - hybrid'!I$52)^-$B65)</f>
        <v>0</v>
      </c>
      <c r="J65" s="243"/>
      <c r="K65" s="243">
        <f>(IF($B65&lt;='Benzin - diesel - hybrid'!K$51,'Benzin - diesel - hybrid'!K$19+'Benzin - diesel - hybrid'!K$20+'Benzin - diesel - hybrid'!K$21+'Benzin - diesel - hybrid'!K$69+'Benzin - diesel - hybrid'!K$70,0)*'Benzin - diesel - hybrid'!K$51*(1+'Benzin - diesel - hybrid'!K$52)^-$B65)</f>
        <v>0</v>
      </c>
      <c r="L65" s="243"/>
      <c r="M65" s="243">
        <f>(IF($B65&lt;='Benzin - diesel - hybrid'!M$51,'Benzin - diesel - hybrid'!M$19+'Benzin - diesel - hybrid'!M$20+'Benzin - diesel - hybrid'!M$21+'Benzin - diesel - hybrid'!M$69+'Benzin - diesel - hybrid'!M$70,0)*'Benzin - diesel - hybrid'!M$51*(1+'Benzin - diesel - hybrid'!M$52)^-$B65)</f>
        <v>0</v>
      </c>
      <c r="N65" s="243"/>
      <c r="O65" s="243">
        <f>(IF($B65&lt;='Benzin - diesel - hybrid'!O$51,'Benzin - diesel - hybrid'!O$19+'Benzin - diesel - hybrid'!O$20+'Benzin - diesel - hybrid'!O$21+'Benzin - diesel - hybrid'!O$69+'Benzin - diesel - hybrid'!O$70,0)*'Benzin - diesel - hybrid'!O$51*(1+'Benzin - diesel - hybrid'!O$52)^-$B65)</f>
        <v>0</v>
      </c>
      <c r="P65" s="243"/>
      <c r="Q65" s="243">
        <f>(IF($B65&lt;='Benzin - diesel - hybrid'!Q$51,'Benzin - diesel - hybrid'!Q$19+'Benzin - diesel - hybrid'!Q$20+'Benzin - diesel - hybrid'!Q$21+'Benzin - diesel - hybrid'!Q$69+'Benzin - diesel - hybrid'!Q$70,0)*'Benzin - diesel - hybrid'!Q$51*(1+'Benzin - diesel - hybrid'!Q$52)^-$B65)</f>
        <v>0</v>
      </c>
      <c r="R65" s="243"/>
      <c r="S65" s="243">
        <f>(IF($B65&lt;='Benzin - diesel - hybrid'!S$51,'Benzin - diesel - hybrid'!S$19+'Benzin - diesel - hybrid'!S$20+'Benzin - diesel - hybrid'!S$21+'Benzin - diesel - hybrid'!S$69+'Benzin - diesel - hybrid'!S$70,0)*'Benzin - diesel - hybrid'!S$51*(1+'Benzin - diesel - hybrid'!S$52)^-$B65)</f>
        <v>0</v>
      </c>
      <c r="U65" s="243">
        <f>(IF($B65&lt;='Benzin - diesel - hybrid'!U$51,'Benzin - diesel - hybrid'!U$19+'Benzin - diesel - hybrid'!U$20+'Benzin - diesel - hybrid'!U$21+'Benzin - diesel - hybrid'!U$69+'Benzin - diesel - hybrid'!U$70,0)*'Benzin - diesel - hybrid'!U$51*(1+'Benzin - diesel - hybrid'!U$52)^-$B65)</f>
        <v>0</v>
      </c>
      <c r="W65" s="243">
        <f>(IF($B65&lt;='Benzin - diesel - hybrid'!W$51,'Benzin - diesel - hybrid'!W$19+'Benzin - diesel - hybrid'!W$20+'Benzin - diesel - hybrid'!W$21+'Benzin - diesel - hybrid'!W$69+'Benzin - diesel - hybrid'!W$70,0)*'Benzin - diesel - hybrid'!W$51*(1+'Benzin - diesel - hybrid'!W$52)^-$B65)</f>
        <v>0</v>
      </c>
    </row>
    <row r="66" spans="1:23">
      <c r="A66"/>
      <c r="B66" s="140">
        <v>18</v>
      </c>
      <c r="C66" s="141">
        <f t="shared" si="3"/>
        <v>18</v>
      </c>
      <c r="D66"/>
      <c r="E66" s="243">
        <f>(IF($B66&lt;='Benzin - diesel - hybrid'!E$51,'Benzin - diesel - hybrid'!E$19+'Benzin - diesel - hybrid'!E$20+'Benzin - diesel - hybrid'!E$21+'Benzin - diesel - hybrid'!E$69+'Benzin - diesel - hybrid'!E$70,0)*'Benzin - diesel - hybrid'!E$51*(1+'Benzin - diesel - hybrid'!E$52)^-$B66)</f>
        <v>0</v>
      </c>
      <c r="F66" s="243"/>
      <c r="G66" s="243">
        <f>(IF($B66&lt;='Benzin - diesel - hybrid'!G$51,'Benzin - diesel - hybrid'!G$19+'Benzin - diesel - hybrid'!G$20+'Benzin - diesel - hybrid'!G$21+'Benzin - diesel - hybrid'!G$69+'Benzin - diesel - hybrid'!G$70,0)*'Benzin - diesel - hybrid'!G$51*(1+'Benzin - diesel - hybrid'!G$52)^-$B66)</f>
        <v>0</v>
      </c>
      <c r="H66" s="243"/>
      <c r="I66" s="243">
        <f>(IF($B66&lt;='Benzin - diesel - hybrid'!I$51,'Benzin - diesel - hybrid'!I$19+'Benzin - diesel - hybrid'!I$20+'Benzin - diesel - hybrid'!I$21+'Benzin - diesel - hybrid'!I$69+'Benzin - diesel - hybrid'!I$70,0)*'Benzin - diesel - hybrid'!I$51*(1+'Benzin - diesel - hybrid'!I$52)^-$B66)</f>
        <v>0</v>
      </c>
      <c r="J66" s="243"/>
      <c r="K66" s="243">
        <f>(IF($B66&lt;='Benzin - diesel - hybrid'!K$51,'Benzin - diesel - hybrid'!K$19+'Benzin - diesel - hybrid'!K$20+'Benzin - diesel - hybrid'!K$21+'Benzin - diesel - hybrid'!K$69+'Benzin - diesel - hybrid'!K$70,0)*'Benzin - diesel - hybrid'!K$51*(1+'Benzin - diesel - hybrid'!K$52)^-$B66)</f>
        <v>0</v>
      </c>
      <c r="L66" s="243"/>
      <c r="M66" s="243">
        <f>(IF($B66&lt;='Benzin - diesel - hybrid'!M$51,'Benzin - diesel - hybrid'!M$19+'Benzin - diesel - hybrid'!M$20+'Benzin - diesel - hybrid'!M$21+'Benzin - diesel - hybrid'!M$69+'Benzin - diesel - hybrid'!M$70,0)*'Benzin - diesel - hybrid'!M$51*(1+'Benzin - diesel - hybrid'!M$52)^-$B66)</f>
        <v>0</v>
      </c>
      <c r="N66" s="243"/>
      <c r="O66" s="243">
        <f>(IF($B66&lt;='Benzin - diesel - hybrid'!O$51,'Benzin - diesel - hybrid'!O$19+'Benzin - diesel - hybrid'!O$20+'Benzin - diesel - hybrid'!O$21+'Benzin - diesel - hybrid'!O$69+'Benzin - diesel - hybrid'!O$70,0)*'Benzin - diesel - hybrid'!O$51*(1+'Benzin - diesel - hybrid'!O$52)^-$B66)</f>
        <v>0</v>
      </c>
      <c r="P66" s="243"/>
      <c r="Q66" s="243">
        <f>(IF($B66&lt;='Benzin - diesel - hybrid'!Q$51,'Benzin - diesel - hybrid'!Q$19+'Benzin - diesel - hybrid'!Q$20+'Benzin - diesel - hybrid'!Q$21+'Benzin - diesel - hybrid'!Q$69+'Benzin - diesel - hybrid'!Q$70,0)*'Benzin - diesel - hybrid'!Q$51*(1+'Benzin - diesel - hybrid'!Q$52)^-$B66)</f>
        <v>0</v>
      </c>
      <c r="R66" s="243"/>
      <c r="S66" s="243">
        <f>(IF($B66&lt;='Benzin - diesel - hybrid'!S$51,'Benzin - diesel - hybrid'!S$19+'Benzin - diesel - hybrid'!S$20+'Benzin - diesel - hybrid'!S$21+'Benzin - diesel - hybrid'!S$69+'Benzin - diesel - hybrid'!S$70,0)*'Benzin - diesel - hybrid'!S$51*(1+'Benzin - diesel - hybrid'!S$52)^-$B66)</f>
        <v>0</v>
      </c>
      <c r="U66" s="243">
        <f>(IF($B66&lt;='Benzin - diesel - hybrid'!U$51,'Benzin - diesel - hybrid'!U$19+'Benzin - diesel - hybrid'!U$20+'Benzin - diesel - hybrid'!U$21+'Benzin - diesel - hybrid'!U$69+'Benzin - diesel - hybrid'!U$70,0)*'Benzin - diesel - hybrid'!U$51*(1+'Benzin - diesel - hybrid'!U$52)^-$B66)</f>
        <v>0</v>
      </c>
      <c r="W66" s="243">
        <f>(IF($B66&lt;='Benzin - diesel - hybrid'!W$51,'Benzin - diesel - hybrid'!W$19+'Benzin - diesel - hybrid'!W$20+'Benzin - diesel - hybrid'!W$21+'Benzin - diesel - hybrid'!W$69+'Benzin - diesel - hybrid'!W$70,0)*'Benzin - diesel - hybrid'!W$51*(1+'Benzin - diesel - hybrid'!W$52)^-$B66)</f>
        <v>0</v>
      </c>
    </row>
    <row r="67" spans="1:23">
      <c r="A67"/>
      <c r="B67" s="140">
        <v>19</v>
      </c>
      <c r="C67" s="141">
        <f t="shared" si="3"/>
        <v>19</v>
      </c>
      <c r="D67"/>
      <c r="E67" s="243">
        <f>(IF($B67&lt;='Benzin - diesel - hybrid'!E$51,'Benzin - diesel - hybrid'!E$19+'Benzin - diesel - hybrid'!E$20+'Benzin - diesel - hybrid'!E$21+'Benzin - diesel - hybrid'!E$69+'Benzin - diesel - hybrid'!E$70,0)*'Benzin - diesel - hybrid'!E$51*(1+'Benzin - diesel - hybrid'!E$52)^-$B67)</f>
        <v>0</v>
      </c>
      <c r="F67" s="243"/>
      <c r="G67" s="243">
        <f>(IF($B67&lt;='Benzin - diesel - hybrid'!G$51,'Benzin - diesel - hybrid'!G$19+'Benzin - diesel - hybrid'!G$20+'Benzin - diesel - hybrid'!G$21+'Benzin - diesel - hybrid'!G$69+'Benzin - diesel - hybrid'!G$70,0)*'Benzin - diesel - hybrid'!G$51*(1+'Benzin - diesel - hybrid'!G$52)^-$B67)</f>
        <v>0</v>
      </c>
      <c r="H67" s="243"/>
      <c r="I67" s="243">
        <f>(IF($B67&lt;='Benzin - diesel - hybrid'!I$51,'Benzin - diesel - hybrid'!I$19+'Benzin - diesel - hybrid'!I$20+'Benzin - diesel - hybrid'!I$21+'Benzin - diesel - hybrid'!I$69+'Benzin - diesel - hybrid'!I$70,0)*'Benzin - diesel - hybrid'!I$51*(1+'Benzin - diesel - hybrid'!I$52)^-$B67)</f>
        <v>0</v>
      </c>
      <c r="J67" s="243"/>
      <c r="K67" s="243">
        <f>(IF($B67&lt;='Benzin - diesel - hybrid'!K$51,'Benzin - diesel - hybrid'!K$19+'Benzin - diesel - hybrid'!K$20+'Benzin - diesel - hybrid'!K$21+'Benzin - diesel - hybrid'!K$69+'Benzin - diesel - hybrid'!K$70,0)*'Benzin - diesel - hybrid'!K$51*(1+'Benzin - diesel - hybrid'!K$52)^-$B67)</f>
        <v>0</v>
      </c>
      <c r="L67" s="243"/>
      <c r="M67" s="243">
        <f>(IF($B67&lt;='Benzin - diesel - hybrid'!M$51,'Benzin - diesel - hybrid'!M$19+'Benzin - diesel - hybrid'!M$20+'Benzin - diesel - hybrid'!M$21+'Benzin - diesel - hybrid'!M$69+'Benzin - diesel - hybrid'!M$70,0)*'Benzin - diesel - hybrid'!M$51*(1+'Benzin - diesel - hybrid'!M$52)^-$B67)</f>
        <v>0</v>
      </c>
      <c r="N67" s="243"/>
      <c r="O67" s="243">
        <f>(IF($B67&lt;='Benzin - diesel - hybrid'!O$51,'Benzin - diesel - hybrid'!O$19+'Benzin - diesel - hybrid'!O$20+'Benzin - diesel - hybrid'!O$21+'Benzin - diesel - hybrid'!O$69+'Benzin - diesel - hybrid'!O$70,0)*'Benzin - diesel - hybrid'!O$51*(1+'Benzin - diesel - hybrid'!O$52)^-$B67)</f>
        <v>0</v>
      </c>
      <c r="P67" s="243"/>
      <c r="Q67" s="243">
        <f>(IF($B67&lt;='Benzin - diesel - hybrid'!Q$51,'Benzin - diesel - hybrid'!Q$19+'Benzin - diesel - hybrid'!Q$20+'Benzin - diesel - hybrid'!Q$21+'Benzin - diesel - hybrid'!Q$69+'Benzin - diesel - hybrid'!Q$70,0)*'Benzin - diesel - hybrid'!Q$51*(1+'Benzin - diesel - hybrid'!Q$52)^-$B67)</f>
        <v>0</v>
      </c>
      <c r="R67" s="243"/>
      <c r="S67" s="243">
        <f>(IF($B67&lt;='Benzin - diesel - hybrid'!S$51,'Benzin - diesel - hybrid'!S$19+'Benzin - diesel - hybrid'!S$20+'Benzin - diesel - hybrid'!S$21+'Benzin - diesel - hybrid'!S$69+'Benzin - diesel - hybrid'!S$70,0)*'Benzin - diesel - hybrid'!S$51*(1+'Benzin - diesel - hybrid'!S$52)^-$B67)</f>
        <v>0</v>
      </c>
      <c r="U67" s="243">
        <f>(IF($B67&lt;='Benzin - diesel - hybrid'!U$51,'Benzin - diesel - hybrid'!U$19+'Benzin - diesel - hybrid'!U$20+'Benzin - diesel - hybrid'!U$21+'Benzin - diesel - hybrid'!U$69+'Benzin - diesel - hybrid'!U$70,0)*'Benzin - diesel - hybrid'!U$51*(1+'Benzin - diesel - hybrid'!U$52)^-$B67)</f>
        <v>0</v>
      </c>
      <c r="W67" s="243">
        <f>(IF($B67&lt;='Benzin - diesel - hybrid'!W$51,'Benzin - diesel - hybrid'!W$19+'Benzin - diesel - hybrid'!W$20+'Benzin - diesel - hybrid'!W$21+'Benzin - diesel - hybrid'!W$69+'Benzin - diesel - hybrid'!W$70,0)*'Benzin - diesel - hybrid'!W$51*(1+'Benzin - diesel - hybrid'!W$52)^-$B67)</f>
        <v>0</v>
      </c>
    </row>
    <row r="68" spans="1:23">
      <c r="A68"/>
      <c r="B68" s="140">
        <v>20</v>
      </c>
      <c r="C68" s="141">
        <f t="shared" si="3"/>
        <v>20</v>
      </c>
      <c r="D68"/>
      <c r="E68" s="243">
        <f>(IF($B68&lt;='Benzin - diesel - hybrid'!E$51,'Benzin - diesel - hybrid'!E$19+'Benzin - diesel - hybrid'!E$20+'Benzin - diesel - hybrid'!E$21+'Benzin - diesel - hybrid'!E$69+'Benzin - diesel - hybrid'!E$70,0)*'Benzin - diesel - hybrid'!E$51*(1+'Benzin - diesel - hybrid'!E$52)^-$B68)</f>
        <v>0</v>
      </c>
      <c r="F68" s="243"/>
      <c r="G68" s="243">
        <f>(IF($B68&lt;='Benzin - diesel - hybrid'!G$51,'Benzin - diesel - hybrid'!G$19+'Benzin - diesel - hybrid'!G$20+'Benzin - diesel - hybrid'!G$21+'Benzin - diesel - hybrid'!G$69+'Benzin - diesel - hybrid'!G$70,0)*'Benzin - diesel - hybrid'!G$51*(1+'Benzin - diesel - hybrid'!G$52)^-$B68)</f>
        <v>0</v>
      </c>
      <c r="H68" s="243"/>
      <c r="I68" s="243">
        <f>(IF($B68&lt;='Benzin - diesel - hybrid'!I$51,'Benzin - diesel - hybrid'!I$19+'Benzin - diesel - hybrid'!I$20+'Benzin - diesel - hybrid'!I$21+'Benzin - diesel - hybrid'!I$69+'Benzin - diesel - hybrid'!I$70,0)*'Benzin - diesel - hybrid'!I$51*(1+'Benzin - diesel - hybrid'!I$52)^-$B68)</f>
        <v>0</v>
      </c>
      <c r="J68" s="243"/>
      <c r="K68" s="243">
        <f>(IF($B68&lt;='Benzin - diesel - hybrid'!K$51,'Benzin - diesel - hybrid'!K$19+'Benzin - diesel - hybrid'!K$20+'Benzin - diesel - hybrid'!K$21+'Benzin - diesel - hybrid'!K$69+'Benzin - diesel - hybrid'!K$70,0)*'Benzin - diesel - hybrid'!K$51*(1+'Benzin - diesel - hybrid'!K$52)^-$B68)</f>
        <v>0</v>
      </c>
      <c r="L68" s="243"/>
      <c r="M68" s="243">
        <f>(IF($B68&lt;='Benzin - diesel - hybrid'!M$51,'Benzin - diesel - hybrid'!M$19+'Benzin - diesel - hybrid'!M$20+'Benzin - diesel - hybrid'!M$21+'Benzin - diesel - hybrid'!M$69+'Benzin - diesel - hybrid'!M$70,0)*'Benzin - diesel - hybrid'!M$51*(1+'Benzin - diesel - hybrid'!M$52)^-$B68)</f>
        <v>0</v>
      </c>
      <c r="N68" s="243"/>
      <c r="O68" s="243">
        <f>(IF($B68&lt;='Benzin - diesel - hybrid'!O$51,'Benzin - diesel - hybrid'!O$19+'Benzin - diesel - hybrid'!O$20+'Benzin - diesel - hybrid'!O$21+'Benzin - diesel - hybrid'!O$69+'Benzin - diesel - hybrid'!O$70,0)*'Benzin - diesel - hybrid'!O$51*(1+'Benzin - diesel - hybrid'!O$52)^-$B68)</f>
        <v>0</v>
      </c>
      <c r="P68" s="243"/>
      <c r="Q68" s="243">
        <f>(IF($B68&lt;='Benzin - diesel - hybrid'!Q$51,'Benzin - diesel - hybrid'!Q$19+'Benzin - diesel - hybrid'!Q$20+'Benzin - diesel - hybrid'!Q$21+'Benzin - diesel - hybrid'!Q$69+'Benzin - diesel - hybrid'!Q$70,0)*'Benzin - diesel - hybrid'!Q$51*(1+'Benzin - diesel - hybrid'!Q$52)^-$B68)</f>
        <v>0</v>
      </c>
      <c r="R68" s="243"/>
      <c r="S68" s="243">
        <f>(IF($B68&lt;='Benzin - diesel - hybrid'!S$51,'Benzin - diesel - hybrid'!S$19+'Benzin - diesel - hybrid'!S$20+'Benzin - diesel - hybrid'!S$21+'Benzin - diesel - hybrid'!S$69+'Benzin - diesel - hybrid'!S$70,0)*'Benzin - diesel - hybrid'!S$51*(1+'Benzin - diesel - hybrid'!S$52)^-$B68)</f>
        <v>0</v>
      </c>
      <c r="U68" s="243">
        <f>(IF($B68&lt;='Benzin - diesel - hybrid'!U$51,'Benzin - diesel - hybrid'!U$19+'Benzin - diesel - hybrid'!U$20+'Benzin - diesel - hybrid'!U$21+'Benzin - diesel - hybrid'!U$69+'Benzin - diesel - hybrid'!U$70,0)*'Benzin - diesel - hybrid'!U$51*(1+'Benzin - diesel - hybrid'!U$52)^-$B68)</f>
        <v>0</v>
      </c>
      <c r="W68" s="243">
        <f>(IF($B68&lt;='Benzin - diesel - hybrid'!W$51,'Benzin - diesel - hybrid'!W$19+'Benzin - diesel - hybrid'!W$20+'Benzin - diesel - hybrid'!W$21+'Benzin - diesel - hybrid'!W$69+'Benzin - diesel - hybrid'!W$70,0)*'Benzin - diesel - hybrid'!W$51*(1+'Benzin - diesel - hybrid'!W$52)^-$B68)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9" t="s">
        <v>33</v>
      </c>
      <c r="B71" s="249"/>
      <c r="C71" s="249"/>
      <c r="D71" s="249"/>
      <c r="E71" s="249"/>
      <c r="F71" s="249"/>
      <c r="G71" s="249"/>
      <c r="H71" s="249"/>
      <c r="I71" s="249"/>
      <c r="J71" s="249"/>
      <c r="K71" s="249"/>
      <c r="L71" s="249"/>
      <c r="M71" s="249"/>
      <c r="N71" s="249"/>
      <c r="O71" s="249"/>
      <c r="P71" s="249"/>
      <c r="Q71" s="249"/>
      <c r="R71" s="249"/>
      <c r="S71" s="249"/>
      <c r="U71" s="249"/>
      <c r="W71" s="249"/>
    </row>
    <row r="72" spans="1:23" hidden="1" outlineLevel="1">
      <c r="A72" s="249"/>
      <c r="B72" s="270" t="s">
        <v>20</v>
      </c>
      <c r="C72" s="249"/>
      <c r="D72" s="249"/>
      <c r="E72" s="271" t="s">
        <v>6</v>
      </c>
      <c r="F72" s="271"/>
      <c r="G72" s="271" t="s">
        <v>7</v>
      </c>
      <c r="H72" s="271"/>
      <c r="I72" s="271" t="s">
        <v>8</v>
      </c>
      <c r="J72" s="271"/>
      <c r="K72" s="271" t="s">
        <v>13</v>
      </c>
      <c r="L72" s="271"/>
      <c r="M72" s="271" t="s">
        <v>12</v>
      </c>
      <c r="N72" s="271"/>
      <c r="O72" s="271" t="s">
        <v>11</v>
      </c>
      <c r="P72" s="271"/>
      <c r="Q72" s="271" t="s">
        <v>9</v>
      </c>
      <c r="R72" s="271"/>
      <c r="S72" s="271" t="s">
        <v>10</v>
      </c>
      <c r="U72" s="271" t="s">
        <v>10</v>
      </c>
      <c r="W72" s="271" t="s">
        <v>10</v>
      </c>
    </row>
    <row r="73" spans="1:23" hidden="1" outlineLevel="1">
      <c r="A73" s="249"/>
      <c r="B73" s="272">
        <v>1</v>
      </c>
      <c r="C73" s="272">
        <f>B73</f>
        <v>1</v>
      </c>
      <c r="D73" s="249"/>
      <c r="E73" s="273" t="e">
        <f>(IF('Benzin - diesel - hybrid'!E$24="nej",-IF(100-(100+'Benzin - diesel - hybrid'!E$69)*$B73/'Benzin - diesel - hybrid'!E$51&lt;0,0,100-(100+'Benzin - diesel - hybrid'!E$69)*$B73/'Benzin - diesel - hybrid'!E$51)/100*'Benzin - diesel - hybrid'!E$12,0)+'Benzin - diesel - hybrid'!E$70)*'Benzin - diesel - hybrid'!E$44*(1+'Benzin - diesel - hybrid'!#REF!/100)^-$B73</f>
        <v>#REF!</v>
      </c>
      <c r="F73" s="273"/>
      <c r="G73" s="273" t="e">
        <f>(IF('Benzin - diesel - hybrid'!G$24="nej",-IF(100-(100+'Benzin - diesel - hybrid'!G$69)*$B73/'Benzin - diesel - hybrid'!G$51&lt;0,0,100-(100+'Benzin - diesel - hybrid'!G$69)*$B73/'Benzin - diesel - hybrid'!G$51)/100*'Benzin - diesel - hybrid'!G$12,0)+'Benzin - diesel - hybrid'!G$70)*'Benzin - diesel - hybrid'!G$44*(1+'Benzin - diesel - hybrid'!#REF!/100)^-$B73</f>
        <v>#REF!</v>
      </c>
      <c r="H73" s="273"/>
      <c r="I73" s="273" t="e">
        <f>(IF('Benzin - diesel - hybrid'!I$24="nej",-IF(100-(100+'Benzin - diesel - hybrid'!I$69)*$B73/'Benzin - diesel - hybrid'!I$51&lt;0,0,100-(100+'Benzin - diesel - hybrid'!I$69)*$B73/'Benzin - diesel - hybrid'!I$51)/100*'Benzin - diesel - hybrid'!I$12,0)+'Benzin - diesel - hybrid'!I$70)*'Benzin - diesel - hybrid'!I$44*(1+'Benzin - diesel - hybrid'!#REF!/100)^-$B73</f>
        <v>#REF!</v>
      </c>
      <c r="J73" s="273"/>
      <c r="K73" s="273" t="e">
        <f>(IF('Benzin - diesel - hybrid'!K$24="nej",-IF(100-(100+'Benzin - diesel - hybrid'!K$69)*$B73/'Benzin - diesel - hybrid'!K$51&lt;0,0,100-(100+'Benzin - diesel - hybrid'!K$69)*$B73/'Benzin - diesel - hybrid'!K$51)/100*'Benzin - diesel - hybrid'!K$12,0)+'Benzin - diesel - hybrid'!K$70)*'Benzin - diesel - hybrid'!K$44*(1+'Benzin - diesel - hybrid'!#REF!/100)^-$B73</f>
        <v>#REF!</v>
      </c>
      <c r="L73" s="273"/>
      <c r="M73" s="273" t="e">
        <f>(IF('Benzin - diesel - hybrid'!M$24="nej",-IF(100-(100+'Benzin - diesel - hybrid'!M$69)*$B73/'Benzin - diesel - hybrid'!M$51&lt;0,0,100-(100+'Benzin - diesel - hybrid'!M$69)*$B73/'Benzin - diesel - hybrid'!M$51)/100*'Benzin - diesel - hybrid'!M$12,0)+'Benzin - diesel - hybrid'!M$70)*'Benzin - diesel - hybrid'!M$44*(1+'Benzin - diesel - hybrid'!#REF!/100)^-$B73</f>
        <v>#REF!</v>
      </c>
      <c r="N73" s="273"/>
      <c r="O73" s="273" t="e">
        <f>(IF('Benzin - diesel - hybrid'!O$24="nej",-IF(100-(100+'Benzin - diesel - hybrid'!O$69)*$B73/'Benzin - diesel - hybrid'!O$51&lt;0,0,100-(100+'Benzin - diesel - hybrid'!O$69)*$B73/'Benzin - diesel - hybrid'!O$51)/100*'Benzin - diesel - hybrid'!O$12,0)+'Benzin - diesel - hybrid'!O$70)*'Benzin - diesel - hybrid'!O$44*(1+'Benzin - diesel - hybrid'!#REF!/100)^-$B73</f>
        <v>#REF!</v>
      </c>
      <c r="P73" s="273"/>
      <c r="Q73" s="273" t="e">
        <f>(IF('Benzin - diesel - hybrid'!Q$24="nej",-IF(100-(100+'Benzin - diesel - hybrid'!Q$69)*$B73/'Benzin - diesel - hybrid'!Q$51&lt;0,0,100-(100+'Benzin - diesel - hybrid'!Q$69)*$B73/'Benzin - diesel - hybrid'!Q$51)/100*'Benzin - diesel - hybrid'!Q$12,0)+'Benzin - diesel - hybrid'!Q$70)*'Benzin - diesel - hybrid'!Q$44*(1+'Benzin - diesel - hybrid'!#REF!/100)^-$B73</f>
        <v>#REF!</v>
      </c>
      <c r="R73" s="273"/>
      <c r="S73" s="273" t="e">
        <f>(IF('Benzin - diesel - hybrid'!S$24="nej",-IF(100-(100+'Benzin - diesel - hybrid'!S$69)*$B73/'Benzin - diesel - hybrid'!S$51&lt;0,0,100-(100+'Benzin - diesel - hybrid'!S$69)*$B73/'Benzin - diesel - hybrid'!S$51)/100*'Benzin - diesel - hybrid'!S$12,0)+'Benzin - diesel - hybrid'!S$70)*'Benzin - diesel - hybrid'!S$44*(1+'Benzin - diesel - hybrid'!#REF!/100)^-$B73</f>
        <v>#REF!</v>
      </c>
      <c r="U73" s="273" t="e">
        <f>(IF('Benzin - diesel - hybrid'!Y$24="nej",-IF(100-(100+'Benzin - diesel - hybrid'!Y$69)*$B73/'Benzin - diesel - hybrid'!Y$51&lt;0,0,100-(100+'Benzin - diesel - hybrid'!Y$69)*$B73/'Benzin - diesel - hybrid'!Y$51)/100*'Benzin - diesel - hybrid'!Y$12,0)+'Benzin - diesel - hybrid'!Y$70)*'Benzin - diesel - hybrid'!Y$44*(1+'Benzin - diesel - hybrid'!#REF!/100)^-$B73</f>
        <v>#REF!</v>
      </c>
      <c r="W73" s="273" t="e">
        <f>(IF('Benzin - diesel - hybrid'!AA$24="nej",-IF(100-(100+'Benzin - diesel - hybrid'!AA$69)*$B73/'Benzin - diesel - hybrid'!AA$51&lt;0,0,100-(100+'Benzin - diesel - hybrid'!AA$69)*$B73/'Benzin - diesel - hybrid'!AA$51)/100*'Benzin - diesel - hybrid'!AA$12,0)+'Benzin - diesel - hybrid'!AA$70)*'Benzin - diesel - hybrid'!AA$44*(1+'Benzin - diesel - hybrid'!#REF!/100)^-$B73</f>
        <v>#REF!</v>
      </c>
    </row>
    <row r="74" spans="1:23" hidden="1" outlineLevel="1">
      <c r="A74" s="249"/>
      <c r="B74" s="272">
        <v>2</v>
      </c>
      <c r="C74" s="272">
        <f t="shared" ref="C74:C87" si="4">B74</f>
        <v>2</v>
      </c>
      <c r="D74" s="249"/>
      <c r="E74" s="273" t="e">
        <f>(IF('Benzin - diesel - hybrid'!E$24="nej",-IF(100-(100+'Benzin - diesel - hybrid'!E$69)*$B74/'Benzin - diesel - hybrid'!E$51&lt;0,0,100-(100+'Benzin - diesel - hybrid'!E$69)*$B74/'Benzin - diesel - hybrid'!E$51)/100*'Benzin - diesel - hybrid'!E$12,0)+'Benzin - diesel - hybrid'!E$70)*'Benzin - diesel - hybrid'!E$44*(1+'Benzin - diesel - hybrid'!#REF!/100)^-$B74</f>
        <v>#REF!</v>
      </c>
      <c r="F74" s="273"/>
      <c r="G74" s="273" t="e">
        <f>(IF('Benzin - diesel - hybrid'!G$24="nej",-IF(100-(100+'Benzin - diesel - hybrid'!G$69)*$B74/'Benzin - diesel - hybrid'!G$51&lt;0,0,100-(100+'Benzin - diesel - hybrid'!G$69)*$B74/'Benzin - diesel - hybrid'!G$51)/100*'Benzin - diesel - hybrid'!G$12,0)+'Benzin - diesel - hybrid'!G$70)*'Benzin - diesel - hybrid'!G$44*(1+'Benzin - diesel - hybrid'!#REF!/100)^-$B74</f>
        <v>#REF!</v>
      </c>
      <c r="H74" s="273"/>
      <c r="I74" s="273" t="e">
        <f>(IF('Benzin - diesel - hybrid'!I$24="nej",-IF(100-(100+'Benzin - diesel - hybrid'!I$69)*$B74/'Benzin - diesel - hybrid'!I$51&lt;0,0,100-(100+'Benzin - diesel - hybrid'!I$69)*$B74/'Benzin - diesel - hybrid'!I$51)/100*'Benzin - diesel - hybrid'!I$12,0)+'Benzin - diesel - hybrid'!I$70)*'Benzin - diesel - hybrid'!I$44*(1+'Benzin - diesel - hybrid'!#REF!/100)^-$B74</f>
        <v>#REF!</v>
      </c>
      <c r="J74" s="273"/>
      <c r="K74" s="273" t="e">
        <f>(IF('Benzin - diesel - hybrid'!K$24="nej",-IF(100-(100+'Benzin - diesel - hybrid'!K$69)*$B74/'Benzin - diesel - hybrid'!K$51&lt;0,0,100-(100+'Benzin - diesel - hybrid'!K$69)*$B74/'Benzin - diesel - hybrid'!K$51)/100*'Benzin - diesel - hybrid'!K$12,0)+'Benzin - diesel - hybrid'!K$70)*'Benzin - diesel - hybrid'!K$44*(1+'Benzin - diesel - hybrid'!#REF!/100)^-$B74</f>
        <v>#REF!</v>
      </c>
      <c r="L74" s="273"/>
      <c r="M74" s="273" t="e">
        <f>(IF('Benzin - diesel - hybrid'!M$24="nej",-IF(100-(100+'Benzin - diesel - hybrid'!M$69)*$B74/'Benzin - diesel - hybrid'!M$51&lt;0,0,100-(100+'Benzin - diesel - hybrid'!M$69)*$B74/'Benzin - diesel - hybrid'!M$51)/100*'Benzin - diesel - hybrid'!M$12,0)+'Benzin - diesel - hybrid'!M$70)*'Benzin - diesel - hybrid'!M$44*(1+'Benzin - diesel - hybrid'!#REF!/100)^-$B74</f>
        <v>#REF!</v>
      </c>
      <c r="N74" s="273"/>
      <c r="O74" s="273" t="e">
        <f>(IF('Benzin - diesel - hybrid'!O$24="nej",-IF(100-(100+'Benzin - diesel - hybrid'!O$69)*$B74/'Benzin - diesel - hybrid'!O$51&lt;0,0,100-(100+'Benzin - diesel - hybrid'!O$69)*$B74/'Benzin - diesel - hybrid'!O$51)/100*'Benzin - diesel - hybrid'!O$12,0)+'Benzin - diesel - hybrid'!O$70)*'Benzin - diesel - hybrid'!O$44*(1+'Benzin - diesel - hybrid'!#REF!/100)^-$B74</f>
        <v>#REF!</v>
      </c>
      <c r="P74" s="273"/>
      <c r="Q74" s="273" t="e">
        <f>(IF('Benzin - diesel - hybrid'!Q$24="nej",-IF(100-(100+'Benzin - diesel - hybrid'!Q$69)*$B74/'Benzin - diesel - hybrid'!Q$51&lt;0,0,100-(100+'Benzin - diesel - hybrid'!Q$69)*$B74/'Benzin - diesel - hybrid'!Q$51)/100*'Benzin - diesel - hybrid'!Q$12,0)+'Benzin - diesel - hybrid'!Q$70)*'Benzin - diesel - hybrid'!Q$44*(1+'Benzin - diesel - hybrid'!#REF!/100)^-$B74</f>
        <v>#REF!</v>
      </c>
      <c r="R74" s="273"/>
      <c r="S74" s="273" t="e">
        <f>(IF('Benzin - diesel - hybrid'!S$24="nej",-IF(100-(100+'Benzin - diesel - hybrid'!S$69)*$B74/'Benzin - diesel - hybrid'!S$51&lt;0,0,100-(100+'Benzin - diesel - hybrid'!S$69)*$B74/'Benzin - diesel - hybrid'!S$51)/100*'Benzin - diesel - hybrid'!S$12,0)+'Benzin - diesel - hybrid'!S$70)*'Benzin - diesel - hybrid'!S$44*(1+'Benzin - diesel - hybrid'!#REF!/100)^-$B74</f>
        <v>#REF!</v>
      </c>
      <c r="U74" s="273" t="e">
        <f>(IF('Benzin - diesel - hybrid'!Y$24="nej",-IF(100-(100+'Benzin - diesel - hybrid'!Y$69)*$B74/'Benzin - diesel - hybrid'!Y$51&lt;0,0,100-(100+'Benzin - diesel - hybrid'!Y$69)*$B74/'Benzin - diesel - hybrid'!Y$51)/100*'Benzin - diesel - hybrid'!Y$12,0)+'Benzin - diesel - hybrid'!Y$70)*'Benzin - diesel - hybrid'!Y$44*(1+'Benzin - diesel - hybrid'!#REF!/100)^-$B74</f>
        <v>#REF!</v>
      </c>
      <c r="W74" s="273" t="e">
        <f>(IF('Benzin - diesel - hybrid'!AA$24="nej",-IF(100-(100+'Benzin - diesel - hybrid'!AA$69)*$B74/'Benzin - diesel - hybrid'!AA$51&lt;0,0,100-(100+'Benzin - diesel - hybrid'!AA$69)*$B74/'Benzin - diesel - hybrid'!AA$51)/100*'Benzin - diesel - hybrid'!AA$12,0)+'Benzin - diesel - hybrid'!AA$70)*'Benzin - diesel - hybrid'!AA$44*(1+'Benzin - diesel - hybrid'!#REF!/100)^-$B74</f>
        <v>#REF!</v>
      </c>
    </row>
    <row r="75" spans="1:23" hidden="1" outlineLevel="1">
      <c r="A75" s="249"/>
      <c r="B75" s="272">
        <v>3</v>
      </c>
      <c r="C75" s="272">
        <f t="shared" si="4"/>
        <v>3</v>
      </c>
      <c r="D75" s="249"/>
      <c r="E75" s="273" t="e">
        <f>(IF('Benzin - diesel - hybrid'!E$24="nej",-IF(100-(100+'Benzin - diesel - hybrid'!E$69)*$B75/'Benzin - diesel - hybrid'!E$51&lt;0,0,100-(100+'Benzin - diesel - hybrid'!E$69)*$B75/'Benzin - diesel - hybrid'!E$51)/100*'Benzin - diesel - hybrid'!E$12,0)+'Benzin - diesel - hybrid'!E$70)*'Benzin - diesel - hybrid'!E$44*(1+'Benzin - diesel - hybrid'!#REF!/100)^-$B75</f>
        <v>#REF!</v>
      </c>
      <c r="F75" s="273"/>
      <c r="G75" s="273" t="e">
        <f>(IF('Benzin - diesel - hybrid'!G$24="nej",-IF(100-(100+'Benzin - diesel - hybrid'!G$69)*$B75/'Benzin - diesel - hybrid'!G$51&lt;0,0,100-(100+'Benzin - diesel - hybrid'!G$69)*$B75/'Benzin - diesel - hybrid'!G$51)/100*'Benzin - diesel - hybrid'!G$12,0)+'Benzin - diesel - hybrid'!G$70)*'Benzin - diesel - hybrid'!G$44*(1+'Benzin - diesel - hybrid'!#REF!/100)^-$B75</f>
        <v>#REF!</v>
      </c>
      <c r="H75" s="273"/>
      <c r="I75" s="273" t="e">
        <f>(IF('Benzin - diesel - hybrid'!I$24="nej",-IF(100-(100+'Benzin - diesel - hybrid'!I$69)*$B75/'Benzin - diesel - hybrid'!I$51&lt;0,0,100-(100+'Benzin - diesel - hybrid'!I$69)*$B75/'Benzin - diesel - hybrid'!I$51)/100*'Benzin - diesel - hybrid'!I$12,0)+'Benzin - diesel - hybrid'!I$70)*'Benzin - diesel - hybrid'!I$44*(1+'Benzin - diesel - hybrid'!#REF!/100)^-$B75</f>
        <v>#REF!</v>
      </c>
      <c r="J75" s="273"/>
      <c r="K75" s="273" t="e">
        <f>(IF('Benzin - diesel - hybrid'!K$24="nej",-IF(100-(100+'Benzin - diesel - hybrid'!K$69)*$B75/'Benzin - diesel - hybrid'!K$51&lt;0,0,100-(100+'Benzin - diesel - hybrid'!K$69)*$B75/'Benzin - diesel - hybrid'!K$51)/100*'Benzin - diesel - hybrid'!K$12,0)+'Benzin - diesel - hybrid'!K$70)*'Benzin - diesel - hybrid'!K$44*(1+'Benzin - diesel - hybrid'!#REF!/100)^-$B75</f>
        <v>#REF!</v>
      </c>
      <c r="L75" s="273"/>
      <c r="M75" s="273" t="e">
        <f>(IF('Benzin - diesel - hybrid'!M$24="nej",-IF(100-(100+'Benzin - diesel - hybrid'!M$69)*$B75/'Benzin - diesel - hybrid'!M$51&lt;0,0,100-(100+'Benzin - diesel - hybrid'!M$69)*$B75/'Benzin - diesel - hybrid'!M$51)/100*'Benzin - diesel - hybrid'!M$12,0)+'Benzin - diesel - hybrid'!M$70)*'Benzin - diesel - hybrid'!M$44*(1+'Benzin - diesel - hybrid'!#REF!/100)^-$B75</f>
        <v>#REF!</v>
      </c>
      <c r="N75" s="273"/>
      <c r="O75" s="273" t="e">
        <f>(IF('Benzin - diesel - hybrid'!O$24="nej",-IF(100-(100+'Benzin - diesel - hybrid'!O$69)*$B75/'Benzin - diesel - hybrid'!O$51&lt;0,0,100-(100+'Benzin - diesel - hybrid'!O$69)*$B75/'Benzin - diesel - hybrid'!O$51)/100*'Benzin - diesel - hybrid'!O$12,0)+'Benzin - diesel - hybrid'!O$70)*'Benzin - diesel - hybrid'!O$44*(1+'Benzin - diesel - hybrid'!#REF!/100)^-$B75</f>
        <v>#REF!</v>
      </c>
      <c r="P75" s="273"/>
      <c r="Q75" s="273" t="e">
        <f>(IF('Benzin - diesel - hybrid'!Q$24="nej",-IF(100-(100+'Benzin - diesel - hybrid'!Q$69)*$B75/'Benzin - diesel - hybrid'!Q$51&lt;0,0,100-(100+'Benzin - diesel - hybrid'!Q$69)*$B75/'Benzin - diesel - hybrid'!Q$51)/100*'Benzin - diesel - hybrid'!Q$12,0)+'Benzin - diesel - hybrid'!Q$70)*'Benzin - diesel - hybrid'!Q$44*(1+'Benzin - diesel - hybrid'!#REF!/100)^-$B75</f>
        <v>#REF!</v>
      </c>
      <c r="R75" s="273"/>
      <c r="S75" s="273" t="e">
        <f>(IF('Benzin - diesel - hybrid'!S$24="nej",-IF(100-(100+'Benzin - diesel - hybrid'!S$69)*$B75/'Benzin - diesel - hybrid'!S$51&lt;0,0,100-(100+'Benzin - diesel - hybrid'!S$69)*$B75/'Benzin - diesel - hybrid'!S$51)/100*'Benzin - diesel - hybrid'!S$12,0)+'Benzin - diesel - hybrid'!S$70)*'Benzin - diesel - hybrid'!S$44*(1+'Benzin - diesel - hybrid'!#REF!/100)^-$B75</f>
        <v>#REF!</v>
      </c>
      <c r="U75" s="273" t="e">
        <f>(IF('Benzin - diesel - hybrid'!Y$24="nej",-IF(100-(100+'Benzin - diesel - hybrid'!Y$69)*$B75/'Benzin - diesel - hybrid'!Y$51&lt;0,0,100-(100+'Benzin - diesel - hybrid'!Y$69)*$B75/'Benzin - diesel - hybrid'!Y$51)/100*'Benzin - diesel - hybrid'!Y$12,0)+'Benzin - diesel - hybrid'!Y$70)*'Benzin - diesel - hybrid'!Y$44*(1+'Benzin - diesel - hybrid'!#REF!/100)^-$B75</f>
        <v>#REF!</v>
      </c>
      <c r="W75" s="273" t="e">
        <f>(IF('Benzin - diesel - hybrid'!AA$24="nej",-IF(100-(100+'Benzin - diesel - hybrid'!AA$69)*$B75/'Benzin - diesel - hybrid'!AA$51&lt;0,0,100-(100+'Benzin - diesel - hybrid'!AA$69)*$B75/'Benzin - diesel - hybrid'!AA$51)/100*'Benzin - diesel - hybrid'!AA$12,0)+'Benzin - diesel - hybrid'!AA$70)*'Benzin - diesel - hybrid'!AA$44*(1+'Benzin - diesel - hybrid'!#REF!/100)^-$B75</f>
        <v>#REF!</v>
      </c>
    </row>
    <row r="76" spans="1:23" hidden="1" outlineLevel="1">
      <c r="A76" s="249"/>
      <c r="B76" s="272">
        <v>4</v>
      </c>
      <c r="C76" s="272">
        <f t="shared" si="4"/>
        <v>4</v>
      </c>
      <c r="D76" s="249"/>
      <c r="E76" s="273" t="e">
        <f>(IF('Benzin - diesel - hybrid'!E$24="nej",-IF(100-(100+'Benzin - diesel - hybrid'!E$69)*$B76/'Benzin - diesel - hybrid'!E$51&lt;0,0,100-(100+'Benzin - diesel - hybrid'!E$69)*$B76/'Benzin - diesel - hybrid'!E$51)/100*'Benzin - diesel - hybrid'!E$12,0)+'Benzin - diesel - hybrid'!E$70)*'Benzin - diesel - hybrid'!E$44*(1+'Benzin - diesel - hybrid'!#REF!/100)^-$B76</f>
        <v>#REF!</v>
      </c>
      <c r="F76" s="273"/>
      <c r="G76" s="273" t="e">
        <f>(IF('Benzin - diesel - hybrid'!G$24="nej",-IF(100-(100+'Benzin - diesel - hybrid'!G$69)*$B76/'Benzin - diesel - hybrid'!G$51&lt;0,0,100-(100+'Benzin - diesel - hybrid'!G$69)*$B76/'Benzin - diesel - hybrid'!G$51)/100*'Benzin - diesel - hybrid'!G$12,0)+'Benzin - diesel - hybrid'!G$70)*'Benzin - diesel - hybrid'!G$44*(1+'Benzin - diesel - hybrid'!#REF!/100)^-$B76</f>
        <v>#REF!</v>
      </c>
      <c r="H76" s="273"/>
      <c r="I76" s="273" t="e">
        <f>(IF('Benzin - diesel - hybrid'!I$24="nej",-IF(100-(100+'Benzin - diesel - hybrid'!I$69)*$B76/'Benzin - diesel - hybrid'!I$51&lt;0,0,100-(100+'Benzin - diesel - hybrid'!I$69)*$B76/'Benzin - diesel - hybrid'!I$51)/100*'Benzin - diesel - hybrid'!I$12,0)+'Benzin - diesel - hybrid'!I$70)*'Benzin - diesel - hybrid'!I$44*(1+'Benzin - diesel - hybrid'!#REF!/100)^-$B76</f>
        <v>#REF!</v>
      </c>
      <c r="J76" s="273"/>
      <c r="K76" s="273" t="e">
        <f>(IF('Benzin - diesel - hybrid'!K$24="nej",-IF(100-(100+'Benzin - diesel - hybrid'!K$69)*$B76/'Benzin - diesel - hybrid'!K$51&lt;0,0,100-(100+'Benzin - diesel - hybrid'!K$69)*$B76/'Benzin - diesel - hybrid'!K$51)/100*'Benzin - diesel - hybrid'!K$12,0)+'Benzin - diesel - hybrid'!K$70)*'Benzin - diesel - hybrid'!K$44*(1+'Benzin - diesel - hybrid'!#REF!/100)^-$B76</f>
        <v>#REF!</v>
      </c>
      <c r="L76" s="273"/>
      <c r="M76" s="273" t="e">
        <f>(IF('Benzin - diesel - hybrid'!M$24="nej",-IF(100-(100+'Benzin - diesel - hybrid'!M$69)*$B76/'Benzin - diesel - hybrid'!M$51&lt;0,0,100-(100+'Benzin - diesel - hybrid'!M$69)*$B76/'Benzin - diesel - hybrid'!M$51)/100*'Benzin - diesel - hybrid'!M$12,0)+'Benzin - diesel - hybrid'!M$70)*'Benzin - diesel - hybrid'!M$44*(1+'Benzin - diesel - hybrid'!#REF!/100)^-$B76</f>
        <v>#REF!</v>
      </c>
      <c r="N76" s="273"/>
      <c r="O76" s="273" t="e">
        <f>(IF('Benzin - diesel - hybrid'!O$24="nej",-IF(100-(100+'Benzin - diesel - hybrid'!O$69)*$B76/'Benzin - diesel - hybrid'!O$51&lt;0,0,100-(100+'Benzin - diesel - hybrid'!O$69)*$B76/'Benzin - diesel - hybrid'!O$51)/100*'Benzin - diesel - hybrid'!O$12,0)+'Benzin - diesel - hybrid'!O$70)*'Benzin - diesel - hybrid'!O$44*(1+'Benzin - diesel - hybrid'!#REF!/100)^-$B76</f>
        <v>#REF!</v>
      </c>
      <c r="P76" s="273"/>
      <c r="Q76" s="273" t="e">
        <f>(IF('Benzin - diesel - hybrid'!Q$24="nej",-IF(100-(100+'Benzin - diesel - hybrid'!Q$69)*$B76/'Benzin - diesel - hybrid'!Q$51&lt;0,0,100-(100+'Benzin - diesel - hybrid'!Q$69)*$B76/'Benzin - diesel - hybrid'!Q$51)/100*'Benzin - diesel - hybrid'!Q$12,0)+'Benzin - diesel - hybrid'!Q$70)*'Benzin - diesel - hybrid'!Q$44*(1+'Benzin - diesel - hybrid'!#REF!/100)^-$B76</f>
        <v>#REF!</v>
      </c>
      <c r="R76" s="273"/>
      <c r="S76" s="273" t="e">
        <f>(IF('Benzin - diesel - hybrid'!S$24="nej",-IF(100-(100+'Benzin - diesel - hybrid'!S$69)*$B76/'Benzin - diesel - hybrid'!S$51&lt;0,0,100-(100+'Benzin - diesel - hybrid'!S$69)*$B76/'Benzin - diesel - hybrid'!S$51)/100*'Benzin - diesel - hybrid'!S$12,0)+'Benzin - diesel - hybrid'!S$70)*'Benzin - diesel - hybrid'!S$44*(1+'Benzin - diesel - hybrid'!#REF!/100)^-$B76</f>
        <v>#REF!</v>
      </c>
      <c r="U76" s="273" t="e">
        <f>(IF('Benzin - diesel - hybrid'!Y$24="nej",-IF(100-(100+'Benzin - diesel - hybrid'!Y$69)*$B76/'Benzin - diesel - hybrid'!Y$51&lt;0,0,100-(100+'Benzin - diesel - hybrid'!Y$69)*$B76/'Benzin - diesel - hybrid'!Y$51)/100*'Benzin - diesel - hybrid'!Y$12,0)+'Benzin - diesel - hybrid'!Y$70)*'Benzin - diesel - hybrid'!Y$44*(1+'Benzin - diesel - hybrid'!#REF!/100)^-$B76</f>
        <v>#REF!</v>
      </c>
      <c r="W76" s="273" t="e">
        <f>(IF('Benzin - diesel - hybrid'!AA$24="nej",-IF(100-(100+'Benzin - diesel - hybrid'!AA$69)*$B76/'Benzin - diesel - hybrid'!AA$51&lt;0,0,100-(100+'Benzin - diesel - hybrid'!AA$69)*$B76/'Benzin - diesel - hybrid'!AA$51)/100*'Benzin - diesel - hybrid'!AA$12,0)+'Benzin - diesel - hybrid'!AA$70)*'Benzin - diesel - hybrid'!AA$44*(1+'Benzin - diesel - hybrid'!#REF!/100)^-$B76</f>
        <v>#REF!</v>
      </c>
    </row>
    <row r="77" spans="1:23" hidden="1" outlineLevel="1">
      <c r="A77" s="249"/>
      <c r="B77" s="272">
        <v>5</v>
      </c>
      <c r="C77" s="272">
        <f t="shared" si="4"/>
        <v>5</v>
      </c>
      <c r="D77" s="249"/>
      <c r="E77" s="273" t="e">
        <f>(IF('Benzin - diesel - hybrid'!E$24="nej",-IF(100-(100+'Benzin - diesel - hybrid'!E$69)*$B77/'Benzin - diesel - hybrid'!E$51&lt;0,0,100-(100+'Benzin - diesel - hybrid'!E$69)*$B77/'Benzin - diesel - hybrid'!E$51)/100*'Benzin - diesel - hybrid'!E$12,0)+'Benzin - diesel - hybrid'!E$70)*'Benzin - diesel - hybrid'!E$44*(1+'Benzin - diesel - hybrid'!#REF!/100)^-$B77</f>
        <v>#REF!</v>
      </c>
      <c r="F77" s="273"/>
      <c r="G77" s="273" t="e">
        <f>(IF('Benzin - diesel - hybrid'!G$24="nej",-IF(100-(100+'Benzin - diesel - hybrid'!G$69)*$B77/'Benzin - diesel - hybrid'!G$51&lt;0,0,100-(100+'Benzin - diesel - hybrid'!G$69)*$B77/'Benzin - diesel - hybrid'!G$51)/100*'Benzin - diesel - hybrid'!G$12,0)+'Benzin - diesel - hybrid'!G$70)*'Benzin - diesel - hybrid'!G$44*(1+'Benzin - diesel - hybrid'!#REF!/100)^-$B77</f>
        <v>#REF!</v>
      </c>
      <c r="H77" s="273"/>
      <c r="I77" s="273" t="e">
        <f>(IF('Benzin - diesel - hybrid'!I$24="nej",-IF(100-(100+'Benzin - diesel - hybrid'!I$69)*$B77/'Benzin - diesel - hybrid'!I$51&lt;0,0,100-(100+'Benzin - diesel - hybrid'!I$69)*$B77/'Benzin - diesel - hybrid'!I$51)/100*'Benzin - diesel - hybrid'!I$12,0)+'Benzin - diesel - hybrid'!I$70)*'Benzin - diesel - hybrid'!I$44*(1+'Benzin - diesel - hybrid'!#REF!/100)^-$B77</f>
        <v>#REF!</v>
      </c>
      <c r="J77" s="273"/>
      <c r="K77" s="273" t="e">
        <f>(IF('Benzin - diesel - hybrid'!K$24="nej",-IF(100-(100+'Benzin - diesel - hybrid'!K$69)*$B77/'Benzin - diesel - hybrid'!K$51&lt;0,0,100-(100+'Benzin - diesel - hybrid'!K$69)*$B77/'Benzin - diesel - hybrid'!K$51)/100*'Benzin - diesel - hybrid'!K$12,0)+'Benzin - diesel - hybrid'!K$70)*'Benzin - diesel - hybrid'!K$44*(1+'Benzin - diesel - hybrid'!#REF!/100)^-$B77</f>
        <v>#REF!</v>
      </c>
      <c r="L77" s="273"/>
      <c r="M77" s="273" t="e">
        <f>(IF('Benzin - diesel - hybrid'!M$24="nej",-IF(100-(100+'Benzin - diesel - hybrid'!M$69)*$B77/'Benzin - diesel - hybrid'!M$51&lt;0,0,100-(100+'Benzin - diesel - hybrid'!M$69)*$B77/'Benzin - diesel - hybrid'!M$51)/100*'Benzin - diesel - hybrid'!M$12,0)+'Benzin - diesel - hybrid'!M$70)*'Benzin - diesel - hybrid'!M$44*(1+'Benzin - diesel - hybrid'!#REF!/100)^-$B77</f>
        <v>#REF!</v>
      </c>
      <c r="N77" s="273"/>
      <c r="O77" s="273" t="e">
        <f>(IF('Benzin - diesel - hybrid'!O$24="nej",-IF(100-(100+'Benzin - diesel - hybrid'!O$69)*$B77/'Benzin - diesel - hybrid'!O$51&lt;0,0,100-(100+'Benzin - diesel - hybrid'!O$69)*$B77/'Benzin - diesel - hybrid'!O$51)/100*'Benzin - diesel - hybrid'!O$12,0)+'Benzin - diesel - hybrid'!O$70)*'Benzin - diesel - hybrid'!O$44*(1+'Benzin - diesel - hybrid'!#REF!/100)^-$B77</f>
        <v>#REF!</v>
      </c>
      <c r="P77" s="273"/>
      <c r="Q77" s="273" t="e">
        <f>(IF('Benzin - diesel - hybrid'!Q$24="nej",-IF(100-(100+'Benzin - diesel - hybrid'!Q$69)*$B77/'Benzin - diesel - hybrid'!Q$51&lt;0,0,100-(100+'Benzin - diesel - hybrid'!Q$69)*$B77/'Benzin - diesel - hybrid'!Q$51)/100*'Benzin - diesel - hybrid'!Q$12,0)+'Benzin - diesel - hybrid'!Q$70)*'Benzin - diesel - hybrid'!Q$44*(1+'Benzin - diesel - hybrid'!#REF!/100)^-$B77</f>
        <v>#REF!</v>
      </c>
      <c r="R77" s="273"/>
      <c r="S77" s="273" t="e">
        <f>(IF('Benzin - diesel - hybrid'!S$24="nej",-IF(100-(100+'Benzin - diesel - hybrid'!S$69)*$B77/'Benzin - diesel - hybrid'!S$51&lt;0,0,100-(100+'Benzin - diesel - hybrid'!S$69)*$B77/'Benzin - diesel - hybrid'!S$51)/100*'Benzin - diesel - hybrid'!S$12,0)+'Benzin - diesel - hybrid'!S$70)*'Benzin - diesel - hybrid'!S$44*(1+'Benzin - diesel - hybrid'!#REF!/100)^-$B77</f>
        <v>#REF!</v>
      </c>
      <c r="U77" s="273" t="e">
        <f>(IF('Benzin - diesel - hybrid'!Y$24="nej",-IF(100-(100+'Benzin - diesel - hybrid'!Y$69)*$B77/'Benzin - diesel - hybrid'!Y$51&lt;0,0,100-(100+'Benzin - diesel - hybrid'!Y$69)*$B77/'Benzin - diesel - hybrid'!Y$51)/100*'Benzin - diesel - hybrid'!Y$12,0)+'Benzin - diesel - hybrid'!Y$70)*'Benzin - diesel - hybrid'!Y$44*(1+'Benzin - diesel - hybrid'!#REF!/100)^-$B77</f>
        <v>#REF!</v>
      </c>
      <c r="W77" s="273" t="e">
        <f>(IF('Benzin - diesel - hybrid'!AA$24="nej",-IF(100-(100+'Benzin - diesel - hybrid'!AA$69)*$B77/'Benzin - diesel - hybrid'!AA$51&lt;0,0,100-(100+'Benzin - diesel - hybrid'!AA$69)*$B77/'Benzin - diesel - hybrid'!AA$51)/100*'Benzin - diesel - hybrid'!AA$12,0)+'Benzin - diesel - hybrid'!AA$70)*'Benzin - diesel - hybrid'!AA$44*(1+'Benzin - diesel - hybrid'!#REF!/100)^-$B77</f>
        <v>#REF!</v>
      </c>
    </row>
    <row r="78" spans="1:23" hidden="1" outlineLevel="1">
      <c r="A78" s="249"/>
      <c r="B78" s="272">
        <v>6</v>
      </c>
      <c r="C78" s="272">
        <f t="shared" si="4"/>
        <v>6</v>
      </c>
      <c r="D78" s="249"/>
      <c r="E78" s="273" t="e">
        <f>(IF('Benzin - diesel - hybrid'!E$24="nej",-IF(100-(100+'Benzin - diesel - hybrid'!E$69)*$B78/'Benzin - diesel - hybrid'!E$51&lt;0,0,100-(100+'Benzin - diesel - hybrid'!E$69)*$B78/'Benzin - diesel - hybrid'!E$51)/100*'Benzin - diesel - hybrid'!E$12,0)+'Benzin - diesel - hybrid'!E$70)*'Benzin - diesel - hybrid'!E$44*(1+'Benzin - diesel - hybrid'!#REF!/100)^-$B78</f>
        <v>#REF!</v>
      </c>
      <c r="F78" s="273"/>
      <c r="G78" s="273" t="e">
        <f>(IF('Benzin - diesel - hybrid'!G$24="nej",-IF(100-(100+'Benzin - diesel - hybrid'!G$69)*$B78/'Benzin - diesel - hybrid'!G$51&lt;0,0,100-(100+'Benzin - diesel - hybrid'!G$69)*$B78/'Benzin - diesel - hybrid'!G$51)/100*'Benzin - diesel - hybrid'!G$12,0)+'Benzin - diesel - hybrid'!G$70)*'Benzin - diesel - hybrid'!G$44*(1+'Benzin - diesel - hybrid'!#REF!/100)^-$B78</f>
        <v>#REF!</v>
      </c>
      <c r="H78" s="273"/>
      <c r="I78" s="273" t="e">
        <f>(IF('Benzin - diesel - hybrid'!I$24="nej",-IF(100-(100+'Benzin - diesel - hybrid'!I$69)*$B78/'Benzin - diesel - hybrid'!I$51&lt;0,0,100-(100+'Benzin - diesel - hybrid'!I$69)*$B78/'Benzin - diesel - hybrid'!I$51)/100*'Benzin - diesel - hybrid'!I$12,0)+'Benzin - diesel - hybrid'!I$70)*'Benzin - diesel - hybrid'!I$44*(1+'Benzin - diesel - hybrid'!#REF!/100)^-$B78</f>
        <v>#REF!</v>
      </c>
      <c r="J78" s="273"/>
      <c r="K78" s="273" t="e">
        <f>(IF('Benzin - diesel - hybrid'!K$24="nej",-IF(100-(100+'Benzin - diesel - hybrid'!K$69)*$B78/'Benzin - diesel - hybrid'!K$51&lt;0,0,100-(100+'Benzin - diesel - hybrid'!K$69)*$B78/'Benzin - diesel - hybrid'!K$51)/100*'Benzin - diesel - hybrid'!K$12,0)+'Benzin - diesel - hybrid'!K$70)*'Benzin - diesel - hybrid'!K$44*(1+'Benzin - diesel - hybrid'!#REF!/100)^-$B78</f>
        <v>#REF!</v>
      </c>
      <c r="L78" s="273"/>
      <c r="M78" s="273" t="e">
        <f>(IF('Benzin - diesel - hybrid'!M$24="nej",-IF(100-(100+'Benzin - diesel - hybrid'!M$69)*$B78/'Benzin - diesel - hybrid'!M$51&lt;0,0,100-(100+'Benzin - diesel - hybrid'!M$69)*$B78/'Benzin - diesel - hybrid'!M$51)/100*'Benzin - diesel - hybrid'!M$12,0)+'Benzin - diesel - hybrid'!M$70)*'Benzin - diesel - hybrid'!M$44*(1+'Benzin - diesel - hybrid'!#REF!/100)^-$B78</f>
        <v>#REF!</v>
      </c>
      <c r="N78" s="273"/>
      <c r="O78" s="273" t="e">
        <f>(IF('Benzin - diesel - hybrid'!O$24="nej",-IF(100-(100+'Benzin - diesel - hybrid'!O$69)*$B78/'Benzin - diesel - hybrid'!O$51&lt;0,0,100-(100+'Benzin - diesel - hybrid'!O$69)*$B78/'Benzin - diesel - hybrid'!O$51)/100*'Benzin - diesel - hybrid'!O$12,0)+'Benzin - diesel - hybrid'!O$70)*'Benzin - diesel - hybrid'!O$44*(1+'Benzin - diesel - hybrid'!#REF!/100)^-$B78</f>
        <v>#REF!</v>
      </c>
      <c r="P78" s="273"/>
      <c r="Q78" s="273" t="e">
        <f>(IF('Benzin - diesel - hybrid'!Q$24="nej",-IF(100-(100+'Benzin - diesel - hybrid'!Q$69)*$B78/'Benzin - diesel - hybrid'!Q$51&lt;0,0,100-(100+'Benzin - diesel - hybrid'!Q$69)*$B78/'Benzin - diesel - hybrid'!Q$51)/100*'Benzin - diesel - hybrid'!Q$12,0)+'Benzin - diesel - hybrid'!Q$70)*'Benzin - diesel - hybrid'!Q$44*(1+'Benzin - diesel - hybrid'!#REF!/100)^-$B78</f>
        <v>#REF!</v>
      </c>
      <c r="R78" s="273"/>
      <c r="S78" s="273" t="e">
        <f>(IF('Benzin - diesel - hybrid'!S$24="nej",-IF(100-(100+'Benzin - diesel - hybrid'!S$69)*$B78/'Benzin - diesel - hybrid'!S$51&lt;0,0,100-(100+'Benzin - diesel - hybrid'!S$69)*$B78/'Benzin - diesel - hybrid'!S$51)/100*'Benzin - diesel - hybrid'!S$12,0)+'Benzin - diesel - hybrid'!S$70)*'Benzin - diesel - hybrid'!S$44*(1+'Benzin - diesel - hybrid'!#REF!/100)^-$B78</f>
        <v>#REF!</v>
      </c>
      <c r="U78" s="273" t="e">
        <f>(IF('Benzin - diesel - hybrid'!Y$24="nej",-IF(100-(100+'Benzin - diesel - hybrid'!Y$69)*$B78/'Benzin - diesel - hybrid'!Y$51&lt;0,0,100-(100+'Benzin - diesel - hybrid'!Y$69)*$B78/'Benzin - diesel - hybrid'!Y$51)/100*'Benzin - diesel - hybrid'!Y$12,0)+'Benzin - diesel - hybrid'!Y$70)*'Benzin - diesel - hybrid'!Y$44*(1+'Benzin - diesel - hybrid'!#REF!/100)^-$B78</f>
        <v>#REF!</v>
      </c>
      <c r="W78" s="273" t="e">
        <f>(IF('Benzin - diesel - hybrid'!AA$24="nej",-IF(100-(100+'Benzin - diesel - hybrid'!AA$69)*$B78/'Benzin - diesel - hybrid'!AA$51&lt;0,0,100-(100+'Benzin - diesel - hybrid'!AA$69)*$B78/'Benzin - diesel - hybrid'!AA$51)/100*'Benzin - diesel - hybrid'!AA$12,0)+'Benzin - diesel - hybrid'!AA$70)*'Benzin - diesel - hybrid'!AA$44*(1+'Benzin - diesel - hybrid'!#REF!/100)^-$B78</f>
        <v>#REF!</v>
      </c>
    </row>
    <row r="79" spans="1:23" hidden="1" outlineLevel="1">
      <c r="A79" s="249"/>
      <c r="B79" s="272">
        <v>7</v>
      </c>
      <c r="C79" s="272">
        <f t="shared" si="4"/>
        <v>7</v>
      </c>
      <c r="D79" s="249"/>
      <c r="E79" s="273" t="e">
        <f>(IF('Benzin - diesel - hybrid'!E$24="nej",-IF(100-(100+'Benzin - diesel - hybrid'!E$69)*$B79/'Benzin - diesel - hybrid'!E$51&lt;0,0,100-(100+'Benzin - diesel - hybrid'!E$69)*$B79/'Benzin - diesel - hybrid'!E$51)/100*'Benzin - diesel - hybrid'!E$12,0)+'Benzin - diesel - hybrid'!E$70)*'Benzin - diesel - hybrid'!E$44*(1+'Benzin - diesel - hybrid'!#REF!/100)^-$B79</f>
        <v>#REF!</v>
      </c>
      <c r="F79" s="273"/>
      <c r="G79" s="273" t="e">
        <f>(IF('Benzin - diesel - hybrid'!G$24="nej",-IF(100-(100+'Benzin - diesel - hybrid'!G$69)*$B79/'Benzin - diesel - hybrid'!G$51&lt;0,0,100-(100+'Benzin - diesel - hybrid'!G$69)*$B79/'Benzin - diesel - hybrid'!G$51)/100*'Benzin - diesel - hybrid'!G$12,0)+'Benzin - diesel - hybrid'!G$70)*'Benzin - diesel - hybrid'!G$44*(1+'Benzin - diesel - hybrid'!#REF!/100)^-$B79</f>
        <v>#REF!</v>
      </c>
      <c r="H79" s="273"/>
      <c r="I79" s="273" t="e">
        <f>(IF('Benzin - diesel - hybrid'!I$24="nej",-IF(100-(100+'Benzin - diesel - hybrid'!I$69)*$B79/'Benzin - diesel - hybrid'!I$51&lt;0,0,100-(100+'Benzin - diesel - hybrid'!I$69)*$B79/'Benzin - diesel - hybrid'!I$51)/100*'Benzin - diesel - hybrid'!I$12,0)+'Benzin - diesel - hybrid'!I$70)*'Benzin - diesel - hybrid'!I$44*(1+'Benzin - diesel - hybrid'!#REF!/100)^-$B79</f>
        <v>#REF!</v>
      </c>
      <c r="J79" s="273"/>
      <c r="K79" s="273" t="e">
        <f>(IF('Benzin - diesel - hybrid'!K$24="nej",-IF(100-(100+'Benzin - diesel - hybrid'!K$69)*$B79/'Benzin - diesel - hybrid'!K$51&lt;0,0,100-(100+'Benzin - diesel - hybrid'!K$69)*$B79/'Benzin - diesel - hybrid'!K$51)/100*'Benzin - diesel - hybrid'!K$12,0)+'Benzin - diesel - hybrid'!K$70)*'Benzin - diesel - hybrid'!K$44*(1+'Benzin - diesel - hybrid'!#REF!/100)^-$B79</f>
        <v>#REF!</v>
      </c>
      <c r="L79" s="273"/>
      <c r="M79" s="273" t="e">
        <f>(IF('Benzin - diesel - hybrid'!M$24="nej",-IF(100-(100+'Benzin - diesel - hybrid'!M$69)*$B79/'Benzin - diesel - hybrid'!M$51&lt;0,0,100-(100+'Benzin - diesel - hybrid'!M$69)*$B79/'Benzin - diesel - hybrid'!M$51)/100*'Benzin - diesel - hybrid'!M$12,0)+'Benzin - diesel - hybrid'!M$70)*'Benzin - diesel - hybrid'!M$44*(1+'Benzin - diesel - hybrid'!#REF!/100)^-$B79</f>
        <v>#REF!</v>
      </c>
      <c r="N79" s="273"/>
      <c r="O79" s="273" t="e">
        <f>(IF('Benzin - diesel - hybrid'!O$24="nej",-IF(100-(100+'Benzin - diesel - hybrid'!O$69)*$B79/'Benzin - diesel - hybrid'!O$51&lt;0,0,100-(100+'Benzin - diesel - hybrid'!O$69)*$B79/'Benzin - diesel - hybrid'!O$51)/100*'Benzin - diesel - hybrid'!O$12,0)+'Benzin - diesel - hybrid'!O$70)*'Benzin - diesel - hybrid'!O$44*(1+'Benzin - diesel - hybrid'!#REF!/100)^-$B79</f>
        <v>#REF!</v>
      </c>
      <c r="P79" s="273"/>
      <c r="Q79" s="273" t="e">
        <f>(IF('Benzin - diesel - hybrid'!Q$24="nej",-IF(100-(100+'Benzin - diesel - hybrid'!Q$69)*$B79/'Benzin - diesel - hybrid'!Q$51&lt;0,0,100-(100+'Benzin - diesel - hybrid'!Q$69)*$B79/'Benzin - diesel - hybrid'!Q$51)/100*'Benzin - diesel - hybrid'!Q$12,0)+'Benzin - diesel - hybrid'!Q$70)*'Benzin - diesel - hybrid'!Q$44*(1+'Benzin - diesel - hybrid'!#REF!/100)^-$B79</f>
        <v>#REF!</v>
      </c>
      <c r="R79" s="273"/>
      <c r="S79" s="273" t="e">
        <f>(IF('Benzin - diesel - hybrid'!S$24="nej",-IF(100-(100+'Benzin - diesel - hybrid'!S$69)*$B79/'Benzin - diesel - hybrid'!S$51&lt;0,0,100-(100+'Benzin - diesel - hybrid'!S$69)*$B79/'Benzin - diesel - hybrid'!S$51)/100*'Benzin - diesel - hybrid'!S$12,0)+'Benzin - diesel - hybrid'!S$70)*'Benzin - diesel - hybrid'!S$44*(1+'Benzin - diesel - hybrid'!#REF!/100)^-$B79</f>
        <v>#REF!</v>
      </c>
      <c r="U79" s="273" t="e">
        <f>(IF('Benzin - diesel - hybrid'!Y$24="nej",-IF(100-(100+'Benzin - diesel - hybrid'!Y$69)*$B79/'Benzin - diesel - hybrid'!Y$51&lt;0,0,100-(100+'Benzin - diesel - hybrid'!Y$69)*$B79/'Benzin - diesel - hybrid'!Y$51)/100*'Benzin - diesel - hybrid'!Y$12,0)+'Benzin - diesel - hybrid'!Y$70)*'Benzin - diesel - hybrid'!Y$44*(1+'Benzin - diesel - hybrid'!#REF!/100)^-$B79</f>
        <v>#REF!</v>
      </c>
      <c r="W79" s="273" t="e">
        <f>(IF('Benzin - diesel - hybrid'!AA$24="nej",-IF(100-(100+'Benzin - diesel - hybrid'!AA$69)*$B79/'Benzin - diesel - hybrid'!AA$51&lt;0,0,100-(100+'Benzin - diesel - hybrid'!AA$69)*$B79/'Benzin - diesel - hybrid'!AA$51)/100*'Benzin - diesel - hybrid'!AA$12,0)+'Benzin - diesel - hybrid'!AA$70)*'Benzin - diesel - hybrid'!AA$44*(1+'Benzin - diesel - hybrid'!#REF!/100)^-$B79</f>
        <v>#REF!</v>
      </c>
    </row>
    <row r="80" spans="1:23" hidden="1" outlineLevel="1">
      <c r="A80" s="249"/>
      <c r="B80" s="272">
        <v>8</v>
      </c>
      <c r="C80" s="272">
        <f t="shared" si="4"/>
        <v>8</v>
      </c>
      <c r="D80" s="249"/>
      <c r="E80" s="273" t="e">
        <f>(IF('Benzin - diesel - hybrid'!E$24="nej",-IF(100-(100+'Benzin - diesel - hybrid'!E$69)*$B80/'Benzin - diesel - hybrid'!E$51&lt;0,0,100-(100+'Benzin - diesel - hybrid'!E$69)*$B80/'Benzin - diesel - hybrid'!E$51)/100*'Benzin - diesel - hybrid'!E$12,0)+'Benzin - diesel - hybrid'!E$70)*'Benzin - diesel - hybrid'!E$44*(1+'Benzin - diesel - hybrid'!#REF!/100)^-$B80</f>
        <v>#REF!</v>
      </c>
      <c r="F80" s="273"/>
      <c r="G80" s="273" t="e">
        <f>(IF('Benzin - diesel - hybrid'!G$24="nej",-IF(100-(100+'Benzin - diesel - hybrid'!G$69)*$B80/'Benzin - diesel - hybrid'!G$51&lt;0,0,100-(100+'Benzin - diesel - hybrid'!G$69)*$B80/'Benzin - diesel - hybrid'!G$51)/100*'Benzin - diesel - hybrid'!G$12,0)+'Benzin - diesel - hybrid'!G$70)*'Benzin - diesel - hybrid'!G$44*(1+'Benzin - diesel - hybrid'!#REF!/100)^-$B80</f>
        <v>#REF!</v>
      </c>
      <c r="H80" s="273"/>
      <c r="I80" s="273" t="e">
        <f>(IF('Benzin - diesel - hybrid'!I$24="nej",-IF(100-(100+'Benzin - diesel - hybrid'!I$69)*$B80/'Benzin - diesel - hybrid'!I$51&lt;0,0,100-(100+'Benzin - diesel - hybrid'!I$69)*$B80/'Benzin - diesel - hybrid'!I$51)/100*'Benzin - diesel - hybrid'!I$12,0)+'Benzin - diesel - hybrid'!I$70)*'Benzin - diesel - hybrid'!I$44*(1+'Benzin - diesel - hybrid'!#REF!/100)^-$B80</f>
        <v>#REF!</v>
      </c>
      <c r="J80" s="273"/>
      <c r="K80" s="273" t="e">
        <f>(IF('Benzin - diesel - hybrid'!K$24="nej",-IF(100-(100+'Benzin - diesel - hybrid'!K$69)*$B80/'Benzin - diesel - hybrid'!K$51&lt;0,0,100-(100+'Benzin - diesel - hybrid'!K$69)*$B80/'Benzin - diesel - hybrid'!K$51)/100*'Benzin - diesel - hybrid'!K$12,0)+'Benzin - diesel - hybrid'!K$70)*'Benzin - diesel - hybrid'!K$44*(1+'Benzin - diesel - hybrid'!#REF!/100)^-$B80</f>
        <v>#REF!</v>
      </c>
      <c r="L80" s="273"/>
      <c r="M80" s="273" t="e">
        <f>(IF('Benzin - diesel - hybrid'!M$24="nej",-IF(100-(100+'Benzin - diesel - hybrid'!M$69)*$B80/'Benzin - diesel - hybrid'!M$51&lt;0,0,100-(100+'Benzin - diesel - hybrid'!M$69)*$B80/'Benzin - diesel - hybrid'!M$51)/100*'Benzin - diesel - hybrid'!M$12,0)+'Benzin - diesel - hybrid'!M$70)*'Benzin - diesel - hybrid'!M$44*(1+'Benzin - diesel - hybrid'!#REF!/100)^-$B80</f>
        <v>#REF!</v>
      </c>
      <c r="N80" s="273"/>
      <c r="O80" s="273" t="e">
        <f>(IF('Benzin - diesel - hybrid'!O$24="nej",-IF(100-(100+'Benzin - diesel - hybrid'!O$69)*$B80/'Benzin - diesel - hybrid'!O$51&lt;0,0,100-(100+'Benzin - diesel - hybrid'!O$69)*$B80/'Benzin - diesel - hybrid'!O$51)/100*'Benzin - diesel - hybrid'!O$12,0)+'Benzin - diesel - hybrid'!O$70)*'Benzin - diesel - hybrid'!O$44*(1+'Benzin - diesel - hybrid'!#REF!/100)^-$B80</f>
        <v>#REF!</v>
      </c>
      <c r="P80" s="273"/>
      <c r="Q80" s="273" t="e">
        <f>(IF('Benzin - diesel - hybrid'!Q$24="nej",-IF(100-(100+'Benzin - diesel - hybrid'!Q$69)*$B80/'Benzin - diesel - hybrid'!Q$51&lt;0,0,100-(100+'Benzin - diesel - hybrid'!Q$69)*$B80/'Benzin - diesel - hybrid'!Q$51)/100*'Benzin - diesel - hybrid'!Q$12,0)+'Benzin - diesel - hybrid'!Q$70)*'Benzin - diesel - hybrid'!Q$44*(1+'Benzin - diesel - hybrid'!#REF!/100)^-$B80</f>
        <v>#REF!</v>
      </c>
      <c r="R80" s="273"/>
      <c r="S80" s="273" t="e">
        <f>(IF('Benzin - diesel - hybrid'!S$24="nej",-IF(100-(100+'Benzin - diesel - hybrid'!S$69)*$B80/'Benzin - diesel - hybrid'!S$51&lt;0,0,100-(100+'Benzin - diesel - hybrid'!S$69)*$B80/'Benzin - diesel - hybrid'!S$51)/100*'Benzin - diesel - hybrid'!S$12,0)+'Benzin - diesel - hybrid'!S$70)*'Benzin - diesel - hybrid'!S$44*(1+'Benzin - diesel - hybrid'!#REF!/100)^-$B80</f>
        <v>#REF!</v>
      </c>
      <c r="U80" s="273" t="e">
        <f>(IF('Benzin - diesel - hybrid'!Y$24="nej",-IF(100-(100+'Benzin - diesel - hybrid'!Y$69)*$B80/'Benzin - diesel - hybrid'!Y$51&lt;0,0,100-(100+'Benzin - diesel - hybrid'!Y$69)*$B80/'Benzin - diesel - hybrid'!Y$51)/100*'Benzin - diesel - hybrid'!Y$12,0)+'Benzin - diesel - hybrid'!Y$70)*'Benzin - diesel - hybrid'!Y$44*(1+'Benzin - diesel - hybrid'!#REF!/100)^-$B80</f>
        <v>#REF!</v>
      </c>
      <c r="W80" s="273" t="e">
        <f>(IF('Benzin - diesel - hybrid'!AA$24="nej",-IF(100-(100+'Benzin - diesel - hybrid'!AA$69)*$B80/'Benzin - diesel - hybrid'!AA$51&lt;0,0,100-(100+'Benzin - diesel - hybrid'!AA$69)*$B80/'Benzin - diesel - hybrid'!AA$51)/100*'Benzin - diesel - hybrid'!AA$12,0)+'Benzin - diesel - hybrid'!AA$70)*'Benzin - diesel - hybrid'!AA$44*(1+'Benzin - diesel - hybrid'!#REF!/100)^-$B80</f>
        <v>#REF!</v>
      </c>
    </row>
    <row r="81" spans="1:23" hidden="1" outlineLevel="1">
      <c r="A81" s="249"/>
      <c r="B81" s="272">
        <v>9</v>
      </c>
      <c r="C81" s="272">
        <f t="shared" si="4"/>
        <v>9</v>
      </c>
      <c r="D81" s="249"/>
      <c r="E81" s="273" t="e">
        <f>(IF('Benzin - diesel - hybrid'!E$24="nej",-IF(100-(100+'Benzin - diesel - hybrid'!E$69)*$B81/'Benzin - diesel - hybrid'!E$51&lt;0,0,100-(100+'Benzin - diesel - hybrid'!E$69)*$B81/'Benzin - diesel - hybrid'!E$51)/100*'Benzin - diesel - hybrid'!E$12,0)+'Benzin - diesel - hybrid'!E$70)*'Benzin - diesel - hybrid'!E$44*(1+'Benzin - diesel - hybrid'!#REF!/100)^-$B81</f>
        <v>#REF!</v>
      </c>
      <c r="F81" s="273"/>
      <c r="G81" s="273" t="e">
        <f>(IF('Benzin - diesel - hybrid'!G$24="nej",-IF(100-(100+'Benzin - diesel - hybrid'!G$69)*$B81/'Benzin - diesel - hybrid'!G$51&lt;0,0,100-(100+'Benzin - diesel - hybrid'!G$69)*$B81/'Benzin - diesel - hybrid'!G$51)/100*'Benzin - diesel - hybrid'!G$12,0)+'Benzin - diesel - hybrid'!G$70)*'Benzin - diesel - hybrid'!G$44*(1+'Benzin - diesel - hybrid'!#REF!/100)^-$B81</f>
        <v>#REF!</v>
      </c>
      <c r="H81" s="273"/>
      <c r="I81" s="273" t="e">
        <f>(IF('Benzin - diesel - hybrid'!I$24="nej",-IF(100-(100+'Benzin - diesel - hybrid'!I$69)*$B81/'Benzin - diesel - hybrid'!I$51&lt;0,0,100-(100+'Benzin - diesel - hybrid'!I$69)*$B81/'Benzin - diesel - hybrid'!I$51)/100*'Benzin - diesel - hybrid'!I$12,0)+'Benzin - diesel - hybrid'!I$70)*'Benzin - diesel - hybrid'!I$44*(1+'Benzin - diesel - hybrid'!#REF!/100)^-$B81</f>
        <v>#REF!</v>
      </c>
      <c r="J81" s="273"/>
      <c r="K81" s="273" t="e">
        <f>(IF('Benzin - diesel - hybrid'!K$24="nej",-IF(100-(100+'Benzin - diesel - hybrid'!K$69)*$B81/'Benzin - diesel - hybrid'!K$51&lt;0,0,100-(100+'Benzin - diesel - hybrid'!K$69)*$B81/'Benzin - diesel - hybrid'!K$51)/100*'Benzin - diesel - hybrid'!K$12,0)+'Benzin - diesel - hybrid'!K$70)*'Benzin - diesel - hybrid'!K$44*(1+'Benzin - diesel - hybrid'!#REF!/100)^-$B81</f>
        <v>#REF!</v>
      </c>
      <c r="L81" s="273"/>
      <c r="M81" s="273" t="e">
        <f>(IF('Benzin - diesel - hybrid'!M$24="nej",-IF(100-(100+'Benzin - diesel - hybrid'!M$69)*$B81/'Benzin - diesel - hybrid'!M$51&lt;0,0,100-(100+'Benzin - diesel - hybrid'!M$69)*$B81/'Benzin - diesel - hybrid'!M$51)/100*'Benzin - diesel - hybrid'!M$12,0)+'Benzin - diesel - hybrid'!M$70)*'Benzin - diesel - hybrid'!M$44*(1+'Benzin - diesel - hybrid'!#REF!/100)^-$B81</f>
        <v>#REF!</v>
      </c>
      <c r="N81" s="273"/>
      <c r="O81" s="273" t="e">
        <f>(IF('Benzin - diesel - hybrid'!O$24="nej",-IF(100-(100+'Benzin - diesel - hybrid'!O$69)*$B81/'Benzin - diesel - hybrid'!O$51&lt;0,0,100-(100+'Benzin - diesel - hybrid'!O$69)*$B81/'Benzin - diesel - hybrid'!O$51)/100*'Benzin - diesel - hybrid'!O$12,0)+'Benzin - diesel - hybrid'!O$70)*'Benzin - diesel - hybrid'!O$44*(1+'Benzin - diesel - hybrid'!#REF!/100)^-$B81</f>
        <v>#REF!</v>
      </c>
      <c r="P81" s="273"/>
      <c r="Q81" s="273" t="e">
        <f>(IF('Benzin - diesel - hybrid'!Q$24="nej",-IF(100-(100+'Benzin - diesel - hybrid'!Q$69)*$B81/'Benzin - diesel - hybrid'!Q$51&lt;0,0,100-(100+'Benzin - diesel - hybrid'!Q$69)*$B81/'Benzin - diesel - hybrid'!Q$51)/100*'Benzin - diesel - hybrid'!Q$12,0)+'Benzin - diesel - hybrid'!Q$70)*'Benzin - diesel - hybrid'!Q$44*(1+'Benzin - diesel - hybrid'!#REF!/100)^-$B81</f>
        <v>#REF!</v>
      </c>
      <c r="R81" s="273"/>
      <c r="S81" s="273" t="e">
        <f>(IF('Benzin - diesel - hybrid'!S$24="nej",-IF(100-(100+'Benzin - diesel - hybrid'!S$69)*$B81/'Benzin - diesel - hybrid'!S$51&lt;0,0,100-(100+'Benzin - diesel - hybrid'!S$69)*$B81/'Benzin - diesel - hybrid'!S$51)/100*'Benzin - diesel - hybrid'!S$12,0)+'Benzin - diesel - hybrid'!S$70)*'Benzin - diesel - hybrid'!S$44*(1+'Benzin - diesel - hybrid'!#REF!/100)^-$B81</f>
        <v>#REF!</v>
      </c>
      <c r="U81" s="273" t="e">
        <f>(IF('Benzin - diesel - hybrid'!Y$24="nej",-IF(100-(100+'Benzin - diesel - hybrid'!Y$69)*$B81/'Benzin - diesel - hybrid'!Y$51&lt;0,0,100-(100+'Benzin - diesel - hybrid'!Y$69)*$B81/'Benzin - diesel - hybrid'!Y$51)/100*'Benzin - diesel - hybrid'!Y$12,0)+'Benzin - diesel - hybrid'!Y$70)*'Benzin - diesel - hybrid'!Y$44*(1+'Benzin - diesel - hybrid'!#REF!/100)^-$B81</f>
        <v>#REF!</v>
      </c>
      <c r="W81" s="273" t="e">
        <f>(IF('Benzin - diesel - hybrid'!AA$24="nej",-IF(100-(100+'Benzin - diesel - hybrid'!AA$69)*$B81/'Benzin - diesel - hybrid'!AA$51&lt;0,0,100-(100+'Benzin - diesel - hybrid'!AA$69)*$B81/'Benzin - diesel - hybrid'!AA$51)/100*'Benzin - diesel - hybrid'!AA$12,0)+'Benzin - diesel - hybrid'!AA$70)*'Benzin - diesel - hybrid'!AA$44*(1+'Benzin - diesel - hybrid'!#REF!/100)^-$B81</f>
        <v>#REF!</v>
      </c>
    </row>
    <row r="82" spans="1:23" hidden="1" outlineLevel="1">
      <c r="A82" s="249"/>
      <c r="B82" s="272">
        <v>10</v>
      </c>
      <c r="C82" s="272">
        <f t="shared" si="4"/>
        <v>10</v>
      </c>
      <c r="D82" s="249"/>
      <c r="E82" s="273" t="e">
        <f>(IF('Benzin - diesel - hybrid'!E$24="nej",-IF(100-(100+'Benzin - diesel - hybrid'!E$69)*$B82/'Benzin - diesel - hybrid'!E$51&lt;0,0,100-(100+'Benzin - diesel - hybrid'!E$69)*$B82/'Benzin - diesel - hybrid'!E$51)/100*'Benzin - diesel - hybrid'!E$12,0)+'Benzin - diesel - hybrid'!E$70)*'Benzin - diesel - hybrid'!E$44*(1+'Benzin - diesel - hybrid'!#REF!/100)^-$B82</f>
        <v>#REF!</v>
      </c>
      <c r="F82" s="273"/>
      <c r="G82" s="273" t="e">
        <f>(IF('Benzin - diesel - hybrid'!G$24="nej",-IF(100-(100+'Benzin - diesel - hybrid'!G$69)*$B82/'Benzin - diesel - hybrid'!G$51&lt;0,0,100-(100+'Benzin - diesel - hybrid'!G$69)*$B82/'Benzin - diesel - hybrid'!G$51)/100*'Benzin - diesel - hybrid'!G$12,0)+'Benzin - diesel - hybrid'!G$70)*'Benzin - diesel - hybrid'!G$44*(1+'Benzin - diesel - hybrid'!#REF!/100)^-$B82</f>
        <v>#REF!</v>
      </c>
      <c r="H82" s="273"/>
      <c r="I82" s="273" t="e">
        <f>(IF('Benzin - diesel - hybrid'!I$24="nej",-IF(100-(100+'Benzin - diesel - hybrid'!I$69)*$B82/'Benzin - diesel - hybrid'!I$51&lt;0,0,100-(100+'Benzin - diesel - hybrid'!I$69)*$B82/'Benzin - diesel - hybrid'!I$51)/100*'Benzin - diesel - hybrid'!I$12,0)+'Benzin - diesel - hybrid'!I$70)*'Benzin - diesel - hybrid'!I$44*(1+'Benzin - diesel - hybrid'!#REF!/100)^-$B82</f>
        <v>#REF!</v>
      </c>
      <c r="J82" s="273"/>
      <c r="K82" s="273" t="e">
        <f>(IF('Benzin - diesel - hybrid'!K$24="nej",-IF(100-(100+'Benzin - diesel - hybrid'!K$69)*$B82/'Benzin - diesel - hybrid'!K$51&lt;0,0,100-(100+'Benzin - diesel - hybrid'!K$69)*$B82/'Benzin - diesel - hybrid'!K$51)/100*'Benzin - diesel - hybrid'!K$12,0)+'Benzin - diesel - hybrid'!K$70)*'Benzin - diesel - hybrid'!K$44*(1+'Benzin - diesel - hybrid'!#REF!/100)^-$B82</f>
        <v>#REF!</v>
      </c>
      <c r="L82" s="273"/>
      <c r="M82" s="273" t="e">
        <f>(IF('Benzin - diesel - hybrid'!M$24="nej",-IF(100-(100+'Benzin - diesel - hybrid'!M$69)*$B82/'Benzin - diesel - hybrid'!M$51&lt;0,0,100-(100+'Benzin - diesel - hybrid'!M$69)*$B82/'Benzin - diesel - hybrid'!M$51)/100*'Benzin - diesel - hybrid'!M$12,0)+'Benzin - diesel - hybrid'!M$70)*'Benzin - diesel - hybrid'!M$44*(1+'Benzin - diesel - hybrid'!#REF!/100)^-$B82</f>
        <v>#REF!</v>
      </c>
      <c r="N82" s="273"/>
      <c r="O82" s="273" t="e">
        <f>(IF('Benzin - diesel - hybrid'!O$24="nej",-IF(100-(100+'Benzin - diesel - hybrid'!O$69)*$B82/'Benzin - diesel - hybrid'!O$51&lt;0,0,100-(100+'Benzin - diesel - hybrid'!O$69)*$B82/'Benzin - diesel - hybrid'!O$51)/100*'Benzin - diesel - hybrid'!O$12,0)+'Benzin - diesel - hybrid'!O$70)*'Benzin - diesel - hybrid'!O$44*(1+'Benzin - diesel - hybrid'!#REF!/100)^-$B82</f>
        <v>#REF!</v>
      </c>
      <c r="P82" s="273"/>
      <c r="Q82" s="273" t="e">
        <f>(IF('Benzin - diesel - hybrid'!Q$24="nej",-IF(100-(100+'Benzin - diesel - hybrid'!Q$69)*$B82/'Benzin - diesel - hybrid'!Q$51&lt;0,0,100-(100+'Benzin - diesel - hybrid'!Q$69)*$B82/'Benzin - diesel - hybrid'!Q$51)/100*'Benzin - diesel - hybrid'!Q$12,0)+'Benzin - diesel - hybrid'!Q$70)*'Benzin - diesel - hybrid'!Q$44*(1+'Benzin - diesel - hybrid'!#REF!/100)^-$B82</f>
        <v>#REF!</v>
      </c>
      <c r="R82" s="273"/>
      <c r="S82" s="273" t="e">
        <f>(IF('Benzin - diesel - hybrid'!S$24="nej",-IF(100-(100+'Benzin - diesel - hybrid'!S$69)*$B82/'Benzin - diesel - hybrid'!S$51&lt;0,0,100-(100+'Benzin - diesel - hybrid'!S$69)*$B82/'Benzin - diesel - hybrid'!S$51)/100*'Benzin - diesel - hybrid'!S$12,0)+'Benzin - diesel - hybrid'!S$70)*'Benzin - diesel - hybrid'!S$44*(1+'Benzin - diesel - hybrid'!#REF!/100)^-$B82</f>
        <v>#REF!</v>
      </c>
      <c r="U82" s="273" t="e">
        <f>(IF('Benzin - diesel - hybrid'!Y$24="nej",-IF(100-(100+'Benzin - diesel - hybrid'!Y$69)*$B82/'Benzin - diesel - hybrid'!Y$51&lt;0,0,100-(100+'Benzin - diesel - hybrid'!Y$69)*$B82/'Benzin - diesel - hybrid'!Y$51)/100*'Benzin - diesel - hybrid'!Y$12,0)+'Benzin - diesel - hybrid'!Y$70)*'Benzin - diesel - hybrid'!Y$44*(1+'Benzin - diesel - hybrid'!#REF!/100)^-$B82</f>
        <v>#REF!</v>
      </c>
      <c r="W82" s="273" t="e">
        <f>(IF('Benzin - diesel - hybrid'!AA$24="nej",-IF(100-(100+'Benzin - diesel - hybrid'!AA$69)*$B82/'Benzin - diesel - hybrid'!AA$51&lt;0,0,100-(100+'Benzin - diesel - hybrid'!AA$69)*$B82/'Benzin - diesel - hybrid'!AA$51)/100*'Benzin - diesel - hybrid'!AA$12,0)+'Benzin - diesel - hybrid'!AA$70)*'Benzin - diesel - hybrid'!AA$44*(1+'Benzin - diesel - hybrid'!#REF!/100)^-$B82</f>
        <v>#REF!</v>
      </c>
    </row>
    <row r="83" spans="1:23" hidden="1" outlineLevel="1">
      <c r="A83" s="249"/>
      <c r="B83" s="272">
        <v>11</v>
      </c>
      <c r="C83" s="272">
        <f t="shared" si="4"/>
        <v>11</v>
      </c>
      <c r="D83" s="249"/>
      <c r="E83" s="273" t="e">
        <f>(IF('Benzin - diesel - hybrid'!E$24="nej",-IF(100-(100+'Benzin - diesel - hybrid'!E$69)*$B83/'Benzin - diesel - hybrid'!E$51&lt;0,0,100-(100+'Benzin - diesel - hybrid'!E$69)*$B83/'Benzin - diesel - hybrid'!E$51)/100*'Benzin - diesel - hybrid'!E$12,0)+'Benzin - diesel - hybrid'!E$70)*'Benzin - diesel - hybrid'!E$44*(1+'Benzin - diesel - hybrid'!#REF!/100)^-$B83</f>
        <v>#REF!</v>
      </c>
      <c r="F83" s="273"/>
      <c r="G83" s="273" t="e">
        <f>(IF('Benzin - diesel - hybrid'!G$24="nej",-IF(100-(100+'Benzin - diesel - hybrid'!G$69)*$B83/'Benzin - diesel - hybrid'!G$51&lt;0,0,100-(100+'Benzin - diesel - hybrid'!G$69)*$B83/'Benzin - diesel - hybrid'!G$51)/100*'Benzin - diesel - hybrid'!G$12,0)+'Benzin - diesel - hybrid'!G$70)*'Benzin - diesel - hybrid'!G$44*(1+'Benzin - diesel - hybrid'!#REF!/100)^-$B83</f>
        <v>#REF!</v>
      </c>
      <c r="H83" s="273"/>
      <c r="I83" s="273" t="e">
        <f>(IF('Benzin - diesel - hybrid'!I$24="nej",-IF(100-(100+'Benzin - diesel - hybrid'!I$69)*$B83/'Benzin - diesel - hybrid'!I$51&lt;0,0,100-(100+'Benzin - diesel - hybrid'!I$69)*$B83/'Benzin - diesel - hybrid'!I$51)/100*'Benzin - diesel - hybrid'!I$12,0)+'Benzin - diesel - hybrid'!I$70)*'Benzin - diesel - hybrid'!I$44*(1+'Benzin - diesel - hybrid'!#REF!/100)^-$B83</f>
        <v>#REF!</v>
      </c>
      <c r="J83" s="273"/>
      <c r="K83" s="273" t="e">
        <f>(IF('Benzin - diesel - hybrid'!K$24="nej",-IF(100-(100+'Benzin - diesel - hybrid'!K$69)*$B83/'Benzin - diesel - hybrid'!K$51&lt;0,0,100-(100+'Benzin - diesel - hybrid'!K$69)*$B83/'Benzin - diesel - hybrid'!K$51)/100*'Benzin - diesel - hybrid'!K$12,0)+'Benzin - diesel - hybrid'!K$70)*'Benzin - diesel - hybrid'!K$44*(1+'Benzin - diesel - hybrid'!#REF!/100)^-$B83</f>
        <v>#REF!</v>
      </c>
      <c r="L83" s="273"/>
      <c r="M83" s="273" t="e">
        <f>(IF('Benzin - diesel - hybrid'!M$24="nej",-IF(100-(100+'Benzin - diesel - hybrid'!M$69)*$B83/'Benzin - diesel - hybrid'!M$51&lt;0,0,100-(100+'Benzin - diesel - hybrid'!M$69)*$B83/'Benzin - diesel - hybrid'!M$51)/100*'Benzin - diesel - hybrid'!M$12,0)+'Benzin - diesel - hybrid'!M$70)*'Benzin - diesel - hybrid'!M$44*(1+'Benzin - diesel - hybrid'!#REF!/100)^-$B83</f>
        <v>#REF!</v>
      </c>
      <c r="N83" s="273"/>
      <c r="O83" s="273" t="e">
        <f>(IF('Benzin - diesel - hybrid'!O$24="nej",-IF(100-(100+'Benzin - diesel - hybrid'!O$69)*$B83/'Benzin - diesel - hybrid'!O$51&lt;0,0,100-(100+'Benzin - diesel - hybrid'!O$69)*$B83/'Benzin - diesel - hybrid'!O$51)/100*'Benzin - diesel - hybrid'!O$12,0)+'Benzin - diesel - hybrid'!O$70)*'Benzin - diesel - hybrid'!O$44*(1+'Benzin - diesel - hybrid'!#REF!/100)^-$B83</f>
        <v>#REF!</v>
      </c>
      <c r="P83" s="273"/>
      <c r="Q83" s="273" t="e">
        <f>(IF('Benzin - diesel - hybrid'!Q$24="nej",-IF(100-(100+'Benzin - diesel - hybrid'!Q$69)*$B83/'Benzin - diesel - hybrid'!Q$51&lt;0,0,100-(100+'Benzin - diesel - hybrid'!Q$69)*$B83/'Benzin - diesel - hybrid'!Q$51)/100*'Benzin - diesel - hybrid'!Q$12,0)+'Benzin - diesel - hybrid'!Q$70)*'Benzin - diesel - hybrid'!Q$44*(1+'Benzin - diesel - hybrid'!#REF!/100)^-$B83</f>
        <v>#REF!</v>
      </c>
      <c r="R83" s="273"/>
      <c r="S83" s="273" t="e">
        <f>(IF('Benzin - diesel - hybrid'!S$24="nej",-IF(100-(100+'Benzin - diesel - hybrid'!S$69)*$B83/'Benzin - diesel - hybrid'!S$51&lt;0,0,100-(100+'Benzin - diesel - hybrid'!S$69)*$B83/'Benzin - diesel - hybrid'!S$51)/100*'Benzin - diesel - hybrid'!S$12,0)+'Benzin - diesel - hybrid'!S$70)*'Benzin - diesel - hybrid'!S$44*(1+'Benzin - diesel - hybrid'!#REF!/100)^-$B83</f>
        <v>#REF!</v>
      </c>
      <c r="U83" s="273" t="e">
        <f>(IF('Benzin - diesel - hybrid'!Y$24="nej",-IF(100-(100+'Benzin - diesel - hybrid'!Y$69)*$B83/'Benzin - diesel - hybrid'!Y$51&lt;0,0,100-(100+'Benzin - diesel - hybrid'!Y$69)*$B83/'Benzin - diesel - hybrid'!Y$51)/100*'Benzin - diesel - hybrid'!Y$12,0)+'Benzin - diesel - hybrid'!Y$70)*'Benzin - diesel - hybrid'!Y$44*(1+'Benzin - diesel - hybrid'!#REF!/100)^-$B83</f>
        <v>#REF!</v>
      </c>
      <c r="W83" s="273" t="e">
        <f>(IF('Benzin - diesel - hybrid'!AA$24="nej",-IF(100-(100+'Benzin - diesel - hybrid'!AA$69)*$B83/'Benzin - diesel - hybrid'!AA$51&lt;0,0,100-(100+'Benzin - diesel - hybrid'!AA$69)*$B83/'Benzin - diesel - hybrid'!AA$51)/100*'Benzin - diesel - hybrid'!AA$12,0)+'Benzin - diesel - hybrid'!AA$70)*'Benzin - diesel - hybrid'!AA$44*(1+'Benzin - diesel - hybrid'!#REF!/100)^-$B83</f>
        <v>#REF!</v>
      </c>
    </row>
    <row r="84" spans="1:23" hidden="1" outlineLevel="1">
      <c r="A84" s="249"/>
      <c r="B84" s="272">
        <v>12</v>
      </c>
      <c r="C84" s="272">
        <f t="shared" si="4"/>
        <v>12</v>
      </c>
      <c r="D84" s="249"/>
      <c r="E84" s="273" t="e">
        <f>(IF('Benzin - diesel - hybrid'!E$24="nej",-IF(100-(100+'Benzin - diesel - hybrid'!E$69)*$B84/'Benzin - diesel - hybrid'!E$51&lt;0,0,100-(100+'Benzin - diesel - hybrid'!E$69)*$B84/'Benzin - diesel - hybrid'!E$51)/100*'Benzin - diesel - hybrid'!E$12,0)+'Benzin - diesel - hybrid'!E$70)*'Benzin - diesel - hybrid'!E$44*(1+'Benzin - diesel - hybrid'!#REF!/100)^-$B84</f>
        <v>#REF!</v>
      </c>
      <c r="F84" s="273"/>
      <c r="G84" s="273" t="e">
        <f>(IF('Benzin - diesel - hybrid'!G$24="nej",-IF(100-(100+'Benzin - diesel - hybrid'!G$69)*$B84/'Benzin - diesel - hybrid'!G$51&lt;0,0,100-(100+'Benzin - diesel - hybrid'!G$69)*$B84/'Benzin - diesel - hybrid'!G$51)/100*'Benzin - diesel - hybrid'!G$12,0)+'Benzin - diesel - hybrid'!G$70)*'Benzin - diesel - hybrid'!G$44*(1+'Benzin - diesel - hybrid'!#REF!/100)^-$B84</f>
        <v>#REF!</v>
      </c>
      <c r="H84" s="273"/>
      <c r="I84" s="273" t="e">
        <f>(IF('Benzin - diesel - hybrid'!I$24="nej",-IF(100-(100+'Benzin - diesel - hybrid'!I$69)*$B84/'Benzin - diesel - hybrid'!I$51&lt;0,0,100-(100+'Benzin - diesel - hybrid'!I$69)*$B84/'Benzin - diesel - hybrid'!I$51)/100*'Benzin - diesel - hybrid'!I$12,0)+'Benzin - diesel - hybrid'!I$70)*'Benzin - diesel - hybrid'!I$44*(1+'Benzin - diesel - hybrid'!#REF!/100)^-$B84</f>
        <v>#REF!</v>
      </c>
      <c r="J84" s="273"/>
      <c r="K84" s="273" t="e">
        <f>(IF('Benzin - diesel - hybrid'!K$24="nej",-IF(100-(100+'Benzin - diesel - hybrid'!K$69)*$B84/'Benzin - diesel - hybrid'!K$51&lt;0,0,100-(100+'Benzin - diesel - hybrid'!K$69)*$B84/'Benzin - diesel - hybrid'!K$51)/100*'Benzin - diesel - hybrid'!K$12,0)+'Benzin - diesel - hybrid'!K$70)*'Benzin - diesel - hybrid'!K$44*(1+'Benzin - diesel - hybrid'!#REF!/100)^-$B84</f>
        <v>#REF!</v>
      </c>
      <c r="L84" s="273"/>
      <c r="M84" s="273" t="e">
        <f>(IF('Benzin - diesel - hybrid'!M$24="nej",-IF(100-(100+'Benzin - diesel - hybrid'!M$69)*$B84/'Benzin - diesel - hybrid'!M$51&lt;0,0,100-(100+'Benzin - diesel - hybrid'!M$69)*$B84/'Benzin - diesel - hybrid'!M$51)/100*'Benzin - diesel - hybrid'!M$12,0)+'Benzin - diesel - hybrid'!M$70)*'Benzin - diesel - hybrid'!M$44*(1+'Benzin - diesel - hybrid'!#REF!/100)^-$B84</f>
        <v>#REF!</v>
      </c>
      <c r="N84" s="273"/>
      <c r="O84" s="273" t="e">
        <f>(IF('Benzin - diesel - hybrid'!O$24="nej",-IF(100-(100+'Benzin - diesel - hybrid'!O$69)*$B84/'Benzin - diesel - hybrid'!O$51&lt;0,0,100-(100+'Benzin - diesel - hybrid'!O$69)*$B84/'Benzin - diesel - hybrid'!O$51)/100*'Benzin - diesel - hybrid'!O$12,0)+'Benzin - diesel - hybrid'!O$70)*'Benzin - diesel - hybrid'!O$44*(1+'Benzin - diesel - hybrid'!#REF!/100)^-$B84</f>
        <v>#REF!</v>
      </c>
      <c r="P84" s="273"/>
      <c r="Q84" s="273" t="e">
        <f>(IF('Benzin - diesel - hybrid'!Q$24="nej",-IF(100-(100+'Benzin - diesel - hybrid'!Q$69)*$B84/'Benzin - diesel - hybrid'!Q$51&lt;0,0,100-(100+'Benzin - diesel - hybrid'!Q$69)*$B84/'Benzin - diesel - hybrid'!Q$51)/100*'Benzin - diesel - hybrid'!Q$12,0)+'Benzin - diesel - hybrid'!Q$70)*'Benzin - diesel - hybrid'!Q$44*(1+'Benzin - diesel - hybrid'!#REF!/100)^-$B84</f>
        <v>#REF!</v>
      </c>
      <c r="R84" s="273"/>
      <c r="S84" s="273" t="e">
        <f>(IF('Benzin - diesel - hybrid'!S$24="nej",-IF(100-(100+'Benzin - diesel - hybrid'!S$69)*$B84/'Benzin - diesel - hybrid'!S$51&lt;0,0,100-(100+'Benzin - diesel - hybrid'!S$69)*$B84/'Benzin - diesel - hybrid'!S$51)/100*'Benzin - diesel - hybrid'!S$12,0)+'Benzin - diesel - hybrid'!S$70)*'Benzin - diesel - hybrid'!S$44*(1+'Benzin - diesel - hybrid'!#REF!/100)^-$B84</f>
        <v>#REF!</v>
      </c>
      <c r="U84" s="273" t="e">
        <f>(IF('Benzin - diesel - hybrid'!Y$24="nej",-IF(100-(100+'Benzin - diesel - hybrid'!Y$69)*$B84/'Benzin - diesel - hybrid'!Y$51&lt;0,0,100-(100+'Benzin - diesel - hybrid'!Y$69)*$B84/'Benzin - diesel - hybrid'!Y$51)/100*'Benzin - diesel - hybrid'!Y$12,0)+'Benzin - diesel - hybrid'!Y$70)*'Benzin - diesel - hybrid'!Y$44*(1+'Benzin - diesel - hybrid'!#REF!/100)^-$B84</f>
        <v>#REF!</v>
      </c>
      <c r="W84" s="273" t="e">
        <f>(IF('Benzin - diesel - hybrid'!AA$24="nej",-IF(100-(100+'Benzin - diesel - hybrid'!AA$69)*$B84/'Benzin - diesel - hybrid'!AA$51&lt;0,0,100-(100+'Benzin - diesel - hybrid'!AA$69)*$B84/'Benzin - diesel - hybrid'!AA$51)/100*'Benzin - diesel - hybrid'!AA$12,0)+'Benzin - diesel - hybrid'!AA$70)*'Benzin - diesel - hybrid'!AA$44*(1+'Benzin - diesel - hybrid'!#REF!/100)^-$B84</f>
        <v>#REF!</v>
      </c>
    </row>
    <row r="85" spans="1:23" hidden="1" outlineLevel="1">
      <c r="A85" s="249"/>
      <c r="B85" s="272">
        <v>13</v>
      </c>
      <c r="C85" s="272">
        <f t="shared" si="4"/>
        <v>13</v>
      </c>
      <c r="D85" s="249"/>
      <c r="E85" s="273" t="e">
        <f>(IF('Benzin - diesel - hybrid'!E$24="nej",-IF(100-(100+'Benzin - diesel - hybrid'!E$69)*$B85/'Benzin - diesel - hybrid'!E$51&lt;0,0,100-(100+'Benzin - diesel - hybrid'!E$69)*$B85/'Benzin - diesel - hybrid'!E$51)/100*'Benzin - diesel - hybrid'!E$12,0)+'Benzin - diesel - hybrid'!E$70)*'Benzin - diesel - hybrid'!E$44*(1+'Benzin - diesel - hybrid'!#REF!/100)^-$B85</f>
        <v>#REF!</v>
      </c>
      <c r="F85" s="273"/>
      <c r="G85" s="273" t="e">
        <f>(IF('Benzin - diesel - hybrid'!G$24="nej",-IF(100-(100+'Benzin - diesel - hybrid'!G$69)*$B85/'Benzin - diesel - hybrid'!G$51&lt;0,0,100-(100+'Benzin - diesel - hybrid'!G$69)*$B85/'Benzin - diesel - hybrid'!G$51)/100*'Benzin - diesel - hybrid'!G$12,0)+'Benzin - diesel - hybrid'!G$70)*'Benzin - diesel - hybrid'!G$44*(1+'Benzin - diesel - hybrid'!#REF!/100)^-$B85</f>
        <v>#REF!</v>
      </c>
      <c r="H85" s="273"/>
      <c r="I85" s="273" t="e">
        <f>(IF('Benzin - diesel - hybrid'!I$24="nej",-IF(100-(100+'Benzin - diesel - hybrid'!I$69)*$B85/'Benzin - diesel - hybrid'!I$51&lt;0,0,100-(100+'Benzin - diesel - hybrid'!I$69)*$B85/'Benzin - diesel - hybrid'!I$51)/100*'Benzin - diesel - hybrid'!I$12,0)+'Benzin - diesel - hybrid'!I$70)*'Benzin - diesel - hybrid'!I$44*(1+'Benzin - diesel - hybrid'!#REF!/100)^-$B85</f>
        <v>#REF!</v>
      </c>
      <c r="J85" s="273"/>
      <c r="K85" s="273" t="e">
        <f>(IF('Benzin - diesel - hybrid'!K$24="nej",-IF(100-(100+'Benzin - diesel - hybrid'!K$69)*$B85/'Benzin - diesel - hybrid'!K$51&lt;0,0,100-(100+'Benzin - diesel - hybrid'!K$69)*$B85/'Benzin - diesel - hybrid'!K$51)/100*'Benzin - diesel - hybrid'!K$12,0)+'Benzin - diesel - hybrid'!K$70)*'Benzin - diesel - hybrid'!K$44*(1+'Benzin - diesel - hybrid'!#REF!/100)^-$B85</f>
        <v>#REF!</v>
      </c>
      <c r="L85" s="273"/>
      <c r="M85" s="273" t="e">
        <f>(IF('Benzin - diesel - hybrid'!M$24="nej",-IF(100-(100+'Benzin - diesel - hybrid'!M$69)*$B85/'Benzin - diesel - hybrid'!M$51&lt;0,0,100-(100+'Benzin - diesel - hybrid'!M$69)*$B85/'Benzin - diesel - hybrid'!M$51)/100*'Benzin - diesel - hybrid'!M$12,0)+'Benzin - diesel - hybrid'!M$70)*'Benzin - diesel - hybrid'!M$44*(1+'Benzin - diesel - hybrid'!#REF!/100)^-$B85</f>
        <v>#REF!</v>
      </c>
      <c r="N85" s="273"/>
      <c r="O85" s="273" t="e">
        <f>(IF('Benzin - diesel - hybrid'!O$24="nej",-IF(100-(100+'Benzin - diesel - hybrid'!O$69)*$B85/'Benzin - diesel - hybrid'!O$51&lt;0,0,100-(100+'Benzin - diesel - hybrid'!O$69)*$B85/'Benzin - diesel - hybrid'!O$51)/100*'Benzin - diesel - hybrid'!O$12,0)+'Benzin - diesel - hybrid'!O$70)*'Benzin - diesel - hybrid'!O$44*(1+'Benzin - diesel - hybrid'!#REF!/100)^-$B85</f>
        <v>#REF!</v>
      </c>
      <c r="P85" s="273"/>
      <c r="Q85" s="273" t="e">
        <f>(IF('Benzin - diesel - hybrid'!Q$24="nej",-IF(100-(100+'Benzin - diesel - hybrid'!Q$69)*$B85/'Benzin - diesel - hybrid'!Q$51&lt;0,0,100-(100+'Benzin - diesel - hybrid'!Q$69)*$B85/'Benzin - diesel - hybrid'!Q$51)/100*'Benzin - diesel - hybrid'!Q$12,0)+'Benzin - diesel - hybrid'!Q$70)*'Benzin - diesel - hybrid'!Q$44*(1+'Benzin - diesel - hybrid'!#REF!/100)^-$B85</f>
        <v>#REF!</v>
      </c>
      <c r="R85" s="273"/>
      <c r="S85" s="273" t="e">
        <f>(IF('Benzin - diesel - hybrid'!S$24="nej",-IF(100-(100+'Benzin - diesel - hybrid'!S$69)*$B85/'Benzin - diesel - hybrid'!S$51&lt;0,0,100-(100+'Benzin - diesel - hybrid'!S$69)*$B85/'Benzin - diesel - hybrid'!S$51)/100*'Benzin - diesel - hybrid'!S$12,0)+'Benzin - diesel - hybrid'!S$70)*'Benzin - diesel - hybrid'!S$44*(1+'Benzin - diesel - hybrid'!#REF!/100)^-$B85</f>
        <v>#REF!</v>
      </c>
      <c r="U85" s="273" t="e">
        <f>(IF('Benzin - diesel - hybrid'!Y$24="nej",-IF(100-(100+'Benzin - diesel - hybrid'!Y$69)*$B85/'Benzin - diesel - hybrid'!Y$51&lt;0,0,100-(100+'Benzin - diesel - hybrid'!Y$69)*$B85/'Benzin - diesel - hybrid'!Y$51)/100*'Benzin - diesel - hybrid'!Y$12,0)+'Benzin - diesel - hybrid'!Y$70)*'Benzin - diesel - hybrid'!Y$44*(1+'Benzin - diesel - hybrid'!#REF!/100)^-$B85</f>
        <v>#REF!</v>
      </c>
      <c r="W85" s="273" t="e">
        <f>(IF('Benzin - diesel - hybrid'!AA$24="nej",-IF(100-(100+'Benzin - diesel - hybrid'!AA$69)*$B85/'Benzin - diesel - hybrid'!AA$51&lt;0,0,100-(100+'Benzin - diesel - hybrid'!AA$69)*$B85/'Benzin - diesel - hybrid'!AA$51)/100*'Benzin - diesel - hybrid'!AA$12,0)+'Benzin - diesel - hybrid'!AA$70)*'Benzin - diesel - hybrid'!AA$44*(1+'Benzin - diesel - hybrid'!#REF!/100)^-$B85</f>
        <v>#REF!</v>
      </c>
    </row>
    <row r="86" spans="1:23" hidden="1" outlineLevel="1">
      <c r="A86" s="249"/>
      <c r="B86" s="272">
        <v>14</v>
      </c>
      <c r="C86" s="272">
        <f t="shared" si="4"/>
        <v>14</v>
      </c>
      <c r="D86" s="249"/>
      <c r="E86" s="273" t="e">
        <f>(IF('Benzin - diesel - hybrid'!E$24="nej",-IF(100-(100+'Benzin - diesel - hybrid'!E$69)*$B86/'Benzin - diesel - hybrid'!E$51&lt;0,0,100-(100+'Benzin - diesel - hybrid'!E$69)*$B86/'Benzin - diesel - hybrid'!E$51)/100*'Benzin - diesel - hybrid'!E$12,0)+'Benzin - diesel - hybrid'!E$70)*'Benzin - diesel - hybrid'!E$44*(1+'Benzin - diesel - hybrid'!#REF!/100)^-$B86</f>
        <v>#REF!</v>
      </c>
      <c r="F86" s="273"/>
      <c r="G86" s="273" t="e">
        <f>(IF('Benzin - diesel - hybrid'!G$24="nej",-IF(100-(100+'Benzin - diesel - hybrid'!G$69)*$B86/'Benzin - diesel - hybrid'!G$51&lt;0,0,100-(100+'Benzin - diesel - hybrid'!G$69)*$B86/'Benzin - diesel - hybrid'!G$51)/100*'Benzin - diesel - hybrid'!G$12,0)+'Benzin - diesel - hybrid'!G$70)*'Benzin - diesel - hybrid'!G$44*(1+'Benzin - diesel - hybrid'!#REF!/100)^-$B86</f>
        <v>#REF!</v>
      </c>
      <c r="H86" s="273"/>
      <c r="I86" s="273" t="e">
        <f>(IF('Benzin - diesel - hybrid'!I$24="nej",-IF(100-(100+'Benzin - diesel - hybrid'!I$69)*$B86/'Benzin - diesel - hybrid'!I$51&lt;0,0,100-(100+'Benzin - diesel - hybrid'!I$69)*$B86/'Benzin - diesel - hybrid'!I$51)/100*'Benzin - diesel - hybrid'!I$12,0)+'Benzin - diesel - hybrid'!I$70)*'Benzin - diesel - hybrid'!I$44*(1+'Benzin - diesel - hybrid'!#REF!/100)^-$B86</f>
        <v>#REF!</v>
      </c>
      <c r="J86" s="273"/>
      <c r="K86" s="273" t="e">
        <f>(IF('Benzin - diesel - hybrid'!K$24="nej",-IF(100-(100+'Benzin - diesel - hybrid'!K$69)*$B86/'Benzin - diesel - hybrid'!K$51&lt;0,0,100-(100+'Benzin - diesel - hybrid'!K$69)*$B86/'Benzin - diesel - hybrid'!K$51)/100*'Benzin - diesel - hybrid'!K$12,0)+'Benzin - diesel - hybrid'!K$70)*'Benzin - diesel - hybrid'!K$44*(1+'Benzin - diesel - hybrid'!#REF!/100)^-$B86</f>
        <v>#REF!</v>
      </c>
      <c r="L86" s="273"/>
      <c r="M86" s="273" t="e">
        <f>(IF('Benzin - diesel - hybrid'!M$24="nej",-IF(100-(100+'Benzin - diesel - hybrid'!M$69)*$B86/'Benzin - diesel - hybrid'!M$51&lt;0,0,100-(100+'Benzin - diesel - hybrid'!M$69)*$B86/'Benzin - diesel - hybrid'!M$51)/100*'Benzin - diesel - hybrid'!M$12,0)+'Benzin - diesel - hybrid'!M$70)*'Benzin - diesel - hybrid'!M$44*(1+'Benzin - diesel - hybrid'!#REF!/100)^-$B86</f>
        <v>#REF!</v>
      </c>
      <c r="N86" s="273"/>
      <c r="O86" s="273" t="e">
        <f>(IF('Benzin - diesel - hybrid'!O$24="nej",-IF(100-(100+'Benzin - diesel - hybrid'!O$69)*$B86/'Benzin - diesel - hybrid'!O$51&lt;0,0,100-(100+'Benzin - diesel - hybrid'!O$69)*$B86/'Benzin - diesel - hybrid'!O$51)/100*'Benzin - diesel - hybrid'!O$12,0)+'Benzin - diesel - hybrid'!O$70)*'Benzin - diesel - hybrid'!O$44*(1+'Benzin - diesel - hybrid'!#REF!/100)^-$B86</f>
        <v>#REF!</v>
      </c>
      <c r="P86" s="273"/>
      <c r="Q86" s="273" t="e">
        <f>(IF('Benzin - diesel - hybrid'!Q$24="nej",-IF(100-(100+'Benzin - diesel - hybrid'!Q$69)*$B86/'Benzin - diesel - hybrid'!Q$51&lt;0,0,100-(100+'Benzin - diesel - hybrid'!Q$69)*$B86/'Benzin - diesel - hybrid'!Q$51)/100*'Benzin - diesel - hybrid'!Q$12,0)+'Benzin - diesel - hybrid'!Q$70)*'Benzin - diesel - hybrid'!Q$44*(1+'Benzin - diesel - hybrid'!#REF!/100)^-$B86</f>
        <v>#REF!</v>
      </c>
      <c r="R86" s="273"/>
      <c r="S86" s="273" t="e">
        <f>(IF('Benzin - diesel - hybrid'!S$24="nej",-IF(100-(100+'Benzin - diesel - hybrid'!S$69)*$B86/'Benzin - diesel - hybrid'!S$51&lt;0,0,100-(100+'Benzin - diesel - hybrid'!S$69)*$B86/'Benzin - diesel - hybrid'!S$51)/100*'Benzin - diesel - hybrid'!S$12,0)+'Benzin - diesel - hybrid'!S$70)*'Benzin - diesel - hybrid'!S$44*(1+'Benzin - diesel - hybrid'!#REF!/100)^-$B86</f>
        <v>#REF!</v>
      </c>
      <c r="U86" s="273" t="e">
        <f>(IF('Benzin - diesel - hybrid'!Y$24="nej",-IF(100-(100+'Benzin - diesel - hybrid'!Y$69)*$B86/'Benzin - diesel - hybrid'!Y$51&lt;0,0,100-(100+'Benzin - diesel - hybrid'!Y$69)*$B86/'Benzin - diesel - hybrid'!Y$51)/100*'Benzin - diesel - hybrid'!Y$12,0)+'Benzin - diesel - hybrid'!Y$70)*'Benzin - diesel - hybrid'!Y$44*(1+'Benzin - diesel - hybrid'!#REF!/100)^-$B86</f>
        <v>#REF!</v>
      </c>
      <c r="W86" s="273" t="e">
        <f>(IF('Benzin - diesel - hybrid'!AA$24="nej",-IF(100-(100+'Benzin - diesel - hybrid'!AA$69)*$B86/'Benzin - diesel - hybrid'!AA$51&lt;0,0,100-(100+'Benzin - diesel - hybrid'!AA$69)*$B86/'Benzin - diesel - hybrid'!AA$51)/100*'Benzin - diesel - hybrid'!AA$12,0)+'Benzin - diesel - hybrid'!AA$70)*'Benzin - diesel - hybrid'!AA$44*(1+'Benzin - diesel - hybrid'!#REF!/100)^-$B86</f>
        <v>#REF!</v>
      </c>
    </row>
    <row r="87" spans="1:23" hidden="1" outlineLevel="1">
      <c r="A87" s="249"/>
      <c r="B87" s="272">
        <v>15</v>
      </c>
      <c r="C87" s="272">
        <f t="shared" si="4"/>
        <v>15</v>
      </c>
      <c r="D87" s="249"/>
      <c r="E87" s="273" t="e">
        <f>(IF('Benzin - diesel - hybrid'!E$24="nej",-IF(100-(100+'Benzin - diesel - hybrid'!E$69)*$B87/'Benzin - diesel - hybrid'!E$51&lt;0,0,100-(100+'Benzin - diesel - hybrid'!E$69)*$B87/'Benzin - diesel - hybrid'!E$51)/100*'Benzin - diesel - hybrid'!E$12,0)+'Benzin - diesel - hybrid'!E$70)*'Benzin - diesel - hybrid'!E$44*(1+'Benzin - diesel - hybrid'!#REF!/100)^-$B87</f>
        <v>#REF!</v>
      </c>
      <c r="F87" s="273"/>
      <c r="G87" s="273" t="e">
        <f>(IF('Benzin - diesel - hybrid'!G$24="nej",-IF(100-(100+'Benzin - diesel - hybrid'!G$69)*$B87/'Benzin - diesel - hybrid'!G$51&lt;0,0,100-(100+'Benzin - diesel - hybrid'!G$69)*$B87/'Benzin - diesel - hybrid'!G$51)/100*'Benzin - diesel - hybrid'!G$12,0)+'Benzin - diesel - hybrid'!G$70)*'Benzin - diesel - hybrid'!G$44*(1+'Benzin - diesel - hybrid'!#REF!/100)^-$B87</f>
        <v>#REF!</v>
      </c>
      <c r="H87" s="273"/>
      <c r="I87" s="273" t="e">
        <f>(IF('Benzin - diesel - hybrid'!I$24="nej",-IF(100-(100+'Benzin - diesel - hybrid'!I$69)*$B87/'Benzin - diesel - hybrid'!I$51&lt;0,0,100-(100+'Benzin - diesel - hybrid'!I$69)*$B87/'Benzin - diesel - hybrid'!I$51)/100*'Benzin - diesel - hybrid'!I$12,0)+'Benzin - diesel - hybrid'!I$70)*'Benzin - diesel - hybrid'!I$44*(1+'Benzin - diesel - hybrid'!#REF!/100)^-$B87</f>
        <v>#REF!</v>
      </c>
      <c r="J87" s="273"/>
      <c r="K87" s="273" t="e">
        <f>(IF('Benzin - diesel - hybrid'!K$24="nej",-IF(100-(100+'Benzin - diesel - hybrid'!K$69)*$B87/'Benzin - diesel - hybrid'!K$51&lt;0,0,100-(100+'Benzin - diesel - hybrid'!K$69)*$B87/'Benzin - diesel - hybrid'!K$51)/100*'Benzin - diesel - hybrid'!K$12,0)+'Benzin - diesel - hybrid'!K$70)*'Benzin - diesel - hybrid'!K$44*(1+'Benzin - diesel - hybrid'!#REF!/100)^-$B87</f>
        <v>#REF!</v>
      </c>
      <c r="L87" s="273"/>
      <c r="M87" s="273" t="e">
        <f>(IF('Benzin - diesel - hybrid'!M$24="nej",-IF(100-(100+'Benzin - diesel - hybrid'!M$69)*$B87/'Benzin - diesel - hybrid'!M$51&lt;0,0,100-(100+'Benzin - diesel - hybrid'!M$69)*$B87/'Benzin - diesel - hybrid'!M$51)/100*'Benzin - diesel - hybrid'!M$12,0)+'Benzin - diesel - hybrid'!M$70)*'Benzin - diesel - hybrid'!M$44*(1+'Benzin - diesel - hybrid'!#REF!/100)^-$B87</f>
        <v>#REF!</v>
      </c>
      <c r="N87" s="273"/>
      <c r="O87" s="273" t="e">
        <f>(IF('Benzin - diesel - hybrid'!O$24="nej",-IF(100-(100+'Benzin - diesel - hybrid'!O$69)*$B87/'Benzin - diesel - hybrid'!O$51&lt;0,0,100-(100+'Benzin - diesel - hybrid'!O$69)*$B87/'Benzin - diesel - hybrid'!O$51)/100*'Benzin - diesel - hybrid'!O$12,0)+'Benzin - diesel - hybrid'!O$70)*'Benzin - diesel - hybrid'!O$44*(1+'Benzin - diesel - hybrid'!#REF!/100)^-$B87</f>
        <v>#REF!</v>
      </c>
      <c r="P87" s="273"/>
      <c r="Q87" s="273" t="e">
        <f>(IF('Benzin - diesel - hybrid'!Q$24="nej",-IF(100-(100+'Benzin - diesel - hybrid'!Q$69)*$B87/'Benzin - diesel - hybrid'!Q$51&lt;0,0,100-(100+'Benzin - diesel - hybrid'!Q$69)*$B87/'Benzin - diesel - hybrid'!Q$51)/100*'Benzin - diesel - hybrid'!Q$12,0)+'Benzin - diesel - hybrid'!Q$70)*'Benzin - diesel - hybrid'!Q$44*(1+'Benzin - diesel - hybrid'!#REF!/100)^-$B87</f>
        <v>#REF!</v>
      </c>
      <c r="R87" s="273"/>
      <c r="S87" s="273" t="e">
        <f>(IF('Benzin - diesel - hybrid'!S$24="nej",-IF(100-(100+'Benzin - diesel - hybrid'!S$69)*$B87/'Benzin - diesel - hybrid'!S$51&lt;0,0,100-(100+'Benzin - diesel - hybrid'!S$69)*$B87/'Benzin - diesel - hybrid'!S$51)/100*'Benzin - diesel - hybrid'!S$12,0)+'Benzin - diesel - hybrid'!S$70)*'Benzin - diesel - hybrid'!S$44*(1+'Benzin - diesel - hybrid'!#REF!/100)^-$B87</f>
        <v>#REF!</v>
      </c>
      <c r="U87" s="273" t="e">
        <f>(IF('Benzin - diesel - hybrid'!Y$24="nej",-IF(100-(100+'Benzin - diesel - hybrid'!Y$69)*$B87/'Benzin - diesel - hybrid'!Y$51&lt;0,0,100-(100+'Benzin - diesel - hybrid'!Y$69)*$B87/'Benzin - diesel - hybrid'!Y$51)/100*'Benzin - diesel - hybrid'!Y$12,0)+'Benzin - diesel - hybrid'!Y$70)*'Benzin - diesel - hybrid'!Y$44*(1+'Benzin - diesel - hybrid'!#REF!/100)^-$B87</f>
        <v>#REF!</v>
      </c>
      <c r="W87" s="273" t="e">
        <f>(IF('Benzin - diesel - hybrid'!AA$24="nej",-IF(100-(100+'Benzin - diesel - hybrid'!AA$69)*$B87/'Benzin - diesel - hybrid'!AA$51&lt;0,0,100-(100+'Benzin - diesel - hybrid'!AA$69)*$B87/'Benzin - diesel - hybrid'!AA$51)/100*'Benzin - diesel - hybrid'!AA$12,0)+'Benzin - diesel - hybrid'!AA$70)*'Benzin - diesel - hybrid'!AA$44*(1+'Benzin - diesel - hybrid'!#REF!/100)^-$B87</f>
        <v>#REF!</v>
      </c>
    </row>
    <row r="88" spans="1:23" hidden="1" outlineLevel="1">
      <c r="A88" s="249"/>
      <c r="B88" s="272">
        <v>16</v>
      </c>
      <c r="C88" s="272">
        <f t="shared" ref="C88:C92" si="5">B88</f>
        <v>16</v>
      </c>
      <c r="D88" s="249"/>
      <c r="E88" s="273" t="e">
        <f>(IF('Benzin - diesel - hybrid'!E$24="nej",-IF(100-(100+'Benzin - diesel - hybrid'!E$69)*$B88/'Benzin - diesel - hybrid'!E$51&lt;0,0,100-(100+'Benzin - diesel - hybrid'!E$69)*$B88/'Benzin - diesel - hybrid'!E$51)/100*'Benzin - diesel - hybrid'!E$12,0)+'Benzin - diesel - hybrid'!E$70)*'Benzin - diesel - hybrid'!E$44*(1+'Benzin - diesel - hybrid'!#REF!/100)^-$B88</f>
        <v>#REF!</v>
      </c>
      <c r="F88" s="273"/>
      <c r="G88" s="273" t="e">
        <f>(IF('Benzin - diesel - hybrid'!G$24="nej",-IF(100-(100+'Benzin - diesel - hybrid'!G$69)*$B88/'Benzin - diesel - hybrid'!G$51&lt;0,0,100-(100+'Benzin - diesel - hybrid'!G$69)*$B88/'Benzin - diesel - hybrid'!G$51)/100*'Benzin - diesel - hybrid'!G$12,0)+'Benzin - diesel - hybrid'!G$70)*'Benzin - diesel - hybrid'!G$44*(1+'Benzin - diesel - hybrid'!#REF!/100)^-$B88</f>
        <v>#REF!</v>
      </c>
      <c r="H88" s="273"/>
      <c r="I88" s="273" t="e">
        <f>(IF('Benzin - diesel - hybrid'!I$24="nej",-IF(100-(100+'Benzin - diesel - hybrid'!I$69)*$B88/'Benzin - diesel - hybrid'!I$51&lt;0,0,100-(100+'Benzin - diesel - hybrid'!I$69)*$B88/'Benzin - diesel - hybrid'!I$51)/100*'Benzin - diesel - hybrid'!I$12,0)+'Benzin - diesel - hybrid'!I$70)*'Benzin - diesel - hybrid'!I$44*(1+'Benzin - diesel - hybrid'!#REF!/100)^-$B88</f>
        <v>#REF!</v>
      </c>
      <c r="J88" s="273"/>
      <c r="K88" s="273" t="e">
        <f>(IF('Benzin - diesel - hybrid'!K$24="nej",-IF(100-(100+'Benzin - diesel - hybrid'!K$69)*$B88/'Benzin - diesel - hybrid'!K$51&lt;0,0,100-(100+'Benzin - diesel - hybrid'!K$69)*$B88/'Benzin - diesel - hybrid'!K$51)/100*'Benzin - diesel - hybrid'!K$12,0)+'Benzin - diesel - hybrid'!K$70)*'Benzin - diesel - hybrid'!K$44*(1+'Benzin - diesel - hybrid'!#REF!/100)^-$B88</f>
        <v>#REF!</v>
      </c>
      <c r="L88" s="273"/>
      <c r="M88" s="273" t="e">
        <f>(IF('Benzin - diesel - hybrid'!M$24="nej",-IF(100-(100+'Benzin - diesel - hybrid'!M$69)*$B88/'Benzin - diesel - hybrid'!M$51&lt;0,0,100-(100+'Benzin - diesel - hybrid'!M$69)*$B88/'Benzin - diesel - hybrid'!M$51)/100*'Benzin - diesel - hybrid'!M$12,0)+'Benzin - diesel - hybrid'!M$70)*'Benzin - diesel - hybrid'!M$44*(1+'Benzin - diesel - hybrid'!#REF!/100)^-$B88</f>
        <v>#REF!</v>
      </c>
      <c r="N88" s="273"/>
      <c r="O88" s="273" t="e">
        <f>(IF('Benzin - diesel - hybrid'!O$24="nej",-IF(100-(100+'Benzin - diesel - hybrid'!O$69)*$B88/'Benzin - diesel - hybrid'!O$51&lt;0,0,100-(100+'Benzin - diesel - hybrid'!O$69)*$B88/'Benzin - diesel - hybrid'!O$51)/100*'Benzin - diesel - hybrid'!O$12,0)+'Benzin - diesel - hybrid'!O$70)*'Benzin - diesel - hybrid'!O$44*(1+'Benzin - diesel - hybrid'!#REF!/100)^-$B88</f>
        <v>#REF!</v>
      </c>
      <c r="P88" s="273"/>
      <c r="Q88" s="273" t="e">
        <f>(IF('Benzin - diesel - hybrid'!Q$24="nej",-IF(100-(100+'Benzin - diesel - hybrid'!Q$69)*$B88/'Benzin - diesel - hybrid'!Q$51&lt;0,0,100-(100+'Benzin - diesel - hybrid'!Q$69)*$B88/'Benzin - diesel - hybrid'!Q$51)/100*'Benzin - diesel - hybrid'!Q$12,0)+'Benzin - diesel - hybrid'!Q$70)*'Benzin - diesel - hybrid'!Q$44*(1+'Benzin - diesel - hybrid'!#REF!/100)^-$B88</f>
        <v>#REF!</v>
      </c>
      <c r="R88" s="273"/>
      <c r="S88" s="273" t="e">
        <f>(IF('Benzin - diesel - hybrid'!S$24="nej",-IF(100-(100+'Benzin - diesel - hybrid'!S$69)*$B88/'Benzin - diesel - hybrid'!S$51&lt;0,0,100-(100+'Benzin - diesel - hybrid'!S$69)*$B88/'Benzin - diesel - hybrid'!S$51)/100*'Benzin - diesel - hybrid'!S$12,0)+'Benzin - diesel - hybrid'!S$70)*'Benzin - diesel - hybrid'!S$44*(1+'Benzin - diesel - hybrid'!#REF!/100)^-$B88</f>
        <v>#REF!</v>
      </c>
      <c r="U88" s="273" t="e">
        <f>(IF('Benzin - diesel - hybrid'!Y$24="nej",-IF(100-(100+'Benzin - diesel - hybrid'!Y$69)*$B88/'Benzin - diesel - hybrid'!Y$51&lt;0,0,100-(100+'Benzin - diesel - hybrid'!Y$69)*$B88/'Benzin - diesel - hybrid'!Y$51)/100*'Benzin - diesel - hybrid'!Y$12,0)+'Benzin - diesel - hybrid'!Y$70)*'Benzin - diesel - hybrid'!Y$44*(1+'Benzin - diesel - hybrid'!#REF!/100)^-$B88</f>
        <v>#REF!</v>
      </c>
      <c r="W88" s="273" t="e">
        <f>(IF('Benzin - diesel - hybrid'!AA$24="nej",-IF(100-(100+'Benzin - diesel - hybrid'!AA$69)*$B88/'Benzin - diesel - hybrid'!AA$51&lt;0,0,100-(100+'Benzin - diesel - hybrid'!AA$69)*$B88/'Benzin - diesel - hybrid'!AA$51)/100*'Benzin - diesel - hybrid'!AA$12,0)+'Benzin - diesel - hybrid'!AA$70)*'Benzin - diesel - hybrid'!AA$44*(1+'Benzin - diesel - hybrid'!#REF!/100)^-$B88</f>
        <v>#REF!</v>
      </c>
    </row>
    <row r="89" spans="1:23" hidden="1" outlineLevel="1">
      <c r="A89" s="249"/>
      <c r="B89" s="272">
        <v>17</v>
      </c>
      <c r="C89" s="272">
        <f t="shared" si="5"/>
        <v>17</v>
      </c>
      <c r="D89" s="249"/>
      <c r="E89" s="273" t="e">
        <f>(IF('Benzin - diesel - hybrid'!E$24="nej",-IF(100-(100+'Benzin - diesel - hybrid'!E$69)*$B89/'Benzin - diesel - hybrid'!E$51&lt;0,0,100-(100+'Benzin - diesel - hybrid'!E$69)*$B89/'Benzin - diesel - hybrid'!E$51)/100*'Benzin - diesel - hybrid'!E$12,0)+'Benzin - diesel - hybrid'!E$70)*'Benzin - diesel - hybrid'!E$44*(1+'Benzin - diesel - hybrid'!#REF!/100)^-$B89</f>
        <v>#REF!</v>
      </c>
      <c r="F89" s="273"/>
      <c r="G89" s="273" t="e">
        <f>(IF('Benzin - diesel - hybrid'!G$24="nej",-IF(100-(100+'Benzin - diesel - hybrid'!G$69)*$B89/'Benzin - diesel - hybrid'!G$51&lt;0,0,100-(100+'Benzin - diesel - hybrid'!G$69)*$B89/'Benzin - diesel - hybrid'!G$51)/100*'Benzin - diesel - hybrid'!G$12,0)+'Benzin - diesel - hybrid'!G$70)*'Benzin - diesel - hybrid'!G$44*(1+'Benzin - diesel - hybrid'!#REF!/100)^-$B89</f>
        <v>#REF!</v>
      </c>
      <c r="H89" s="273"/>
      <c r="I89" s="273" t="e">
        <f>(IF('Benzin - diesel - hybrid'!I$24="nej",-IF(100-(100+'Benzin - diesel - hybrid'!I$69)*$B89/'Benzin - diesel - hybrid'!I$51&lt;0,0,100-(100+'Benzin - diesel - hybrid'!I$69)*$B89/'Benzin - diesel - hybrid'!I$51)/100*'Benzin - diesel - hybrid'!I$12,0)+'Benzin - diesel - hybrid'!I$70)*'Benzin - diesel - hybrid'!I$44*(1+'Benzin - diesel - hybrid'!#REF!/100)^-$B89</f>
        <v>#REF!</v>
      </c>
      <c r="J89" s="273"/>
      <c r="K89" s="273" t="e">
        <f>(IF('Benzin - diesel - hybrid'!K$24="nej",-IF(100-(100+'Benzin - diesel - hybrid'!K$69)*$B89/'Benzin - diesel - hybrid'!K$51&lt;0,0,100-(100+'Benzin - diesel - hybrid'!K$69)*$B89/'Benzin - diesel - hybrid'!K$51)/100*'Benzin - diesel - hybrid'!K$12,0)+'Benzin - diesel - hybrid'!K$70)*'Benzin - diesel - hybrid'!K$44*(1+'Benzin - diesel - hybrid'!#REF!/100)^-$B89</f>
        <v>#REF!</v>
      </c>
      <c r="L89" s="273"/>
      <c r="M89" s="273" t="e">
        <f>(IF('Benzin - diesel - hybrid'!M$24="nej",-IF(100-(100+'Benzin - diesel - hybrid'!M$69)*$B89/'Benzin - diesel - hybrid'!M$51&lt;0,0,100-(100+'Benzin - diesel - hybrid'!M$69)*$B89/'Benzin - diesel - hybrid'!M$51)/100*'Benzin - diesel - hybrid'!M$12,0)+'Benzin - diesel - hybrid'!M$70)*'Benzin - diesel - hybrid'!M$44*(1+'Benzin - diesel - hybrid'!#REF!/100)^-$B89</f>
        <v>#REF!</v>
      </c>
      <c r="N89" s="273"/>
      <c r="O89" s="273" t="e">
        <f>(IF('Benzin - diesel - hybrid'!O$24="nej",-IF(100-(100+'Benzin - diesel - hybrid'!O$69)*$B89/'Benzin - diesel - hybrid'!O$51&lt;0,0,100-(100+'Benzin - diesel - hybrid'!O$69)*$B89/'Benzin - diesel - hybrid'!O$51)/100*'Benzin - diesel - hybrid'!O$12,0)+'Benzin - diesel - hybrid'!O$70)*'Benzin - diesel - hybrid'!O$44*(1+'Benzin - diesel - hybrid'!#REF!/100)^-$B89</f>
        <v>#REF!</v>
      </c>
      <c r="P89" s="273"/>
      <c r="Q89" s="273" t="e">
        <f>(IF('Benzin - diesel - hybrid'!Q$24="nej",-IF(100-(100+'Benzin - diesel - hybrid'!Q$69)*$B89/'Benzin - diesel - hybrid'!Q$51&lt;0,0,100-(100+'Benzin - diesel - hybrid'!Q$69)*$B89/'Benzin - diesel - hybrid'!Q$51)/100*'Benzin - diesel - hybrid'!Q$12,0)+'Benzin - diesel - hybrid'!Q$70)*'Benzin - diesel - hybrid'!Q$44*(1+'Benzin - diesel - hybrid'!#REF!/100)^-$B89</f>
        <v>#REF!</v>
      </c>
      <c r="R89" s="273"/>
      <c r="S89" s="273" t="e">
        <f>(IF('Benzin - diesel - hybrid'!S$24="nej",-IF(100-(100+'Benzin - diesel - hybrid'!S$69)*$B89/'Benzin - diesel - hybrid'!S$51&lt;0,0,100-(100+'Benzin - diesel - hybrid'!S$69)*$B89/'Benzin - diesel - hybrid'!S$51)/100*'Benzin - diesel - hybrid'!S$12,0)+'Benzin - diesel - hybrid'!S$70)*'Benzin - diesel - hybrid'!S$44*(1+'Benzin - diesel - hybrid'!#REF!/100)^-$B89</f>
        <v>#REF!</v>
      </c>
      <c r="U89" s="273" t="e">
        <f>(IF('Benzin - diesel - hybrid'!Y$24="nej",-IF(100-(100+'Benzin - diesel - hybrid'!Y$69)*$B89/'Benzin - diesel - hybrid'!Y$51&lt;0,0,100-(100+'Benzin - diesel - hybrid'!Y$69)*$B89/'Benzin - diesel - hybrid'!Y$51)/100*'Benzin - diesel - hybrid'!Y$12,0)+'Benzin - diesel - hybrid'!Y$70)*'Benzin - diesel - hybrid'!Y$44*(1+'Benzin - diesel - hybrid'!#REF!/100)^-$B89</f>
        <v>#REF!</v>
      </c>
      <c r="W89" s="273" t="e">
        <f>(IF('Benzin - diesel - hybrid'!AA$24="nej",-IF(100-(100+'Benzin - diesel - hybrid'!AA$69)*$B89/'Benzin - diesel - hybrid'!AA$51&lt;0,0,100-(100+'Benzin - diesel - hybrid'!AA$69)*$B89/'Benzin - diesel - hybrid'!AA$51)/100*'Benzin - diesel - hybrid'!AA$12,0)+'Benzin - diesel - hybrid'!AA$70)*'Benzin - diesel - hybrid'!AA$44*(1+'Benzin - diesel - hybrid'!#REF!/100)^-$B89</f>
        <v>#REF!</v>
      </c>
    </row>
    <row r="90" spans="1:23" hidden="1" outlineLevel="1">
      <c r="A90" s="249"/>
      <c r="B90" s="272">
        <v>18</v>
      </c>
      <c r="C90" s="272">
        <f t="shared" si="5"/>
        <v>18</v>
      </c>
      <c r="D90" s="249"/>
      <c r="E90" s="273" t="e">
        <f>(IF('Benzin - diesel - hybrid'!E$24="nej",-IF(100-(100+'Benzin - diesel - hybrid'!E$69)*$B90/'Benzin - diesel - hybrid'!E$51&lt;0,0,100-(100+'Benzin - diesel - hybrid'!E$69)*$B90/'Benzin - diesel - hybrid'!E$51)/100*'Benzin - diesel - hybrid'!E$12,0)+'Benzin - diesel - hybrid'!E$70)*'Benzin - diesel - hybrid'!E$44*(1+'Benzin - diesel - hybrid'!#REF!/100)^-$B90</f>
        <v>#REF!</v>
      </c>
      <c r="F90" s="273"/>
      <c r="G90" s="273" t="e">
        <f>(IF('Benzin - diesel - hybrid'!G$24="nej",-IF(100-(100+'Benzin - diesel - hybrid'!G$69)*$B90/'Benzin - diesel - hybrid'!G$51&lt;0,0,100-(100+'Benzin - diesel - hybrid'!G$69)*$B90/'Benzin - diesel - hybrid'!G$51)/100*'Benzin - diesel - hybrid'!G$12,0)+'Benzin - diesel - hybrid'!G$70)*'Benzin - diesel - hybrid'!G$44*(1+'Benzin - diesel - hybrid'!#REF!/100)^-$B90</f>
        <v>#REF!</v>
      </c>
      <c r="H90" s="273"/>
      <c r="I90" s="273" t="e">
        <f>(IF('Benzin - diesel - hybrid'!I$24="nej",-IF(100-(100+'Benzin - diesel - hybrid'!I$69)*$B90/'Benzin - diesel - hybrid'!I$51&lt;0,0,100-(100+'Benzin - diesel - hybrid'!I$69)*$B90/'Benzin - diesel - hybrid'!I$51)/100*'Benzin - diesel - hybrid'!I$12,0)+'Benzin - diesel - hybrid'!I$70)*'Benzin - diesel - hybrid'!I$44*(1+'Benzin - diesel - hybrid'!#REF!/100)^-$B90</f>
        <v>#REF!</v>
      </c>
      <c r="J90" s="273"/>
      <c r="K90" s="273" t="e">
        <f>(IF('Benzin - diesel - hybrid'!K$24="nej",-IF(100-(100+'Benzin - diesel - hybrid'!K$69)*$B90/'Benzin - diesel - hybrid'!K$51&lt;0,0,100-(100+'Benzin - diesel - hybrid'!K$69)*$B90/'Benzin - diesel - hybrid'!K$51)/100*'Benzin - diesel - hybrid'!K$12,0)+'Benzin - diesel - hybrid'!K$70)*'Benzin - diesel - hybrid'!K$44*(1+'Benzin - diesel - hybrid'!#REF!/100)^-$B90</f>
        <v>#REF!</v>
      </c>
      <c r="L90" s="273"/>
      <c r="M90" s="273" t="e">
        <f>(IF('Benzin - diesel - hybrid'!M$24="nej",-IF(100-(100+'Benzin - diesel - hybrid'!M$69)*$B90/'Benzin - diesel - hybrid'!M$51&lt;0,0,100-(100+'Benzin - diesel - hybrid'!M$69)*$B90/'Benzin - diesel - hybrid'!M$51)/100*'Benzin - diesel - hybrid'!M$12,0)+'Benzin - diesel - hybrid'!M$70)*'Benzin - diesel - hybrid'!M$44*(1+'Benzin - diesel - hybrid'!#REF!/100)^-$B90</f>
        <v>#REF!</v>
      </c>
      <c r="N90" s="273"/>
      <c r="O90" s="273" t="e">
        <f>(IF('Benzin - diesel - hybrid'!O$24="nej",-IF(100-(100+'Benzin - diesel - hybrid'!O$69)*$B90/'Benzin - diesel - hybrid'!O$51&lt;0,0,100-(100+'Benzin - diesel - hybrid'!O$69)*$B90/'Benzin - diesel - hybrid'!O$51)/100*'Benzin - diesel - hybrid'!O$12,0)+'Benzin - diesel - hybrid'!O$70)*'Benzin - diesel - hybrid'!O$44*(1+'Benzin - diesel - hybrid'!#REF!/100)^-$B90</f>
        <v>#REF!</v>
      </c>
      <c r="P90" s="273"/>
      <c r="Q90" s="273" t="e">
        <f>(IF('Benzin - diesel - hybrid'!Q$24="nej",-IF(100-(100+'Benzin - diesel - hybrid'!Q$69)*$B90/'Benzin - diesel - hybrid'!Q$51&lt;0,0,100-(100+'Benzin - diesel - hybrid'!Q$69)*$B90/'Benzin - diesel - hybrid'!Q$51)/100*'Benzin - diesel - hybrid'!Q$12,0)+'Benzin - diesel - hybrid'!Q$70)*'Benzin - diesel - hybrid'!Q$44*(1+'Benzin - diesel - hybrid'!#REF!/100)^-$B90</f>
        <v>#REF!</v>
      </c>
      <c r="R90" s="273"/>
      <c r="S90" s="273" t="e">
        <f>(IF('Benzin - diesel - hybrid'!S$24="nej",-IF(100-(100+'Benzin - diesel - hybrid'!S$69)*$B90/'Benzin - diesel - hybrid'!S$51&lt;0,0,100-(100+'Benzin - diesel - hybrid'!S$69)*$B90/'Benzin - diesel - hybrid'!S$51)/100*'Benzin - diesel - hybrid'!S$12,0)+'Benzin - diesel - hybrid'!S$70)*'Benzin - diesel - hybrid'!S$44*(1+'Benzin - diesel - hybrid'!#REF!/100)^-$B90</f>
        <v>#REF!</v>
      </c>
      <c r="U90" s="273" t="e">
        <f>(IF('Benzin - diesel - hybrid'!Y$24="nej",-IF(100-(100+'Benzin - diesel - hybrid'!Y$69)*$B90/'Benzin - diesel - hybrid'!Y$51&lt;0,0,100-(100+'Benzin - diesel - hybrid'!Y$69)*$B90/'Benzin - diesel - hybrid'!Y$51)/100*'Benzin - diesel - hybrid'!Y$12,0)+'Benzin - diesel - hybrid'!Y$70)*'Benzin - diesel - hybrid'!Y$44*(1+'Benzin - diesel - hybrid'!#REF!/100)^-$B90</f>
        <v>#REF!</v>
      </c>
      <c r="W90" s="273" t="e">
        <f>(IF('Benzin - diesel - hybrid'!AA$24="nej",-IF(100-(100+'Benzin - diesel - hybrid'!AA$69)*$B90/'Benzin - diesel - hybrid'!AA$51&lt;0,0,100-(100+'Benzin - diesel - hybrid'!AA$69)*$B90/'Benzin - diesel - hybrid'!AA$51)/100*'Benzin - diesel - hybrid'!AA$12,0)+'Benzin - diesel - hybrid'!AA$70)*'Benzin - diesel - hybrid'!AA$44*(1+'Benzin - diesel - hybrid'!#REF!/100)^-$B90</f>
        <v>#REF!</v>
      </c>
    </row>
    <row r="91" spans="1:23" hidden="1" outlineLevel="1">
      <c r="A91" s="249"/>
      <c r="B91" s="272">
        <v>19</v>
      </c>
      <c r="C91" s="272">
        <f t="shared" si="5"/>
        <v>19</v>
      </c>
      <c r="D91" s="249"/>
      <c r="E91" s="273" t="e">
        <f>(IF('Benzin - diesel - hybrid'!E$24="nej",-IF(100-(100+'Benzin - diesel - hybrid'!E$69)*$B91/'Benzin - diesel - hybrid'!E$51&lt;0,0,100-(100+'Benzin - diesel - hybrid'!E$69)*$B91/'Benzin - diesel - hybrid'!E$51)/100*'Benzin - diesel - hybrid'!E$12,0)+'Benzin - diesel - hybrid'!E$70)*'Benzin - diesel - hybrid'!E$44*(1+'Benzin - diesel - hybrid'!#REF!/100)^-$B91</f>
        <v>#REF!</v>
      </c>
      <c r="F91" s="273"/>
      <c r="G91" s="273" t="e">
        <f>(IF('Benzin - diesel - hybrid'!G$24="nej",-IF(100-(100+'Benzin - diesel - hybrid'!G$69)*$B91/'Benzin - diesel - hybrid'!G$51&lt;0,0,100-(100+'Benzin - diesel - hybrid'!G$69)*$B91/'Benzin - diesel - hybrid'!G$51)/100*'Benzin - diesel - hybrid'!G$12,0)+'Benzin - diesel - hybrid'!G$70)*'Benzin - diesel - hybrid'!G$44*(1+'Benzin - diesel - hybrid'!#REF!/100)^-$B91</f>
        <v>#REF!</v>
      </c>
      <c r="H91" s="273"/>
      <c r="I91" s="273" t="e">
        <f>(IF('Benzin - diesel - hybrid'!I$24="nej",-IF(100-(100+'Benzin - diesel - hybrid'!I$69)*$B91/'Benzin - diesel - hybrid'!I$51&lt;0,0,100-(100+'Benzin - diesel - hybrid'!I$69)*$B91/'Benzin - diesel - hybrid'!I$51)/100*'Benzin - diesel - hybrid'!I$12,0)+'Benzin - diesel - hybrid'!I$70)*'Benzin - diesel - hybrid'!I$44*(1+'Benzin - diesel - hybrid'!#REF!/100)^-$B91</f>
        <v>#REF!</v>
      </c>
      <c r="J91" s="273"/>
      <c r="K91" s="273" t="e">
        <f>(IF('Benzin - diesel - hybrid'!K$24="nej",-IF(100-(100+'Benzin - diesel - hybrid'!K$69)*$B91/'Benzin - diesel - hybrid'!K$51&lt;0,0,100-(100+'Benzin - diesel - hybrid'!K$69)*$B91/'Benzin - diesel - hybrid'!K$51)/100*'Benzin - diesel - hybrid'!K$12,0)+'Benzin - diesel - hybrid'!K$70)*'Benzin - diesel - hybrid'!K$44*(1+'Benzin - diesel - hybrid'!#REF!/100)^-$B91</f>
        <v>#REF!</v>
      </c>
      <c r="L91" s="273"/>
      <c r="M91" s="273" t="e">
        <f>(IF('Benzin - diesel - hybrid'!M$24="nej",-IF(100-(100+'Benzin - diesel - hybrid'!M$69)*$B91/'Benzin - diesel - hybrid'!M$51&lt;0,0,100-(100+'Benzin - diesel - hybrid'!M$69)*$B91/'Benzin - diesel - hybrid'!M$51)/100*'Benzin - diesel - hybrid'!M$12,0)+'Benzin - diesel - hybrid'!M$70)*'Benzin - diesel - hybrid'!M$44*(1+'Benzin - diesel - hybrid'!#REF!/100)^-$B91</f>
        <v>#REF!</v>
      </c>
      <c r="N91" s="273"/>
      <c r="O91" s="273" t="e">
        <f>(IF('Benzin - diesel - hybrid'!O$24="nej",-IF(100-(100+'Benzin - diesel - hybrid'!O$69)*$B91/'Benzin - diesel - hybrid'!O$51&lt;0,0,100-(100+'Benzin - diesel - hybrid'!O$69)*$B91/'Benzin - diesel - hybrid'!O$51)/100*'Benzin - diesel - hybrid'!O$12,0)+'Benzin - diesel - hybrid'!O$70)*'Benzin - diesel - hybrid'!O$44*(1+'Benzin - diesel - hybrid'!#REF!/100)^-$B91</f>
        <v>#REF!</v>
      </c>
      <c r="P91" s="273"/>
      <c r="Q91" s="273" t="e">
        <f>(IF('Benzin - diesel - hybrid'!Q$24="nej",-IF(100-(100+'Benzin - diesel - hybrid'!Q$69)*$B91/'Benzin - diesel - hybrid'!Q$51&lt;0,0,100-(100+'Benzin - diesel - hybrid'!Q$69)*$B91/'Benzin - diesel - hybrid'!Q$51)/100*'Benzin - diesel - hybrid'!Q$12,0)+'Benzin - diesel - hybrid'!Q$70)*'Benzin - diesel - hybrid'!Q$44*(1+'Benzin - diesel - hybrid'!#REF!/100)^-$B91</f>
        <v>#REF!</v>
      </c>
      <c r="R91" s="273"/>
      <c r="S91" s="273" t="e">
        <f>(IF('Benzin - diesel - hybrid'!S$24="nej",-IF(100-(100+'Benzin - diesel - hybrid'!S$69)*$B91/'Benzin - diesel - hybrid'!S$51&lt;0,0,100-(100+'Benzin - diesel - hybrid'!S$69)*$B91/'Benzin - diesel - hybrid'!S$51)/100*'Benzin - diesel - hybrid'!S$12,0)+'Benzin - diesel - hybrid'!S$70)*'Benzin - diesel - hybrid'!S$44*(1+'Benzin - diesel - hybrid'!#REF!/100)^-$B91</f>
        <v>#REF!</v>
      </c>
      <c r="U91" s="273" t="e">
        <f>(IF('Benzin - diesel - hybrid'!Y$24="nej",-IF(100-(100+'Benzin - diesel - hybrid'!Y$69)*$B91/'Benzin - diesel - hybrid'!Y$51&lt;0,0,100-(100+'Benzin - diesel - hybrid'!Y$69)*$B91/'Benzin - diesel - hybrid'!Y$51)/100*'Benzin - diesel - hybrid'!Y$12,0)+'Benzin - diesel - hybrid'!Y$70)*'Benzin - diesel - hybrid'!Y$44*(1+'Benzin - diesel - hybrid'!#REF!/100)^-$B91</f>
        <v>#REF!</v>
      </c>
      <c r="W91" s="273" t="e">
        <f>(IF('Benzin - diesel - hybrid'!AA$24="nej",-IF(100-(100+'Benzin - diesel - hybrid'!AA$69)*$B91/'Benzin - diesel - hybrid'!AA$51&lt;0,0,100-(100+'Benzin - diesel - hybrid'!AA$69)*$B91/'Benzin - diesel - hybrid'!AA$51)/100*'Benzin - diesel - hybrid'!AA$12,0)+'Benzin - diesel - hybrid'!AA$70)*'Benzin - diesel - hybrid'!AA$44*(1+'Benzin - diesel - hybrid'!#REF!/100)^-$B91</f>
        <v>#REF!</v>
      </c>
    </row>
    <row r="92" spans="1:23" hidden="1" outlineLevel="1">
      <c r="A92" s="249"/>
      <c r="B92" s="272">
        <v>20</v>
      </c>
      <c r="C92" s="272">
        <f t="shared" si="5"/>
        <v>20</v>
      </c>
      <c r="D92" s="249"/>
      <c r="E92" s="273" t="e">
        <f>(IF('Benzin - diesel - hybrid'!E$24="nej",-IF(100-(100+'Benzin - diesel - hybrid'!E$69)*$B92/'Benzin - diesel - hybrid'!E$51&lt;0,0,100-(100+'Benzin - diesel - hybrid'!E$69)*$B92/'Benzin - diesel - hybrid'!E$51)/100*'Benzin - diesel - hybrid'!E$12,0)+'Benzin - diesel - hybrid'!E$70)*'Benzin - diesel - hybrid'!E$44*(1+'Benzin - diesel - hybrid'!#REF!/100)^-$B92</f>
        <v>#REF!</v>
      </c>
      <c r="F92" s="273"/>
      <c r="G92" s="273" t="e">
        <f>(IF('Benzin - diesel - hybrid'!G$24="nej",-IF(100-(100+'Benzin - diesel - hybrid'!G$69)*$B92/'Benzin - diesel - hybrid'!G$51&lt;0,0,100-(100+'Benzin - diesel - hybrid'!G$69)*$B92/'Benzin - diesel - hybrid'!G$51)/100*'Benzin - diesel - hybrid'!G$12,0)+'Benzin - diesel - hybrid'!G$70)*'Benzin - diesel - hybrid'!G$44*(1+'Benzin - diesel - hybrid'!#REF!/100)^-$B92</f>
        <v>#REF!</v>
      </c>
      <c r="H92" s="273"/>
      <c r="I92" s="273" t="e">
        <f>(IF('Benzin - diesel - hybrid'!I$24="nej",-IF(100-(100+'Benzin - diesel - hybrid'!I$69)*$B92/'Benzin - diesel - hybrid'!I$51&lt;0,0,100-(100+'Benzin - diesel - hybrid'!I$69)*$B92/'Benzin - diesel - hybrid'!I$51)/100*'Benzin - diesel - hybrid'!I$12,0)+'Benzin - diesel - hybrid'!I$70)*'Benzin - diesel - hybrid'!I$44*(1+'Benzin - diesel - hybrid'!#REF!/100)^-$B92</f>
        <v>#REF!</v>
      </c>
      <c r="J92" s="273"/>
      <c r="K92" s="273" t="e">
        <f>(IF('Benzin - diesel - hybrid'!K$24="nej",-IF(100-(100+'Benzin - diesel - hybrid'!K$69)*$B92/'Benzin - diesel - hybrid'!K$51&lt;0,0,100-(100+'Benzin - diesel - hybrid'!K$69)*$B92/'Benzin - diesel - hybrid'!K$51)/100*'Benzin - diesel - hybrid'!K$12,0)+'Benzin - diesel - hybrid'!K$70)*'Benzin - diesel - hybrid'!K$44*(1+'Benzin - diesel - hybrid'!#REF!/100)^-$B92</f>
        <v>#REF!</v>
      </c>
      <c r="L92" s="273"/>
      <c r="M92" s="273" t="e">
        <f>(IF('Benzin - diesel - hybrid'!M$24="nej",-IF(100-(100+'Benzin - diesel - hybrid'!M$69)*$B92/'Benzin - diesel - hybrid'!M$51&lt;0,0,100-(100+'Benzin - diesel - hybrid'!M$69)*$B92/'Benzin - diesel - hybrid'!M$51)/100*'Benzin - diesel - hybrid'!M$12,0)+'Benzin - diesel - hybrid'!M$70)*'Benzin - diesel - hybrid'!M$44*(1+'Benzin - diesel - hybrid'!#REF!/100)^-$B92</f>
        <v>#REF!</v>
      </c>
      <c r="N92" s="273"/>
      <c r="O92" s="273" t="e">
        <f>(IF('Benzin - diesel - hybrid'!O$24="nej",-IF(100-(100+'Benzin - diesel - hybrid'!O$69)*$B92/'Benzin - diesel - hybrid'!O$51&lt;0,0,100-(100+'Benzin - diesel - hybrid'!O$69)*$B92/'Benzin - diesel - hybrid'!O$51)/100*'Benzin - diesel - hybrid'!O$12,0)+'Benzin - diesel - hybrid'!O$70)*'Benzin - diesel - hybrid'!O$44*(1+'Benzin - diesel - hybrid'!#REF!/100)^-$B92</f>
        <v>#REF!</v>
      </c>
      <c r="P92" s="273"/>
      <c r="Q92" s="273" t="e">
        <f>(IF('Benzin - diesel - hybrid'!Q$24="nej",-IF(100-(100+'Benzin - diesel - hybrid'!Q$69)*$B92/'Benzin - diesel - hybrid'!Q$51&lt;0,0,100-(100+'Benzin - diesel - hybrid'!Q$69)*$B92/'Benzin - diesel - hybrid'!Q$51)/100*'Benzin - diesel - hybrid'!Q$12,0)+'Benzin - diesel - hybrid'!Q$70)*'Benzin - diesel - hybrid'!Q$44*(1+'Benzin - diesel - hybrid'!#REF!/100)^-$B92</f>
        <v>#REF!</v>
      </c>
      <c r="R92" s="273"/>
      <c r="S92" s="273" t="e">
        <f>(IF('Benzin - diesel - hybrid'!S$24="nej",-IF(100-(100+'Benzin - diesel - hybrid'!S$69)*$B92/'Benzin - diesel - hybrid'!S$51&lt;0,0,100-(100+'Benzin - diesel - hybrid'!S$69)*$B92/'Benzin - diesel - hybrid'!S$51)/100*'Benzin - diesel - hybrid'!S$12,0)+'Benzin - diesel - hybrid'!S$70)*'Benzin - diesel - hybrid'!S$44*(1+'Benzin - diesel - hybrid'!#REF!/100)^-$B92</f>
        <v>#REF!</v>
      </c>
      <c r="U92" s="273" t="e">
        <f>(IF('Benzin - diesel - hybrid'!Y$24="nej",-IF(100-(100+'Benzin - diesel - hybrid'!Y$69)*$B92/'Benzin - diesel - hybrid'!Y$51&lt;0,0,100-(100+'Benzin - diesel - hybrid'!Y$69)*$B92/'Benzin - diesel - hybrid'!Y$51)/100*'Benzin - diesel - hybrid'!Y$12,0)+'Benzin - diesel - hybrid'!Y$70)*'Benzin - diesel - hybrid'!Y$44*(1+'Benzin - diesel - hybrid'!#REF!/100)^-$B92</f>
        <v>#REF!</v>
      </c>
      <c r="W92" s="273" t="e">
        <f>(IF('Benzin - diesel - hybrid'!AA$24="nej",-IF(100-(100+'Benzin - diesel - hybrid'!AA$69)*$B92/'Benzin - diesel - hybrid'!AA$51&lt;0,0,100-(100+'Benzin - diesel - hybrid'!AA$69)*$B92/'Benzin - diesel - hybrid'!AA$51)/100*'Benzin - diesel - hybrid'!AA$12,0)+'Benzin - diesel - hybrid'!AA$70)*'Benzin - diesel - hybrid'!AA$44*(1+'Benzin - diesel - hybrid'!#REF!/100)^-$B92</f>
        <v>#REF!</v>
      </c>
    </row>
    <row r="93" spans="1:23" hidden="1" outlineLevel="1">
      <c r="A93" s="249"/>
      <c r="B93" s="272"/>
      <c r="C93" s="272"/>
      <c r="D93" s="249"/>
      <c r="E93" s="249"/>
      <c r="F93" s="249"/>
      <c r="G93" s="249"/>
      <c r="H93" s="249"/>
      <c r="I93" s="249"/>
      <c r="J93" s="249"/>
      <c r="K93" s="249"/>
      <c r="L93" s="249"/>
      <c r="M93" s="249"/>
      <c r="N93" s="249"/>
      <c r="O93" s="249"/>
      <c r="P93" s="249"/>
      <c r="Q93" s="249"/>
      <c r="R93" s="249"/>
      <c r="S93" s="249"/>
      <c r="U93" s="249"/>
      <c r="W93" s="249"/>
    </row>
    <row r="94" spans="1:23" collapsed="1">
      <c r="A94" s="137" t="s">
        <v>34</v>
      </c>
      <c r="B94" s="1"/>
      <c r="C94" s="1"/>
      <c r="D94" s="1"/>
      <c r="E94" s="1"/>
      <c r="F94" s="1"/>
      <c r="G94" s="1"/>
      <c r="H94" s="1"/>
      <c r="I94" s="1"/>
      <c r="J94" s="1"/>
      <c r="K94" s="1"/>
      <c r="L94" s="1"/>
      <c r="M94" s="1"/>
      <c r="N94" s="1"/>
      <c r="O94" s="1"/>
      <c r="P94" s="1"/>
      <c r="Q94" s="1"/>
      <c r="R94" s="1"/>
      <c r="S94" s="1"/>
      <c r="U94" s="1"/>
      <c r="W94" s="1"/>
    </row>
    <row r="95" spans="1:23">
      <c r="A95" s="1"/>
      <c r="B95" s="506" t="s">
        <v>20</v>
      </c>
      <c r="C95" s="1"/>
      <c r="D95" s="1" t="s">
        <v>21</v>
      </c>
      <c r="E95" s="504" t="str">
        <f>E25</f>
        <v>PRODUKT 1</v>
      </c>
      <c r="G95" s="504" t="str">
        <f>G25</f>
        <v>PRODUKT 2</v>
      </c>
      <c r="I95" s="504" t="str">
        <f>I25</f>
        <v>PRODUKT 3</v>
      </c>
      <c r="K95" s="504" t="str">
        <f>K25</f>
        <v>PRODUKT 4</v>
      </c>
      <c r="M95" s="504" t="str">
        <f>M25</f>
        <v>PRODUKT 5</v>
      </c>
      <c r="O95" s="504" t="str">
        <f>O25</f>
        <v>PRODUKT 6</v>
      </c>
      <c r="Q95" s="504" t="str">
        <f>Q25</f>
        <v>PRODUKT 7</v>
      </c>
      <c r="S95" s="504" t="str">
        <f>S25</f>
        <v>PRODUKT 8</v>
      </c>
      <c r="U95" s="504" t="str">
        <f>U25</f>
        <v>PRODUKT 9</v>
      </c>
      <c r="W95" s="504" t="str">
        <f>W25</f>
        <v>PRODUKT 10</v>
      </c>
    </row>
    <row r="96" spans="1:23">
      <c r="A96" s="1"/>
      <c r="B96" s="140">
        <v>1</v>
      </c>
      <c r="C96" s="140">
        <f>B96</f>
        <v>1</v>
      </c>
      <c r="D96" s="140"/>
      <c r="E96" s="507">
        <f>PMT('Benzin - diesel - hybrid'!E$52,$B96,IF($B96='Benzin - diesel - hybrid'!E$51,-E$26,-(E$26+'Benzin - diesel - hybrid'!E$80)))</f>
        <v>0</v>
      </c>
      <c r="F96" s="507"/>
      <c r="G96" s="507">
        <f>PMT('Benzin - diesel - hybrid'!G$52,$B96,IF($B96='Benzin - diesel - hybrid'!G$51,-G$26,-(G$26+'Benzin - diesel - hybrid'!G$80)))</f>
        <v>0</v>
      </c>
      <c r="H96" s="507"/>
      <c r="I96" s="507">
        <f>PMT('Benzin - diesel - hybrid'!I$52,$B96,IF($B96='Benzin - diesel - hybrid'!I$51,-I$26,-(I$26+'Benzin - diesel - hybrid'!I$80)))</f>
        <v>0</v>
      </c>
      <c r="J96" s="507"/>
      <c r="K96" s="507">
        <f>PMT('Benzin - diesel - hybrid'!K$52,$B96,IF($B96='Benzin - diesel - hybrid'!K$51,-K$26,-(K$26+'Benzin - diesel - hybrid'!K$80)))</f>
        <v>0</v>
      </c>
      <c r="L96" s="507"/>
      <c r="M96" s="507">
        <f>PMT('Benzin - diesel - hybrid'!M$52,$B96,IF($B96='Benzin - diesel - hybrid'!M$51,-M$26,-(M$26+'Benzin - diesel - hybrid'!M$80)))</f>
        <v>0</v>
      </c>
      <c r="N96" s="507"/>
      <c r="O96" s="507">
        <f>PMT('Benzin - diesel - hybrid'!O$52,$B96,IF($B96='Benzin - diesel - hybrid'!O$51,-O$26,-(O$26+'Benzin - diesel - hybrid'!O$80)))</f>
        <v>0</v>
      </c>
      <c r="P96" s="507"/>
      <c r="Q96" s="507">
        <f>PMT('Benzin - diesel - hybrid'!Q$52,$B96,IF($B96='Benzin - diesel - hybrid'!Q$51,-Q$26,-(Q$26+'Benzin - diesel - hybrid'!Q$80)))</f>
        <v>0</v>
      </c>
      <c r="R96" s="507"/>
      <c r="S96" s="507">
        <f>PMT('Benzin - diesel - hybrid'!S$52,$B96,IF($B96='Benzin - diesel - hybrid'!S$51,-S$26,-(S$26+'Benzin - diesel - hybrid'!S$80)))</f>
        <v>0</v>
      </c>
      <c r="U96" s="507">
        <f>PMT('Benzin - diesel - hybrid'!U$52,$B96,IF($B96='Benzin - diesel - hybrid'!U$51,-U$26,-(U$26+'Benzin - diesel - hybrid'!U$80)))</f>
        <v>0</v>
      </c>
      <c r="W96" s="507">
        <f>PMT('Benzin - diesel - hybrid'!W$52,$B96,IF($B96='Benzin - diesel - hybrid'!W$51,-W$26,-(W$26+'Benzin - diesel - hybrid'!W$80)))</f>
        <v>0</v>
      </c>
    </row>
    <row r="97" spans="1:23">
      <c r="A97" s="1"/>
      <c r="B97" s="140">
        <v>2</v>
      </c>
      <c r="C97" s="140">
        <f t="shared" ref="C97:C110" si="6">B97</f>
        <v>2</v>
      </c>
      <c r="D97" s="140"/>
      <c r="E97" s="507">
        <f>PMT('Benzin - diesel - hybrid'!E$52,$B97,IF($B97='Benzin - diesel - hybrid'!E$51,-E$26,-(E$26+'Benzin - diesel - hybrid'!E$80)))</f>
        <v>0</v>
      </c>
      <c r="F97" s="507"/>
      <c r="G97" s="507">
        <f>PMT('Benzin - diesel - hybrid'!G$52,$B97,IF($B97='Benzin - diesel - hybrid'!G$51,-G$26,-(G$26+'Benzin - diesel - hybrid'!G$80)))</f>
        <v>0</v>
      </c>
      <c r="H97" s="507"/>
      <c r="I97" s="507">
        <f>PMT('Benzin - diesel - hybrid'!I$52,$B97,IF($B97='Benzin - diesel - hybrid'!I$51,-I$26,-(I$26+'Benzin - diesel - hybrid'!I$80)))</f>
        <v>0</v>
      </c>
      <c r="J97" s="507"/>
      <c r="K97" s="507">
        <f>PMT('Benzin - diesel - hybrid'!K$52,$B97,IF($B97='Benzin - diesel - hybrid'!K$51,-K$26,-(K$26+'Benzin - diesel - hybrid'!K$80)))</f>
        <v>0</v>
      </c>
      <c r="L97" s="507"/>
      <c r="M97" s="507">
        <f>PMT('Benzin - diesel - hybrid'!M$52,$B97,IF($B97='Benzin - diesel - hybrid'!M$51,-M$26,-(M$26+'Benzin - diesel - hybrid'!M$80)))</f>
        <v>0</v>
      </c>
      <c r="N97" s="507"/>
      <c r="O97" s="507">
        <f>PMT('Benzin - diesel - hybrid'!O$52,$B97,IF($B97='Benzin - diesel - hybrid'!O$51,-O$26,-(O$26+'Benzin - diesel - hybrid'!O$80)))</f>
        <v>0</v>
      </c>
      <c r="P97" s="507"/>
      <c r="Q97" s="507">
        <f>PMT('Benzin - diesel - hybrid'!Q$52,$B97,IF($B97='Benzin - diesel - hybrid'!Q$51,-Q$26,-(Q$26+'Benzin - diesel - hybrid'!Q$80)))</f>
        <v>0</v>
      </c>
      <c r="R97" s="507"/>
      <c r="S97" s="507">
        <f>PMT('Benzin - diesel - hybrid'!S$52,$B97,IF($B97='Benzin - diesel - hybrid'!S$51,-S$26,-(S$26+'Benzin - diesel - hybrid'!S$80)))</f>
        <v>0</v>
      </c>
      <c r="U97" s="507">
        <f>PMT('Benzin - diesel - hybrid'!U$52,$B97,IF($B97='Benzin - diesel - hybrid'!U$51,-U$26,-(U$26+'Benzin - diesel - hybrid'!U$80)))</f>
        <v>0</v>
      </c>
      <c r="W97" s="507">
        <f>PMT('Benzin - diesel - hybrid'!W$52,$B97,IF($B97='Benzin - diesel - hybrid'!W$51,-W$26,-(W$26+'Benzin - diesel - hybrid'!W$80)))</f>
        <v>0</v>
      </c>
    </row>
    <row r="98" spans="1:23">
      <c r="A98" s="1"/>
      <c r="B98" s="140">
        <v>3</v>
      </c>
      <c r="C98" s="140">
        <f t="shared" si="6"/>
        <v>3</v>
      </c>
      <c r="D98" s="140"/>
      <c r="E98" s="507">
        <f>PMT('Benzin - diesel - hybrid'!E$52,$B98,IF($B98='Benzin - diesel - hybrid'!E$51,-E$26,-(E$26+'Benzin - diesel - hybrid'!E$80)))</f>
        <v>0</v>
      </c>
      <c r="F98" s="507"/>
      <c r="G98" s="507">
        <f>PMT('Benzin - diesel - hybrid'!G$52,$B98,IF($B98='Benzin - diesel - hybrid'!G$51,-G$26,-(G$26+'Benzin - diesel - hybrid'!G$80)))</f>
        <v>0</v>
      </c>
      <c r="H98" s="507"/>
      <c r="I98" s="507">
        <f>PMT('Benzin - diesel - hybrid'!I$52,$B98,IF($B98='Benzin - diesel - hybrid'!I$51,-I$26,-(I$26+'Benzin - diesel - hybrid'!I$80)))</f>
        <v>0</v>
      </c>
      <c r="J98" s="507"/>
      <c r="K98" s="507">
        <f>PMT('Benzin - diesel - hybrid'!K$52,$B98,IF($B98='Benzin - diesel - hybrid'!K$51,-K$26,-(K$26+'Benzin - diesel - hybrid'!K$80)))</f>
        <v>0</v>
      </c>
      <c r="L98" s="507"/>
      <c r="M98" s="507">
        <f>PMT('Benzin - diesel - hybrid'!M$52,$B98,IF($B98='Benzin - diesel - hybrid'!M$51,-M$26,-(M$26+'Benzin - diesel - hybrid'!M$80)))</f>
        <v>0</v>
      </c>
      <c r="N98" s="507"/>
      <c r="O98" s="507">
        <f>PMT('Benzin - diesel - hybrid'!O$52,$B98,IF($B98='Benzin - diesel - hybrid'!O$51,-O$26,-(O$26+'Benzin - diesel - hybrid'!O$80)))</f>
        <v>0</v>
      </c>
      <c r="P98" s="507"/>
      <c r="Q98" s="507">
        <f>PMT('Benzin - diesel - hybrid'!Q$52,$B98,IF($B98='Benzin - diesel - hybrid'!Q$51,-Q$26,-(Q$26+'Benzin - diesel - hybrid'!Q$80)))</f>
        <v>0</v>
      </c>
      <c r="R98" s="507"/>
      <c r="S98" s="507">
        <f>PMT('Benzin - diesel - hybrid'!S$52,$B98,IF($B98='Benzin - diesel - hybrid'!S$51,-S$26,-(S$26+'Benzin - diesel - hybrid'!S$80)))</f>
        <v>0</v>
      </c>
      <c r="U98" s="507">
        <f>PMT('Benzin - diesel - hybrid'!U$52,$B98,IF($B98='Benzin - diesel - hybrid'!U$51,-U$26,-(U$26+'Benzin - diesel - hybrid'!U$80)))</f>
        <v>0</v>
      </c>
      <c r="W98" s="507">
        <f>PMT('Benzin - diesel - hybrid'!W$52,$B98,IF($B98='Benzin - diesel - hybrid'!W$51,-W$26,-(W$26+'Benzin - diesel - hybrid'!W$80)))</f>
        <v>0</v>
      </c>
    </row>
    <row r="99" spans="1:23">
      <c r="A99" s="1"/>
      <c r="B99" s="140">
        <v>4</v>
      </c>
      <c r="C99" s="140">
        <f t="shared" si="6"/>
        <v>4</v>
      </c>
      <c r="D99" s="140"/>
      <c r="E99" s="507">
        <f>PMT('Benzin - diesel - hybrid'!E$52,$B99,IF($B99='Benzin - diesel - hybrid'!E$51,-E$26,-(E$26+'Benzin - diesel - hybrid'!E$80)))</f>
        <v>0</v>
      </c>
      <c r="F99" s="507"/>
      <c r="G99" s="507">
        <f>PMT('Benzin - diesel - hybrid'!G$52,$B99,IF($B99='Benzin - diesel - hybrid'!G$51,-G$26,-(G$26+'Benzin - diesel - hybrid'!G$80)))</f>
        <v>0</v>
      </c>
      <c r="H99" s="507"/>
      <c r="I99" s="507">
        <f>PMT('Benzin - diesel - hybrid'!I$52,$B99,IF($B99='Benzin - diesel - hybrid'!I$51,-I$26,-(I$26+'Benzin - diesel - hybrid'!I$80)))</f>
        <v>0</v>
      </c>
      <c r="J99" s="507"/>
      <c r="K99" s="507">
        <f>PMT('Benzin - diesel - hybrid'!K$52,$B99,IF($B99='Benzin - diesel - hybrid'!K$51,-K$26,-(K$26+'Benzin - diesel - hybrid'!K$80)))</f>
        <v>0</v>
      </c>
      <c r="L99" s="507"/>
      <c r="M99" s="507">
        <f>PMT('Benzin - diesel - hybrid'!M$52,$B99,IF($B99='Benzin - diesel - hybrid'!M$51,-M$26,-(M$26+'Benzin - diesel - hybrid'!M$80)))</f>
        <v>0</v>
      </c>
      <c r="N99" s="507"/>
      <c r="O99" s="507">
        <f>PMT('Benzin - diesel - hybrid'!O$52,$B99,IF($B99='Benzin - diesel - hybrid'!O$51,-O$26,-(O$26+'Benzin - diesel - hybrid'!O$80)))</f>
        <v>0</v>
      </c>
      <c r="P99" s="507"/>
      <c r="Q99" s="507">
        <f>PMT('Benzin - diesel - hybrid'!Q$52,$B99,IF($B99='Benzin - diesel - hybrid'!Q$51,-Q$26,-(Q$26+'Benzin - diesel - hybrid'!Q$80)))</f>
        <v>0</v>
      </c>
      <c r="R99" s="507"/>
      <c r="S99" s="507">
        <f>PMT('Benzin - diesel - hybrid'!S$52,$B99,IF($B99='Benzin - diesel - hybrid'!S$51,-S$26,-(S$26+'Benzin - diesel - hybrid'!S$80)))</f>
        <v>0</v>
      </c>
      <c r="U99" s="507">
        <f>PMT('Benzin - diesel - hybrid'!U$52,$B99,IF($B99='Benzin - diesel - hybrid'!U$51,-U$26,-(U$26+'Benzin - diesel - hybrid'!U$80)))</f>
        <v>0</v>
      </c>
      <c r="W99" s="507">
        <f>PMT('Benzin - diesel - hybrid'!W$52,$B99,IF($B99='Benzin - diesel - hybrid'!W$51,-W$26,-(W$26+'Benzin - diesel - hybrid'!W$80)))</f>
        <v>0</v>
      </c>
    </row>
    <row r="100" spans="1:23">
      <c r="A100" s="1"/>
      <c r="B100" s="140">
        <v>5</v>
      </c>
      <c r="C100" s="140">
        <f t="shared" si="6"/>
        <v>5</v>
      </c>
      <c r="D100" s="140"/>
      <c r="E100" s="507">
        <f>PMT('Benzin - diesel - hybrid'!E$52,$B100,IF($B100='Benzin - diesel - hybrid'!E$51,-E$26,-(E$26+'Benzin - diesel - hybrid'!E$80)))</f>
        <v>0</v>
      </c>
      <c r="F100" s="507"/>
      <c r="G100" s="507">
        <f>PMT('Benzin - diesel - hybrid'!G$52,$B100,IF($B100='Benzin - diesel - hybrid'!G$51,-G$26,-(G$26+'Benzin - diesel - hybrid'!G$80)))</f>
        <v>0</v>
      </c>
      <c r="H100" s="507"/>
      <c r="I100" s="507">
        <f>PMT('Benzin - diesel - hybrid'!I$52,$B100,IF($B100='Benzin - diesel - hybrid'!I$51,-I$26,-(I$26+'Benzin - diesel - hybrid'!I$80)))</f>
        <v>0</v>
      </c>
      <c r="J100" s="507"/>
      <c r="K100" s="507">
        <f>PMT('Benzin - diesel - hybrid'!K$52,$B100,IF($B100='Benzin - diesel - hybrid'!K$51,-K$26,-(K$26+'Benzin - diesel - hybrid'!K$80)))</f>
        <v>0</v>
      </c>
      <c r="L100" s="507"/>
      <c r="M100" s="507">
        <f>PMT('Benzin - diesel - hybrid'!M$52,$B100,IF($B100='Benzin - diesel - hybrid'!M$51,-M$26,-(M$26+'Benzin - diesel - hybrid'!M$80)))</f>
        <v>0</v>
      </c>
      <c r="N100" s="507"/>
      <c r="O100" s="507">
        <f>PMT('Benzin - diesel - hybrid'!O$52,$B100,IF($B100='Benzin - diesel - hybrid'!O$51,-O$26,-(O$26+'Benzin - diesel - hybrid'!O$80)))</f>
        <v>0</v>
      </c>
      <c r="P100" s="507"/>
      <c r="Q100" s="507">
        <f>PMT('Benzin - diesel - hybrid'!Q$52,$B100,IF($B100='Benzin - diesel - hybrid'!Q$51,-Q$26,-(Q$26+'Benzin - diesel - hybrid'!Q$80)))</f>
        <v>0</v>
      </c>
      <c r="R100" s="507"/>
      <c r="S100" s="507">
        <f>PMT('Benzin - diesel - hybrid'!S$52,$B100,IF($B100='Benzin - diesel - hybrid'!S$51,-S$26,-(S$26+'Benzin - diesel - hybrid'!S$80)))</f>
        <v>0</v>
      </c>
      <c r="U100" s="507">
        <f>PMT('Benzin - diesel - hybrid'!U$52,$B100,IF($B100='Benzin - diesel - hybrid'!U$51,-U$26,-(U$26+'Benzin - diesel - hybrid'!U$80)))</f>
        <v>0</v>
      </c>
      <c r="W100" s="507">
        <f>PMT('Benzin - diesel - hybrid'!W$52,$B100,IF($B100='Benzin - diesel - hybrid'!W$51,-W$26,-(W$26+'Benzin - diesel - hybrid'!W$80)))</f>
        <v>0</v>
      </c>
    </row>
    <row r="101" spans="1:23">
      <c r="A101" s="1"/>
      <c r="B101" s="140">
        <v>6</v>
      </c>
      <c r="C101" s="140">
        <f t="shared" si="6"/>
        <v>6</v>
      </c>
      <c r="D101" s="140"/>
      <c r="E101" s="507">
        <f>PMT('Benzin - diesel - hybrid'!E$52,$B101,IF($B101='Benzin - diesel - hybrid'!E$51,-E$26,-(E$26+'Benzin - diesel - hybrid'!E$80)))</f>
        <v>0</v>
      </c>
      <c r="F101" s="507"/>
      <c r="G101" s="507">
        <f>PMT('Benzin - diesel - hybrid'!G$52,$B101,IF($B101='Benzin - diesel - hybrid'!G$51,-G$26,-(G$26+'Benzin - diesel - hybrid'!G$80)))</f>
        <v>0</v>
      </c>
      <c r="H101" s="507"/>
      <c r="I101" s="507">
        <f>PMT('Benzin - diesel - hybrid'!I$52,$B101,IF($B101='Benzin - diesel - hybrid'!I$51,-I$26,-(I$26+'Benzin - diesel - hybrid'!I$80)))</f>
        <v>0</v>
      </c>
      <c r="J101" s="507"/>
      <c r="K101" s="507">
        <f>PMT('Benzin - diesel - hybrid'!K$52,$B101,IF($B101='Benzin - diesel - hybrid'!K$51,-K$26,-(K$26+'Benzin - diesel - hybrid'!K$80)))</f>
        <v>0</v>
      </c>
      <c r="L101" s="507"/>
      <c r="M101" s="507">
        <f>PMT('Benzin - diesel - hybrid'!M$52,$B101,IF($B101='Benzin - diesel - hybrid'!M$51,-M$26,-(M$26+'Benzin - diesel - hybrid'!M$80)))</f>
        <v>0</v>
      </c>
      <c r="N101" s="507"/>
      <c r="O101" s="507">
        <f>PMT('Benzin - diesel - hybrid'!O$52,$B101,IF($B101='Benzin - diesel - hybrid'!O$51,-O$26,-(O$26+'Benzin - diesel - hybrid'!O$80)))</f>
        <v>0</v>
      </c>
      <c r="P101" s="507"/>
      <c r="Q101" s="507">
        <f>PMT('Benzin - diesel - hybrid'!Q$52,$B101,IF($B101='Benzin - diesel - hybrid'!Q$51,-Q$26,-(Q$26+'Benzin - diesel - hybrid'!Q$80)))</f>
        <v>0</v>
      </c>
      <c r="R101" s="507"/>
      <c r="S101" s="507">
        <f>PMT('Benzin - diesel - hybrid'!S$52,$B101,IF($B101='Benzin - diesel - hybrid'!S$51,-S$26,-(S$26+'Benzin - diesel - hybrid'!S$80)))</f>
        <v>0</v>
      </c>
      <c r="U101" s="507">
        <f>PMT('Benzin - diesel - hybrid'!U$52,$B101,IF($B101='Benzin - diesel - hybrid'!U$51,-U$26,-(U$26+'Benzin - diesel - hybrid'!U$80)))</f>
        <v>0</v>
      </c>
      <c r="W101" s="507">
        <f>PMT('Benzin - diesel - hybrid'!W$52,$B101,IF($B101='Benzin - diesel - hybrid'!W$51,-W$26,-(W$26+'Benzin - diesel - hybrid'!W$80)))</f>
        <v>0</v>
      </c>
    </row>
    <row r="102" spans="1:23">
      <c r="A102" s="1"/>
      <c r="B102" s="140">
        <v>7</v>
      </c>
      <c r="C102" s="140">
        <f t="shared" si="6"/>
        <v>7</v>
      </c>
      <c r="D102" s="140"/>
      <c r="E102" s="507">
        <f>PMT('Benzin - diesel - hybrid'!E$52,$B102,IF($B102='Benzin - diesel - hybrid'!E$51,-E$26,-(E$26+'Benzin - diesel - hybrid'!E$80)))</f>
        <v>0</v>
      </c>
      <c r="F102" s="507"/>
      <c r="G102" s="507">
        <f>PMT('Benzin - diesel - hybrid'!G$52,$B102,IF($B102='Benzin - diesel - hybrid'!G$51,-G$26,-(G$26+'Benzin - diesel - hybrid'!G$80)))</f>
        <v>0</v>
      </c>
      <c r="H102" s="507"/>
      <c r="I102" s="507">
        <f>PMT('Benzin - diesel - hybrid'!I$52,$B102,IF($B102='Benzin - diesel - hybrid'!I$51,-I$26,-(I$26+'Benzin - diesel - hybrid'!I$80)))</f>
        <v>0</v>
      </c>
      <c r="J102" s="507"/>
      <c r="K102" s="507">
        <f>PMT('Benzin - diesel - hybrid'!K$52,$B102,IF($B102='Benzin - diesel - hybrid'!K$51,-K$26,-(K$26+'Benzin - diesel - hybrid'!K$80)))</f>
        <v>0</v>
      </c>
      <c r="L102" s="507"/>
      <c r="M102" s="507">
        <f>PMT('Benzin - diesel - hybrid'!M$52,$B102,IF($B102='Benzin - diesel - hybrid'!M$51,-M$26,-(M$26+'Benzin - diesel - hybrid'!M$80)))</f>
        <v>0</v>
      </c>
      <c r="N102" s="507"/>
      <c r="O102" s="507">
        <f>PMT('Benzin - diesel - hybrid'!O$52,$B102,IF($B102='Benzin - diesel - hybrid'!O$51,-O$26,-(O$26+'Benzin - diesel - hybrid'!O$80)))</f>
        <v>0</v>
      </c>
      <c r="P102" s="507"/>
      <c r="Q102" s="507">
        <f>PMT('Benzin - diesel - hybrid'!Q$52,$B102,IF($B102='Benzin - diesel - hybrid'!Q$51,-Q$26,-(Q$26+'Benzin - diesel - hybrid'!Q$80)))</f>
        <v>0</v>
      </c>
      <c r="R102" s="507"/>
      <c r="S102" s="507">
        <f>PMT('Benzin - diesel - hybrid'!S$52,$B102,IF($B102='Benzin - diesel - hybrid'!S$51,-S$26,-(S$26+'Benzin - diesel - hybrid'!S$80)))</f>
        <v>0</v>
      </c>
      <c r="U102" s="507">
        <f>PMT('Benzin - diesel - hybrid'!U$52,$B102,IF($B102='Benzin - diesel - hybrid'!U$51,-U$26,-(U$26+'Benzin - diesel - hybrid'!U$80)))</f>
        <v>0</v>
      </c>
      <c r="W102" s="507">
        <f>PMT('Benzin - diesel - hybrid'!W$52,$B102,IF($B102='Benzin - diesel - hybrid'!W$51,-W$26,-(W$26+'Benzin - diesel - hybrid'!W$80)))</f>
        <v>0</v>
      </c>
    </row>
    <row r="103" spans="1:23">
      <c r="A103" s="1"/>
      <c r="B103" s="140">
        <v>8</v>
      </c>
      <c r="C103" s="140">
        <f t="shared" si="6"/>
        <v>8</v>
      </c>
      <c r="D103" s="140"/>
      <c r="E103" s="507">
        <f>PMT('Benzin - diesel - hybrid'!E$52,$B103,IF($B103='Benzin - diesel - hybrid'!E$51,-E$26,-(E$26+'Benzin - diesel - hybrid'!E$80)))</f>
        <v>0</v>
      </c>
      <c r="F103" s="507"/>
      <c r="G103" s="507">
        <f>PMT('Benzin - diesel - hybrid'!G$52,$B103,IF($B103='Benzin - diesel - hybrid'!G$51,-G$26,-(G$26+'Benzin - diesel - hybrid'!G$80)))</f>
        <v>0</v>
      </c>
      <c r="H103" s="507"/>
      <c r="I103" s="507">
        <f>PMT('Benzin - diesel - hybrid'!I$52,$B103,IF($B103='Benzin - diesel - hybrid'!I$51,-I$26,-(I$26+'Benzin - diesel - hybrid'!I$80)))</f>
        <v>0</v>
      </c>
      <c r="J103" s="507"/>
      <c r="K103" s="507">
        <f>PMT('Benzin - diesel - hybrid'!K$52,$B103,IF($B103='Benzin - diesel - hybrid'!K$51,-K$26,-(K$26+'Benzin - diesel - hybrid'!K$80)))</f>
        <v>0</v>
      </c>
      <c r="L103" s="507"/>
      <c r="M103" s="507">
        <f>PMT('Benzin - diesel - hybrid'!M$52,$B103,IF($B103='Benzin - diesel - hybrid'!M$51,-M$26,-(M$26+'Benzin - diesel - hybrid'!M$80)))</f>
        <v>0</v>
      </c>
      <c r="N103" s="507"/>
      <c r="O103" s="507">
        <f>PMT('Benzin - diesel - hybrid'!O$52,$B103,IF($B103='Benzin - diesel - hybrid'!O$51,-O$26,-(O$26+'Benzin - diesel - hybrid'!O$80)))</f>
        <v>0</v>
      </c>
      <c r="P103" s="507"/>
      <c r="Q103" s="507">
        <f>PMT('Benzin - diesel - hybrid'!Q$52,$B103,IF($B103='Benzin - diesel - hybrid'!Q$51,-Q$26,-(Q$26+'Benzin - diesel - hybrid'!Q$80)))</f>
        <v>0</v>
      </c>
      <c r="R103" s="507"/>
      <c r="S103" s="507">
        <f>PMT('Benzin - diesel - hybrid'!S$52,$B103,IF($B103='Benzin - diesel - hybrid'!S$51,-S$26,-(S$26+'Benzin - diesel - hybrid'!S$80)))</f>
        <v>0</v>
      </c>
      <c r="U103" s="507">
        <f>PMT('Benzin - diesel - hybrid'!U$52,$B103,IF($B103='Benzin - diesel - hybrid'!U$51,-U$26,-(U$26+'Benzin - diesel - hybrid'!U$80)))</f>
        <v>0</v>
      </c>
      <c r="W103" s="507">
        <f>PMT('Benzin - diesel - hybrid'!W$52,$B103,IF($B103='Benzin - diesel - hybrid'!W$51,-W$26,-(W$26+'Benzin - diesel - hybrid'!W$80)))</f>
        <v>0</v>
      </c>
    </row>
    <row r="104" spans="1:23">
      <c r="A104" s="1"/>
      <c r="B104" s="140">
        <v>9</v>
      </c>
      <c r="C104" s="140">
        <f t="shared" si="6"/>
        <v>9</v>
      </c>
      <c r="D104" s="140"/>
      <c r="E104" s="507">
        <f>PMT('Benzin - diesel - hybrid'!E$52,$B104,IF($B104='Benzin - diesel - hybrid'!E$51,-E$26,-(E$26+'Benzin - diesel - hybrid'!E$80)))</f>
        <v>0</v>
      </c>
      <c r="F104" s="507"/>
      <c r="G104" s="507">
        <f>PMT('Benzin - diesel - hybrid'!G$52,$B104,IF($B104='Benzin - diesel - hybrid'!G$51,-G$26,-(G$26+'Benzin - diesel - hybrid'!G$80)))</f>
        <v>0</v>
      </c>
      <c r="H104" s="507"/>
      <c r="I104" s="507">
        <f>PMT('Benzin - diesel - hybrid'!I$52,$B104,IF($B104='Benzin - diesel - hybrid'!I$51,-I$26,-(I$26+'Benzin - diesel - hybrid'!I$80)))</f>
        <v>0</v>
      </c>
      <c r="J104" s="507"/>
      <c r="K104" s="507">
        <f>PMT('Benzin - diesel - hybrid'!K$52,$B104,IF($B104='Benzin - diesel - hybrid'!K$51,-K$26,-(K$26+'Benzin - diesel - hybrid'!K$80)))</f>
        <v>0</v>
      </c>
      <c r="L104" s="507"/>
      <c r="M104" s="507">
        <f>PMT('Benzin - diesel - hybrid'!M$52,$B104,IF($B104='Benzin - diesel - hybrid'!M$51,-M$26,-(M$26+'Benzin - diesel - hybrid'!M$80)))</f>
        <v>0</v>
      </c>
      <c r="N104" s="507"/>
      <c r="O104" s="507">
        <f>PMT('Benzin - diesel - hybrid'!O$52,$B104,IF($B104='Benzin - diesel - hybrid'!O$51,-O$26,-(O$26+'Benzin - diesel - hybrid'!O$80)))</f>
        <v>0</v>
      </c>
      <c r="P104" s="507"/>
      <c r="Q104" s="507">
        <f>PMT('Benzin - diesel - hybrid'!Q$52,$B104,IF($B104='Benzin - diesel - hybrid'!Q$51,-Q$26,-(Q$26+'Benzin - diesel - hybrid'!Q$80)))</f>
        <v>0</v>
      </c>
      <c r="R104" s="507"/>
      <c r="S104" s="507">
        <f>PMT('Benzin - diesel - hybrid'!S$52,$B104,IF($B104='Benzin - diesel - hybrid'!S$51,-S$26,-(S$26+'Benzin - diesel - hybrid'!S$80)))</f>
        <v>0</v>
      </c>
      <c r="U104" s="507">
        <f>PMT('Benzin - diesel - hybrid'!U$52,$B104,IF($B104='Benzin - diesel - hybrid'!U$51,-U$26,-(U$26+'Benzin - diesel - hybrid'!U$80)))</f>
        <v>0</v>
      </c>
      <c r="W104" s="507">
        <f>PMT('Benzin - diesel - hybrid'!W$52,$B104,IF($B104='Benzin - diesel - hybrid'!W$51,-W$26,-(W$26+'Benzin - diesel - hybrid'!W$80)))</f>
        <v>0</v>
      </c>
    </row>
    <row r="105" spans="1:23">
      <c r="A105" s="1"/>
      <c r="B105" s="140">
        <v>10</v>
      </c>
      <c r="C105" s="140">
        <f t="shared" si="6"/>
        <v>10</v>
      </c>
      <c r="D105" s="140"/>
      <c r="E105" s="507">
        <f>PMT('Benzin - diesel - hybrid'!E$52,$B105,IF($B105='Benzin - diesel - hybrid'!E$51,-E$26,-(E$26+'Benzin - diesel - hybrid'!E$80)))</f>
        <v>0</v>
      </c>
      <c r="F105" s="507"/>
      <c r="G105" s="507">
        <f>PMT('Benzin - diesel - hybrid'!G$52,$B105,IF($B105='Benzin - diesel - hybrid'!G$51,-G$26,-(G$26+'Benzin - diesel - hybrid'!G$80)))</f>
        <v>0</v>
      </c>
      <c r="H105" s="507"/>
      <c r="I105" s="507">
        <f>PMT('Benzin - diesel - hybrid'!I$52,$B105,IF($B105='Benzin - diesel - hybrid'!I$51,-I$26,-(I$26+'Benzin - diesel - hybrid'!I$80)))</f>
        <v>0</v>
      </c>
      <c r="J105" s="507"/>
      <c r="K105" s="507">
        <f>PMT('Benzin - diesel - hybrid'!K$52,$B105,IF($B105='Benzin - diesel - hybrid'!K$51,-K$26,-(K$26+'Benzin - diesel - hybrid'!K$80)))</f>
        <v>0</v>
      </c>
      <c r="L105" s="507"/>
      <c r="M105" s="507">
        <f>PMT('Benzin - diesel - hybrid'!M$52,$B105,IF($B105='Benzin - diesel - hybrid'!M$51,-M$26,-(M$26+'Benzin - diesel - hybrid'!M$80)))</f>
        <v>0</v>
      </c>
      <c r="N105" s="507"/>
      <c r="O105" s="507">
        <f>PMT('Benzin - diesel - hybrid'!O$52,$B105,IF($B105='Benzin - diesel - hybrid'!O$51,-O$26,-(O$26+'Benzin - diesel - hybrid'!O$80)))</f>
        <v>0</v>
      </c>
      <c r="P105" s="507"/>
      <c r="Q105" s="507">
        <f>PMT('Benzin - diesel - hybrid'!Q$52,$B105,IF($B105='Benzin - diesel - hybrid'!Q$51,-Q$26,-(Q$26+'Benzin - diesel - hybrid'!Q$80)))</f>
        <v>0</v>
      </c>
      <c r="R105" s="507"/>
      <c r="S105" s="507">
        <f>PMT('Benzin - diesel - hybrid'!S$52,$B105,IF($B105='Benzin - diesel - hybrid'!S$51,-S$26,-(S$26+'Benzin - diesel - hybrid'!S$80)))</f>
        <v>0</v>
      </c>
      <c r="U105" s="507">
        <f>PMT('Benzin - diesel - hybrid'!U$52,$B105,IF($B105='Benzin - diesel - hybrid'!U$51,-U$26,-(U$26+'Benzin - diesel - hybrid'!U$80)))</f>
        <v>0</v>
      </c>
      <c r="W105" s="507">
        <f>PMT('Benzin - diesel - hybrid'!W$52,$B105,IF($B105='Benzin - diesel - hybrid'!W$51,-W$26,-(W$26+'Benzin - diesel - hybrid'!W$80)))</f>
        <v>0</v>
      </c>
    </row>
    <row r="106" spans="1:23">
      <c r="A106" s="1"/>
      <c r="B106" s="140">
        <v>11</v>
      </c>
      <c r="C106" s="140">
        <f t="shared" si="6"/>
        <v>11</v>
      </c>
      <c r="D106" s="140"/>
      <c r="E106" s="507">
        <f>PMT('Benzin - diesel - hybrid'!E$52,$B106,IF($B106='Benzin - diesel - hybrid'!E$51,-E$26,-(E$26+'Benzin - diesel - hybrid'!E$80)))</f>
        <v>0</v>
      </c>
      <c r="F106" s="507"/>
      <c r="G106" s="507">
        <f>PMT('Benzin - diesel - hybrid'!G$52,$B106,IF($B106='Benzin - diesel - hybrid'!G$51,-G$26,-(G$26+'Benzin - diesel - hybrid'!G$80)))</f>
        <v>0</v>
      </c>
      <c r="H106" s="507"/>
      <c r="I106" s="507">
        <f>PMT('Benzin - diesel - hybrid'!I$52,$B106,IF($B106='Benzin - diesel - hybrid'!I$51,-I$26,-(I$26+'Benzin - diesel - hybrid'!I$80)))</f>
        <v>0</v>
      </c>
      <c r="J106" s="507"/>
      <c r="K106" s="507">
        <f>PMT('Benzin - diesel - hybrid'!K$52,$B106,IF($B106='Benzin - diesel - hybrid'!K$51,-K$26,-(K$26+'Benzin - diesel - hybrid'!K$80)))</f>
        <v>0</v>
      </c>
      <c r="L106" s="507"/>
      <c r="M106" s="507">
        <f>PMT('Benzin - diesel - hybrid'!M$52,$B106,IF($B106='Benzin - diesel - hybrid'!M$51,-M$26,-(M$26+'Benzin - diesel - hybrid'!M$80)))</f>
        <v>0</v>
      </c>
      <c r="N106" s="507"/>
      <c r="O106" s="507">
        <f>PMT('Benzin - diesel - hybrid'!O$52,$B106,IF($B106='Benzin - diesel - hybrid'!O$51,-O$26,-(O$26+'Benzin - diesel - hybrid'!O$80)))</f>
        <v>0</v>
      </c>
      <c r="P106" s="507"/>
      <c r="Q106" s="507">
        <f>PMT('Benzin - diesel - hybrid'!Q$52,$B106,IF($B106='Benzin - diesel - hybrid'!Q$51,-Q$26,-(Q$26+'Benzin - diesel - hybrid'!Q$80)))</f>
        <v>0</v>
      </c>
      <c r="R106" s="507"/>
      <c r="S106" s="507">
        <f>PMT('Benzin - diesel - hybrid'!S$52,$B106,IF($B106='Benzin - diesel - hybrid'!S$51,-S$26,-(S$26+'Benzin - diesel - hybrid'!S$80)))</f>
        <v>0</v>
      </c>
      <c r="U106" s="507">
        <f>PMT('Benzin - diesel - hybrid'!U$52,$B106,IF($B106='Benzin - diesel - hybrid'!U$51,-U$26,-(U$26+'Benzin - diesel - hybrid'!U$80)))</f>
        <v>0</v>
      </c>
      <c r="W106" s="507">
        <f>PMT('Benzin - diesel - hybrid'!W$52,$B106,IF($B106='Benzin - diesel - hybrid'!W$51,-W$26,-(W$26+'Benzin - diesel - hybrid'!W$80)))</f>
        <v>0</v>
      </c>
    </row>
    <row r="107" spans="1:23">
      <c r="A107" s="1"/>
      <c r="B107" s="140">
        <v>12</v>
      </c>
      <c r="C107" s="140">
        <f t="shared" si="6"/>
        <v>12</v>
      </c>
      <c r="D107" s="140"/>
      <c r="E107" s="507">
        <f>PMT('Benzin - diesel - hybrid'!E$52,$B107,IF($B107='Benzin - diesel - hybrid'!E$51,-E$26,-(E$26+'Benzin - diesel - hybrid'!E$80)))</f>
        <v>0</v>
      </c>
      <c r="F107" s="507"/>
      <c r="G107" s="507">
        <f>PMT('Benzin - diesel - hybrid'!G$52,$B107,IF($B107='Benzin - diesel - hybrid'!G$51,-G$26,-(G$26+'Benzin - diesel - hybrid'!G$80)))</f>
        <v>0</v>
      </c>
      <c r="H107" s="507"/>
      <c r="I107" s="507">
        <f>PMT('Benzin - diesel - hybrid'!I$52,$B107,IF($B107='Benzin - diesel - hybrid'!I$51,-I$26,-(I$26+'Benzin - diesel - hybrid'!I$80)))</f>
        <v>0</v>
      </c>
      <c r="J107" s="507"/>
      <c r="K107" s="507">
        <f>PMT('Benzin - diesel - hybrid'!K$52,$B107,IF($B107='Benzin - diesel - hybrid'!K$51,-K$26,-(K$26+'Benzin - diesel - hybrid'!K$80)))</f>
        <v>0</v>
      </c>
      <c r="L107" s="507"/>
      <c r="M107" s="507">
        <f>PMT('Benzin - diesel - hybrid'!M$52,$B107,IF($B107='Benzin - diesel - hybrid'!M$51,-M$26,-(M$26+'Benzin - diesel - hybrid'!M$80)))</f>
        <v>0</v>
      </c>
      <c r="N107" s="507"/>
      <c r="O107" s="507">
        <f>PMT('Benzin - diesel - hybrid'!O$52,$B107,IF($B107='Benzin - diesel - hybrid'!O$51,-O$26,-(O$26+'Benzin - diesel - hybrid'!O$80)))</f>
        <v>0</v>
      </c>
      <c r="P107" s="507"/>
      <c r="Q107" s="507">
        <f>PMT('Benzin - diesel - hybrid'!Q$52,$B107,IF($B107='Benzin - diesel - hybrid'!Q$51,-Q$26,-(Q$26+'Benzin - diesel - hybrid'!Q$80)))</f>
        <v>0</v>
      </c>
      <c r="R107" s="507"/>
      <c r="S107" s="507">
        <f>PMT('Benzin - diesel - hybrid'!S$52,$B107,IF($B107='Benzin - diesel - hybrid'!S$51,-S$26,-(S$26+'Benzin - diesel - hybrid'!S$80)))</f>
        <v>0</v>
      </c>
      <c r="U107" s="507">
        <f>PMT('Benzin - diesel - hybrid'!U$52,$B107,IF($B107='Benzin - diesel - hybrid'!U$51,-U$26,-(U$26+'Benzin - diesel - hybrid'!U$80)))</f>
        <v>0</v>
      </c>
      <c r="W107" s="507">
        <f>PMT('Benzin - diesel - hybrid'!W$52,$B107,IF($B107='Benzin - diesel - hybrid'!W$51,-W$26,-(W$26+'Benzin - diesel - hybrid'!W$80)))</f>
        <v>0</v>
      </c>
    </row>
    <row r="108" spans="1:23">
      <c r="A108" s="1"/>
      <c r="B108" s="140">
        <v>13</v>
      </c>
      <c r="C108" s="140">
        <f t="shared" si="6"/>
        <v>13</v>
      </c>
      <c r="D108" s="140"/>
      <c r="E108" s="507">
        <f>PMT('Benzin - diesel - hybrid'!E$52,$B108,IF($B108='Benzin - diesel - hybrid'!E$51,-E$26,-(E$26+'Benzin - diesel - hybrid'!E$80)))</f>
        <v>0</v>
      </c>
      <c r="F108" s="507"/>
      <c r="G108" s="507">
        <f>PMT('Benzin - diesel - hybrid'!G$52,$B108,IF($B108='Benzin - diesel - hybrid'!G$51,-G$26,-(G$26+'Benzin - diesel - hybrid'!G$80)))</f>
        <v>0</v>
      </c>
      <c r="H108" s="507"/>
      <c r="I108" s="507">
        <f>PMT('Benzin - diesel - hybrid'!I$52,$B108,IF($B108='Benzin - diesel - hybrid'!I$51,-I$26,-(I$26+'Benzin - diesel - hybrid'!I$80)))</f>
        <v>0</v>
      </c>
      <c r="J108" s="507"/>
      <c r="K108" s="507">
        <f>PMT('Benzin - diesel - hybrid'!K$52,$B108,IF($B108='Benzin - diesel - hybrid'!K$51,-K$26,-(K$26+'Benzin - diesel - hybrid'!K$80)))</f>
        <v>0</v>
      </c>
      <c r="L108" s="507"/>
      <c r="M108" s="507">
        <f>PMT('Benzin - diesel - hybrid'!M$52,$B108,IF($B108='Benzin - diesel - hybrid'!M$51,-M$26,-(M$26+'Benzin - diesel - hybrid'!M$80)))</f>
        <v>0</v>
      </c>
      <c r="N108" s="507"/>
      <c r="O108" s="507">
        <f>PMT('Benzin - diesel - hybrid'!O$52,$B108,IF($B108='Benzin - diesel - hybrid'!O$51,-O$26,-(O$26+'Benzin - diesel - hybrid'!O$80)))</f>
        <v>0</v>
      </c>
      <c r="P108" s="507"/>
      <c r="Q108" s="507">
        <f>PMT('Benzin - diesel - hybrid'!Q$52,$B108,IF($B108='Benzin - diesel - hybrid'!Q$51,-Q$26,-(Q$26+'Benzin - diesel - hybrid'!Q$80)))</f>
        <v>0</v>
      </c>
      <c r="R108" s="507"/>
      <c r="S108" s="507">
        <f>PMT('Benzin - diesel - hybrid'!S$52,$B108,IF($B108='Benzin - diesel - hybrid'!S$51,-S$26,-(S$26+'Benzin - diesel - hybrid'!S$80)))</f>
        <v>0</v>
      </c>
      <c r="U108" s="507">
        <f>PMT('Benzin - diesel - hybrid'!U$52,$B108,IF($B108='Benzin - diesel - hybrid'!U$51,-U$26,-(U$26+'Benzin - diesel - hybrid'!U$80)))</f>
        <v>0</v>
      </c>
      <c r="W108" s="507">
        <f>PMT('Benzin - diesel - hybrid'!W$52,$B108,IF($B108='Benzin - diesel - hybrid'!W$51,-W$26,-(W$26+'Benzin - diesel - hybrid'!W$80)))</f>
        <v>0</v>
      </c>
    </row>
    <row r="109" spans="1:23">
      <c r="A109" s="1"/>
      <c r="B109" s="140">
        <v>14</v>
      </c>
      <c r="C109" s="140">
        <f t="shared" si="6"/>
        <v>14</v>
      </c>
      <c r="D109" s="140"/>
      <c r="E109" s="507">
        <f>PMT('Benzin - diesel - hybrid'!E$52,$B109,IF($B109='Benzin - diesel - hybrid'!E$51,-E$26,-(E$26+'Benzin - diesel - hybrid'!E$80)))</f>
        <v>0</v>
      </c>
      <c r="F109" s="507"/>
      <c r="G109" s="507">
        <f>PMT('Benzin - diesel - hybrid'!G$52,$B109,IF($B109='Benzin - diesel - hybrid'!G$51,-G$26,-(G$26+'Benzin - diesel - hybrid'!G$80)))</f>
        <v>0</v>
      </c>
      <c r="H109" s="507"/>
      <c r="I109" s="507">
        <f>PMT('Benzin - diesel - hybrid'!I$52,$B109,IF($B109='Benzin - diesel - hybrid'!I$51,-I$26,-(I$26+'Benzin - diesel - hybrid'!I$80)))</f>
        <v>0</v>
      </c>
      <c r="J109" s="507"/>
      <c r="K109" s="507">
        <f>PMT('Benzin - diesel - hybrid'!K$52,$B109,IF($B109='Benzin - diesel - hybrid'!K$51,-K$26,-(K$26+'Benzin - diesel - hybrid'!K$80)))</f>
        <v>0</v>
      </c>
      <c r="L109" s="507"/>
      <c r="M109" s="507">
        <f>PMT('Benzin - diesel - hybrid'!M$52,$B109,IF($B109='Benzin - diesel - hybrid'!M$51,-M$26,-(M$26+'Benzin - diesel - hybrid'!M$80)))</f>
        <v>0</v>
      </c>
      <c r="N109" s="507"/>
      <c r="O109" s="507">
        <f>PMT('Benzin - diesel - hybrid'!O$52,$B109,IF($B109='Benzin - diesel - hybrid'!O$51,-O$26,-(O$26+'Benzin - diesel - hybrid'!O$80)))</f>
        <v>0</v>
      </c>
      <c r="P109" s="507"/>
      <c r="Q109" s="507">
        <f>PMT('Benzin - diesel - hybrid'!Q$52,$B109,IF($B109='Benzin - diesel - hybrid'!Q$51,-Q$26,-(Q$26+'Benzin - diesel - hybrid'!Q$80)))</f>
        <v>0</v>
      </c>
      <c r="R109" s="507"/>
      <c r="S109" s="507">
        <f>PMT('Benzin - diesel - hybrid'!S$52,$B109,IF($B109='Benzin - diesel - hybrid'!S$51,-S$26,-(S$26+'Benzin - diesel - hybrid'!S$80)))</f>
        <v>0</v>
      </c>
      <c r="U109" s="507">
        <f>PMT('Benzin - diesel - hybrid'!U$52,$B109,IF($B109='Benzin - diesel - hybrid'!U$51,-U$26,-(U$26+'Benzin - diesel - hybrid'!U$80)))</f>
        <v>0</v>
      </c>
      <c r="W109" s="507">
        <f>PMT('Benzin - diesel - hybrid'!W$52,$B109,IF($B109='Benzin - diesel - hybrid'!W$51,-W$26,-(W$26+'Benzin - diesel - hybrid'!W$80)))</f>
        <v>0</v>
      </c>
    </row>
    <row r="110" spans="1:23">
      <c r="A110" s="1"/>
      <c r="B110" s="140">
        <v>15</v>
      </c>
      <c r="C110" s="140">
        <f t="shared" si="6"/>
        <v>15</v>
      </c>
      <c r="D110" s="140"/>
      <c r="E110" s="507">
        <f>PMT('Benzin - diesel - hybrid'!E$52,$B110,IF($B110='Benzin - diesel - hybrid'!E$51,-E$26,-(E$26+'Benzin - diesel - hybrid'!E$80)))</f>
        <v>0</v>
      </c>
      <c r="F110" s="507"/>
      <c r="G110" s="507">
        <f>PMT('Benzin - diesel - hybrid'!G$52,$B110,IF($B110='Benzin - diesel - hybrid'!G$51,-G$26,-(G$26+'Benzin - diesel - hybrid'!G$80)))</f>
        <v>0</v>
      </c>
      <c r="H110" s="507"/>
      <c r="I110" s="507">
        <f>PMT('Benzin - diesel - hybrid'!I$52,$B110,IF($B110='Benzin - diesel - hybrid'!I$51,-I$26,-(I$26+'Benzin - diesel - hybrid'!I$80)))</f>
        <v>0</v>
      </c>
      <c r="J110" s="507"/>
      <c r="K110" s="507">
        <f>PMT('Benzin - diesel - hybrid'!K$52,$B110,IF($B110='Benzin - diesel - hybrid'!K$51,-K$26,-(K$26+'Benzin - diesel - hybrid'!K$80)))</f>
        <v>0</v>
      </c>
      <c r="L110" s="507"/>
      <c r="M110" s="507">
        <f>PMT('Benzin - diesel - hybrid'!M$52,$B110,IF($B110='Benzin - diesel - hybrid'!M$51,-M$26,-(M$26+'Benzin - diesel - hybrid'!M$80)))</f>
        <v>0</v>
      </c>
      <c r="N110" s="507"/>
      <c r="O110" s="507">
        <f>PMT('Benzin - diesel - hybrid'!O$52,$B110,IF($B110='Benzin - diesel - hybrid'!O$51,-O$26,-(O$26+'Benzin - diesel - hybrid'!O$80)))</f>
        <v>0</v>
      </c>
      <c r="P110" s="507"/>
      <c r="Q110" s="507">
        <f>PMT('Benzin - diesel - hybrid'!Q$52,$B110,IF($B110='Benzin - diesel - hybrid'!Q$51,-Q$26,-(Q$26+'Benzin - diesel - hybrid'!Q$80)))</f>
        <v>0</v>
      </c>
      <c r="R110" s="507"/>
      <c r="S110" s="507">
        <f>PMT('Benzin - diesel - hybrid'!S$52,$B110,IF($B110='Benzin - diesel - hybrid'!S$51,-S$26,-(S$26+'Benzin - diesel - hybrid'!S$80)))</f>
        <v>0</v>
      </c>
      <c r="U110" s="507">
        <f>PMT('Benzin - diesel - hybrid'!U$52,$B110,IF($B110='Benzin - diesel - hybrid'!U$51,-U$26,-(U$26+'Benzin - diesel - hybrid'!U$80)))</f>
        <v>0</v>
      </c>
      <c r="W110" s="507">
        <f>PMT('Benzin - diesel - hybrid'!W$52,$B110,IF($B110='Benzin - diesel - hybrid'!W$51,-W$26,-(W$26+'Benzin - diesel - hybrid'!W$80)))</f>
        <v>0</v>
      </c>
    </row>
    <row r="111" spans="1:23">
      <c r="B111" s="140">
        <v>16</v>
      </c>
      <c r="C111" s="140">
        <f t="shared" ref="C111:C115" si="7">B111</f>
        <v>16</v>
      </c>
      <c r="E111" s="507">
        <f>PMT('Benzin - diesel - hybrid'!E$52,$B111,IF($B111='Benzin - diesel - hybrid'!E$51,-E$26,-(E$26+'Benzin - diesel - hybrid'!E$80)))</f>
        <v>0</v>
      </c>
      <c r="F111" s="507"/>
      <c r="G111" s="507">
        <f>PMT('Benzin - diesel - hybrid'!G$52,$B111,IF($B111='Benzin - diesel - hybrid'!G$51,-G$26,-(G$26+'Benzin - diesel - hybrid'!G$80)))</f>
        <v>0</v>
      </c>
      <c r="H111" s="507"/>
      <c r="I111" s="507">
        <f>PMT('Benzin - diesel - hybrid'!I$52,$B111,IF($B111='Benzin - diesel - hybrid'!I$51,-I$26,-(I$26+'Benzin - diesel - hybrid'!I$80)))</f>
        <v>0</v>
      </c>
      <c r="J111" s="507"/>
      <c r="K111" s="507">
        <f>PMT('Benzin - diesel - hybrid'!K$52,$B111,IF($B111='Benzin - diesel - hybrid'!K$51,-K$26,-(K$26+'Benzin - diesel - hybrid'!K$80)))</f>
        <v>0</v>
      </c>
      <c r="L111" s="507"/>
      <c r="M111" s="507">
        <f>PMT('Benzin - diesel - hybrid'!M$52,$B111,IF($B111='Benzin - diesel - hybrid'!M$51,-M$26,-(M$26+'Benzin - diesel - hybrid'!M$80)))</f>
        <v>0</v>
      </c>
      <c r="N111" s="507"/>
      <c r="O111" s="507">
        <f>PMT('Benzin - diesel - hybrid'!O$52,$B111,IF($B111='Benzin - diesel - hybrid'!O$51,-O$26,-(O$26+'Benzin - diesel - hybrid'!O$80)))</f>
        <v>0</v>
      </c>
      <c r="P111" s="507"/>
      <c r="Q111" s="507">
        <f>PMT('Benzin - diesel - hybrid'!Q$52,$B111,IF($B111='Benzin - diesel - hybrid'!Q$51,-Q$26,-(Q$26+'Benzin - diesel - hybrid'!Q$80)))</f>
        <v>0</v>
      </c>
      <c r="R111" s="507"/>
      <c r="S111" s="507">
        <f>PMT('Benzin - diesel - hybrid'!S$52,$B111,IF($B111='Benzin - diesel - hybrid'!S$51,-S$26,-(S$26+'Benzin - diesel - hybrid'!S$80)))</f>
        <v>0</v>
      </c>
      <c r="U111" s="507">
        <f>PMT('Benzin - diesel - hybrid'!U$52,$B111,IF($B111='Benzin - diesel - hybrid'!U$51,-U$26,-(U$26+'Benzin - diesel - hybrid'!U$80)))</f>
        <v>0</v>
      </c>
      <c r="W111" s="507">
        <f>PMT('Benzin - diesel - hybrid'!W$52,$B111,IF($B111='Benzin - diesel - hybrid'!W$51,-W$26,-(W$26+'Benzin - diesel - hybrid'!W$80)))</f>
        <v>0</v>
      </c>
    </row>
    <row r="112" spans="1:23">
      <c r="B112" s="140">
        <v>17</v>
      </c>
      <c r="C112" s="140">
        <f t="shared" si="7"/>
        <v>17</v>
      </c>
      <c r="E112" s="507">
        <f>PMT('Benzin - diesel - hybrid'!E$52,$B112,IF($B112='Benzin - diesel - hybrid'!E$51,-E$26,-(E$26+'Benzin - diesel - hybrid'!E$80)))</f>
        <v>0</v>
      </c>
      <c r="F112" s="507"/>
      <c r="G112" s="507">
        <f>PMT('Benzin - diesel - hybrid'!G$52,$B112,IF($B112='Benzin - diesel - hybrid'!G$51,-G$26,-(G$26+'Benzin - diesel - hybrid'!G$80)))</f>
        <v>0</v>
      </c>
      <c r="H112" s="507"/>
      <c r="I112" s="507">
        <f>PMT('Benzin - diesel - hybrid'!I$52,$B112,IF($B112='Benzin - diesel - hybrid'!I$51,-I$26,-(I$26+'Benzin - diesel - hybrid'!I$80)))</f>
        <v>0</v>
      </c>
      <c r="J112" s="507"/>
      <c r="K112" s="507">
        <f>PMT('Benzin - diesel - hybrid'!K$52,$B112,IF($B112='Benzin - diesel - hybrid'!K$51,-K$26,-(K$26+'Benzin - diesel - hybrid'!K$80)))</f>
        <v>0</v>
      </c>
      <c r="L112" s="507"/>
      <c r="M112" s="507">
        <f>PMT('Benzin - diesel - hybrid'!M$52,$B112,IF($B112='Benzin - diesel - hybrid'!M$51,-M$26,-(M$26+'Benzin - diesel - hybrid'!M$80)))</f>
        <v>0</v>
      </c>
      <c r="N112" s="507"/>
      <c r="O112" s="507">
        <f>PMT('Benzin - diesel - hybrid'!O$52,$B112,IF($B112='Benzin - diesel - hybrid'!O$51,-O$26,-(O$26+'Benzin - diesel - hybrid'!O$80)))</f>
        <v>0</v>
      </c>
      <c r="P112" s="507"/>
      <c r="Q112" s="507">
        <f>PMT('Benzin - diesel - hybrid'!Q$52,$B112,IF($B112='Benzin - diesel - hybrid'!Q$51,-Q$26,-(Q$26+'Benzin - diesel - hybrid'!Q$80)))</f>
        <v>0</v>
      </c>
      <c r="R112" s="507"/>
      <c r="S112" s="507">
        <f>PMT('Benzin - diesel - hybrid'!S$52,$B112,IF($B112='Benzin - diesel - hybrid'!S$51,-S$26,-(S$26+'Benzin - diesel - hybrid'!S$80)))</f>
        <v>0</v>
      </c>
      <c r="U112" s="507">
        <f>PMT('Benzin - diesel - hybrid'!U$52,$B112,IF($B112='Benzin - diesel - hybrid'!U$51,-U$26,-(U$26+'Benzin - diesel - hybrid'!U$80)))</f>
        <v>0</v>
      </c>
      <c r="W112" s="507">
        <f>PMT('Benzin - diesel - hybrid'!W$52,$B112,IF($B112='Benzin - diesel - hybrid'!W$51,-W$26,-(W$26+'Benzin - diesel - hybrid'!W$80)))</f>
        <v>0</v>
      </c>
    </row>
    <row r="113" spans="1:24">
      <c r="B113" s="140">
        <v>18</v>
      </c>
      <c r="C113" s="140">
        <f t="shared" si="7"/>
        <v>18</v>
      </c>
      <c r="E113" s="507">
        <f>PMT('Benzin - diesel - hybrid'!E$52,$B113,IF($B113='Benzin - diesel - hybrid'!E$51,-E$26,-(E$26+'Benzin - diesel - hybrid'!E$80)))</f>
        <v>0</v>
      </c>
      <c r="F113" s="507"/>
      <c r="G113" s="507">
        <f>PMT('Benzin - diesel - hybrid'!G$52,$B113,IF($B113='Benzin - diesel - hybrid'!G$51,-G$26,-(G$26+'Benzin - diesel - hybrid'!G$80)))</f>
        <v>0</v>
      </c>
      <c r="H113" s="507"/>
      <c r="I113" s="507">
        <f>PMT('Benzin - diesel - hybrid'!I$52,$B113,IF($B113='Benzin - diesel - hybrid'!I$51,-I$26,-(I$26+'Benzin - diesel - hybrid'!I$80)))</f>
        <v>0</v>
      </c>
      <c r="J113" s="507"/>
      <c r="K113" s="507">
        <f>PMT('Benzin - diesel - hybrid'!K$52,$B113,IF($B113='Benzin - diesel - hybrid'!K$51,-K$26,-(K$26+'Benzin - diesel - hybrid'!K$80)))</f>
        <v>0</v>
      </c>
      <c r="L113" s="507"/>
      <c r="M113" s="507">
        <f>PMT('Benzin - diesel - hybrid'!M$52,$B113,IF($B113='Benzin - diesel - hybrid'!M$51,-M$26,-(M$26+'Benzin - diesel - hybrid'!M$80)))</f>
        <v>0</v>
      </c>
      <c r="N113" s="507"/>
      <c r="O113" s="507">
        <f>PMT('Benzin - diesel - hybrid'!O$52,$B113,IF($B113='Benzin - diesel - hybrid'!O$51,-O$26,-(O$26+'Benzin - diesel - hybrid'!O$80)))</f>
        <v>0</v>
      </c>
      <c r="P113" s="507"/>
      <c r="Q113" s="507">
        <f>PMT('Benzin - diesel - hybrid'!Q$52,$B113,IF($B113='Benzin - diesel - hybrid'!Q$51,-Q$26,-(Q$26+'Benzin - diesel - hybrid'!Q$80)))</f>
        <v>0</v>
      </c>
      <c r="R113" s="507"/>
      <c r="S113" s="507">
        <f>PMT('Benzin - diesel - hybrid'!S$52,$B113,IF($B113='Benzin - diesel - hybrid'!S$51,-S$26,-(S$26+'Benzin - diesel - hybrid'!S$80)))</f>
        <v>0</v>
      </c>
      <c r="U113" s="507">
        <f>PMT('Benzin - diesel - hybrid'!U$52,$B113,IF($B113='Benzin - diesel - hybrid'!U$51,-U$26,-(U$26+'Benzin - diesel - hybrid'!U$80)))</f>
        <v>0</v>
      </c>
      <c r="W113" s="507">
        <f>PMT('Benzin - diesel - hybrid'!W$52,$B113,IF($B113='Benzin - diesel - hybrid'!W$51,-W$26,-(W$26+'Benzin - diesel - hybrid'!W$80)))</f>
        <v>0</v>
      </c>
    </row>
    <row r="114" spans="1:24">
      <c r="B114" s="140">
        <v>19</v>
      </c>
      <c r="C114" s="140">
        <f t="shared" si="7"/>
        <v>19</v>
      </c>
      <c r="E114" s="507">
        <f>PMT('Benzin - diesel - hybrid'!E$52,$B114,IF($B114='Benzin - diesel - hybrid'!E$51,-E$26,-(E$26+'Benzin - diesel - hybrid'!E$80)))</f>
        <v>0</v>
      </c>
      <c r="F114" s="507"/>
      <c r="G114" s="507">
        <f>PMT('Benzin - diesel - hybrid'!G$52,$B114,IF($B114='Benzin - diesel - hybrid'!G$51,-G$26,-(G$26+'Benzin - diesel - hybrid'!G$80)))</f>
        <v>0</v>
      </c>
      <c r="H114" s="507"/>
      <c r="I114" s="507">
        <f>PMT('Benzin - diesel - hybrid'!I$52,$B114,IF($B114='Benzin - diesel - hybrid'!I$51,-I$26,-(I$26+'Benzin - diesel - hybrid'!I$80)))</f>
        <v>0</v>
      </c>
      <c r="J114" s="507"/>
      <c r="K114" s="507">
        <f>PMT('Benzin - diesel - hybrid'!K$52,$B114,IF($B114='Benzin - diesel - hybrid'!K$51,-K$26,-(K$26+'Benzin - diesel - hybrid'!K$80)))</f>
        <v>0</v>
      </c>
      <c r="L114" s="507"/>
      <c r="M114" s="507">
        <f>PMT('Benzin - diesel - hybrid'!M$52,$B114,IF($B114='Benzin - diesel - hybrid'!M$51,-M$26,-(M$26+'Benzin - diesel - hybrid'!M$80)))</f>
        <v>0</v>
      </c>
      <c r="N114" s="507"/>
      <c r="O114" s="507">
        <f>PMT('Benzin - diesel - hybrid'!O$52,$B114,IF($B114='Benzin - diesel - hybrid'!O$51,-O$26,-(O$26+'Benzin - diesel - hybrid'!O$80)))</f>
        <v>0</v>
      </c>
      <c r="P114" s="507"/>
      <c r="Q114" s="507">
        <f>PMT('Benzin - diesel - hybrid'!Q$52,$B114,IF($B114='Benzin - diesel - hybrid'!Q$51,-Q$26,-(Q$26+'Benzin - diesel - hybrid'!Q$80)))</f>
        <v>0</v>
      </c>
      <c r="R114" s="507"/>
      <c r="S114" s="507">
        <f>PMT('Benzin - diesel - hybrid'!S$52,$B114,IF($B114='Benzin - diesel - hybrid'!S$51,-S$26,-(S$26+'Benzin - diesel - hybrid'!S$80)))</f>
        <v>0</v>
      </c>
      <c r="U114" s="507">
        <f>PMT('Benzin - diesel - hybrid'!U$52,$B114,IF($B114='Benzin - diesel - hybrid'!U$51,-U$26,-(U$26+'Benzin - diesel - hybrid'!U$80)))</f>
        <v>0</v>
      </c>
      <c r="W114" s="507">
        <f>PMT('Benzin - diesel - hybrid'!W$52,$B114,IF($B114='Benzin - diesel - hybrid'!W$51,-W$26,-(W$26+'Benzin - diesel - hybrid'!W$80)))</f>
        <v>0</v>
      </c>
    </row>
    <row r="115" spans="1:24">
      <c r="B115" s="140">
        <v>20</v>
      </c>
      <c r="C115" s="140">
        <f t="shared" si="7"/>
        <v>20</v>
      </c>
      <c r="E115" s="507">
        <f>PMT('Benzin - diesel - hybrid'!E$52,$B115,IF($B115='Benzin - diesel - hybrid'!E$51,-E$26,-(E$26+'Benzin - diesel - hybrid'!E$80)))</f>
        <v>0</v>
      </c>
      <c r="F115" s="507"/>
      <c r="G115" s="507">
        <f>PMT('Benzin - diesel - hybrid'!G$52,$B115,IF($B115='Benzin - diesel - hybrid'!G$51,-G$26,-(G$26+'Benzin - diesel - hybrid'!G$80)))</f>
        <v>0</v>
      </c>
      <c r="H115" s="507"/>
      <c r="I115" s="507">
        <f>PMT('Benzin - diesel - hybrid'!I$52,$B115,IF($B115='Benzin - diesel - hybrid'!I$51,-I$26,-(I$26+'Benzin - diesel - hybrid'!I$80)))</f>
        <v>0</v>
      </c>
      <c r="J115" s="507"/>
      <c r="K115" s="507">
        <f>PMT('Benzin - diesel - hybrid'!K$52,$B115,IF($B115='Benzin - diesel - hybrid'!K$51,-K$26,-(K$26+'Benzin - diesel - hybrid'!K$80)))</f>
        <v>0</v>
      </c>
      <c r="L115" s="507"/>
      <c r="M115" s="507">
        <f>PMT('Benzin - diesel - hybrid'!M$52,$B115,IF($B115='Benzin - diesel - hybrid'!M$51,-M$26,-(M$26+'Benzin - diesel - hybrid'!M$80)))</f>
        <v>0</v>
      </c>
      <c r="N115" s="507"/>
      <c r="O115" s="507">
        <f>PMT('Benzin - diesel - hybrid'!O$52,$B115,IF($B115='Benzin - diesel - hybrid'!O$51,-O$26,-(O$26+'Benzin - diesel - hybrid'!O$80)))</f>
        <v>0</v>
      </c>
      <c r="P115" s="507"/>
      <c r="Q115" s="507">
        <f>PMT('Benzin - diesel - hybrid'!Q$52,$B115,IF($B115='Benzin - diesel - hybrid'!Q$51,-Q$26,-(Q$26+'Benzin - diesel - hybrid'!Q$80)))</f>
        <v>0</v>
      </c>
      <c r="R115" s="507"/>
      <c r="S115" s="507">
        <f>PMT('Benzin - diesel - hybrid'!S$52,$B115,IF($B115='Benzin - diesel - hybrid'!S$51,-S$26,-(S$26+'Benzin - diesel - hybrid'!S$80)))</f>
        <v>0</v>
      </c>
      <c r="U115" s="507">
        <f>PMT('Benzin - diesel - hybrid'!U$52,$B115,IF($B115='Benzin - diesel - hybrid'!U$51,-U$26,-(U$26+'Benzin - diesel - hybrid'!U$80)))</f>
        <v>0</v>
      </c>
      <c r="W115" s="507">
        <f>PMT('Benzin - diesel - hybrid'!W$52,$B115,IF($B115='Benzin - diesel - hybrid'!W$51,-W$26,-(W$26+'Benzin - diesel - hybrid'!W$80)))</f>
        <v>0</v>
      </c>
    </row>
    <row r="117" spans="1:24" hidden="1" outlineLevel="1">
      <c r="A117" s="280" t="s">
        <v>91</v>
      </c>
      <c r="B117" s="244"/>
      <c r="C117" s="244"/>
      <c r="D117" s="244"/>
      <c r="E117" s="244"/>
      <c r="F117" s="244"/>
      <c r="G117" s="244"/>
      <c r="H117" s="244"/>
      <c r="I117" s="244"/>
      <c r="J117" s="244"/>
      <c r="K117" s="244"/>
      <c r="L117" s="244"/>
      <c r="M117" s="244"/>
      <c r="N117" s="244"/>
      <c r="O117" s="244"/>
      <c r="P117" s="244"/>
      <c r="Q117" s="244"/>
      <c r="R117" s="244"/>
      <c r="S117" s="244"/>
      <c r="T117" s="281"/>
      <c r="U117" s="244"/>
      <c r="V117" s="281"/>
      <c r="W117" s="244"/>
      <c r="X117" s="281"/>
    </row>
    <row r="118" spans="1:24" ht="43.75" hidden="1" outlineLevel="1">
      <c r="A118" s="282"/>
      <c r="B118" s="283" t="s">
        <v>20</v>
      </c>
      <c r="C118" s="309"/>
      <c r="D118" s="309" t="s">
        <v>21</v>
      </c>
      <c r="E118" s="284" t="str">
        <f>'Benzin - diesel - hybrid'!E8</f>
        <v>PRODUKT 1</v>
      </c>
      <c r="F118" s="310" t="s">
        <v>83</v>
      </c>
      <c r="G118" s="284" t="str">
        <f>'Benzin - diesel - hybrid'!G8</f>
        <v>PRODUKT 2</v>
      </c>
      <c r="H118" s="310" t="s">
        <v>84</v>
      </c>
      <c r="I118" s="284" t="str">
        <f>'Benzin - diesel - hybrid'!I8</f>
        <v>PRODUKT 3</v>
      </c>
      <c r="J118" s="310" t="s">
        <v>85</v>
      </c>
      <c r="K118" s="284" t="str">
        <f>'Benzin - diesel - hybrid'!K8</f>
        <v>PRODUKT 4</v>
      </c>
      <c r="L118" s="310" t="s">
        <v>86</v>
      </c>
      <c r="M118" s="284" t="str">
        <f>'Benzin - diesel - hybrid'!M8</f>
        <v>PRODUKT 5</v>
      </c>
      <c r="N118" s="310" t="s">
        <v>87</v>
      </c>
      <c r="O118" s="284" t="str">
        <f>'Benzin - diesel - hybrid'!O8</f>
        <v>PRODUKT 6</v>
      </c>
      <c r="P118" s="310" t="s">
        <v>88</v>
      </c>
      <c r="Q118" s="284" t="str">
        <f>'Benzin - diesel - hybrid'!Q8</f>
        <v>PRODUKT 7</v>
      </c>
      <c r="R118" s="310" t="s">
        <v>89</v>
      </c>
      <c r="S118" s="284" t="str">
        <f>'Benzin - diesel - hybrid'!S8</f>
        <v>PRODUKT 8</v>
      </c>
      <c r="T118" s="311" t="s">
        <v>90</v>
      </c>
      <c r="U118" s="284">
        <f>'Benzin - diesel - hybrid'!Y8</f>
        <v>0</v>
      </c>
      <c r="V118" s="311" t="s">
        <v>90</v>
      </c>
      <c r="W118" s="284">
        <f>'Benzin - diesel - hybrid'!AA8</f>
        <v>0</v>
      </c>
      <c r="X118" s="311" t="s">
        <v>90</v>
      </c>
    </row>
    <row r="119" spans="1:24" hidden="1" outlineLevel="1">
      <c r="A119" s="312"/>
      <c r="B119" s="285">
        <v>1</v>
      </c>
      <c r="C119" s="285">
        <f>B119</f>
        <v>1</v>
      </c>
      <c r="D119" s="285"/>
      <c r="E119" s="291" t="e">
        <f>'Benzin - diesel - hybrid'!E$44*F119*IF('Benzin - diesel - hybrid'!E$29="nej","",IF('Benzin - diesel - hybrid'!#REF!="ja",VLOOKUP('Benzin - diesel - hybrid'!E$50+($C119-1),Fremskrivninger!$A$9:$L$38,12),'Benzin - diesel - hybrid'!#REF!))/1000</f>
        <v>#REF!</v>
      </c>
      <c r="F119" s="313" t="e">
        <f>('Benzin - diesel - hybrid'!E$16*'Benzin - diesel - hybrid'!E$45*'Benzin - diesel - hybrid'!#REF!/10+'Benzin - diesel - hybrid'!#REF!*365)</f>
        <v>#REF!</v>
      </c>
      <c r="G119" s="291" t="e">
        <f>'Benzin - diesel - hybrid'!G$44*H119*IF('Benzin - diesel - hybrid'!G$29="nej","",IF('Benzin - diesel - hybrid'!#REF!="ja",VLOOKUP('Benzin - diesel - hybrid'!G$50+($C119-1),Fremskrivninger!$A$9:$L$38,12),'Benzin - diesel - hybrid'!#REF!))/1000</f>
        <v>#REF!</v>
      </c>
      <c r="H119" s="313" t="e">
        <f>('Benzin - diesel - hybrid'!G$16*'Benzin - diesel - hybrid'!G$45*'Benzin - diesel - hybrid'!#REF!/10+'Benzin - diesel - hybrid'!#REF!*365)</f>
        <v>#REF!</v>
      </c>
      <c r="I119" s="291" t="e">
        <f>'Benzin - diesel - hybrid'!I$44*J119*IF('Benzin - diesel - hybrid'!I$29="nej","",IF('Benzin - diesel - hybrid'!#REF!="ja",VLOOKUP('Benzin - diesel - hybrid'!I$50+($C119-1),Fremskrivninger!$A$9:$L$38,12),'Benzin - diesel - hybrid'!#REF!))/1000</f>
        <v>#REF!</v>
      </c>
      <c r="J119" s="313" t="e">
        <f>('Benzin - diesel - hybrid'!I$16*'Benzin - diesel - hybrid'!I$45*'Benzin - diesel - hybrid'!#REF!/10+'Benzin - diesel - hybrid'!#REF!*365)</f>
        <v>#REF!</v>
      </c>
      <c r="K119" s="291" t="e">
        <f>'Benzin - diesel - hybrid'!K$44*L119*IF('Benzin - diesel - hybrid'!K$29="nej","",IF('Benzin - diesel - hybrid'!#REF!="ja",VLOOKUP('Benzin - diesel - hybrid'!K$50+($C119-1),Fremskrivninger!$A$9:$L$38,12),'Benzin - diesel - hybrid'!#REF!))/1000</f>
        <v>#REF!</v>
      </c>
      <c r="L119" s="313" t="e">
        <f>('Benzin - diesel - hybrid'!K$16*'Benzin - diesel - hybrid'!K$45*'Benzin - diesel - hybrid'!#REF!/10+'Benzin - diesel - hybrid'!#REF!*365)</f>
        <v>#REF!</v>
      </c>
      <c r="M119" s="291" t="e">
        <f>'Benzin - diesel - hybrid'!M$44*N119*IF('Benzin - diesel - hybrid'!M$29="nej","",IF('Benzin - diesel - hybrid'!#REF!="ja",VLOOKUP('Benzin - diesel - hybrid'!M$50+($C119-1),Fremskrivninger!$A$9:$L$38,12),'Benzin - diesel - hybrid'!#REF!))/1000</f>
        <v>#REF!</v>
      </c>
      <c r="N119" s="313" t="e">
        <f>('Benzin - diesel - hybrid'!M$16*'Benzin - diesel - hybrid'!M$45*'Benzin - diesel - hybrid'!#REF!/10+'Benzin - diesel - hybrid'!#REF!*365)</f>
        <v>#REF!</v>
      </c>
      <c r="O119" s="291" t="e">
        <f>'Benzin - diesel - hybrid'!O$44*P119*IF('Benzin - diesel - hybrid'!O$29="nej","",IF('Benzin - diesel - hybrid'!#REF!="ja",VLOOKUP('Benzin - diesel - hybrid'!O$50+($C119-1),Fremskrivninger!$A$9:$L$38,12),'Benzin - diesel - hybrid'!#REF!))/1000</f>
        <v>#REF!</v>
      </c>
      <c r="P119" s="313" t="e">
        <f>('Benzin - diesel - hybrid'!O$16*'Benzin - diesel - hybrid'!O$45*'Benzin - diesel - hybrid'!#REF!/10+'Benzin - diesel - hybrid'!#REF!*365)</f>
        <v>#REF!</v>
      </c>
      <c r="Q119" s="291" t="e">
        <f>'Benzin - diesel - hybrid'!Q$44*R119*IF('Benzin - diesel - hybrid'!Q$29="nej","",IF('Benzin - diesel - hybrid'!#REF!="ja",VLOOKUP('Benzin - diesel - hybrid'!Q$50+($C119-1),Fremskrivninger!$A$9:$L$38,12),'Benzin - diesel - hybrid'!#REF!))/1000</f>
        <v>#REF!</v>
      </c>
      <c r="R119" s="313" t="e">
        <f>('Benzin - diesel - hybrid'!Q$16*'Benzin - diesel - hybrid'!Q$45*'Benzin - diesel - hybrid'!#REF!/10+'Benzin - diesel - hybrid'!#REF!*365)</f>
        <v>#REF!</v>
      </c>
      <c r="S119" s="291" t="e">
        <f>'Benzin - diesel - hybrid'!S$44*T119*IF('Benzin - diesel - hybrid'!S$29="nej","",IF('Benzin - diesel - hybrid'!#REF!="ja",VLOOKUP('Benzin - diesel - hybrid'!S$50+($C119-1),Fremskrivninger!$A$9:$L$38,12),'Benzin - diesel - hybrid'!#REF!))/1000</f>
        <v>#REF!</v>
      </c>
      <c r="T119" s="313" t="e">
        <f>('Benzin - diesel - hybrid'!S$16*'Benzin - diesel - hybrid'!S$45*'Benzin - diesel - hybrid'!#REF!/10+'Benzin - diesel - hybrid'!#REF!*365)</f>
        <v>#REF!</v>
      </c>
      <c r="U119" s="291" t="e">
        <f>'Benzin - diesel - hybrid'!Y$44*V119*IF('Benzin - diesel - hybrid'!Y$29="nej","",IF('Benzin - diesel - hybrid'!#REF!="ja",VLOOKUP('Benzin - diesel - hybrid'!Y$50+($C119-1),Fremskrivninger!$A$9:$L$38,12),'Benzin - diesel - hybrid'!#REF!))/1000</f>
        <v>#REF!</v>
      </c>
      <c r="V119" s="313" t="e">
        <f>('Benzin - diesel - hybrid'!Y$16*'Benzin - diesel - hybrid'!Y$45*'Benzin - diesel - hybrid'!#REF!/10+'Benzin - diesel - hybrid'!#REF!*365)</f>
        <v>#REF!</v>
      </c>
      <c r="W119" s="291" t="e">
        <f>'Benzin - diesel - hybrid'!AA$44*X119*IF('Benzin - diesel - hybrid'!AA$29="nej","",IF('Benzin - diesel - hybrid'!#REF!="ja",VLOOKUP('Benzin - diesel - hybrid'!AA$50+($C119-1),Fremskrivninger!$A$9:$L$38,12),'Benzin - diesel - hybrid'!#REF!))/1000</f>
        <v>#REF!</v>
      </c>
      <c r="X119" s="313" t="e">
        <f>('Benzin - diesel - hybrid'!AA$16*'Benzin - diesel - hybrid'!AA$45*'Benzin - diesel - hybrid'!#REF!/10+'Benzin - diesel - hybrid'!#REF!*365)</f>
        <v>#REF!</v>
      </c>
    </row>
    <row r="120" spans="1:24" hidden="1" outlineLevel="1">
      <c r="A120" s="312"/>
      <c r="B120" s="285">
        <v>2</v>
      </c>
      <c r="C120" s="285">
        <f t="shared" ref="C120:C138" si="8">B120</f>
        <v>2</v>
      </c>
      <c r="D120" s="285"/>
      <c r="E120" s="291" t="e">
        <f>'Benzin - diesel - hybrid'!E$44*F120*IF('Benzin - diesel - hybrid'!E$29="nej","",IF('Benzin - diesel - hybrid'!#REF!="ja",VLOOKUP('Benzin - diesel - hybrid'!E$50+($C120-1),Fremskrivninger!$A$9:$L$38,12),'Benzin - diesel - hybrid'!#REF!))/1000</f>
        <v>#REF!</v>
      </c>
      <c r="F120" s="313" t="e">
        <f>('Benzin - diesel - hybrid'!E$16*'Benzin - diesel - hybrid'!E$45*'Benzin - diesel - hybrid'!#REF!/10+'Benzin - diesel - hybrid'!#REF!*365)</f>
        <v>#REF!</v>
      </c>
      <c r="G120" s="291" t="e">
        <f>'Benzin - diesel - hybrid'!G$44*H120*IF('Benzin - diesel - hybrid'!G$29="nej","",IF('Benzin - diesel - hybrid'!#REF!="ja",VLOOKUP('Benzin - diesel - hybrid'!G$50+($C120-1),Fremskrivninger!$A$9:$L$38,12),'Benzin - diesel - hybrid'!#REF!))/1000</f>
        <v>#REF!</v>
      </c>
      <c r="H120" s="313" t="e">
        <f>('Benzin - diesel - hybrid'!G$16*'Benzin - diesel - hybrid'!G$45*'Benzin - diesel - hybrid'!#REF!/10+'Benzin - diesel - hybrid'!#REF!*365)</f>
        <v>#REF!</v>
      </c>
      <c r="I120" s="291" t="e">
        <f>'Benzin - diesel - hybrid'!I$44*J120*IF('Benzin - diesel - hybrid'!I$29="nej","",IF('Benzin - diesel - hybrid'!#REF!="ja",VLOOKUP('Benzin - diesel - hybrid'!I$50+($C120-1),Fremskrivninger!$A$9:$L$38,12),'Benzin - diesel - hybrid'!#REF!))/1000</f>
        <v>#REF!</v>
      </c>
      <c r="J120" s="313" t="e">
        <f>('Benzin - diesel - hybrid'!I$16*'Benzin - diesel - hybrid'!I$45*'Benzin - diesel - hybrid'!#REF!/10+'Benzin - diesel - hybrid'!#REF!*365)</f>
        <v>#REF!</v>
      </c>
      <c r="K120" s="291" t="e">
        <f>'Benzin - diesel - hybrid'!K$44*L120*IF('Benzin - diesel - hybrid'!K$29="nej","",IF('Benzin - diesel - hybrid'!#REF!="ja",VLOOKUP('Benzin - diesel - hybrid'!K$50+($C120-1),Fremskrivninger!$A$9:$L$38,12),'Benzin - diesel - hybrid'!#REF!))/1000</f>
        <v>#REF!</v>
      </c>
      <c r="L120" s="313" t="e">
        <f>('Benzin - diesel - hybrid'!K$16*'Benzin - diesel - hybrid'!K$45*'Benzin - diesel - hybrid'!#REF!/10+'Benzin - diesel - hybrid'!#REF!*365)</f>
        <v>#REF!</v>
      </c>
      <c r="M120" s="291" t="e">
        <f>'Benzin - diesel - hybrid'!M$44*N120*IF('Benzin - diesel - hybrid'!M$29="nej","",IF('Benzin - diesel - hybrid'!#REF!="ja",VLOOKUP('Benzin - diesel - hybrid'!M$50+($C120-1),Fremskrivninger!$A$9:$L$38,12),'Benzin - diesel - hybrid'!#REF!))/1000</f>
        <v>#REF!</v>
      </c>
      <c r="N120" s="313" t="e">
        <f>('Benzin - diesel - hybrid'!M$16*'Benzin - diesel - hybrid'!M$45*'Benzin - diesel - hybrid'!#REF!/10+'Benzin - diesel - hybrid'!#REF!*365)</f>
        <v>#REF!</v>
      </c>
      <c r="O120" s="291" t="e">
        <f>'Benzin - diesel - hybrid'!O$44*P120*IF('Benzin - diesel - hybrid'!O$29="nej","",IF('Benzin - diesel - hybrid'!#REF!="ja",VLOOKUP('Benzin - diesel - hybrid'!O$50+($C120-1),Fremskrivninger!$A$9:$L$38,12),'Benzin - diesel - hybrid'!#REF!))/1000</f>
        <v>#REF!</v>
      </c>
      <c r="P120" s="313" t="e">
        <f>('Benzin - diesel - hybrid'!O$16*'Benzin - diesel - hybrid'!O$45*'Benzin - diesel - hybrid'!#REF!/10+'Benzin - diesel - hybrid'!#REF!*365)</f>
        <v>#REF!</v>
      </c>
      <c r="Q120" s="291" t="e">
        <f>'Benzin - diesel - hybrid'!Q$44*R120*IF('Benzin - diesel - hybrid'!Q$29="nej","",IF('Benzin - diesel - hybrid'!#REF!="ja",VLOOKUP('Benzin - diesel - hybrid'!Q$50+($C120-1),Fremskrivninger!$A$9:$L$38,12),'Benzin - diesel - hybrid'!#REF!))/1000</f>
        <v>#REF!</v>
      </c>
      <c r="R120" s="313" t="e">
        <f>('Benzin - diesel - hybrid'!Q$16*'Benzin - diesel - hybrid'!Q$45*'Benzin - diesel - hybrid'!#REF!/10+'Benzin - diesel - hybrid'!#REF!*365)</f>
        <v>#REF!</v>
      </c>
      <c r="S120" s="291" t="e">
        <f>'Benzin - diesel - hybrid'!S$44*T120*IF('Benzin - diesel - hybrid'!S$29="nej","",IF('Benzin - diesel - hybrid'!#REF!="ja",VLOOKUP('Benzin - diesel - hybrid'!S$50+($C120-1),Fremskrivninger!$A$9:$L$38,12),'Benzin - diesel - hybrid'!#REF!))/1000</f>
        <v>#REF!</v>
      </c>
      <c r="T120" s="313" t="e">
        <f>('Benzin - diesel - hybrid'!S$16*'Benzin - diesel - hybrid'!S$45*'Benzin - diesel - hybrid'!#REF!/10+'Benzin - diesel - hybrid'!#REF!*365)</f>
        <v>#REF!</v>
      </c>
      <c r="U120" s="291" t="e">
        <f>'Benzin - diesel - hybrid'!Y$44*V120*IF('Benzin - diesel - hybrid'!Y$29="nej","",IF('Benzin - diesel - hybrid'!#REF!="ja",VLOOKUP('Benzin - diesel - hybrid'!Y$50+($C120-1),Fremskrivninger!$A$9:$L$38,12),'Benzin - diesel - hybrid'!#REF!))/1000</f>
        <v>#REF!</v>
      </c>
      <c r="V120" s="313" t="e">
        <f>('Benzin - diesel - hybrid'!Y$16*'Benzin - diesel - hybrid'!Y$45*'Benzin - diesel - hybrid'!#REF!/10+'Benzin - diesel - hybrid'!#REF!*365)</f>
        <v>#REF!</v>
      </c>
      <c r="W120" s="291" t="e">
        <f>'Benzin - diesel - hybrid'!AA$44*X120*IF('Benzin - diesel - hybrid'!AA$29="nej","",IF('Benzin - diesel - hybrid'!#REF!="ja",VLOOKUP('Benzin - diesel - hybrid'!AA$50+($C120-1),Fremskrivninger!$A$9:$L$38,12),'Benzin - diesel - hybrid'!#REF!))/1000</f>
        <v>#REF!</v>
      </c>
      <c r="X120" s="313" t="e">
        <f>('Benzin - diesel - hybrid'!AA$16*'Benzin - diesel - hybrid'!AA$45*'Benzin - diesel - hybrid'!#REF!/10+'Benzin - diesel - hybrid'!#REF!*365)</f>
        <v>#REF!</v>
      </c>
    </row>
    <row r="121" spans="1:24" hidden="1" outlineLevel="1">
      <c r="A121" s="312"/>
      <c r="B121" s="285">
        <v>3</v>
      </c>
      <c r="C121" s="285">
        <f t="shared" si="8"/>
        <v>3</v>
      </c>
      <c r="D121" s="285"/>
      <c r="E121" s="291" t="e">
        <f>'Benzin - diesel - hybrid'!E$44*F121*IF('Benzin - diesel - hybrid'!E$29="nej","",IF('Benzin - diesel - hybrid'!#REF!="ja",VLOOKUP('Benzin - diesel - hybrid'!E$50+($C121-1),Fremskrivninger!$A$9:$L$38,12),'Benzin - diesel - hybrid'!#REF!))/1000</f>
        <v>#REF!</v>
      </c>
      <c r="F121" s="313" t="e">
        <f>('Benzin - diesel - hybrid'!E$16*'Benzin - diesel - hybrid'!E$45*'Benzin - diesel - hybrid'!#REF!/10+'Benzin - diesel - hybrid'!#REF!*365)</f>
        <v>#REF!</v>
      </c>
      <c r="G121" s="291" t="e">
        <f>'Benzin - diesel - hybrid'!G$44*H121*IF('Benzin - diesel - hybrid'!G$29="nej","",IF('Benzin - diesel - hybrid'!#REF!="ja",VLOOKUP('Benzin - diesel - hybrid'!G$50+($C121-1),Fremskrivninger!$A$9:$L$38,12),'Benzin - diesel - hybrid'!#REF!))/1000</f>
        <v>#REF!</v>
      </c>
      <c r="H121" s="313" t="e">
        <f>('Benzin - diesel - hybrid'!G$16*'Benzin - diesel - hybrid'!G$45*'Benzin - diesel - hybrid'!#REF!/10+'Benzin - diesel - hybrid'!#REF!*365)</f>
        <v>#REF!</v>
      </c>
      <c r="I121" s="291" t="e">
        <f>'Benzin - diesel - hybrid'!I$44*J121*IF('Benzin - diesel - hybrid'!I$29="nej","",IF('Benzin - diesel - hybrid'!#REF!="ja",VLOOKUP('Benzin - diesel - hybrid'!I$50+($C121-1),Fremskrivninger!$A$9:$L$38,12),'Benzin - diesel - hybrid'!#REF!))/1000</f>
        <v>#REF!</v>
      </c>
      <c r="J121" s="313" t="e">
        <f>('Benzin - diesel - hybrid'!I$16*'Benzin - diesel - hybrid'!I$45*'Benzin - diesel - hybrid'!#REF!/10+'Benzin - diesel - hybrid'!#REF!*365)</f>
        <v>#REF!</v>
      </c>
      <c r="K121" s="291" t="e">
        <f>'Benzin - diesel - hybrid'!K$44*L121*IF('Benzin - diesel - hybrid'!K$29="nej","",IF('Benzin - diesel - hybrid'!#REF!="ja",VLOOKUP('Benzin - diesel - hybrid'!K$50+($C121-1),Fremskrivninger!$A$9:$L$38,12),'Benzin - diesel - hybrid'!#REF!))/1000</f>
        <v>#REF!</v>
      </c>
      <c r="L121" s="313" t="e">
        <f>('Benzin - diesel - hybrid'!K$16*'Benzin - diesel - hybrid'!K$45*'Benzin - diesel - hybrid'!#REF!/10+'Benzin - diesel - hybrid'!#REF!*365)</f>
        <v>#REF!</v>
      </c>
      <c r="M121" s="291" t="e">
        <f>'Benzin - diesel - hybrid'!M$44*N121*IF('Benzin - diesel - hybrid'!M$29="nej","",IF('Benzin - diesel - hybrid'!#REF!="ja",VLOOKUP('Benzin - diesel - hybrid'!M$50+($C121-1),Fremskrivninger!$A$9:$L$38,12),'Benzin - diesel - hybrid'!#REF!))/1000</f>
        <v>#REF!</v>
      </c>
      <c r="N121" s="313" t="e">
        <f>('Benzin - diesel - hybrid'!M$16*'Benzin - diesel - hybrid'!M$45*'Benzin - diesel - hybrid'!#REF!/10+'Benzin - diesel - hybrid'!#REF!*365)</f>
        <v>#REF!</v>
      </c>
      <c r="O121" s="291" t="e">
        <f>'Benzin - diesel - hybrid'!O$44*P121*IF('Benzin - diesel - hybrid'!O$29="nej","",IF('Benzin - diesel - hybrid'!#REF!="ja",VLOOKUP('Benzin - diesel - hybrid'!O$50+($C121-1),Fremskrivninger!$A$9:$L$38,12),'Benzin - diesel - hybrid'!#REF!))/1000</f>
        <v>#REF!</v>
      </c>
      <c r="P121" s="313" t="e">
        <f>('Benzin - diesel - hybrid'!O$16*'Benzin - diesel - hybrid'!O$45*'Benzin - diesel - hybrid'!#REF!/10+'Benzin - diesel - hybrid'!#REF!*365)</f>
        <v>#REF!</v>
      </c>
      <c r="Q121" s="291" t="e">
        <f>'Benzin - diesel - hybrid'!Q$44*R121*IF('Benzin - diesel - hybrid'!Q$29="nej","",IF('Benzin - diesel - hybrid'!#REF!="ja",VLOOKUP('Benzin - diesel - hybrid'!Q$50+($C121-1),Fremskrivninger!$A$9:$L$38,12),'Benzin - diesel - hybrid'!#REF!))/1000</f>
        <v>#REF!</v>
      </c>
      <c r="R121" s="313" t="e">
        <f>('Benzin - diesel - hybrid'!Q$16*'Benzin - diesel - hybrid'!Q$45*'Benzin - diesel - hybrid'!#REF!/10+'Benzin - diesel - hybrid'!#REF!*365)</f>
        <v>#REF!</v>
      </c>
      <c r="S121" s="291" t="e">
        <f>'Benzin - diesel - hybrid'!S$44*T121*IF('Benzin - diesel - hybrid'!S$29="nej","",IF('Benzin - diesel - hybrid'!#REF!="ja",VLOOKUP('Benzin - diesel - hybrid'!S$50+($C121-1),Fremskrivninger!$A$9:$L$38,12),'Benzin - diesel - hybrid'!#REF!))/1000</f>
        <v>#REF!</v>
      </c>
      <c r="T121" s="313" t="e">
        <f>('Benzin - diesel - hybrid'!S$16*'Benzin - diesel - hybrid'!S$45*'Benzin - diesel - hybrid'!#REF!/10+'Benzin - diesel - hybrid'!#REF!*365)</f>
        <v>#REF!</v>
      </c>
      <c r="U121" s="291" t="e">
        <f>'Benzin - diesel - hybrid'!Y$44*V121*IF('Benzin - diesel - hybrid'!Y$29="nej","",IF('Benzin - diesel - hybrid'!#REF!="ja",VLOOKUP('Benzin - diesel - hybrid'!Y$50+($C121-1),Fremskrivninger!$A$9:$L$38,12),'Benzin - diesel - hybrid'!#REF!))/1000</f>
        <v>#REF!</v>
      </c>
      <c r="V121" s="313" t="e">
        <f>('Benzin - diesel - hybrid'!Y$16*'Benzin - diesel - hybrid'!Y$45*'Benzin - diesel - hybrid'!#REF!/10+'Benzin - diesel - hybrid'!#REF!*365)</f>
        <v>#REF!</v>
      </c>
      <c r="W121" s="291" t="e">
        <f>'Benzin - diesel - hybrid'!AA$44*X121*IF('Benzin - diesel - hybrid'!AA$29="nej","",IF('Benzin - diesel - hybrid'!#REF!="ja",VLOOKUP('Benzin - diesel - hybrid'!AA$50+($C121-1),Fremskrivninger!$A$9:$L$38,12),'Benzin - diesel - hybrid'!#REF!))/1000</f>
        <v>#REF!</v>
      </c>
      <c r="X121" s="313" t="e">
        <f>('Benzin - diesel - hybrid'!AA$16*'Benzin - diesel - hybrid'!AA$45*'Benzin - diesel - hybrid'!#REF!/10+'Benzin - diesel - hybrid'!#REF!*365)</f>
        <v>#REF!</v>
      </c>
    </row>
    <row r="122" spans="1:24" hidden="1" outlineLevel="1">
      <c r="A122" s="312"/>
      <c r="B122" s="285">
        <v>4</v>
      </c>
      <c r="C122" s="285">
        <f t="shared" si="8"/>
        <v>4</v>
      </c>
      <c r="D122" s="285"/>
      <c r="E122" s="291" t="e">
        <f>'Benzin - diesel - hybrid'!E$44*F122*IF('Benzin - diesel - hybrid'!E$29="nej","",IF('Benzin - diesel - hybrid'!#REF!="ja",VLOOKUP('Benzin - diesel - hybrid'!E$50+($C122-1),Fremskrivninger!$A$9:$L$38,12),'Benzin - diesel - hybrid'!#REF!))/1000</f>
        <v>#REF!</v>
      </c>
      <c r="F122" s="313" t="e">
        <f>('Benzin - diesel - hybrid'!E$16*'Benzin - diesel - hybrid'!E$45*'Benzin - diesel - hybrid'!#REF!/10+'Benzin - diesel - hybrid'!#REF!*365)</f>
        <v>#REF!</v>
      </c>
      <c r="G122" s="291" t="e">
        <f>'Benzin - diesel - hybrid'!G$44*H122*IF('Benzin - diesel - hybrid'!G$29="nej","",IF('Benzin - diesel - hybrid'!#REF!="ja",VLOOKUP('Benzin - diesel - hybrid'!G$50+($C122-1),Fremskrivninger!$A$9:$L$38,12),'Benzin - diesel - hybrid'!#REF!))/1000</f>
        <v>#REF!</v>
      </c>
      <c r="H122" s="313" t="e">
        <f>('Benzin - diesel - hybrid'!G$16*'Benzin - diesel - hybrid'!G$45*'Benzin - diesel - hybrid'!#REF!/10+'Benzin - diesel - hybrid'!#REF!*365)</f>
        <v>#REF!</v>
      </c>
      <c r="I122" s="291" t="e">
        <f>'Benzin - diesel - hybrid'!I$44*J122*IF('Benzin - diesel - hybrid'!I$29="nej","",IF('Benzin - diesel - hybrid'!#REF!="ja",VLOOKUP('Benzin - diesel - hybrid'!I$50+($C122-1),Fremskrivninger!$A$9:$L$38,12),'Benzin - diesel - hybrid'!#REF!))/1000</f>
        <v>#REF!</v>
      </c>
      <c r="J122" s="313" t="e">
        <f>('Benzin - diesel - hybrid'!I$16*'Benzin - diesel - hybrid'!I$45*'Benzin - diesel - hybrid'!#REF!/10+'Benzin - diesel - hybrid'!#REF!*365)</f>
        <v>#REF!</v>
      </c>
      <c r="K122" s="291" t="e">
        <f>'Benzin - diesel - hybrid'!K$44*L122*IF('Benzin - diesel - hybrid'!K$29="nej","",IF('Benzin - diesel - hybrid'!#REF!="ja",VLOOKUP('Benzin - diesel - hybrid'!K$50+($C122-1),Fremskrivninger!$A$9:$L$38,12),'Benzin - diesel - hybrid'!#REF!))/1000</f>
        <v>#REF!</v>
      </c>
      <c r="L122" s="313" t="e">
        <f>('Benzin - diesel - hybrid'!K$16*'Benzin - diesel - hybrid'!K$45*'Benzin - diesel - hybrid'!#REF!/10+'Benzin - diesel - hybrid'!#REF!*365)</f>
        <v>#REF!</v>
      </c>
      <c r="M122" s="291" t="e">
        <f>'Benzin - diesel - hybrid'!M$44*N122*IF('Benzin - diesel - hybrid'!M$29="nej","",IF('Benzin - diesel - hybrid'!#REF!="ja",VLOOKUP('Benzin - diesel - hybrid'!M$50+($C122-1),Fremskrivninger!$A$9:$L$38,12),'Benzin - diesel - hybrid'!#REF!))/1000</f>
        <v>#REF!</v>
      </c>
      <c r="N122" s="313" t="e">
        <f>('Benzin - diesel - hybrid'!M$16*'Benzin - diesel - hybrid'!M$45*'Benzin - diesel - hybrid'!#REF!/10+'Benzin - diesel - hybrid'!#REF!*365)</f>
        <v>#REF!</v>
      </c>
      <c r="O122" s="291" t="e">
        <f>'Benzin - diesel - hybrid'!O$44*P122*IF('Benzin - diesel - hybrid'!O$29="nej","",IF('Benzin - diesel - hybrid'!#REF!="ja",VLOOKUP('Benzin - diesel - hybrid'!O$50+($C122-1),Fremskrivninger!$A$9:$L$38,12),'Benzin - diesel - hybrid'!#REF!))/1000</f>
        <v>#REF!</v>
      </c>
      <c r="P122" s="313" t="e">
        <f>('Benzin - diesel - hybrid'!O$16*'Benzin - diesel - hybrid'!O$45*'Benzin - diesel - hybrid'!#REF!/10+'Benzin - diesel - hybrid'!#REF!*365)</f>
        <v>#REF!</v>
      </c>
      <c r="Q122" s="291" t="e">
        <f>'Benzin - diesel - hybrid'!Q$44*R122*IF('Benzin - diesel - hybrid'!Q$29="nej","",IF('Benzin - diesel - hybrid'!#REF!="ja",VLOOKUP('Benzin - diesel - hybrid'!Q$50+($C122-1),Fremskrivninger!$A$9:$L$38,12),'Benzin - diesel - hybrid'!#REF!))/1000</f>
        <v>#REF!</v>
      </c>
      <c r="R122" s="313" t="e">
        <f>('Benzin - diesel - hybrid'!Q$16*'Benzin - diesel - hybrid'!Q$45*'Benzin - diesel - hybrid'!#REF!/10+'Benzin - diesel - hybrid'!#REF!*365)</f>
        <v>#REF!</v>
      </c>
      <c r="S122" s="291" t="e">
        <f>'Benzin - diesel - hybrid'!S$44*T122*IF('Benzin - diesel - hybrid'!S$29="nej","",IF('Benzin - diesel - hybrid'!#REF!="ja",VLOOKUP('Benzin - diesel - hybrid'!S$50+($C122-1),Fremskrivninger!$A$9:$L$38,12),'Benzin - diesel - hybrid'!#REF!))/1000</f>
        <v>#REF!</v>
      </c>
      <c r="T122" s="313" t="e">
        <f>('Benzin - diesel - hybrid'!S$16*'Benzin - diesel - hybrid'!S$45*'Benzin - diesel - hybrid'!#REF!/10+'Benzin - diesel - hybrid'!#REF!*365)</f>
        <v>#REF!</v>
      </c>
      <c r="U122" s="291" t="e">
        <f>'Benzin - diesel - hybrid'!Y$44*V122*IF('Benzin - diesel - hybrid'!Y$29="nej","",IF('Benzin - diesel - hybrid'!#REF!="ja",VLOOKUP('Benzin - diesel - hybrid'!Y$50+($C122-1),Fremskrivninger!$A$9:$L$38,12),'Benzin - diesel - hybrid'!#REF!))/1000</f>
        <v>#REF!</v>
      </c>
      <c r="V122" s="313" t="e">
        <f>('Benzin - diesel - hybrid'!Y$16*'Benzin - diesel - hybrid'!Y$45*'Benzin - diesel - hybrid'!#REF!/10+'Benzin - diesel - hybrid'!#REF!*365)</f>
        <v>#REF!</v>
      </c>
      <c r="W122" s="291" t="e">
        <f>'Benzin - diesel - hybrid'!AA$44*X122*IF('Benzin - diesel - hybrid'!AA$29="nej","",IF('Benzin - diesel - hybrid'!#REF!="ja",VLOOKUP('Benzin - diesel - hybrid'!AA$50+($C122-1),Fremskrivninger!$A$9:$L$38,12),'Benzin - diesel - hybrid'!#REF!))/1000</f>
        <v>#REF!</v>
      </c>
      <c r="X122" s="313" t="e">
        <f>('Benzin - diesel - hybrid'!AA$16*'Benzin - diesel - hybrid'!AA$45*'Benzin - diesel - hybrid'!#REF!/10+'Benzin - diesel - hybrid'!#REF!*365)</f>
        <v>#REF!</v>
      </c>
    </row>
    <row r="123" spans="1:24" hidden="1" outlineLevel="1">
      <c r="A123" s="312"/>
      <c r="B123" s="285">
        <v>5</v>
      </c>
      <c r="C123" s="285">
        <f t="shared" si="8"/>
        <v>5</v>
      </c>
      <c r="D123" s="285"/>
      <c r="E123" s="291" t="e">
        <f>'Benzin - diesel - hybrid'!E$44*F123*IF('Benzin - diesel - hybrid'!E$29="nej","",IF('Benzin - diesel - hybrid'!#REF!="ja",VLOOKUP('Benzin - diesel - hybrid'!E$50+($C123-1),Fremskrivninger!$A$9:$L$38,12),'Benzin - diesel - hybrid'!#REF!))/1000</f>
        <v>#REF!</v>
      </c>
      <c r="F123" s="313" t="e">
        <f>('Benzin - diesel - hybrid'!E$16*'Benzin - diesel - hybrid'!E$45*'Benzin - diesel - hybrid'!#REF!/10+'Benzin - diesel - hybrid'!#REF!*365)</f>
        <v>#REF!</v>
      </c>
      <c r="G123" s="291" t="e">
        <f>'Benzin - diesel - hybrid'!G$44*H123*IF('Benzin - diesel - hybrid'!G$29="nej","",IF('Benzin - diesel - hybrid'!#REF!="ja",VLOOKUP('Benzin - diesel - hybrid'!G$50+($C123-1),Fremskrivninger!$A$9:$L$38,12),'Benzin - diesel - hybrid'!#REF!))/1000</f>
        <v>#REF!</v>
      </c>
      <c r="H123" s="313" t="e">
        <f>('Benzin - diesel - hybrid'!G$16*'Benzin - diesel - hybrid'!G$45*'Benzin - diesel - hybrid'!#REF!/10+'Benzin - diesel - hybrid'!#REF!*365)</f>
        <v>#REF!</v>
      </c>
      <c r="I123" s="291" t="e">
        <f>'Benzin - diesel - hybrid'!I$44*J123*IF('Benzin - diesel - hybrid'!I$29="nej","",IF('Benzin - diesel - hybrid'!#REF!="ja",VLOOKUP('Benzin - diesel - hybrid'!I$50+($C123-1),Fremskrivninger!$A$9:$L$38,12),'Benzin - diesel - hybrid'!#REF!))/1000</f>
        <v>#REF!</v>
      </c>
      <c r="J123" s="313" t="e">
        <f>('Benzin - diesel - hybrid'!I$16*'Benzin - diesel - hybrid'!I$45*'Benzin - diesel - hybrid'!#REF!/10+'Benzin - diesel - hybrid'!#REF!*365)</f>
        <v>#REF!</v>
      </c>
      <c r="K123" s="291" t="e">
        <f>'Benzin - diesel - hybrid'!K$44*L123*IF('Benzin - diesel - hybrid'!K$29="nej","",IF('Benzin - diesel - hybrid'!#REF!="ja",VLOOKUP('Benzin - diesel - hybrid'!K$50+($C123-1),Fremskrivninger!$A$9:$L$38,12),'Benzin - diesel - hybrid'!#REF!))/1000</f>
        <v>#REF!</v>
      </c>
      <c r="L123" s="313" t="e">
        <f>('Benzin - diesel - hybrid'!K$16*'Benzin - diesel - hybrid'!K$45*'Benzin - diesel - hybrid'!#REF!/10+'Benzin - diesel - hybrid'!#REF!*365)</f>
        <v>#REF!</v>
      </c>
      <c r="M123" s="291" t="e">
        <f>'Benzin - diesel - hybrid'!M$44*N123*IF('Benzin - diesel - hybrid'!M$29="nej","",IF('Benzin - diesel - hybrid'!#REF!="ja",VLOOKUP('Benzin - diesel - hybrid'!M$50+($C123-1),Fremskrivninger!$A$9:$L$38,12),'Benzin - diesel - hybrid'!#REF!))/1000</f>
        <v>#REF!</v>
      </c>
      <c r="N123" s="313" t="e">
        <f>('Benzin - diesel - hybrid'!M$16*'Benzin - diesel - hybrid'!M$45*'Benzin - diesel - hybrid'!#REF!/10+'Benzin - diesel - hybrid'!#REF!*365)</f>
        <v>#REF!</v>
      </c>
      <c r="O123" s="291" t="e">
        <f>'Benzin - diesel - hybrid'!O$44*P123*IF('Benzin - diesel - hybrid'!O$29="nej","",IF('Benzin - diesel - hybrid'!#REF!="ja",VLOOKUP('Benzin - diesel - hybrid'!O$50+($C123-1),Fremskrivninger!$A$9:$L$38,12),'Benzin - diesel - hybrid'!#REF!))/1000</f>
        <v>#REF!</v>
      </c>
      <c r="P123" s="313" t="e">
        <f>('Benzin - diesel - hybrid'!O$16*'Benzin - diesel - hybrid'!O$45*'Benzin - diesel - hybrid'!#REF!/10+'Benzin - diesel - hybrid'!#REF!*365)</f>
        <v>#REF!</v>
      </c>
      <c r="Q123" s="291" t="e">
        <f>'Benzin - diesel - hybrid'!Q$44*R123*IF('Benzin - diesel - hybrid'!Q$29="nej","",IF('Benzin - diesel - hybrid'!#REF!="ja",VLOOKUP('Benzin - diesel - hybrid'!Q$50+($C123-1),Fremskrivninger!$A$9:$L$38,12),'Benzin - diesel - hybrid'!#REF!))/1000</f>
        <v>#REF!</v>
      </c>
      <c r="R123" s="313" t="e">
        <f>('Benzin - diesel - hybrid'!Q$16*'Benzin - diesel - hybrid'!Q$45*'Benzin - diesel - hybrid'!#REF!/10+'Benzin - diesel - hybrid'!#REF!*365)</f>
        <v>#REF!</v>
      </c>
      <c r="S123" s="291" t="e">
        <f>'Benzin - diesel - hybrid'!S$44*T123*IF('Benzin - diesel - hybrid'!S$29="nej","",IF('Benzin - diesel - hybrid'!#REF!="ja",VLOOKUP('Benzin - diesel - hybrid'!S$50+($C123-1),Fremskrivninger!$A$9:$L$38,12),'Benzin - diesel - hybrid'!#REF!))/1000</f>
        <v>#REF!</v>
      </c>
      <c r="T123" s="313" t="e">
        <f>('Benzin - diesel - hybrid'!S$16*'Benzin - diesel - hybrid'!S$45*'Benzin - diesel - hybrid'!#REF!/10+'Benzin - diesel - hybrid'!#REF!*365)</f>
        <v>#REF!</v>
      </c>
      <c r="U123" s="291" t="e">
        <f>'Benzin - diesel - hybrid'!Y$44*V123*IF('Benzin - diesel - hybrid'!Y$29="nej","",IF('Benzin - diesel - hybrid'!#REF!="ja",VLOOKUP('Benzin - diesel - hybrid'!Y$50+($C123-1),Fremskrivninger!$A$9:$L$38,12),'Benzin - diesel - hybrid'!#REF!))/1000</f>
        <v>#REF!</v>
      </c>
      <c r="V123" s="313" t="e">
        <f>('Benzin - diesel - hybrid'!Y$16*'Benzin - diesel - hybrid'!Y$45*'Benzin - diesel - hybrid'!#REF!/10+'Benzin - diesel - hybrid'!#REF!*365)</f>
        <v>#REF!</v>
      </c>
      <c r="W123" s="291" t="e">
        <f>'Benzin - diesel - hybrid'!AA$44*X123*IF('Benzin - diesel - hybrid'!AA$29="nej","",IF('Benzin - diesel - hybrid'!#REF!="ja",VLOOKUP('Benzin - diesel - hybrid'!AA$50+($C123-1),Fremskrivninger!$A$9:$L$38,12),'Benzin - diesel - hybrid'!#REF!))/1000</f>
        <v>#REF!</v>
      </c>
      <c r="X123" s="313" t="e">
        <f>('Benzin - diesel - hybrid'!AA$16*'Benzin - diesel - hybrid'!AA$45*'Benzin - diesel - hybrid'!#REF!/10+'Benzin - diesel - hybrid'!#REF!*365)</f>
        <v>#REF!</v>
      </c>
    </row>
    <row r="124" spans="1:24" hidden="1" outlineLevel="1">
      <c r="A124" s="312"/>
      <c r="B124" s="285">
        <v>6</v>
      </c>
      <c r="C124" s="285">
        <f t="shared" si="8"/>
        <v>6</v>
      </c>
      <c r="D124" s="285"/>
      <c r="E124" s="291" t="e">
        <f>'Benzin - diesel - hybrid'!E$44*F124*IF('Benzin - diesel - hybrid'!E$29="nej","",IF('Benzin - diesel - hybrid'!#REF!="ja",VLOOKUP('Benzin - diesel - hybrid'!E$50+($C124-1),Fremskrivninger!$A$9:$L$38,12),'Benzin - diesel - hybrid'!#REF!))/1000</f>
        <v>#REF!</v>
      </c>
      <c r="F124" s="313" t="e">
        <f>('Benzin - diesel - hybrid'!E$16*'Benzin - diesel - hybrid'!E$45*'Benzin - diesel - hybrid'!#REF!/10+'Benzin - diesel - hybrid'!#REF!*365)</f>
        <v>#REF!</v>
      </c>
      <c r="G124" s="291" t="e">
        <f>'Benzin - diesel - hybrid'!G$44*H124*IF('Benzin - diesel - hybrid'!G$29="nej","",IF('Benzin - diesel - hybrid'!#REF!="ja",VLOOKUP('Benzin - diesel - hybrid'!G$50+($C124-1),Fremskrivninger!$A$9:$L$38,12),'Benzin - diesel - hybrid'!#REF!))/1000</f>
        <v>#REF!</v>
      </c>
      <c r="H124" s="313" t="e">
        <f>('Benzin - diesel - hybrid'!G$16*'Benzin - diesel - hybrid'!G$45*'Benzin - diesel - hybrid'!#REF!/10+'Benzin - diesel - hybrid'!#REF!*365)</f>
        <v>#REF!</v>
      </c>
      <c r="I124" s="291" t="e">
        <f>'Benzin - diesel - hybrid'!I$44*J124*IF('Benzin - diesel - hybrid'!I$29="nej","",IF('Benzin - diesel - hybrid'!#REF!="ja",VLOOKUP('Benzin - diesel - hybrid'!I$50+($C124-1),Fremskrivninger!$A$9:$L$38,12),'Benzin - diesel - hybrid'!#REF!))/1000</f>
        <v>#REF!</v>
      </c>
      <c r="J124" s="313" t="e">
        <f>('Benzin - diesel - hybrid'!I$16*'Benzin - diesel - hybrid'!I$45*'Benzin - diesel - hybrid'!#REF!/10+'Benzin - diesel - hybrid'!#REF!*365)</f>
        <v>#REF!</v>
      </c>
      <c r="K124" s="291" t="e">
        <f>'Benzin - diesel - hybrid'!K$44*L124*IF('Benzin - diesel - hybrid'!K$29="nej","",IF('Benzin - diesel - hybrid'!#REF!="ja",VLOOKUP('Benzin - diesel - hybrid'!K$50+($C124-1),Fremskrivninger!$A$9:$L$38,12),'Benzin - diesel - hybrid'!#REF!))/1000</f>
        <v>#REF!</v>
      </c>
      <c r="L124" s="313" t="e">
        <f>('Benzin - diesel - hybrid'!K$16*'Benzin - diesel - hybrid'!K$45*'Benzin - diesel - hybrid'!#REF!/10+'Benzin - diesel - hybrid'!#REF!*365)</f>
        <v>#REF!</v>
      </c>
      <c r="M124" s="291" t="e">
        <f>'Benzin - diesel - hybrid'!M$44*N124*IF('Benzin - diesel - hybrid'!M$29="nej","",IF('Benzin - diesel - hybrid'!#REF!="ja",VLOOKUP('Benzin - diesel - hybrid'!M$50+($C124-1),Fremskrivninger!$A$9:$L$38,12),'Benzin - diesel - hybrid'!#REF!))/1000</f>
        <v>#REF!</v>
      </c>
      <c r="N124" s="313" t="e">
        <f>('Benzin - diesel - hybrid'!M$16*'Benzin - diesel - hybrid'!M$45*'Benzin - diesel - hybrid'!#REF!/10+'Benzin - diesel - hybrid'!#REF!*365)</f>
        <v>#REF!</v>
      </c>
      <c r="O124" s="291" t="e">
        <f>'Benzin - diesel - hybrid'!O$44*P124*IF('Benzin - diesel - hybrid'!O$29="nej","",IF('Benzin - diesel - hybrid'!#REF!="ja",VLOOKUP('Benzin - diesel - hybrid'!O$50+($C124-1),Fremskrivninger!$A$9:$L$38,12),'Benzin - diesel - hybrid'!#REF!))/1000</f>
        <v>#REF!</v>
      </c>
      <c r="P124" s="313" t="e">
        <f>('Benzin - diesel - hybrid'!O$16*'Benzin - diesel - hybrid'!O$45*'Benzin - diesel - hybrid'!#REF!/10+'Benzin - diesel - hybrid'!#REF!*365)</f>
        <v>#REF!</v>
      </c>
      <c r="Q124" s="291" t="e">
        <f>'Benzin - diesel - hybrid'!Q$44*R124*IF('Benzin - diesel - hybrid'!Q$29="nej","",IF('Benzin - diesel - hybrid'!#REF!="ja",VLOOKUP('Benzin - diesel - hybrid'!Q$50+($C124-1),Fremskrivninger!$A$9:$L$38,12),'Benzin - diesel - hybrid'!#REF!))/1000</f>
        <v>#REF!</v>
      </c>
      <c r="R124" s="313" t="e">
        <f>('Benzin - diesel - hybrid'!Q$16*'Benzin - diesel - hybrid'!Q$45*'Benzin - diesel - hybrid'!#REF!/10+'Benzin - diesel - hybrid'!#REF!*365)</f>
        <v>#REF!</v>
      </c>
      <c r="S124" s="291" t="e">
        <f>'Benzin - diesel - hybrid'!S$44*T124*IF('Benzin - diesel - hybrid'!S$29="nej","",IF('Benzin - diesel - hybrid'!#REF!="ja",VLOOKUP('Benzin - diesel - hybrid'!S$50+($C124-1),Fremskrivninger!$A$9:$L$38,12),'Benzin - diesel - hybrid'!#REF!))/1000</f>
        <v>#REF!</v>
      </c>
      <c r="T124" s="313" t="e">
        <f>('Benzin - diesel - hybrid'!S$16*'Benzin - diesel - hybrid'!S$45*'Benzin - diesel - hybrid'!#REF!/10+'Benzin - diesel - hybrid'!#REF!*365)</f>
        <v>#REF!</v>
      </c>
      <c r="U124" s="291" t="e">
        <f>'Benzin - diesel - hybrid'!Y$44*V124*IF('Benzin - diesel - hybrid'!Y$29="nej","",IF('Benzin - diesel - hybrid'!#REF!="ja",VLOOKUP('Benzin - diesel - hybrid'!Y$50+($C124-1),Fremskrivninger!$A$9:$L$38,12),'Benzin - diesel - hybrid'!#REF!))/1000</f>
        <v>#REF!</v>
      </c>
      <c r="V124" s="313" t="e">
        <f>('Benzin - diesel - hybrid'!Y$16*'Benzin - diesel - hybrid'!Y$45*'Benzin - diesel - hybrid'!#REF!/10+'Benzin - diesel - hybrid'!#REF!*365)</f>
        <v>#REF!</v>
      </c>
      <c r="W124" s="291" t="e">
        <f>'Benzin - diesel - hybrid'!AA$44*X124*IF('Benzin - diesel - hybrid'!AA$29="nej","",IF('Benzin - diesel - hybrid'!#REF!="ja",VLOOKUP('Benzin - diesel - hybrid'!AA$50+($C124-1),Fremskrivninger!$A$9:$L$38,12),'Benzin - diesel - hybrid'!#REF!))/1000</f>
        <v>#REF!</v>
      </c>
      <c r="X124" s="313" t="e">
        <f>('Benzin - diesel - hybrid'!AA$16*'Benzin - diesel - hybrid'!AA$45*'Benzin - diesel - hybrid'!#REF!/10+'Benzin - diesel - hybrid'!#REF!*365)</f>
        <v>#REF!</v>
      </c>
    </row>
    <row r="125" spans="1:24" hidden="1" outlineLevel="1">
      <c r="A125" s="312"/>
      <c r="B125" s="285">
        <v>7</v>
      </c>
      <c r="C125" s="285">
        <f t="shared" si="8"/>
        <v>7</v>
      </c>
      <c r="D125" s="285"/>
      <c r="E125" s="291" t="e">
        <f>'Benzin - diesel - hybrid'!E$44*F125*IF('Benzin - diesel - hybrid'!E$29="nej","",IF('Benzin - diesel - hybrid'!#REF!="ja",VLOOKUP('Benzin - diesel - hybrid'!E$50+($C125-1),Fremskrivninger!$A$9:$L$38,12),'Benzin - diesel - hybrid'!#REF!))/1000</f>
        <v>#REF!</v>
      </c>
      <c r="F125" s="313" t="e">
        <f>('Benzin - diesel - hybrid'!E$16*'Benzin - diesel - hybrid'!E$45*'Benzin - diesel - hybrid'!#REF!/10+'Benzin - diesel - hybrid'!#REF!*365)</f>
        <v>#REF!</v>
      </c>
      <c r="G125" s="291" t="e">
        <f>'Benzin - diesel - hybrid'!G$44*H125*IF('Benzin - diesel - hybrid'!G$29="nej","",IF('Benzin - diesel - hybrid'!#REF!="ja",VLOOKUP('Benzin - diesel - hybrid'!G$50+($C125-1),Fremskrivninger!$A$9:$L$38,12),'Benzin - diesel - hybrid'!#REF!))/1000</f>
        <v>#REF!</v>
      </c>
      <c r="H125" s="313" t="e">
        <f>('Benzin - diesel - hybrid'!G$16*'Benzin - diesel - hybrid'!G$45*'Benzin - diesel - hybrid'!#REF!/10+'Benzin - diesel - hybrid'!#REF!*365)</f>
        <v>#REF!</v>
      </c>
      <c r="I125" s="291" t="e">
        <f>'Benzin - diesel - hybrid'!I$44*J125*IF('Benzin - diesel - hybrid'!I$29="nej","",IF('Benzin - diesel - hybrid'!#REF!="ja",VLOOKUP('Benzin - diesel - hybrid'!I$50+($C125-1),Fremskrivninger!$A$9:$L$38,12),'Benzin - diesel - hybrid'!#REF!))/1000</f>
        <v>#REF!</v>
      </c>
      <c r="J125" s="313" t="e">
        <f>('Benzin - diesel - hybrid'!I$16*'Benzin - diesel - hybrid'!I$45*'Benzin - diesel - hybrid'!#REF!/10+'Benzin - diesel - hybrid'!#REF!*365)</f>
        <v>#REF!</v>
      </c>
      <c r="K125" s="291" t="e">
        <f>'Benzin - diesel - hybrid'!K$44*L125*IF('Benzin - diesel - hybrid'!K$29="nej","",IF('Benzin - diesel - hybrid'!#REF!="ja",VLOOKUP('Benzin - diesel - hybrid'!K$50+($C125-1),Fremskrivninger!$A$9:$L$38,12),'Benzin - diesel - hybrid'!#REF!))/1000</f>
        <v>#REF!</v>
      </c>
      <c r="L125" s="313" t="e">
        <f>('Benzin - diesel - hybrid'!K$16*'Benzin - diesel - hybrid'!K$45*'Benzin - diesel - hybrid'!#REF!/10+'Benzin - diesel - hybrid'!#REF!*365)</f>
        <v>#REF!</v>
      </c>
      <c r="M125" s="291" t="e">
        <f>'Benzin - diesel - hybrid'!M$44*N125*IF('Benzin - diesel - hybrid'!M$29="nej","",IF('Benzin - diesel - hybrid'!#REF!="ja",VLOOKUP('Benzin - diesel - hybrid'!M$50+($C125-1),Fremskrivninger!$A$9:$L$38,12),'Benzin - diesel - hybrid'!#REF!))/1000</f>
        <v>#REF!</v>
      </c>
      <c r="N125" s="313" t="e">
        <f>('Benzin - diesel - hybrid'!M$16*'Benzin - diesel - hybrid'!M$45*'Benzin - diesel - hybrid'!#REF!/10+'Benzin - diesel - hybrid'!#REF!*365)</f>
        <v>#REF!</v>
      </c>
      <c r="O125" s="291" t="e">
        <f>'Benzin - diesel - hybrid'!O$44*P125*IF('Benzin - diesel - hybrid'!O$29="nej","",IF('Benzin - diesel - hybrid'!#REF!="ja",VLOOKUP('Benzin - diesel - hybrid'!O$50+($C125-1),Fremskrivninger!$A$9:$L$38,12),'Benzin - diesel - hybrid'!#REF!))/1000</f>
        <v>#REF!</v>
      </c>
      <c r="P125" s="313" t="e">
        <f>('Benzin - diesel - hybrid'!O$16*'Benzin - diesel - hybrid'!O$45*'Benzin - diesel - hybrid'!#REF!/10+'Benzin - diesel - hybrid'!#REF!*365)</f>
        <v>#REF!</v>
      </c>
      <c r="Q125" s="291" t="e">
        <f>'Benzin - diesel - hybrid'!Q$44*R125*IF('Benzin - diesel - hybrid'!Q$29="nej","",IF('Benzin - diesel - hybrid'!#REF!="ja",VLOOKUP('Benzin - diesel - hybrid'!Q$50+($C125-1),Fremskrivninger!$A$9:$L$38,12),'Benzin - diesel - hybrid'!#REF!))/1000</f>
        <v>#REF!</v>
      </c>
      <c r="R125" s="313" t="e">
        <f>('Benzin - diesel - hybrid'!Q$16*'Benzin - diesel - hybrid'!Q$45*'Benzin - diesel - hybrid'!#REF!/10+'Benzin - diesel - hybrid'!#REF!*365)</f>
        <v>#REF!</v>
      </c>
      <c r="S125" s="291" t="e">
        <f>'Benzin - diesel - hybrid'!S$44*T125*IF('Benzin - diesel - hybrid'!S$29="nej","",IF('Benzin - diesel - hybrid'!#REF!="ja",VLOOKUP('Benzin - diesel - hybrid'!S$50+($C125-1),Fremskrivninger!$A$9:$L$38,12),'Benzin - diesel - hybrid'!#REF!))/1000</f>
        <v>#REF!</v>
      </c>
      <c r="T125" s="313" t="e">
        <f>('Benzin - diesel - hybrid'!S$16*'Benzin - diesel - hybrid'!S$45*'Benzin - diesel - hybrid'!#REF!/10+'Benzin - diesel - hybrid'!#REF!*365)</f>
        <v>#REF!</v>
      </c>
      <c r="U125" s="291" t="e">
        <f>'Benzin - diesel - hybrid'!Y$44*V125*IF('Benzin - diesel - hybrid'!Y$29="nej","",IF('Benzin - diesel - hybrid'!#REF!="ja",VLOOKUP('Benzin - diesel - hybrid'!Y$50+($C125-1),Fremskrivninger!$A$9:$L$38,12),'Benzin - diesel - hybrid'!#REF!))/1000</f>
        <v>#REF!</v>
      </c>
      <c r="V125" s="313" t="e">
        <f>('Benzin - diesel - hybrid'!Y$16*'Benzin - diesel - hybrid'!Y$45*'Benzin - diesel - hybrid'!#REF!/10+'Benzin - diesel - hybrid'!#REF!*365)</f>
        <v>#REF!</v>
      </c>
      <c r="W125" s="291" t="e">
        <f>'Benzin - diesel - hybrid'!AA$44*X125*IF('Benzin - diesel - hybrid'!AA$29="nej","",IF('Benzin - diesel - hybrid'!#REF!="ja",VLOOKUP('Benzin - diesel - hybrid'!AA$50+($C125-1),Fremskrivninger!$A$9:$L$38,12),'Benzin - diesel - hybrid'!#REF!))/1000</f>
        <v>#REF!</v>
      </c>
      <c r="X125" s="313" t="e">
        <f>('Benzin - diesel - hybrid'!AA$16*'Benzin - diesel - hybrid'!AA$45*'Benzin - diesel - hybrid'!#REF!/10+'Benzin - diesel - hybrid'!#REF!*365)</f>
        <v>#REF!</v>
      </c>
    </row>
    <row r="126" spans="1:24" hidden="1" outlineLevel="1">
      <c r="A126" s="312"/>
      <c r="B126" s="285">
        <v>8</v>
      </c>
      <c r="C126" s="285">
        <f t="shared" si="8"/>
        <v>8</v>
      </c>
      <c r="D126" s="285"/>
      <c r="E126" s="291" t="e">
        <f>'Benzin - diesel - hybrid'!E$44*F126*IF('Benzin - diesel - hybrid'!E$29="nej","",IF('Benzin - diesel - hybrid'!#REF!="ja",VLOOKUP('Benzin - diesel - hybrid'!E$50+($C126-1),Fremskrivninger!$A$9:$L$38,12),'Benzin - diesel - hybrid'!#REF!))/1000</f>
        <v>#REF!</v>
      </c>
      <c r="F126" s="313" t="e">
        <f>('Benzin - diesel - hybrid'!E$16*'Benzin - diesel - hybrid'!E$45*'Benzin - diesel - hybrid'!#REF!/10+'Benzin - diesel - hybrid'!#REF!*365)</f>
        <v>#REF!</v>
      </c>
      <c r="G126" s="291" t="e">
        <f>'Benzin - diesel - hybrid'!G$44*H126*IF('Benzin - diesel - hybrid'!G$29="nej","",IF('Benzin - diesel - hybrid'!#REF!="ja",VLOOKUP('Benzin - diesel - hybrid'!G$50+($C126-1),Fremskrivninger!$A$9:$L$38,12),'Benzin - diesel - hybrid'!#REF!))/1000</f>
        <v>#REF!</v>
      </c>
      <c r="H126" s="313" t="e">
        <f>('Benzin - diesel - hybrid'!G$16*'Benzin - diesel - hybrid'!G$45*'Benzin - diesel - hybrid'!#REF!/10+'Benzin - diesel - hybrid'!#REF!*365)</f>
        <v>#REF!</v>
      </c>
      <c r="I126" s="291" t="e">
        <f>'Benzin - diesel - hybrid'!I$44*J126*IF('Benzin - diesel - hybrid'!I$29="nej","",IF('Benzin - diesel - hybrid'!#REF!="ja",VLOOKUP('Benzin - diesel - hybrid'!I$50+($C126-1),Fremskrivninger!$A$9:$L$38,12),'Benzin - diesel - hybrid'!#REF!))/1000</f>
        <v>#REF!</v>
      </c>
      <c r="J126" s="313" t="e">
        <f>('Benzin - diesel - hybrid'!I$16*'Benzin - diesel - hybrid'!I$45*'Benzin - diesel - hybrid'!#REF!/10+'Benzin - diesel - hybrid'!#REF!*365)</f>
        <v>#REF!</v>
      </c>
      <c r="K126" s="291" t="e">
        <f>'Benzin - diesel - hybrid'!K$44*L126*IF('Benzin - diesel - hybrid'!K$29="nej","",IF('Benzin - diesel - hybrid'!#REF!="ja",VLOOKUP('Benzin - diesel - hybrid'!K$50+($C126-1),Fremskrivninger!$A$9:$L$38,12),'Benzin - diesel - hybrid'!#REF!))/1000</f>
        <v>#REF!</v>
      </c>
      <c r="L126" s="313" t="e">
        <f>('Benzin - diesel - hybrid'!K$16*'Benzin - diesel - hybrid'!K$45*'Benzin - diesel - hybrid'!#REF!/10+'Benzin - diesel - hybrid'!#REF!*365)</f>
        <v>#REF!</v>
      </c>
      <c r="M126" s="291" t="e">
        <f>'Benzin - diesel - hybrid'!M$44*N126*IF('Benzin - diesel - hybrid'!M$29="nej","",IF('Benzin - diesel - hybrid'!#REF!="ja",VLOOKUP('Benzin - diesel - hybrid'!M$50+($C126-1),Fremskrivninger!$A$9:$L$38,12),'Benzin - diesel - hybrid'!#REF!))/1000</f>
        <v>#REF!</v>
      </c>
      <c r="N126" s="313" t="e">
        <f>('Benzin - diesel - hybrid'!M$16*'Benzin - diesel - hybrid'!M$45*'Benzin - diesel - hybrid'!#REF!/10+'Benzin - diesel - hybrid'!#REF!*365)</f>
        <v>#REF!</v>
      </c>
      <c r="O126" s="291" t="e">
        <f>'Benzin - diesel - hybrid'!O$44*P126*IF('Benzin - diesel - hybrid'!O$29="nej","",IF('Benzin - diesel - hybrid'!#REF!="ja",VLOOKUP('Benzin - diesel - hybrid'!O$50+($C126-1),Fremskrivninger!$A$9:$L$38,12),'Benzin - diesel - hybrid'!#REF!))/1000</f>
        <v>#REF!</v>
      </c>
      <c r="P126" s="313" t="e">
        <f>('Benzin - diesel - hybrid'!O$16*'Benzin - diesel - hybrid'!O$45*'Benzin - diesel - hybrid'!#REF!/10+'Benzin - diesel - hybrid'!#REF!*365)</f>
        <v>#REF!</v>
      </c>
      <c r="Q126" s="291" t="e">
        <f>'Benzin - diesel - hybrid'!Q$44*R126*IF('Benzin - diesel - hybrid'!Q$29="nej","",IF('Benzin - diesel - hybrid'!#REF!="ja",VLOOKUP('Benzin - diesel - hybrid'!Q$50+($C126-1),Fremskrivninger!$A$9:$L$38,12),'Benzin - diesel - hybrid'!#REF!))/1000</f>
        <v>#REF!</v>
      </c>
      <c r="R126" s="313" t="e">
        <f>('Benzin - diesel - hybrid'!Q$16*'Benzin - diesel - hybrid'!Q$45*'Benzin - diesel - hybrid'!#REF!/10+'Benzin - diesel - hybrid'!#REF!*365)</f>
        <v>#REF!</v>
      </c>
      <c r="S126" s="291" t="e">
        <f>'Benzin - diesel - hybrid'!S$44*T126*IF('Benzin - diesel - hybrid'!S$29="nej","",IF('Benzin - diesel - hybrid'!#REF!="ja",VLOOKUP('Benzin - diesel - hybrid'!S$50+($C126-1),Fremskrivninger!$A$9:$L$38,12),'Benzin - diesel - hybrid'!#REF!))/1000</f>
        <v>#REF!</v>
      </c>
      <c r="T126" s="313" t="e">
        <f>('Benzin - diesel - hybrid'!S$16*'Benzin - diesel - hybrid'!S$45*'Benzin - diesel - hybrid'!#REF!/10+'Benzin - diesel - hybrid'!#REF!*365)</f>
        <v>#REF!</v>
      </c>
      <c r="U126" s="291" t="e">
        <f>'Benzin - diesel - hybrid'!Y$44*V126*IF('Benzin - diesel - hybrid'!Y$29="nej","",IF('Benzin - diesel - hybrid'!#REF!="ja",VLOOKUP('Benzin - diesel - hybrid'!Y$50+($C126-1),Fremskrivninger!$A$9:$L$38,12),'Benzin - diesel - hybrid'!#REF!))/1000</f>
        <v>#REF!</v>
      </c>
      <c r="V126" s="313" t="e">
        <f>('Benzin - diesel - hybrid'!Y$16*'Benzin - diesel - hybrid'!Y$45*'Benzin - diesel - hybrid'!#REF!/10+'Benzin - diesel - hybrid'!#REF!*365)</f>
        <v>#REF!</v>
      </c>
      <c r="W126" s="291" t="e">
        <f>'Benzin - diesel - hybrid'!AA$44*X126*IF('Benzin - diesel - hybrid'!AA$29="nej","",IF('Benzin - diesel - hybrid'!#REF!="ja",VLOOKUP('Benzin - diesel - hybrid'!AA$50+($C126-1),Fremskrivninger!$A$9:$L$38,12),'Benzin - diesel - hybrid'!#REF!))/1000</f>
        <v>#REF!</v>
      </c>
      <c r="X126" s="313" t="e">
        <f>('Benzin - diesel - hybrid'!AA$16*'Benzin - diesel - hybrid'!AA$45*'Benzin - diesel - hybrid'!#REF!/10+'Benzin - diesel - hybrid'!#REF!*365)</f>
        <v>#REF!</v>
      </c>
    </row>
    <row r="127" spans="1:24" hidden="1" outlineLevel="1">
      <c r="A127" s="312"/>
      <c r="B127" s="285">
        <v>9</v>
      </c>
      <c r="C127" s="285">
        <f t="shared" si="8"/>
        <v>9</v>
      </c>
      <c r="D127" s="285"/>
      <c r="E127" s="291" t="e">
        <f>'Benzin - diesel - hybrid'!E$44*F127*IF('Benzin - diesel - hybrid'!E$29="nej","",IF('Benzin - diesel - hybrid'!#REF!="ja",VLOOKUP('Benzin - diesel - hybrid'!E$50+($C127-1),Fremskrivninger!$A$9:$L$38,12),'Benzin - diesel - hybrid'!#REF!))/1000</f>
        <v>#REF!</v>
      </c>
      <c r="F127" s="313" t="e">
        <f>('Benzin - diesel - hybrid'!E$16*'Benzin - diesel - hybrid'!E$45*'Benzin - diesel - hybrid'!#REF!/10+'Benzin - diesel - hybrid'!#REF!*365)</f>
        <v>#REF!</v>
      </c>
      <c r="G127" s="291" t="e">
        <f>'Benzin - diesel - hybrid'!G$44*H127*IF('Benzin - diesel - hybrid'!G$29="nej","",IF('Benzin - diesel - hybrid'!#REF!="ja",VLOOKUP('Benzin - diesel - hybrid'!G$50+($C127-1),Fremskrivninger!$A$9:$L$38,12),'Benzin - diesel - hybrid'!#REF!))/1000</f>
        <v>#REF!</v>
      </c>
      <c r="H127" s="313" t="e">
        <f>('Benzin - diesel - hybrid'!G$16*'Benzin - diesel - hybrid'!G$45*'Benzin - diesel - hybrid'!#REF!/10+'Benzin - diesel - hybrid'!#REF!*365)</f>
        <v>#REF!</v>
      </c>
      <c r="I127" s="291" t="e">
        <f>'Benzin - diesel - hybrid'!I$44*J127*IF('Benzin - diesel - hybrid'!I$29="nej","",IF('Benzin - diesel - hybrid'!#REF!="ja",VLOOKUP('Benzin - diesel - hybrid'!I$50+($C127-1),Fremskrivninger!$A$9:$L$38,12),'Benzin - diesel - hybrid'!#REF!))/1000</f>
        <v>#REF!</v>
      </c>
      <c r="J127" s="313" t="e">
        <f>('Benzin - diesel - hybrid'!I$16*'Benzin - diesel - hybrid'!I$45*'Benzin - diesel - hybrid'!#REF!/10+'Benzin - diesel - hybrid'!#REF!*365)</f>
        <v>#REF!</v>
      </c>
      <c r="K127" s="291" t="e">
        <f>'Benzin - diesel - hybrid'!K$44*L127*IF('Benzin - diesel - hybrid'!K$29="nej","",IF('Benzin - diesel - hybrid'!#REF!="ja",VLOOKUP('Benzin - diesel - hybrid'!K$50+($C127-1),Fremskrivninger!$A$9:$L$38,12),'Benzin - diesel - hybrid'!#REF!))/1000</f>
        <v>#REF!</v>
      </c>
      <c r="L127" s="313" t="e">
        <f>('Benzin - diesel - hybrid'!K$16*'Benzin - diesel - hybrid'!K$45*'Benzin - diesel - hybrid'!#REF!/10+'Benzin - diesel - hybrid'!#REF!*365)</f>
        <v>#REF!</v>
      </c>
      <c r="M127" s="291" t="e">
        <f>'Benzin - diesel - hybrid'!M$44*N127*IF('Benzin - diesel - hybrid'!M$29="nej","",IF('Benzin - diesel - hybrid'!#REF!="ja",VLOOKUP('Benzin - diesel - hybrid'!M$50+($C127-1),Fremskrivninger!$A$9:$L$38,12),'Benzin - diesel - hybrid'!#REF!))/1000</f>
        <v>#REF!</v>
      </c>
      <c r="N127" s="313" t="e">
        <f>('Benzin - diesel - hybrid'!M$16*'Benzin - diesel - hybrid'!M$45*'Benzin - diesel - hybrid'!#REF!/10+'Benzin - diesel - hybrid'!#REF!*365)</f>
        <v>#REF!</v>
      </c>
      <c r="O127" s="291" t="e">
        <f>'Benzin - diesel - hybrid'!O$44*P127*IF('Benzin - diesel - hybrid'!O$29="nej","",IF('Benzin - diesel - hybrid'!#REF!="ja",VLOOKUP('Benzin - diesel - hybrid'!O$50+($C127-1),Fremskrivninger!$A$9:$L$38,12),'Benzin - diesel - hybrid'!#REF!))/1000</f>
        <v>#REF!</v>
      </c>
      <c r="P127" s="313" t="e">
        <f>('Benzin - diesel - hybrid'!O$16*'Benzin - diesel - hybrid'!O$45*'Benzin - diesel - hybrid'!#REF!/10+'Benzin - diesel - hybrid'!#REF!*365)</f>
        <v>#REF!</v>
      </c>
      <c r="Q127" s="291" t="e">
        <f>'Benzin - diesel - hybrid'!Q$44*R127*IF('Benzin - diesel - hybrid'!Q$29="nej","",IF('Benzin - diesel - hybrid'!#REF!="ja",VLOOKUP('Benzin - diesel - hybrid'!Q$50+($C127-1),Fremskrivninger!$A$9:$L$38,12),'Benzin - diesel - hybrid'!#REF!))/1000</f>
        <v>#REF!</v>
      </c>
      <c r="R127" s="313" t="e">
        <f>('Benzin - diesel - hybrid'!Q$16*'Benzin - diesel - hybrid'!Q$45*'Benzin - diesel - hybrid'!#REF!/10+'Benzin - diesel - hybrid'!#REF!*365)</f>
        <v>#REF!</v>
      </c>
      <c r="S127" s="291" t="e">
        <f>'Benzin - diesel - hybrid'!S$44*T127*IF('Benzin - diesel - hybrid'!S$29="nej","",IF('Benzin - diesel - hybrid'!#REF!="ja",VLOOKUP('Benzin - diesel - hybrid'!S$50+($C127-1),Fremskrivninger!$A$9:$L$38,12),'Benzin - diesel - hybrid'!#REF!))/1000</f>
        <v>#REF!</v>
      </c>
      <c r="T127" s="313" t="e">
        <f>('Benzin - diesel - hybrid'!S$16*'Benzin - diesel - hybrid'!S$45*'Benzin - diesel - hybrid'!#REF!/10+'Benzin - diesel - hybrid'!#REF!*365)</f>
        <v>#REF!</v>
      </c>
      <c r="U127" s="291" t="e">
        <f>'Benzin - diesel - hybrid'!Y$44*V127*IF('Benzin - diesel - hybrid'!Y$29="nej","",IF('Benzin - diesel - hybrid'!#REF!="ja",VLOOKUP('Benzin - diesel - hybrid'!Y$50+($C127-1),Fremskrivninger!$A$9:$L$38,12),'Benzin - diesel - hybrid'!#REF!))/1000</f>
        <v>#REF!</v>
      </c>
      <c r="V127" s="313" t="e">
        <f>('Benzin - diesel - hybrid'!Y$16*'Benzin - diesel - hybrid'!Y$45*'Benzin - diesel - hybrid'!#REF!/10+'Benzin - diesel - hybrid'!#REF!*365)</f>
        <v>#REF!</v>
      </c>
      <c r="W127" s="291" t="e">
        <f>'Benzin - diesel - hybrid'!AA$44*X127*IF('Benzin - diesel - hybrid'!AA$29="nej","",IF('Benzin - diesel - hybrid'!#REF!="ja",VLOOKUP('Benzin - diesel - hybrid'!AA$50+($C127-1),Fremskrivninger!$A$9:$L$38,12),'Benzin - diesel - hybrid'!#REF!))/1000</f>
        <v>#REF!</v>
      </c>
      <c r="X127" s="313" t="e">
        <f>('Benzin - diesel - hybrid'!AA$16*'Benzin - diesel - hybrid'!AA$45*'Benzin - diesel - hybrid'!#REF!/10+'Benzin - diesel - hybrid'!#REF!*365)</f>
        <v>#REF!</v>
      </c>
    </row>
    <row r="128" spans="1:24" hidden="1" outlineLevel="1">
      <c r="A128" s="312"/>
      <c r="B128" s="285">
        <v>10</v>
      </c>
      <c r="C128" s="285">
        <f t="shared" si="8"/>
        <v>10</v>
      </c>
      <c r="D128" s="285"/>
      <c r="E128" s="291" t="e">
        <f>'Benzin - diesel - hybrid'!E$44*F128*IF('Benzin - diesel - hybrid'!E$29="nej","",IF('Benzin - diesel - hybrid'!#REF!="ja",VLOOKUP('Benzin - diesel - hybrid'!E$50+($C128-1),Fremskrivninger!$A$9:$L$38,12),'Benzin - diesel - hybrid'!#REF!))/1000</f>
        <v>#REF!</v>
      </c>
      <c r="F128" s="313" t="e">
        <f>('Benzin - diesel - hybrid'!E$16*'Benzin - diesel - hybrid'!E$45*'Benzin - diesel - hybrid'!#REF!/10+'Benzin - diesel - hybrid'!#REF!*365)</f>
        <v>#REF!</v>
      </c>
      <c r="G128" s="291" t="e">
        <f>'Benzin - diesel - hybrid'!G$44*H128*IF('Benzin - diesel - hybrid'!G$29="nej","",IF('Benzin - diesel - hybrid'!#REF!="ja",VLOOKUP('Benzin - diesel - hybrid'!G$50+($C128-1),Fremskrivninger!$A$9:$L$38,12),'Benzin - diesel - hybrid'!#REF!))/1000</f>
        <v>#REF!</v>
      </c>
      <c r="H128" s="313" t="e">
        <f>('Benzin - diesel - hybrid'!G$16*'Benzin - diesel - hybrid'!G$45*'Benzin - diesel - hybrid'!#REF!/10+'Benzin - diesel - hybrid'!#REF!*365)</f>
        <v>#REF!</v>
      </c>
      <c r="I128" s="291" t="e">
        <f>'Benzin - diesel - hybrid'!I$44*J128*IF('Benzin - diesel - hybrid'!I$29="nej","",IF('Benzin - diesel - hybrid'!#REF!="ja",VLOOKUP('Benzin - diesel - hybrid'!I$50+($C128-1),Fremskrivninger!$A$9:$L$38,12),'Benzin - diesel - hybrid'!#REF!))/1000</f>
        <v>#REF!</v>
      </c>
      <c r="J128" s="313" t="e">
        <f>('Benzin - diesel - hybrid'!I$16*'Benzin - diesel - hybrid'!I$45*'Benzin - diesel - hybrid'!#REF!/10+'Benzin - diesel - hybrid'!#REF!*365)</f>
        <v>#REF!</v>
      </c>
      <c r="K128" s="291" t="e">
        <f>'Benzin - diesel - hybrid'!K$44*L128*IF('Benzin - diesel - hybrid'!K$29="nej","",IF('Benzin - diesel - hybrid'!#REF!="ja",VLOOKUP('Benzin - diesel - hybrid'!K$50+($C128-1),Fremskrivninger!$A$9:$L$38,12),'Benzin - diesel - hybrid'!#REF!))/1000</f>
        <v>#REF!</v>
      </c>
      <c r="L128" s="313" t="e">
        <f>('Benzin - diesel - hybrid'!K$16*'Benzin - diesel - hybrid'!K$45*'Benzin - diesel - hybrid'!#REF!/10+'Benzin - diesel - hybrid'!#REF!*365)</f>
        <v>#REF!</v>
      </c>
      <c r="M128" s="291" t="e">
        <f>'Benzin - diesel - hybrid'!M$44*N128*IF('Benzin - diesel - hybrid'!M$29="nej","",IF('Benzin - diesel - hybrid'!#REF!="ja",VLOOKUP('Benzin - diesel - hybrid'!M$50+($C128-1),Fremskrivninger!$A$9:$L$38,12),'Benzin - diesel - hybrid'!#REF!))/1000</f>
        <v>#REF!</v>
      </c>
      <c r="N128" s="313" t="e">
        <f>('Benzin - diesel - hybrid'!M$16*'Benzin - diesel - hybrid'!M$45*'Benzin - diesel - hybrid'!#REF!/10+'Benzin - diesel - hybrid'!#REF!*365)</f>
        <v>#REF!</v>
      </c>
      <c r="O128" s="291" t="e">
        <f>'Benzin - diesel - hybrid'!O$44*P128*IF('Benzin - diesel - hybrid'!O$29="nej","",IF('Benzin - diesel - hybrid'!#REF!="ja",VLOOKUP('Benzin - diesel - hybrid'!O$50+($C128-1),Fremskrivninger!$A$9:$L$38,12),'Benzin - diesel - hybrid'!#REF!))/1000</f>
        <v>#REF!</v>
      </c>
      <c r="P128" s="313" t="e">
        <f>('Benzin - diesel - hybrid'!O$16*'Benzin - diesel - hybrid'!O$45*'Benzin - diesel - hybrid'!#REF!/10+'Benzin - diesel - hybrid'!#REF!*365)</f>
        <v>#REF!</v>
      </c>
      <c r="Q128" s="291" t="e">
        <f>'Benzin - diesel - hybrid'!Q$44*R128*IF('Benzin - diesel - hybrid'!Q$29="nej","",IF('Benzin - diesel - hybrid'!#REF!="ja",VLOOKUP('Benzin - diesel - hybrid'!Q$50+($C128-1),Fremskrivninger!$A$9:$L$38,12),'Benzin - diesel - hybrid'!#REF!))/1000</f>
        <v>#REF!</v>
      </c>
      <c r="R128" s="313" t="e">
        <f>('Benzin - diesel - hybrid'!Q$16*'Benzin - diesel - hybrid'!Q$45*'Benzin - diesel - hybrid'!#REF!/10+'Benzin - diesel - hybrid'!#REF!*365)</f>
        <v>#REF!</v>
      </c>
      <c r="S128" s="291" t="e">
        <f>'Benzin - diesel - hybrid'!S$44*T128*IF('Benzin - diesel - hybrid'!S$29="nej","",IF('Benzin - diesel - hybrid'!#REF!="ja",VLOOKUP('Benzin - diesel - hybrid'!S$50+($C128-1),Fremskrivninger!$A$9:$L$38,12),'Benzin - diesel - hybrid'!#REF!))/1000</f>
        <v>#REF!</v>
      </c>
      <c r="T128" s="313" t="e">
        <f>('Benzin - diesel - hybrid'!S$16*'Benzin - diesel - hybrid'!S$45*'Benzin - diesel - hybrid'!#REF!/10+'Benzin - diesel - hybrid'!#REF!*365)</f>
        <v>#REF!</v>
      </c>
      <c r="U128" s="291" t="e">
        <f>'Benzin - diesel - hybrid'!Y$44*V128*IF('Benzin - diesel - hybrid'!Y$29="nej","",IF('Benzin - diesel - hybrid'!#REF!="ja",VLOOKUP('Benzin - diesel - hybrid'!Y$50+($C128-1),Fremskrivninger!$A$9:$L$38,12),'Benzin - diesel - hybrid'!#REF!))/1000</f>
        <v>#REF!</v>
      </c>
      <c r="V128" s="313" t="e">
        <f>('Benzin - diesel - hybrid'!Y$16*'Benzin - diesel - hybrid'!Y$45*'Benzin - diesel - hybrid'!#REF!/10+'Benzin - diesel - hybrid'!#REF!*365)</f>
        <v>#REF!</v>
      </c>
      <c r="W128" s="291" t="e">
        <f>'Benzin - diesel - hybrid'!AA$44*X128*IF('Benzin - diesel - hybrid'!AA$29="nej","",IF('Benzin - diesel - hybrid'!#REF!="ja",VLOOKUP('Benzin - diesel - hybrid'!AA$50+($C128-1),Fremskrivninger!$A$9:$L$38,12),'Benzin - diesel - hybrid'!#REF!))/1000</f>
        <v>#REF!</v>
      </c>
      <c r="X128" s="313" t="e">
        <f>('Benzin - diesel - hybrid'!AA$16*'Benzin - diesel - hybrid'!AA$45*'Benzin - diesel - hybrid'!#REF!/10+'Benzin - diesel - hybrid'!#REF!*365)</f>
        <v>#REF!</v>
      </c>
    </row>
    <row r="129" spans="1:24" hidden="1" outlineLevel="1">
      <c r="A129" s="312"/>
      <c r="B129" s="285">
        <v>11</v>
      </c>
      <c r="C129" s="285">
        <f t="shared" si="8"/>
        <v>11</v>
      </c>
      <c r="D129" s="285"/>
      <c r="E129" s="291" t="e">
        <f>'Benzin - diesel - hybrid'!E$44*F129*IF('Benzin - diesel - hybrid'!E$29="nej","",IF('Benzin - diesel - hybrid'!#REF!="ja",VLOOKUP('Benzin - diesel - hybrid'!E$50+($C129-1),Fremskrivninger!$A$9:$L$38,12),'Benzin - diesel - hybrid'!#REF!))/1000</f>
        <v>#REF!</v>
      </c>
      <c r="F129" s="313" t="e">
        <f>('Benzin - diesel - hybrid'!E$16*'Benzin - diesel - hybrid'!E$45*'Benzin - diesel - hybrid'!#REF!/10+'Benzin - diesel - hybrid'!#REF!*365)</f>
        <v>#REF!</v>
      </c>
      <c r="G129" s="291" t="e">
        <f>'Benzin - diesel - hybrid'!G$44*H129*IF('Benzin - diesel - hybrid'!G$29="nej","",IF('Benzin - diesel - hybrid'!#REF!="ja",VLOOKUP('Benzin - diesel - hybrid'!G$50+($C129-1),Fremskrivninger!$A$9:$L$38,12),'Benzin - diesel - hybrid'!#REF!))/1000</f>
        <v>#REF!</v>
      </c>
      <c r="H129" s="313" t="e">
        <f>('Benzin - diesel - hybrid'!G$16*'Benzin - diesel - hybrid'!G$45*'Benzin - diesel - hybrid'!#REF!/10+'Benzin - diesel - hybrid'!#REF!*365)</f>
        <v>#REF!</v>
      </c>
      <c r="I129" s="291" t="e">
        <f>'Benzin - diesel - hybrid'!I$44*J129*IF('Benzin - diesel - hybrid'!I$29="nej","",IF('Benzin - diesel - hybrid'!#REF!="ja",VLOOKUP('Benzin - diesel - hybrid'!I$50+($C129-1),Fremskrivninger!$A$9:$L$38,12),'Benzin - diesel - hybrid'!#REF!))/1000</f>
        <v>#REF!</v>
      </c>
      <c r="J129" s="313" t="e">
        <f>('Benzin - diesel - hybrid'!I$16*'Benzin - diesel - hybrid'!I$45*'Benzin - diesel - hybrid'!#REF!/10+'Benzin - diesel - hybrid'!#REF!*365)</f>
        <v>#REF!</v>
      </c>
      <c r="K129" s="291" t="e">
        <f>'Benzin - diesel - hybrid'!K$44*L129*IF('Benzin - diesel - hybrid'!K$29="nej","",IF('Benzin - diesel - hybrid'!#REF!="ja",VLOOKUP('Benzin - diesel - hybrid'!K$50+($C129-1),Fremskrivninger!$A$9:$L$38,12),'Benzin - diesel - hybrid'!#REF!))/1000</f>
        <v>#REF!</v>
      </c>
      <c r="L129" s="313" t="e">
        <f>('Benzin - diesel - hybrid'!K$16*'Benzin - diesel - hybrid'!K$45*'Benzin - diesel - hybrid'!#REF!/10+'Benzin - diesel - hybrid'!#REF!*365)</f>
        <v>#REF!</v>
      </c>
      <c r="M129" s="291" t="e">
        <f>'Benzin - diesel - hybrid'!M$44*N129*IF('Benzin - diesel - hybrid'!M$29="nej","",IF('Benzin - diesel - hybrid'!#REF!="ja",VLOOKUP('Benzin - diesel - hybrid'!M$50+($C129-1),Fremskrivninger!$A$9:$L$38,12),'Benzin - diesel - hybrid'!#REF!))/1000</f>
        <v>#REF!</v>
      </c>
      <c r="N129" s="313" t="e">
        <f>('Benzin - diesel - hybrid'!M$16*'Benzin - diesel - hybrid'!M$45*'Benzin - diesel - hybrid'!#REF!/10+'Benzin - diesel - hybrid'!#REF!*365)</f>
        <v>#REF!</v>
      </c>
      <c r="O129" s="291" t="e">
        <f>'Benzin - diesel - hybrid'!O$44*P129*IF('Benzin - diesel - hybrid'!O$29="nej","",IF('Benzin - diesel - hybrid'!#REF!="ja",VLOOKUP('Benzin - diesel - hybrid'!O$50+($C129-1),Fremskrivninger!$A$9:$L$38,12),'Benzin - diesel - hybrid'!#REF!))/1000</f>
        <v>#REF!</v>
      </c>
      <c r="P129" s="313" t="e">
        <f>('Benzin - diesel - hybrid'!O$16*'Benzin - diesel - hybrid'!O$45*'Benzin - diesel - hybrid'!#REF!/10+'Benzin - diesel - hybrid'!#REF!*365)</f>
        <v>#REF!</v>
      </c>
      <c r="Q129" s="291" t="e">
        <f>'Benzin - diesel - hybrid'!Q$44*R129*IF('Benzin - diesel - hybrid'!Q$29="nej","",IF('Benzin - diesel - hybrid'!#REF!="ja",VLOOKUP('Benzin - diesel - hybrid'!Q$50+($C129-1),Fremskrivninger!$A$9:$L$38,12),'Benzin - diesel - hybrid'!#REF!))/1000</f>
        <v>#REF!</v>
      </c>
      <c r="R129" s="313" t="e">
        <f>('Benzin - diesel - hybrid'!Q$16*'Benzin - diesel - hybrid'!Q$45*'Benzin - diesel - hybrid'!#REF!/10+'Benzin - diesel - hybrid'!#REF!*365)</f>
        <v>#REF!</v>
      </c>
      <c r="S129" s="291" t="e">
        <f>'Benzin - diesel - hybrid'!S$44*T129*IF('Benzin - diesel - hybrid'!S$29="nej","",IF('Benzin - diesel - hybrid'!#REF!="ja",VLOOKUP('Benzin - diesel - hybrid'!S$50+($C129-1),Fremskrivninger!$A$9:$L$38,12),'Benzin - diesel - hybrid'!#REF!))/1000</f>
        <v>#REF!</v>
      </c>
      <c r="T129" s="313" t="e">
        <f>('Benzin - diesel - hybrid'!S$16*'Benzin - diesel - hybrid'!S$45*'Benzin - diesel - hybrid'!#REF!/10+'Benzin - diesel - hybrid'!#REF!*365)</f>
        <v>#REF!</v>
      </c>
      <c r="U129" s="291" t="e">
        <f>'Benzin - diesel - hybrid'!Y$44*V129*IF('Benzin - diesel - hybrid'!Y$29="nej","",IF('Benzin - diesel - hybrid'!#REF!="ja",VLOOKUP('Benzin - diesel - hybrid'!Y$50+($C129-1),Fremskrivninger!$A$9:$L$38,12),'Benzin - diesel - hybrid'!#REF!))/1000</f>
        <v>#REF!</v>
      </c>
      <c r="V129" s="313" t="e">
        <f>('Benzin - diesel - hybrid'!Y$16*'Benzin - diesel - hybrid'!Y$45*'Benzin - diesel - hybrid'!#REF!/10+'Benzin - diesel - hybrid'!#REF!*365)</f>
        <v>#REF!</v>
      </c>
      <c r="W129" s="291" t="e">
        <f>'Benzin - diesel - hybrid'!AA$44*X129*IF('Benzin - diesel - hybrid'!AA$29="nej","",IF('Benzin - diesel - hybrid'!#REF!="ja",VLOOKUP('Benzin - diesel - hybrid'!AA$50+($C129-1),Fremskrivninger!$A$9:$L$38,12),'Benzin - diesel - hybrid'!#REF!))/1000</f>
        <v>#REF!</v>
      </c>
      <c r="X129" s="313" t="e">
        <f>('Benzin - diesel - hybrid'!AA$16*'Benzin - diesel - hybrid'!AA$45*'Benzin - diesel - hybrid'!#REF!/10+'Benzin - diesel - hybrid'!#REF!*365)</f>
        <v>#REF!</v>
      </c>
    </row>
    <row r="130" spans="1:24" hidden="1" outlineLevel="1">
      <c r="A130" s="312"/>
      <c r="B130" s="285">
        <v>12</v>
      </c>
      <c r="C130" s="285">
        <f t="shared" si="8"/>
        <v>12</v>
      </c>
      <c r="D130" s="285"/>
      <c r="E130" s="291" t="e">
        <f>'Benzin - diesel - hybrid'!E$44*F130*IF('Benzin - diesel - hybrid'!E$29="nej","",IF('Benzin - diesel - hybrid'!#REF!="ja",VLOOKUP('Benzin - diesel - hybrid'!E$50+($C130-1),Fremskrivninger!$A$9:$L$38,12),'Benzin - diesel - hybrid'!#REF!))/1000</f>
        <v>#REF!</v>
      </c>
      <c r="F130" s="313" t="e">
        <f>('Benzin - diesel - hybrid'!E$16*'Benzin - diesel - hybrid'!E$45*'Benzin - diesel - hybrid'!#REF!/10+'Benzin - diesel - hybrid'!#REF!*365)</f>
        <v>#REF!</v>
      </c>
      <c r="G130" s="291" t="e">
        <f>'Benzin - diesel - hybrid'!G$44*H130*IF('Benzin - diesel - hybrid'!G$29="nej","",IF('Benzin - diesel - hybrid'!#REF!="ja",VLOOKUP('Benzin - diesel - hybrid'!G$50+($C130-1),Fremskrivninger!$A$9:$L$38,12),'Benzin - diesel - hybrid'!#REF!))/1000</f>
        <v>#REF!</v>
      </c>
      <c r="H130" s="313" t="e">
        <f>('Benzin - diesel - hybrid'!G$16*'Benzin - diesel - hybrid'!G$45*'Benzin - diesel - hybrid'!#REF!/10+'Benzin - diesel - hybrid'!#REF!*365)</f>
        <v>#REF!</v>
      </c>
      <c r="I130" s="291" t="e">
        <f>'Benzin - diesel - hybrid'!I$44*J130*IF('Benzin - diesel - hybrid'!I$29="nej","",IF('Benzin - diesel - hybrid'!#REF!="ja",VLOOKUP('Benzin - diesel - hybrid'!I$50+($C130-1),Fremskrivninger!$A$9:$L$38,12),'Benzin - diesel - hybrid'!#REF!))/1000</f>
        <v>#REF!</v>
      </c>
      <c r="J130" s="313" t="e">
        <f>('Benzin - diesel - hybrid'!I$16*'Benzin - diesel - hybrid'!I$45*'Benzin - diesel - hybrid'!#REF!/10+'Benzin - diesel - hybrid'!#REF!*365)</f>
        <v>#REF!</v>
      </c>
      <c r="K130" s="291" t="e">
        <f>'Benzin - diesel - hybrid'!K$44*L130*IF('Benzin - diesel - hybrid'!K$29="nej","",IF('Benzin - diesel - hybrid'!#REF!="ja",VLOOKUP('Benzin - diesel - hybrid'!K$50+($C130-1),Fremskrivninger!$A$9:$L$38,12),'Benzin - diesel - hybrid'!#REF!))/1000</f>
        <v>#REF!</v>
      </c>
      <c r="L130" s="313" t="e">
        <f>('Benzin - diesel - hybrid'!K$16*'Benzin - diesel - hybrid'!K$45*'Benzin - diesel - hybrid'!#REF!/10+'Benzin - diesel - hybrid'!#REF!*365)</f>
        <v>#REF!</v>
      </c>
      <c r="M130" s="291" t="e">
        <f>'Benzin - diesel - hybrid'!M$44*N130*IF('Benzin - diesel - hybrid'!M$29="nej","",IF('Benzin - diesel - hybrid'!#REF!="ja",VLOOKUP('Benzin - diesel - hybrid'!M$50+($C130-1),Fremskrivninger!$A$9:$L$38,12),'Benzin - diesel - hybrid'!#REF!))/1000</f>
        <v>#REF!</v>
      </c>
      <c r="N130" s="313" t="e">
        <f>('Benzin - diesel - hybrid'!M$16*'Benzin - diesel - hybrid'!M$45*'Benzin - diesel - hybrid'!#REF!/10+'Benzin - diesel - hybrid'!#REF!*365)</f>
        <v>#REF!</v>
      </c>
      <c r="O130" s="291" t="e">
        <f>'Benzin - diesel - hybrid'!O$44*P130*IF('Benzin - diesel - hybrid'!O$29="nej","",IF('Benzin - diesel - hybrid'!#REF!="ja",VLOOKUP('Benzin - diesel - hybrid'!O$50+($C130-1),Fremskrivninger!$A$9:$L$38,12),'Benzin - diesel - hybrid'!#REF!))/1000</f>
        <v>#REF!</v>
      </c>
      <c r="P130" s="313" t="e">
        <f>('Benzin - diesel - hybrid'!O$16*'Benzin - diesel - hybrid'!O$45*'Benzin - diesel - hybrid'!#REF!/10+'Benzin - diesel - hybrid'!#REF!*365)</f>
        <v>#REF!</v>
      </c>
      <c r="Q130" s="291" t="e">
        <f>'Benzin - diesel - hybrid'!Q$44*R130*IF('Benzin - diesel - hybrid'!Q$29="nej","",IF('Benzin - diesel - hybrid'!#REF!="ja",VLOOKUP('Benzin - diesel - hybrid'!Q$50+($C130-1),Fremskrivninger!$A$9:$L$38,12),'Benzin - diesel - hybrid'!#REF!))/1000</f>
        <v>#REF!</v>
      </c>
      <c r="R130" s="313" t="e">
        <f>('Benzin - diesel - hybrid'!Q$16*'Benzin - diesel - hybrid'!Q$45*'Benzin - diesel - hybrid'!#REF!/10+'Benzin - diesel - hybrid'!#REF!*365)</f>
        <v>#REF!</v>
      </c>
      <c r="S130" s="291" t="e">
        <f>'Benzin - diesel - hybrid'!S$44*T130*IF('Benzin - diesel - hybrid'!S$29="nej","",IF('Benzin - diesel - hybrid'!#REF!="ja",VLOOKUP('Benzin - diesel - hybrid'!S$50+($C130-1),Fremskrivninger!$A$9:$L$38,12),'Benzin - diesel - hybrid'!#REF!))/1000</f>
        <v>#REF!</v>
      </c>
      <c r="T130" s="313" t="e">
        <f>('Benzin - diesel - hybrid'!S$16*'Benzin - diesel - hybrid'!S$45*'Benzin - diesel - hybrid'!#REF!/10+'Benzin - diesel - hybrid'!#REF!*365)</f>
        <v>#REF!</v>
      </c>
      <c r="U130" s="291" t="e">
        <f>'Benzin - diesel - hybrid'!Y$44*V130*IF('Benzin - diesel - hybrid'!Y$29="nej","",IF('Benzin - diesel - hybrid'!#REF!="ja",VLOOKUP('Benzin - diesel - hybrid'!Y$50+($C130-1),Fremskrivninger!$A$9:$L$38,12),'Benzin - diesel - hybrid'!#REF!))/1000</f>
        <v>#REF!</v>
      </c>
      <c r="V130" s="313" t="e">
        <f>('Benzin - diesel - hybrid'!Y$16*'Benzin - diesel - hybrid'!Y$45*'Benzin - diesel - hybrid'!#REF!/10+'Benzin - diesel - hybrid'!#REF!*365)</f>
        <v>#REF!</v>
      </c>
      <c r="W130" s="291" t="e">
        <f>'Benzin - diesel - hybrid'!AA$44*X130*IF('Benzin - diesel - hybrid'!AA$29="nej","",IF('Benzin - diesel - hybrid'!#REF!="ja",VLOOKUP('Benzin - diesel - hybrid'!AA$50+($C130-1),Fremskrivninger!$A$9:$L$38,12),'Benzin - diesel - hybrid'!#REF!))/1000</f>
        <v>#REF!</v>
      </c>
      <c r="X130" s="313" t="e">
        <f>('Benzin - diesel - hybrid'!AA$16*'Benzin - diesel - hybrid'!AA$45*'Benzin - diesel - hybrid'!#REF!/10+'Benzin - diesel - hybrid'!#REF!*365)</f>
        <v>#REF!</v>
      </c>
    </row>
    <row r="131" spans="1:24" hidden="1" outlineLevel="1">
      <c r="A131" s="312"/>
      <c r="B131" s="285">
        <v>13</v>
      </c>
      <c r="C131" s="285">
        <f t="shared" si="8"/>
        <v>13</v>
      </c>
      <c r="D131" s="285"/>
      <c r="E131" s="291" t="e">
        <f>'Benzin - diesel - hybrid'!E$44*F131*IF('Benzin - diesel - hybrid'!E$29="nej","",IF('Benzin - diesel - hybrid'!#REF!="ja",VLOOKUP('Benzin - diesel - hybrid'!E$50+($C131-1),Fremskrivninger!$A$9:$L$38,12),'Benzin - diesel - hybrid'!#REF!))/1000</f>
        <v>#REF!</v>
      </c>
      <c r="F131" s="313" t="e">
        <f>('Benzin - diesel - hybrid'!E$16*'Benzin - diesel - hybrid'!E$45*'Benzin - diesel - hybrid'!#REF!/10+'Benzin - diesel - hybrid'!#REF!*365)</f>
        <v>#REF!</v>
      </c>
      <c r="G131" s="291" t="e">
        <f>'Benzin - diesel - hybrid'!G$44*H131*IF('Benzin - diesel - hybrid'!G$29="nej","",IF('Benzin - diesel - hybrid'!#REF!="ja",VLOOKUP('Benzin - diesel - hybrid'!G$50+($C131-1),Fremskrivninger!$A$9:$L$38,12),'Benzin - diesel - hybrid'!#REF!))/1000</f>
        <v>#REF!</v>
      </c>
      <c r="H131" s="313" t="e">
        <f>('Benzin - diesel - hybrid'!G$16*'Benzin - diesel - hybrid'!G$45*'Benzin - diesel - hybrid'!#REF!/10+'Benzin - diesel - hybrid'!#REF!*365)</f>
        <v>#REF!</v>
      </c>
      <c r="I131" s="291" t="e">
        <f>'Benzin - diesel - hybrid'!I$44*J131*IF('Benzin - diesel - hybrid'!I$29="nej","",IF('Benzin - diesel - hybrid'!#REF!="ja",VLOOKUP('Benzin - diesel - hybrid'!I$50+($C131-1),Fremskrivninger!$A$9:$L$38,12),'Benzin - diesel - hybrid'!#REF!))/1000</f>
        <v>#REF!</v>
      </c>
      <c r="J131" s="313" t="e">
        <f>('Benzin - diesel - hybrid'!I$16*'Benzin - diesel - hybrid'!I$45*'Benzin - diesel - hybrid'!#REF!/10+'Benzin - diesel - hybrid'!#REF!*365)</f>
        <v>#REF!</v>
      </c>
      <c r="K131" s="291" t="e">
        <f>'Benzin - diesel - hybrid'!K$44*L131*IF('Benzin - diesel - hybrid'!K$29="nej","",IF('Benzin - diesel - hybrid'!#REF!="ja",VLOOKUP('Benzin - diesel - hybrid'!K$50+($C131-1),Fremskrivninger!$A$9:$L$38,12),'Benzin - diesel - hybrid'!#REF!))/1000</f>
        <v>#REF!</v>
      </c>
      <c r="L131" s="313" t="e">
        <f>('Benzin - diesel - hybrid'!K$16*'Benzin - diesel - hybrid'!K$45*'Benzin - diesel - hybrid'!#REF!/10+'Benzin - diesel - hybrid'!#REF!*365)</f>
        <v>#REF!</v>
      </c>
      <c r="M131" s="291" t="e">
        <f>'Benzin - diesel - hybrid'!M$44*N131*IF('Benzin - diesel - hybrid'!M$29="nej","",IF('Benzin - diesel - hybrid'!#REF!="ja",VLOOKUP('Benzin - diesel - hybrid'!M$50+($C131-1),Fremskrivninger!$A$9:$L$38,12),'Benzin - diesel - hybrid'!#REF!))/1000</f>
        <v>#REF!</v>
      </c>
      <c r="N131" s="313" t="e">
        <f>('Benzin - diesel - hybrid'!M$16*'Benzin - diesel - hybrid'!M$45*'Benzin - diesel - hybrid'!#REF!/10+'Benzin - diesel - hybrid'!#REF!*365)</f>
        <v>#REF!</v>
      </c>
      <c r="O131" s="291" t="e">
        <f>'Benzin - diesel - hybrid'!O$44*P131*IF('Benzin - diesel - hybrid'!O$29="nej","",IF('Benzin - diesel - hybrid'!#REF!="ja",VLOOKUP('Benzin - diesel - hybrid'!O$50+($C131-1),Fremskrivninger!$A$9:$L$38,12),'Benzin - diesel - hybrid'!#REF!))/1000</f>
        <v>#REF!</v>
      </c>
      <c r="P131" s="313" t="e">
        <f>('Benzin - diesel - hybrid'!O$16*'Benzin - diesel - hybrid'!O$45*'Benzin - diesel - hybrid'!#REF!/10+'Benzin - diesel - hybrid'!#REF!*365)</f>
        <v>#REF!</v>
      </c>
      <c r="Q131" s="291" t="e">
        <f>'Benzin - diesel - hybrid'!Q$44*R131*IF('Benzin - diesel - hybrid'!Q$29="nej","",IF('Benzin - diesel - hybrid'!#REF!="ja",VLOOKUP('Benzin - diesel - hybrid'!Q$50+($C131-1),Fremskrivninger!$A$9:$L$38,12),'Benzin - diesel - hybrid'!#REF!))/1000</f>
        <v>#REF!</v>
      </c>
      <c r="R131" s="313" t="e">
        <f>('Benzin - diesel - hybrid'!Q$16*'Benzin - diesel - hybrid'!Q$45*'Benzin - diesel - hybrid'!#REF!/10+'Benzin - diesel - hybrid'!#REF!*365)</f>
        <v>#REF!</v>
      </c>
      <c r="S131" s="291" t="e">
        <f>'Benzin - diesel - hybrid'!S$44*T131*IF('Benzin - diesel - hybrid'!S$29="nej","",IF('Benzin - diesel - hybrid'!#REF!="ja",VLOOKUP('Benzin - diesel - hybrid'!S$50+($C131-1),Fremskrivninger!$A$9:$L$38,12),'Benzin - diesel - hybrid'!#REF!))/1000</f>
        <v>#REF!</v>
      </c>
      <c r="T131" s="313" t="e">
        <f>('Benzin - diesel - hybrid'!S$16*'Benzin - diesel - hybrid'!S$45*'Benzin - diesel - hybrid'!#REF!/10+'Benzin - diesel - hybrid'!#REF!*365)</f>
        <v>#REF!</v>
      </c>
      <c r="U131" s="291" t="e">
        <f>'Benzin - diesel - hybrid'!Y$44*V131*IF('Benzin - diesel - hybrid'!Y$29="nej","",IF('Benzin - diesel - hybrid'!#REF!="ja",VLOOKUP('Benzin - diesel - hybrid'!Y$50+($C131-1),Fremskrivninger!$A$9:$L$38,12),'Benzin - diesel - hybrid'!#REF!))/1000</f>
        <v>#REF!</v>
      </c>
      <c r="V131" s="313" t="e">
        <f>('Benzin - diesel - hybrid'!Y$16*'Benzin - diesel - hybrid'!Y$45*'Benzin - diesel - hybrid'!#REF!/10+'Benzin - diesel - hybrid'!#REF!*365)</f>
        <v>#REF!</v>
      </c>
      <c r="W131" s="291" t="e">
        <f>'Benzin - diesel - hybrid'!AA$44*X131*IF('Benzin - diesel - hybrid'!AA$29="nej","",IF('Benzin - diesel - hybrid'!#REF!="ja",VLOOKUP('Benzin - diesel - hybrid'!AA$50+($C131-1),Fremskrivninger!$A$9:$L$38,12),'Benzin - diesel - hybrid'!#REF!))/1000</f>
        <v>#REF!</v>
      </c>
      <c r="X131" s="313" t="e">
        <f>('Benzin - diesel - hybrid'!AA$16*'Benzin - diesel - hybrid'!AA$45*'Benzin - diesel - hybrid'!#REF!/10+'Benzin - diesel - hybrid'!#REF!*365)</f>
        <v>#REF!</v>
      </c>
    </row>
    <row r="132" spans="1:24" hidden="1" outlineLevel="1">
      <c r="A132" s="312"/>
      <c r="B132" s="285">
        <v>14</v>
      </c>
      <c r="C132" s="285">
        <f t="shared" si="8"/>
        <v>14</v>
      </c>
      <c r="D132" s="285"/>
      <c r="E132" s="291" t="e">
        <f>'Benzin - diesel - hybrid'!E$44*F132*IF('Benzin - diesel - hybrid'!E$29="nej","",IF('Benzin - diesel - hybrid'!#REF!="ja",VLOOKUP('Benzin - diesel - hybrid'!E$50+($C132-1),Fremskrivninger!$A$9:$L$38,12),'Benzin - diesel - hybrid'!#REF!))/1000</f>
        <v>#REF!</v>
      </c>
      <c r="F132" s="313" t="e">
        <f>('Benzin - diesel - hybrid'!E$16*'Benzin - diesel - hybrid'!E$45*'Benzin - diesel - hybrid'!#REF!/10+'Benzin - diesel - hybrid'!#REF!*365)</f>
        <v>#REF!</v>
      </c>
      <c r="G132" s="291" t="e">
        <f>'Benzin - diesel - hybrid'!G$44*H132*IF('Benzin - diesel - hybrid'!G$29="nej","",IF('Benzin - diesel - hybrid'!#REF!="ja",VLOOKUP('Benzin - diesel - hybrid'!G$50+($C132-1),Fremskrivninger!$A$9:$L$38,12),'Benzin - diesel - hybrid'!#REF!))/1000</f>
        <v>#REF!</v>
      </c>
      <c r="H132" s="313" t="e">
        <f>('Benzin - diesel - hybrid'!G$16*'Benzin - diesel - hybrid'!G$45*'Benzin - diesel - hybrid'!#REF!/10+'Benzin - diesel - hybrid'!#REF!*365)</f>
        <v>#REF!</v>
      </c>
      <c r="I132" s="291" t="e">
        <f>'Benzin - diesel - hybrid'!I$44*J132*IF('Benzin - diesel - hybrid'!I$29="nej","",IF('Benzin - diesel - hybrid'!#REF!="ja",VLOOKUP('Benzin - diesel - hybrid'!I$50+($C132-1),Fremskrivninger!$A$9:$L$38,12),'Benzin - diesel - hybrid'!#REF!))/1000</f>
        <v>#REF!</v>
      </c>
      <c r="J132" s="313" t="e">
        <f>('Benzin - diesel - hybrid'!I$16*'Benzin - diesel - hybrid'!I$45*'Benzin - diesel - hybrid'!#REF!/10+'Benzin - diesel - hybrid'!#REF!*365)</f>
        <v>#REF!</v>
      </c>
      <c r="K132" s="291" t="e">
        <f>'Benzin - diesel - hybrid'!K$44*L132*IF('Benzin - diesel - hybrid'!K$29="nej","",IF('Benzin - diesel - hybrid'!#REF!="ja",VLOOKUP('Benzin - diesel - hybrid'!K$50+($C132-1),Fremskrivninger!$A$9:$L$38,12),'Benzin - diesel - hybrid'!#REF!))/1000</f>
        <v>#REF!</v>
      </c>
      <c r="L132" s="313" t="e">
        <f>('Benzin - diesel - hybrid'!K$16*'Benzin - diesel - hybrid'!K$45*'Benzin - diesel - hybrid'!#REF!/10+'Benzin - diesel - hybrid'!#REF!*365)</f>
        <v>#REF!</v>
      </c>
      <c r="M132" s="291" t="e">
        <f>'Benzin - diesel - hybrid'!M$44*N132*IF('Benzin - diesel - hybrid'!M$29="nej","",IF('Benzin - diesel - hybrid'!#REF!="ja",VLOOKUP('Benzin - diesel - hybrid'!M$50+($C132-1),Fremskrivninger!$A$9:$L$38,12),'Benzin - diesel - hybrid'!#REF!))/1000</f>
        <v>#REF!</v>
      </c>
      <c r="N132" s="313" t="e">
        <f>('Benzin - diesel - hybrid'!M$16*'Benzin - diesel - hybrid'!M$45*'Benzin - diesel - hybrid'!#REF!/10+'Benzin - diesel - hybrid'!#REF!*365)</f>
        <v>#REF!</v>
      </c>
      <c r="O132" s="291" t="e">
        <f>'Benzin - diesel - hybrid'!O$44*P132*IF('Benzin - diesel - hybrid'!O$29="nej","",IF('Benzin - diesel - hybrid'!#REF!="ja",VLOOKUP('Benzin - diesel - hybrid'!O$50+($C132-1),Fremskrivninger!$A$9:$L$38,12),'Benzin - diesel - hybrid'!#REF!))/1000</f>
        <v>#REF!</v>
      </c>
      <c r="P132" s="313" t="e">
        <f>('Benzin - diesel - hybrid'!O$16*'Benzin - diesel - hybrid'!O$45*'Benzin - diesel - hybrid'!#REF!/10+'Benzin - diesel - hybrid'!#REF!*365)</f>
        <v>#REF!</v>
      </c>
      <c r="Q132" s="291" t="e">
        <f>'Benzin - diesel - hybrid'!Q$44*R132*IF('Benzin - diesel - hybrid'!Q$29="nej","",IF('Benzin - diesel - hybrid'!#REF!="ja",VLOOKUP('Benzin - diesel - hybrid'!Q$50+($C132-1),Fremskrivninger!$A$9:$L$38,12),'Benzin - diesel - hybrid'!#REF!))/1000</f>
        <v>#REF!</v>
      </c>
      <c r="R132" s="313" t="e">
        <f>('Benzin - diesel - hybrid'!Q$16*'Benzin - diesel - hybrid'!Q$45*'Benzin - diesel - hybrid'!#REF!/10+'Benzin - diesel - hybrid'!#REF!*365)</f>
        <v>#REF!</v>
      </c>
      <c r="S132" s="291" t="e">
        <f>'Benzin - diesel - hybrid'!S$44*T132*IF('Benzin - diesel - hybrid'!S$29="nej","",IF('Benzin - diesel - hybrid'!#REF!="ja",VLOOKUP('Benzin - diesel - hybrid'!S$50+($C132-1),Fremskrivninger!$A$9:$L$38,12),'Benzin - diesel - hybrid'!#REF!))/1000</f>
        <v>#REF!</v>
      </c>
      <c r="T132" s="313" t="e">
        <f>('Benzin - diesel - hybrid'!S$16*'Benzin - diesel - hybrid'!S$45*'Benzin - diesel - hybrid'!#REF!/10+'Benzin - diesel - hybrid'!#REF!*365)</f>
        <v>#REF!</v>
      </c>
      <c r="U132" s="291" t="e">
        <f>'Benzin - diesel - hybrid'!Y$44*V132*IF('Benzin - diesel - hybrid'!Y$29="nej","",IF('Benzin - diesel - hybrid'!#REF!="ja",VLOOKUP('Benzin - diesel - hybrid'!Y$50+($C132-1),Fremskrivninger!$A$9:$L$38,12),'Benzin - diesel - hybrid'!#REF!))/1000</f>
        <v>#REF!</v>
      </c>
      <c r="V132" s="313" t="e">
        <f>('Benzin - diesel - hybrid'!Y$16*'Benzin - diesel - hybrid'!Y$45*'Benzin - diesel - hybrid'!#REF!/10+'Benzin - diesel - hybrid'!#REF!*365)</f>
        <v>#REF!</v>
      </c>
      <c r="W132" s="291" t="e">
        <f>'Benzin - diesel - hybrid'!AA$44*X132*IF('Benzin - diesel - hybrid'!AA$29="nej","",IF('Benzin - diesel - hybrid'!#REF!="ja",VLOOKUP('Benzin - diesel - hybrid'!AA$50+($C132-1),Fremskrivninger!$A$9:$L$38,12),'Benzin - diesel - hybrid'!#REF!))/1000</f>
        <v>#REF!</v>
      </c>
      <c r="X132" s="313" t="e">
        <f>('Benzin - diesel - hybrid'!AA$16*'Benzin - diesel - hybrid'!AA$45*'Benzin - diesel - hybrid'!#REF!/10+'Benzin - diesel - hybrid'!#REF!*365)</f>
        <v>#REF!</v>
      </c>
    </row>
    <row r="133" spans="1:24" hidden="1" outlineLevel="1">
      <c r="A133" s="312"/>
      <c r="B133" s="285">
        <v>15</v>
      </c>
      <c r="C133" s="285">
        <f t="shared" si="8"/>
        <v>15</v>
      </c>
      <c r="D133" s="285"/>
      <c r="E133" s="291" t="e">
        <f>'Benzin - diesel - hybrid'!E$44*F133*IF('Benzin - diesel - hybrid'!E$29="nej","",IF('Benzin - diesel - hybrid'!#REF!="ja",VLOOKUP('Benzin - diesel - hybrid'!E$50+($C133-1),Fremskrivninger!$A$9:$L$38,12),'Benzin - diesel - hybrid'!#REF!))/1000</f>
        <v>#REF!</v>
      </c>
      <c r="F133" s="313" t="e">
        <f>('Benzin - diesel - hybrid'!E$16*'Benzin - diesel - hybrid'!E$45*'Benzin - diesel - hybrid'!#REF!/10+'Benzin - diesel - hybrid'!#REF!*365)</f>
        <v>#REF!</v>
      </c>
      <c r="G133" s="291" t="e">
        <f>'Benzin - diesel - hybrid'!G$44*H133*IF('Benzin - diesel - hybrid'!G$29="nej","",IF('Benzin - diesel - hybrid'!#REF!="ja",VLOOKUP('Benzin - diesel - hybrid'!G$50+($C133-1),Fremskrivninger!$A$9:$L$38,12),'Benzin - diesel - hybrid'!#REF!))/1000</f>
        <v>#REF!</v>
      </c>
      <c r="H133" s="313" t="e">
        <f>('Benzin - diesel - hybrid'!G$16*'Benzin - diesel - hybrid'!G$45*'Benzin - diesel - hybrid'!#REF!/10+'Benzin - diesel - hybrid'!#REF!*365)</f>
        <v>#REF!</v>
      </c>
      <c r="I133" s="291" t="e">
        <f>'Benzin - diesel - hybrid'!I$44*J133*IF('Benzin - diesel - hybrid'!I$29="nej","",IF('Benzin - diesel - hybrid'!#REF!="ja",VLOOKUP('Benzin - diesel - hybrid'!I$50+($C133-1),Fremskrivninger!$A$9:$L$38,12),'Benzin - diesel - hybrid'!#REF!))/1000</f>
        <v>#REF!</v>
      </c>
      <c r="J133" s="313" t="e">
        <f>('Benzin - diesel - hybrid'!I$16*'Benzin - diesel - hybrid'!I$45*'Benzin - diesel - hybrid'!#REF!/10+'Benzin - diesel - hybrid'!#REF!*365)</f>
        <v>#REF!</v>
      </c>
      <c r="K133" s="291" t="e">
        <f>'Benzin - diesel - hybrid'!K$44*L133*IF('Benzin - diesel - hybrid'!K$29="nej","",IF('Benzin - diesel - hybrid'!#REF!="ja",VLOOKUP('Benzin - diesel - hybrid'!K$50+($C133-1),Fremskrivninger!$A$9:$L$38,12),'Benzin - diesel - hybrid'!#REF!))/1000</f>
        <v>#REF!</v>
      </c>
      <c r="L133" s="313" t="e">
        <f>('Benzin - diesel - hybrid'!K$16*'Benzin - diesel - hybrid'!K$45*'Benzin - diesel - hybrid'!#REF!/10+'Benzin - diesel - hybrid'!#REF!*365)</f>
        <v>#REF!</v>
      </c>
      <c r="M133" s="291" t="e">
        <f>'Benzin - diesel - hybrid'!M$44*N133*IF('Benzin - diesel - hybrid'!M$29="nej","",IF('Benzin - diesel - hybrid'!#REF!="ja",VLOOKUP('Benzin - diesel - hybrid'!M$50+($C133-1),Fremskrivninger!$A$9:$L$38,12),'Benzin - diesel - hybrid'!#REF!))/1000</f>
        <v>#REF!</v>
      </c>
      <c r="N133" s="313" t="e">
        <f>('Benzin - diesel - hybrid'!M$16*'Benzin - diesel - hybrid'!M$45*'Benzin - diesel - hybrid'!#REF!/10+'Benzin - diesel - hybrid'!#REF!*365)</f>
        <v>#REF!</v>
      </c>
      <c r="O133" s="291" t="e">
        <f>'Benzin - diesel - hybrid'!O$44*P133*IF('Benzin - diesel - hybrid'!O$29="nej","",IF('Benzin - diesel - hybrid'!#REF!="ja",VLOOKUP('Benzin - diesel - hybrid'!O$50+($C133-1),Fremskrivninger!$A$9:$L$38,12),'Benzin - diesel - hybrid'!#REF!))/1000</f>
        <v>#REF!</v>
      </c>
      <c r="P133" s="313" t="e">
        <f>('Benzin - diesel - hybrid'!O$16*'Benzin - diesel - hybrid'!O$45*'Benzin - diesel - hybrid'!#REF!/10+'Benzin - diesel - hybrid'!#REF!*365)</f>
        <v>#REF!</v>
      </c>
      <c r="Q133" s="291" t="e">
        <f>'Benzin - diesel - hybrid'!Q$44*R133*IF('Benzin - diesel - hybrid'!Q$29="nej","",IF('Benzin - diesel - hybrid'!#REF!="ja",VLOOKUP('Benzin - diesel - hybrid'!Q$50+($C133-1),Fremskrivninger!$A$9:$L$38,12),'Benzin - diesel - hybrid'!#REF!))/1000</f>
        <v>#REF!</v>
      </c>
      <c r="R133" s="313" t="e">
        <f>('Benzin - diesel - hybrid'!Q$16*'Benzin - diesel - hybrid'!Q$45*'Benzin - diesel - hybrid'!#REF!/10+'Benzin - diesel - hybrid'!#REF!*365)</f>
        <v>#REF!</v>
      </c>
      <c r="S133" s="291" t="e">
        <f>'Benzin - diesel - hybrid'!S$44*T133*IF('Benzin - diesel - hybrid'!S$29="nej","",IF('Benzin - diesel - hybrid'!#REF!="ja",VLOOKUP('Benzin - diesel - hybrid'!S$50+($C133-1),Fremskrivninger!$A$9:$L$38,12),'Benzin - diesel - hybrid'!#REF!))/1000</f>
        <v>#REF!</v>
      </c>
      <c r="T133" s="313" t="e">
        <f>('Benzin - diesel - hybrid'!S$16*'Benzin - diesel - hybrid'!S$45*'Benzin - diesel - hybrid'!#REF!/10+'Benzin - diesel - hybrid'!#REF!*365)</f>
        <v>#REF!</v>
      </c>
      <c r="U133" s="291" t="e">
        <f>'Benzin - diesel - hybrid'!Y$44*V133*IF('Benzin - diesel - hybrid'!Y$29="nej","",IF('Benzin - diesel - hybrid'!#REF!="ja",VLOOKUP('Benzin - diesel - hybrid'!Y$50+($C133-1),Fremskrivninger!$A$9:$L$38,12),'Benzin - diesel - hybrid'!#REF!))/1000</f>
        <v>#REF!</v>
      </c>
      <c r="V133" s="313" t="e">
        <f>('Benzin - diesel - hybrid'!Y$16*'Benzin - diesel - hybrid'!Y$45*'Benzin - diesel - hybrid'!#REF!/10+'Benzin - diesel - hybrid'!#REF!*365)</f>
        <v>#REF!</v>
      </c>
      <c r="W133" s="291" t="e">
        <f>'Benzin - diesel - hybrid'!AA$44*X133*IF('Benzin - diesel - hybrid'!AA$29="nej","",IF('Benzin - diesel - hybrid'!#REF!="ja",VLOOKUP('Benzin - diesel - hybrid'!AA$50+($C133-1),Fremskrivninger!$A$9:$L$38,12),'Benzin - diesel - hybrid'!#REF!))/1000</f>
        <v>#REF!</v>
      </c>
      <c r="X133" s="313" t="e">
        <f>('Benzin - diesel - hybrid'!AA$16*'Benzin - diesel - hybrid'!AA$45*'Benzin - diesel - hybrid'!#REF!/10+'Benzin - diesel - hybrid'!#REF!*365)</f>
        <v>#REF!</v>
      </c>
    </row>
    <row r="134" spans="1:24" hidden="1" outlineLevel="1">
      <c r="A134" s="312"/>
      <c r="B134" s="285">
        <v>16</v>
      </c>
      <c r="C134" s="285">
        <f t="shared" si="8"/>
        <v>16</v>
      </c>
      <c r="D134" s="285"/>
      <c r="E134" s="291" t="e">
        <f>'Benzin - diesel - hybrid'!E$44*F134*IF('Benzin - diesel - hybrid'!E$29="nej","",IF('Benzin - diesel - hybrid'!#REF!="ja",VLOOKUP('Benzin - diesel - hybrid'!E$50+($C134-1),Fremskrivninger!$A$9:$L$38,12),'Benzin - diesel - hybrid'!#REF!))/1000</f>
        <v>#REF!</v>
      </c>
      <c r="F134" s="313" t="e">
        <f>('Benzin - diesel - hybrid'!E$16*'Benzin - diesel - hybrid'!E$45*'Benzin - diesel - hybrid'!#REF!/10+'Benzin - diesel - hybrid'!#REF!*365)</f>
        <v>#REF!</v>
      </c>
      <c r="G134" s="291" t="e">
        <f>'Benzin - diesel - hybrid'!G$44*H134*IF('Benzin - diesel - hybrid'!G$29="nej","",IF('Benzin - diesel - hybrid'!#REF!="ja",VLOOKUP('Benzin - diesel - hybrid'!G$50+($C134-1),Fremskrivninger!$A$9:$L$38,12),'Benzin - diesel - hybrid'!#REF!))/1000</f>
        <v>#REF!</v>
      </c>
      <c r="H134" s="313" t="e">
        <f>('Benzin - diesel - hybrid'!G$16*'Benzin - diesel - hybrid'!G$45*'Benzin - diesel - hybrid'!#REF!/10+'Benzin - diesel - hybrid'!#REF!*365)</f>
        <v>#REF!</v>
      </c>
      <c r="I134" s="291" t="e">
        <f>'Benzin - diesel - hybrid'!I$44*J134*IF('Benzin - diesel - hybrid'!I$29="nej","",IF('Benzin - diesel - hybrid'!#REF!="ja",VLOOKUP('Benzin - diesel - hybrid'!I$50+($C134-1),Fremskrivninger!$A$9:$L$38,12),'Benzin - diesel - hybrid'!#REF!))/1000</f>
        <v>#REF!</v>
      </c>
      <c r="J134" s="313" t="e">
        <f>('Benzin - diesel - hybrid'!I$16*'Benzin - diesel - hybrid'!I$45*'Benzin - diesel - hybrid'!#REF!/10+'Benzin - diesel - hybrid'!#REF!*365)</f>
        <v>#REF!</v>
      </c>
      <c r="K134" s="291" t="e">
        <f>'Benzin - diesel - hybrid'!K$44*L134*IF('Benzin - diesel - hybrid'!K$29="nej","",IF('Benzin - diesel - hybrid'!#REF!="ja",VLOOKUP('Benzin - diesel - hybrid'!K$50+($C134-1),Fremskrivninger!$A$9:$L$38,12),'Benzin - diesel - hybrid'!#REF!))/1000</f>
        <v>#REF!</v>
      </c>
      <c r="L134" s="313" t="e">
        <f>('Benzin - diesel - hybrid'!K$16*'Benzin - diesel - hybrid'!K$45*'Benzin - diesel - hybrid'!#REF!/10+'Benzin - diesel - hybrid'!#REF!*365)</f>
        <v>#REF!</v>
      </c>
      <c r="M134" s="291" t="e">
        <f>'Benzin - diesel - hybrid'!M$44*N134*IF('Benzin - diesel - hybrid'!M$29="nej","",IF('Benzin - diesel - hybrid'!#REF!="ja",VLOOKUP('Benzin - diesel - hybrid'!M$50+($C134-1),Fremskrivninger!$A$9:$L$38,12),'Benzin - diesel - hybrid'!#REF!))/1000</f>
        <v>#REF!</v>
      </c>
      <c r="N134" s="313" t="e">
        <f>('Benzin - diesel - hybrid'!M$16*'Benzin - diesel - hybrid'!M$45*'Benzin - diesel - hybrid'!#REF!/10+'Benzin - diesel - hybrid'!#REF!*365)</f>
        <v>#REF!</v>
      </c>
      <c r="O134" s="291" t="e">
        <f>'Benzin - diesel - hybrid'!O$44*P134*IF('Benzin - diesel - hybrid'!O$29="nej","",IF('Benzin - diesel - hybrid'!#REF!="ja",VLOOKUP('Benzin - diesel - hybrid'!O$50+($C134-1),Fremskrivninger!$A$9:$L$38,12),'Benzin - diesel - hybrid'!#REF!))/1000</f>
        <v>#REF!</v>
      </c>
      <c r="P134" s="313" t="e">
        <f>('Benzin - diesel - hybrid'!O$16*'Benzin - diesel - hybrid'!O$45*'Benzin - diesel - hybrid'!#REF!/10+'Benzin - diesel - hybrid'!#REF!*365)</f>
        <v>#REF!</v>
      </c>
      <c r="Q134" s="291" t="e">
        <f>'Benzin - diesel - hybrid'!Q$44*R134*IF('Benzin - diesel - hybrid'!Q$29="nej","",IF('Benzin - diesel - hybrid'!#REF!="ja",VLOOKUP('Benzin - diesel - hybrid'!Q$50+($C134-1),Fremskrivninger!$A$9:$L$38,12),'Benzin - diesel - hybrid'!#REF!))/1000</f>
        <v>#REF!</v>
      </c>
      <c r="R134" s="313" t="e">
        <f>('Benzin - diesel - hybrid'!Q$16*'Benzin - diesel - hybrid'!Q$45*'Benzin - diesel - hybrid'!#REF!/10+'Benzin - diesel - hybrid'!#REF!*365)</f>
        <v>#REF!</v>
      </c>
      <c r="S134" s="291" t="e">
        <f>'Benzin - diesel - hybrid'!S$44*T134*IF('Benzin - diesel - hybrid'!S$29="nej","",IF('Benzin - diesel - hybrid'!#REF!="ja",VLOOKUP('Benzin - diesel - hybrid'!S$50+($C134-1),Fremskrivninger!$A$9:$L$38,12),'Benzin - diesel - hybrid'!#REF!))/1000</f>
        <v>#REF!</v>
      </c>
      <c r="T134" s="313" t="e">
        <f>('Benzin - diesel - hybrid'!S$16*'Benzin - diesel - hybrid'!S$45*'Benzin - diesel - hybrid'!#REF!/10+'Benzin - diesel - hybrid'!#REF!*365)</f>
        <v>#REF!</v>
      </c>
      <c r="U134" s="291" t="e">
        <f>'Benzin - diesel - hybrid'!Y$44*V134*IF('Benzin - diesel - hybrid'!Y$29="nej","",IF('Benzin - diesel - hybrid'!#REF!="ja",VLOOKUP('Benzin - diesel - hybrid'!Y$50+($C134-1),Fremskrivninger!$A$9:$L$38,12),'Benzin - diesel - hybrid'!#REF!))/1000</f>
        <v>#REF!</v>
      </c>
      <c r="V134" s="313" t="e">
        <f>('Benzin - diesel - hybrid'!Y$16*'Benzin - diesel - hybrid'!Y$45*'Benzin - diesel - hybrid'!#REF!/10+'Benzin - diesel - hybrid'!#REF!*365)</f>
        <v>#REF!</v>
      </c>
      <c r="W134" s="291" t="e">
        <f>'Benzin - diesel - hybrid'!AA$44*X134*IF('Benzin - diesel - hybrid'!AA$29="nej","",IF('Benzin - diesel - hybrid'!#REF!="ja",VLOOKUP('Benzin - diesel - hybrid'!AA$50+($C134-1),Fremskrivninger!$A$9:$L$38,12),'Benzin - diesel - hybrid'!#REF!))/1000</f>
        <v>#REF!</v>
      </c>
      <c r="X134" s="313" t="e">
        <f>('Benzin - diesel - hybrid'!AA$16*'Benzin - diesel - hybrid'!AA$45*'Benzin - diesel - hybrid'!#REF!/10+'Benzin - diesel - hybrid'!#REF!*365)</f>
        <v>#REF!</v>
      </c>
    </row>
    <row r="135" spans="1:24" hidden="1" outlineLevel="1">
      <c r="A135" s="312"/>
      <c r="B135" s="285">
        <v>17</v>
      </c>
      <c r="C135" s="285">
        <f t="shared" si="8"/>
        <v>17</v>
      </c>
      <c r="D135" s="285"/>
      <c r="E135" s="291" t="e">
        <f>'Benzin - diesel - hybrid'!E$44*F135*IF('Benzin - diesel - hybrid'!E$29="nej","",IF('Benzin - diesel - hybrid'!#REF!="ja",VLOOKUP('Benzin - diesel - hybrid'!E$50+($C135-1),Fremskrivninger!$A$9:$L$38,12),'Benzin - diesel - hybrid'!#REF!))/1000</f>
        <v>#REF!</v>
      </c>
      <c r="F135" s="313" t="e">
        <f>('Benzin - diesel - hybrid'!E$16*'Benzin - diesel - hybrid'!E$45*'Benzin - diesel - hybrid'!#REF!/10+'Benzin - diesel - hybrid'!#REF!*365)</f>
        <v>#REF!</v>
      </c>
      <c r="G135" s="291" t="e">
        <f>'Benzin - diesel - hybrid'!G$44*H135*IF('Benzin - diesel - hybrid'!G$29="nej","",IF('Benzin - diesel - hybrid'!#REF!="ja",VLOOKUP('Benzin - diesel - hybrid'!G$50+($C135-1),Fremskrivninger!$A$9:$L$38,12),'Benzin - diesel - hybrid'!#REF!))/1000</f>
        <v>#REF!</v>
      </c>
      <c r="H135" s="313" t="e">
        <f>('Benzin - diesel - hybrid'!G$16*'Benzin - diesel - hybrid'!G$45*'Benzin - diesel - hybrid'!#REF!/10+'Benzin - diesel - hybrid'!#REF!*365)</f>
        <v>#REF!</v>
      </c>
      <c r="I135" s="291" t="e">
        <f>'Benzin - diesel - hybrid'!I$44*J135*IF('Benzin - diesel - hybrid'!I$29="nej","",IF('Benzin - diesel - hybrid'!#REF!="ja",VLOOKUP('Benzin - diesel - hybrid'!I$50+($C135-1),Fremskrivninger!$A$9:$L$38,12),'Benzin - diesel - hybrid'!#REF!))/1000</f>
        <v>#REF!</v>
      </c>
      <c r="J135" s="313" t="e">
        <f>('Benzin - diesel - hybrid'!I$16*'Benzin - diesel - hybrid'!I$45*'Benzin - diesel - hybrid'!#REF!/10+'Benzin - diesel - hybrid'!#REF!*365)</f>
        <v>#REF!</v>
      </c>
      <c r="K135" s="291" t="e">
        <f>'Benzin - diesel - hybrid'!K$44*L135*IF('Benzin - diesel - hybrid'!K$29="nej","",IF('Benzin - diesel - hybrid'!#REF!="ja",VLOOKUP('Benzin - diesel - hybrid'!K$50+($C135-1),Fremskrivninger!$A$9:$L$38,12),'Benzin - diesel - hybrid'!#REF!))/1000</f>
        <v>#REF!</v>
      </c>
      <c r="L135" s="313" t="e">
        <f>('Benzin - diesel - hybrid'!K$16*'Benzin - diesel - hybrid'!K$45*'Benzin - diesel - hybrid'!#REF!/10+'Benzin - diesel - hybrid'!#REF!*365)</f>
        <v>#REF!</v>
      </c>
      <c r="M135" s="291" t="e">
        <f>'Benzin - diesel - hybrid'!M$44*N135*IF('Benzin - diesel - hybrid'!M$29="nej","",IF('Benzin - diesel - hybrid'!#REF!="ja",VLOOKUP('Benzin - diesel - hybrid'!M$50+($C135-1),Fremskrivninger!$A$9:$L$38,12),'Benzin - diesel - hybrid'!#REF!))/1000</f>
        <v>#REF!</v>
      </c>
      <c r="N135" s="313" t="e">
        <f>('Benzin - diesel - hybrid'!M$16*'Benzin - diesel - hybrid'!M$45*'Benzin - diesel - hybrid'!#REF!/10+'Benzin - diesel - hybrid'!#REF!*365)</f>
        <v>#REF!</v>
      </c>
      <c r="O135" s="291" t="e">
        <f>'Benzin - diesel - hybrid'!O$44*P135*IF('Benzin - diesel - hybrid'!O$29="nej","",IF('Benzin - diesel - hybrid'!#REF!="ja",VLOOKUP('Benzin - diesel - hybrid'!O$50+($C135-1),Fremskrivninger!$A$9:$L$38,12),'Benzin - diesel - hybrid'!#REF!))/1000</f>
        <v>#REF!</v>
      </c>
      <c r="P135" s="313" t="e">
        <f>('Benzin - diesel - hybrid'!O$16*'Benzin - diesel - hybrid'!O$45*'Benzin - diesel - hybrid'!#REF!/10+'Benzin - diesel - hybrid'!#REF!*365)</f>
        <v>#REF!</v>
      </c>
      <c r="Q135" s="291" t="e">
        <f>'Benzin - diesel - hybrid'!Q$44*R135*IF('Benzin - diesel - hybrid'!Q$29="nej","",IF('Benzin - diesel - hybrid'!#REF!="ja",VLOOKUP('Benzin - diesel - hybrid'!Q$50+($C135-1),Fremskrivninger!$A$9:$L$38,12),'Benzin - diesel - hybrid'!#REF!))/1000</f>
        <v>#REF!</v>
      </c>
      <c r="R135" s="313" t="e">
        <f>('Benzin - diesel - hybrid'!Q$16*'Benzin - diesel - hybrid'!Q$45*'Benzin - diesel - hybrid'!#REF!/10+'Benzin - diesel - hybrid'!#REF!*365)</f>
        <v>#REF!</v>
      </c>
      <c r="S135" s="291" t="e">
        <f>'Benzin - diesel - hybrid'!S$44*T135*IF('Benzin - diesel - hybrid'!S$29="nej","",IF('Benzin - diesel - hybrid'!#REF!="ja",VLOOKUP('Benzin - diesel - hybrid'!S$50+($C135-1),Fremskrivninger!$A$9:$L$38,12),'Benzin - diesel - hybrid'!#REF!))/1000</f>
        <v>#REF!</v>
      </c>
      <c r="T135" s="313" t="e">
        <f>('Benzin - diesel - hybrid'!S$16*'Benzin - diesel - hybrid'!S$45*'Benzin - diesel - hybrid'!#REF!/10+'Benzin - diesel - hybrid'!#REF!*365)</f>
        <v>#REF!</v>
      </c>
      <c r="U135" s="291" t="e">
        <f>'Benzin - diesel - hybrid'!Y$44*V135*IF('Benzin - diesel - hybrid'!Y$29="nej","",IF('Benzin - diesel - hybrid'!#REF!="ja",VLOOKUP('Benzin - diesel - hybrid'!Y$50+($C135-1),Fremskrivninger!$A$9:$L$38,12),'Benzin - diesel - hybrid'!#REF!))/1000</f>
        <v>#REF!</v>
      </c>
      <c r="V135" s="313" t="e">
        <f>('Benzin - diesel - hybrid'!Y$16*'Benzin - diesel - hybrid'!Y$45*'Benzin - diesel - hybrid'!#REF!/10+'Benzin - diesel - hybrid'!#REF!*365)</f>
        <v>#REF!</v>
      </c>
      <c r="W135" s="291" t="e">
        <f>'Benzin - diesel - hybrid'!AA$44*X135*IF('Benzin - diesel - hybrid'!AA$29="nej","",IF('Benzin - diesel - hybrid'!#REF!="ja",VLOOKUP('Benzin - diesel - hybrid'!AA$50+($C135-1),Fremskrivninger!$A$9:$L$38,12),'Benzin - diesel - hybrid'!#REF!))/1000</f>
        <v>#REF!</v>
      </c>
      <c r="X135" s="313" t="e">
        <f>('Benzin - diesel - hybrid'!AA$16*'Benzin - diesel - hybrid'!AA$45*'Benzin - diesel - hybrid'!#REF!/10+'Benzin - diesel - hybrid'!#REF!*365)</f>
        <v>#REF!</v>
      </c>
    </row>
    <row r="136" spans="1:24" hidden="1" outlineLevel="1">
      <c r="A136" s="312"/>
      <c r="B136" s="285">
        <v>18</v>
      </c>
      <c r="C136" s="285">
        <f t="shared" si="8"/>
        <v>18</v>
      </c>
      <c r="D136" s="285"/>
      <c r="E136" s="291" t="e">
        <f>'Benzin - diesel - hybrid'!E$44*F136*IF('Benzin - diesel - hybrid'!E$29="nej","",IF('Benzin - diesel - hybrid'!#REF!="ja",VLOOKUP('Benzin - diesel - hybrid'!E$50+($C136-1),Fremskrivninger!$A$9:$L$38,12),'Benzin - diesel - hybrid'!#REF!))/1000</f>
        <v>#REF!</v>
      </c>
      <c r="F136" s="313" t="e">
        <f>('Benzin - diesel - hybrid'!E$16*'Benzin - diesel - hybrid'!E$45*'Benzin - diesel - hybrid'!#REF!/10+'Benzin - diesel - hybrid'!#REF!*365)</f>
        <v>#REF!</v>
      </c>
      <c r="G136" s="291" t="e">
        <f>'Benzin - diesel - hybrid'!G$44*H136*IF('Benzin - diesel - hybrid'!G$29="nej","",IF('Benzin - diesel - hybrid'!#REF!="ja",VLOOKUP('Benzin - diesel - hybrid'!G$50+($C136-1),Fremskrivninger!$A$9:$L$38,12),'Benzin - diesel - hybrid'!#REF!))/1000</f>
        <v>#REF!</v>
      </c>
      <c r="H136" s="313" t="e">
        <f>('Benzin - diesel - hybrid'!G$16*'Benzin - diesel - hybrid'!G$45*'Benzin - diesel - hybrid'!#REF!/10+'Benzin - diesel - hybrid'!#REF!*365)</f>
        <v>#REF!</v>
      </c>
      <c r="I136" s="291" t="e">
        <f>'Benzin - diesel - hybrid'!I$44*J136*IF('Benzin - diesel - hybrid'!I$29="nej","",IF('Benzin - diesel - hybrid'!#REF!="ja",VLOOKUP('Benzin - diesel - hybrid'!I$50+($C136-1),Fremskrivninger!$A$9:$L$38,12),'Benzin - diesel - hybrid'!#REF!))/1000</f>
        <v>#REF!</v>
      </c>
      <c r="J136" s="313" t="e">
        <f>('Benzin - diesel - hybrid'!I$16*'Benzin - diesel - hybrid'!I$45*'Benzin - diesel - hybrid'!#REF!/10+'Benzin - diesel - hybrid'!#REF!*365)</f>
        <v>#REF!</v>
      </c>
      <c r="K136" s="291" t="e">
        <f>'Benzin - diesel - hybrid'!K$44*L136*IF('Benzin - diesel - hybrid'!K$29="nej","",IF('Benzin - diesel - hybrid'!#REF!="ja",VLOOKUP('Benzin - diesel - hybrid'!K$50+($C136-1),Fremskrivninger!$A$9:$L$38,12),'Benzin - diesel - hybrid'!#REF!))/1000</f>
        <v>#REF!</v>
      </c>
      <c r="L136" s="313" t="e">
        <f>('Benzin - diesel - hybrid'!K$16*'Benzin - diesel - hybrid'!K$45*'Benzin - diesel - hybrid'!#REF!/10+'Benzin - diesel - hybrid'!#REF!*365)</f>
        <v>#REF!</v>
      </c>
      <c r="M136" s="291" t="e">
        <f>'Benzin - diesel - hybrid'!M$44*N136*IF('Benzin - diesel - hybrid'!M$29="nej","",IF('Benzin - diesel - hybrid'!#REF!="ja",VLOOKUP('Benzin - diesel - hybrid'!M$50+($C136-1),Fremskrivninger!$A$9:$L$38,12),'Benzin - diesel - hybrid'!#REF!))/1000</f>
        <v>#REF!</v>
      </c>
      <c r="N136" s="313" t="e">
        <f>('Benzin - diesel - hybrid'!M$16*'Benzin - diesel - hybrid'!M$45*'Benzin - diesel - hybrid'!#REF!/10+'Benzin - diesel - hybrid'!#REF!*365)</f>
        <v>#REF!</v>
      </c>
      <c r="O136" s="291" t="e">
        <f>'Benzin - diesel - hybrid'!O$44*P136*IF('Benzin - diesel - hybrid'!O$29="nej","",IF('Benzin - diesel - hybrid'!#REF!="ja",VLOOKUP('Benzin - diesel - hybrid'!O$50+($C136-1),Fremskrivninger!$A$9:$L$38,12),'Benzin - diesel - hybrid'!#REF!))/1000</f>
        <v>#REF!</v>
      </c>
      <c r="P136" s="313" t="e">
        <f>('Benzin - diesel - hybrid'!O$16*'Benzin - diesel - hybrid'!O$45*'Benzin - diesel - hybrid'!#REF!/10+'Benzin - diesel - hybrid'!#REF!*365)</f>
        <v>#REF!</v>
      </c>
      <c r="Q136" s="291" t="e">
        <f>'Benzin - diesel - hybrid'!Q$44*R136*IF('Benzin - diesel - hybrid'!Q$29="nej","",IF('Benzin - diesel - hybrid'!#REF!="ja",VLOOKUP('Benzin - diesel - hybrid'!Q$50+($C136-1),Fremskrivninger!$A$9:$L$38,12),'Benzin - diesel - hybrid'!#REF!))/1000</f>
        <v>#REF!</v>
      </c>
      <c r="R136" s="313" t="e">
        <f>('Benzin - diesel - hybrid'!Q$16*'Benzin - diesel - hybrid'!Q$45*'Benzin - diesel - hybrid'!#REF!/10+'Benzin - diesel - hybrid'!#REF!*365)</f>
        <v>#REF!</v>
      </c>
      <c r="S136" s="291" t="e">
        <f>'Benzin - diesel - hybrid'!S$44*T136*IF('Benzin - diesel - hybrid'!S$29="nej","",IF('Benzin - diesel - hybrid'!#REF!="ja",VLOOKUP('Benzin - diesel - hybrid'!S$50+($C136-1),Fremskrivninger!$A$9:$L$38,12),'Benzin - diesel - hybrid'!#REF!))/1000</f>
        <v>#REF!</v>
      </c>
      <c r="T136" s="313" t="e">
        <f>('Benzin - diesel - hybrid'!S$16*'Benzin - diesel - hybrid'!S$45*'Benzin - diesel - hybrid'!#REF!/10+'Benzin - diesel - hybrid'!#REF!*365)</f>
        <v>#REF!</v>
      </c>
      <c r="U136" s="291" t="e">
        <f>'Benzin - diesel - hybrid'!Y$44*V136*IF('Benzin - diesel - hybrid'!Y$29="nej","",IF('Benzin - diesel - hybrid'!#REF!="ja",VLOOKUP('Benzin - diesel - hybrid'!Y$50+($C136-1),Fremskrivninger!$A$9:$L$38,12),'Benzin - diesel - hybrid'!#REF!))/1000</f>
        <v>#REF!</v>
      </c>
      <c r="V136" s="313" t="e">
        <f>('Benzin - diesel - hybrid'!Y$16*'Benzin - diesel - hybrid'!Y$45*'Benzin - diesel - hybrid'!#REF!/10+'Benzin - diesel - hybrid'!#REF!*365)</f>
        <v>#REF!</v>
      </c>
      <c r="W136" s="291" t="e">
        <f>'Benzin - diesel - hybrid'!AA$44*X136*IF('Benzin - diesel - hybrid'!AA$29="nej","",IF('Benzin - diesel - hybrid'!#REF!="ja",VLOOKUP('Benzin - diesel - hybrid'!AA$50+($C136-1),Fremskrivninger!$A$9:$L$38,12),'Benzin - diesel - hybrid'!#REF!))/1000</f>
        <v>#REF!</v>
      </c>
      <c r="X136" s="313" t="e">
        <f>('Benzin - diesel - hybrid'!AA$16*'Benzin - diesel - hybrid'!AA$45*'Benzin - diesel - hybrid'!#REF!/10+'Benzin - diesel - hybrid'!#REF!*365)</f>
        <v>#REF!</v>
      </c>
    </row>
    <row r="137" spans="1:24" hidden="1" outlineLevel="1">
      <c r="A137" s="312"/>
      <c r="B137" s="285">
        <v>19</v>
      </c>
      <c r="C137" s="285">
        <f t="shared" si="8"/>
        <v>19</v>
      </c>
      <c r="D137" s="285"/>
      <c r="E137" s="291" t="e">
        <f>'Benzin - diesel - hybrid'!E$44*F137*IF('Benzin - diesel - hybrid'!E$29="nej","",IF('Benzin - diesel - hybrid'!#REF!="ja",VLOOKUP('Benzin - diesel - hybrid'!E$50+($C137-1),Fremskrivninger!$A$9:$L$38,12),'Benzin - diesel - hybrid'!#REF!))/1000</f>
        <v>#REF!</v>
      </c>
      <c r="F137" s="313" t="e">
        <f>('Benzin - diesel - hybrid'!E$16*'Benzin - diesel - hybrid'!E$45*'Benzin - diesel - hybrid'!#REF!/10+'Benzin - diesel - hybrid'!#REF!*365)</f>
        <v>#REF!</v>
      </c>
      <c r="G137" s="291" t="e">
        <f>'Benzin - diesel - hybrid'!G$44*H137*IF('Benzin - diesel - hybrid'!G$29="nej","",IF('Benzin - diesel - hybrid'!#REF!="ja",VLOOKUP('Benzin - diesel - hybrid'!G$50+($C137-1),Fremskrivninger!$A$9:$L$38,12),'Benzin - diesel - hybrid'!#REF!))/1000</f>
        <v>#REF!</v>
      </c>
      <c r="H137" s="313" t="e">
        <f>('Benzin - diesel - hybrid'!G$16*'Benzin - diesel - hybrid'!G$45*'Benzin - diesel - hybrid'!#REF!/10+'Benzin - diesel - hybrid'!#REF!*365)</f>
        <v>#REF!</v>
      </c>
      <c r="I137" s="291" t="e">
        <f>'Benzin - diesel - hybrid'!I$44*J137*IF('Benzin - diesel - hybrid'!I$29="nej","",IF('Benzin - diesel - hybrid'!#REF!="ja",VLOOKUP('Benzin - diesel - hybrid'!I$50+($C137-1),Fremskrivninger!$A$9:$L$38,12),'Benzin - diesel - hybrid'!#REF!))/1000</f>
        <v>#REF!</v>
      </c>
      <c r="J137" s="313" t="e">
        <f>('Benzin - diesel - hybrid'!I$16*'Benzin - diesel - hybrid'!I$45*'Benzin - diesel - hybrid'!#REF!/10+'Benzin - diesel - hybrid'!#REF!*365)</f>
        <v>#REF!</v>
      </c>
      <c r="K137" s="291" t="e">
        <f>'Benzin - diesel - hybrid'!K$44*L137*IF('Benzin - diesel - hybrid'!K$29="nej","",IF('Benzin - diesel - hybrid'!#REF!="ja",VLOOKUP('Benzin - diesel - hybrid'!K$50+($C137-1),Fremskrivninger!$A$9:$L$38,12),'Benzin - diesel - hybrid'!#REF!))/1000</f>
        <v>#REF!</v>
      </c>
      <c r="L137" s="313" t="e">
        <f>('Benzin - diesel - hybrid'!K$16*'Benzin - diesel - hybrid'!K$45*'Benzin - diesel - hybrid'!#REF!/10+'Benzin - diesel - hybrid'!#REF!*365)</f>
        <v>#REF!</v>
      </c>
      <c r="M137" s="291" t="e">
        <f>'Benzin - diesel - hybrid'!M$44*N137*IF('Benzin - diesel - hybrid'!M$29="nej","",IF('Benzin - diesel - hybrid'!#REF!="ja",VLOOKUP('Benzin - diesel - hybrid'!M$50+($C137-1),Fremskrivninger!$A$9:$L$38,12),'Benzin - diesel - hybrid'!#REF!))/1000</f>
        <v>#REF!</v>
      </c>
      <c r="N137" s="313" t="e">
        <f>('Benzin - diesel - hybrid'!M$16*'Benzin - diesel - hybrid'!M$45*'Benzin - diesel - hybrid'!#REF!/10+'Benzin - diesel - hybrid'!#REF!*365)</f>
        <v>#REF!</v>
      </c>
      <c r="O137" s="291" t="e">
        <f>'Benzin - diesel - hybrid'!O$44*P137*IF('Benzin - diesel - hybrid'!O$29="nej","",IF('Benzin - diesel - hybrid'!#REF!="ja",VLOOKUP('Benzin - diesel - hybrid'!O$50+($C137-1),Fremskrivninger!$A$9:$L$38,12),'Benzin - diesel - hybrid'!#REF!))/1000</f>
        <v>#REF!</v>
      </c>
      <c r="P137" s="313" t="e">
        <f>('Benzin - diesel - hybrid'!O$16*'Benzin - diesel - hybrid'!O$45*'Benzin - diesel - hybrid'!#REF!/10+'Benzin - diesel - hybrid'!#REF!*365)</f>
        <v>#REF!</v>
      </c>
      <c r="Q137" s="291" t="e">
        <f>'Benzin - diesel - hybrid'!Q$44*R137*IF('Benzin - diesel - hybrid'!Q$29="nej","",IF('Benzin - diesel - hybrid'!#REF!="ja",VLOOKUP('Benzin - diesel - hybrid'!Q$50+($C137-1),Fremskrivninger!$A$9:$L$38,12),'Benzin - diesel - hybrid'!#REF!))/1000</f>
        <v>#REF!</v>
      </c>
      <c r="R137" s="313" t="e">
        <f>('Benzin - diesel - hybrid'!Q$16*'Benzin - diesel - hybrid'!Q$45*'Benzin - diesel - hybrid'!#REF!/10+'Benzin - diesel - hybrid'!#REF!*365)</f>
        <v>#REF!</v>
      </c>
      <c r="S137" s="291" t="e">
        <f>'Benzin - diesel - hybrid'!S$44*T137*IF('Benzin - diesel - hybrid'!S$29="nej","",IF('Benzin - diesel - hybrid'!#REF!="ja",VLOOKUP('Benzin - diesel - hybrid'!S$50+($C137-1),Fremskrivninger!$A$9:$L$38,12),'Benzin - diesel - hybrid'!#REF!))/1000</f>
        <v>#REF!</v>
      </c>
      <c r="T137" s="313" t="e">
        <f>('Benzin - diesel - hybrid'!S$16*'Benzin - diesel - hybrid'!S$45*'Benzin - diesel - hybrid'!#REF!/10+'Benzin - diesel - hybrid'!#REF!*365)</f>
        <v>#REF!</v>
      </c>
      <c r="U137" s="291" t="e">
        <f>'Benzin - diesel - hybrid'!Y$44*V137*IF('Benzin - diesel - hybrid'!Y$29="nej","",IF('Benzin - diesel - hybrid'!#REF!="ja",VLOOKUP('Benzin - diesel - hybrid'!Y$50+($C137-1),Fremskrivninger!$A$9:$L$38,12),'Benzin - diesel - hybrid'!#REF!))/1000</f>
        <v>#REF!</v>
      </c>
      <c r="V137" s="313" t="e">
        <f>('Benzin - diesel - hybrid'!Y$16*'Benzin - diesel - hybrid'!Y$45*'Benzin - diesel - hybrid'!#REF!/10+'Benzin - diesel - hybrid'!#REF!*365)</f>
        <v>#REF!</v>
      </c>
      <c r="W137" s="291" t="e">
        <f>'Benzin - diesel - hybrid'!AA$44*X137*IF('Benzin - diesel - hybrid'!AA$29="nej","",IF('Benzin - diesel - hybrid'!#REF!="ja",VLOOKUP('Benzin - diesel - hybrid'!AA$50+($C137-1),Fremskrivninger!$A$9:$L$38,12),'Benzin - diesel - hybrid'!#REF!))/1000</f>
        <v>#REF!</v>
      </c>
      <c r="X137" s="313" t="e">
        <f>('Benzin - diesel - hybrid'!AA$16*'Benzin - diesel - hybrid'!AA$45*'Benzin - diesel - hybrid'!#REF!/10+'Benzin - diesel - hybrid'!#REF!*365)</f>
        <v>#REF!</v>
      </c>
    </row>
    <row r="138" spans="1:24" hidden="1" outlineLevel="1">
      <c r="A138" s="312"/>
      <c r="B138" s="285">
        <v>20</v>
      </c>
      <c r="C138" s="285">
        <f t="shared" si="8"/>
        <v>20</v>
      </c>
      <c r="D138" s="285"/>
      <c r="E138" s="291" t="e">
        <f>'Benzin - diesel - hybrid'!E$44*F138*IF('Benzin - diesel - hybrid'!E$29="nej","",IF('Benzin - diesel - hybrid'!#REF!="ja",VLOOKUP('Benzin - diesel - hybrid'!E$50+($C138-1),Fremskrivninger!$A$9:$L$38,12),'Benzin - diesel - hybrid'!#REF!))/1000</f>
        <v>#REF!</v>
      </c>
      <c r="F138" s="313" t="e">
        <f>('Benzin - diesel - hybrid'!E$16*'Benzin - diesel - hybrid'!E$45*'Benzin - diesel - hybrid'!#REF!/10+'Benzin - diesel - hybrid'!#REF!*365)</f>
        <v>#REF!</v>
      </c>
      <c r="G138" s="291" t="e">
        <f>'Benzin - diesel - hybrid'!G$44*H138*IF('Benzin - diesel - hybrid'!G$29="nej","",IF('Benzin - diesel - hybrid'!#REF!="ja",VLOOKUP('Benzin - diesel - hybrid'!G$50+($C138-1),Fremskrivninger!$A$9:$L$38,12),'Benzin - diesel - hybrid'!#REF!))/1000</f>
        <v>#REF!</v>
      </c>
      <c r="H138" s="313" t="e">
        <f>('Benzin - diesel - hybrid'!G$16*'Benzin - diesel - hybrid'!G$45*'Benzin - diesel - hybrid'!#REF!/10+'Benzin - diesel - hybrid'!#REF!*365)</f>
        <v>#REF!</v>
      </c>
      <c r="I138" s="291" t="e">
        <f>'Benzin - diesel - hybrid'!I$44*J138*IF('Benzin - diesel - hybrid'!I$29="nej","",IF('Benzin - diesel - hybrid'!#REF!="ja",VLOOKUP('Benzin - diesel - hybrid'!I$50+($C138-1),Fremskrivninger!$A$9:$L$38,12),'Benzin - diesel - hybrid'!#REF!))/1000</f>
        <v>#REF!</v>
      </c>
      <c r="J138" s="313" t="e">
        <f>('Benzin - diesel - hybrid'!I$16*'Benzin - diesel - hybrid'!I$45*'Benzin - diesel - hybrid'!#REF!/10+'Benzin - diesel - hybrid'!#REF!*365)</f>
        <v>#REF!</v>
      </c>
      <c r="K138" s="291" t="e">
        <f>'Benzin - diesel - hybrid'!K$44*L138*IF('Benzin - diesel - hybrid'!K$29="nej","",IF('Benzin - diesel - hybrid'!#REF!="ja",VLOOKUP('Benzin - diesel - hybrid'!K$50+($C138-1),Fremskrivninger!$A$9:$L$38,12),'Benzin - diesel - hybrid'!#REF!))/1000</f>
        <v>#REF!</v>
      </c>
      <c r="L138" s="313" t="e">
        <f>('Benzin - diesel - hybrid'!K$16*'Benzin - diesel - hybrid'!K$45*'Benzin - diesel - hybrid'!#REF!/10+'Benzin - diesel - hybrid'!#REF!*365)</f>
        <v>#REF!</v>
      </c>
      <c r="M138" s="291" t="e">
        <f>'Benzin - diesel - hybrid'!M$44*N138*IF('Benzin - diesel - hybrid'!M$29="nej","",IF('Benzin - diesel - hybrid'!#REF!="ja",VLOOKUP('Benzin - diesel - hybrid'!M$50+($C138-1),Fremskrivninger!$A$9:$L$38,12),'Benzin - diesel - hybrid'!#REF!))/1000</f>
        <v>#REF!</v>
      </c>
      <c r="N138" s="313" t="e">
        <f>('Benzin - diesel - hybrid'!M$16*'Benzin - diesel - hybrid'!M$45*'Benzin - diesel - hybrid'!#REF!/10+'Benzin - diesel - hybrid'!#REF!*365)</f>
        <v>#REF!</v>
      </c>
      <c r="O138" s="291" t="e">
        <f>'Benzin - diesel - hybrid'!O$44*P138*IF('Benzin - diesel - hybrid'!O$29="nej","",IF('Benzin - diesel - hybrid'!#REF!="ja",VLOOKUP('Benzin - diesel - hybrid'!O$50+($C138-1),Fremskrivninger!$A$9:$L$38,12),'Benzin - diesel - hybrid'!#REF!))/1000</f>
        <v>#REF!</v>
      </c>
      <c r="P138" s="313" t="e">
        <f>('Benzin - diesel - hybrid'!O$16*'Benzin - diesel - hybrid'!O$45*'Benzin - diesel - hybrid'!#REF!/10+'Benzin - diesel - hybrid'!#REF!*365)</f>
        <v>#REF!</v>
      </c>
      <c r="Q138" s="291" t="e">
        <f>'Benzin - diesel - hybrid'!Q$44*R138*IF('Benzin - diesel - hybrid'!Q$29="nej","",IF('Benzin - diesel - hybrid'!#REF!="ja",VLOOKUP('Benzin - diesel - hybrid'!Q$50+($C138-1),Fremskrivninger!$A$9:$L$38,12),'Benzin - diesel - hybrid'!#REF!))/1000</f>
        <v>#REF!</v>
      </c>
      <c r="R138" s="313" t="e">
        <f>('Benzin - diesel - hybrid'!Q$16*'Benzin - diesel - hybrid'!Q$45*'Benzin - diesel - hybrid'!#REF!/10+'Benzin - diesel - hybrid'!#REF!*365)</f>
        <v>#REF!</v>
      </c>
      <c r="S138" s="291" t="e">
        <f>'Benzin - diesel - hybrid'!S$44*T138*IF('Benzin - diesel - hybrid'!S$29="nej","",IF('Benzin - diesel - hybrid'!#REF!="ja",VLOOKUP('Benzin - diesel - hybrid'!S$50+($C138-1),Fremskrivninger!$A$9:$L$38,12),'Benzin - diesel - hybrid'!#REF!))/1000</f>
        <v>#REF!</v>
      </c>
      <c r="T138" s="313" t="e">
        <f>('Benzin - diesel - hybrid'!S$16*'Benzin - diesel - hybrid'!S$45*'Benzin - diesel - hybrid'!#REF!/10+'Benzin - diesel - hybrid'!#REF!*365)</f>
        <v>#REF!</v>
      </c>
      <c r="U138" s="291" t="e">
        <f>'Benzin - diesel - hybrid'!Y$44*V138*IF('Benzin - diesel - hybrid'!Y$29="nej","",IF('Benzin - diesel - hybrid'!#REF!="ja",VLOOKUP('Benzin - diesel - hybrid'!Y$50+($C138-1),Fremskrivninger!$A$9:$L$38,12),'Benzin - diesel - hybrid'!#REF!))/1000</f>
        <v>#REF!</v>
      </c>
      <c r="V138" s="313" t="e">
        <f>('Benzin - diesel - hybrid'!Y$16*'Benzin - diesel - hybrid'!Y$45*'Benzin - diesel - hybrid'!#REF!/10+'Benzin - diesel - hybrid'!#REF!*365)</f>
        <v>#REF!</v>
      </c>
      <c r="W138" s="291" t="e">
        <f>'Benzin - diesel - hybrid'!AA$44*X138*IF('Benzin - diesel - hybrid'!AA$29="nej","",IF('Benzin - diesel - hybrid'!#REF!="ja",VLOOKUP('Benzin - diesel - hybrid'!AA$50+($C138-1),Fremskrivninger!$A$9:$L$38,12),'Benzin - diesel - hybrid'!#REF!))/1000</f>
        <v>#REF!</v>
      </c>
      <c r="X138" s="313" t="e">
        <f>('Benzin - diesel - hybrid'!AA$16*'Benzin - diesel - hybrid'!AA$45*'Benzin - diesel - hybrid'!#REF!/10+'Benzin - diesel - hybrid'!#REF!*365)</f>
        <v>#REF!</v>
      </c>
    </row>
    <row r="139" spans="1:24" hidden="1" outlineLevel="1">
      <c r="A139" s="286"/>
      <c r="B139" s="287"/>
      <c r="C139" s="287"/>
      <c r="D139" s="287"/>
      <c r="E139" s="287"/>
      <c r="F139" s="287"/>
      <c r="G139" s="287"/>
      <c r="H139" s="287"/>
      <c r="I139" s="287"/>
      <c r="J139" s="287"/>
      <c r="K139" s="287"/>
      <c r="L139" s="287"/>
      <c r="M139" s="287"/>
      <c r="N139" s="287"/>
      <c r="O139" s="287"/>
      <c r="P139" s="287"/>
      <c r="Q139" s="287"/>
      <c r="R139" s="287"/>
      <c r="S139" s="287"/>
      <c r="T139" s="288"/>
      <c r="U139" s="287"/>
      <c r="V139" s="288"/>
      <c r="W139" s="287"/>
      <c r="X139" s="288"/>
    </row>
    <row r="140" spans="1:24" collapsed="1">
      <c r="A140" s="289" t="s">
        <v>192</v>
      </c>
      <c r="B140" s="309"/>
      <c r="C140" s="309"/>
      <c r="D140" s="309"/>
      <c r="E140" s="309"/>
      <c r="F140" s="309"/>
      <c r="G140" s="309"/>
      <c r="H140" s="309"/>
      <c r="I140" s="309"/>
      <c r="J140" s="309"/>
      <c r="K140" s="309"/>
      <c r="L140" s="309"/>
      <c r="M140" s="309"/>
      <c r="N140" s="309"/>
      <c r="O140" s="309"/>
      <c r="P140" s="309"/>
      <c r="Q140" s="309"/>
      <c r="R140" s="309"/>
      <c r="S140" s="309"/>
      <c r="T140" s="314"/>
      <c r="U140" s="309"/>
      <c r="V140" s="314"/>
      <c r="W140" s="309"/>
      <c r="X140" s="314"/>
    </row>
    <row r="141" spans="1:24" ht="65.150000000000006">
      <c r="A141" s="282"/>
      <c r="B141" s="283" t="s">
        <v>20</v>
      </c>
      <c r="C141" s="309"/>
      <c r="D141" s="309" t="s">
        <v>21</v>
      </c>
      <c r="E141" s="284" t="str">
        <f>'Benzin - diesel - hybrid'!E8</f>
        <v>PRODUKT 1</v>
      </c>
      <c r="F141" s="310" t="str">
        <f>E141&amp;" - Årligt benzinforbrug (liter/år/produkt)"</f>
        <v>PRODUKT 1 - Årligt benzinforbrug (liter/år/produkt)</v>
      </c>
      <c r="G141" s="284" t="str">
        <f>'Benzin - diesel - hybrid'!G8</f>
        <v>PRODUKT 2</v>
      </c>
      <c r="H141" s="310" t="str">
        <f>G141&amp;" - Årligt benzinforbrug (liter/år/produkt)"</f>
        <v>PRODUKT 2 - Årligt benzinforbrug (liter/år/produkt)</v>
      </c>
      <c r="I141" s="284" t="str">
        <f>'Benzin - diesel - hybrid'!I8</f>
        <v>PRODUKT 3</v>
      </c>
      <c r="J141" s="310" t="str">
        <f>I141&amp;" - Årligt benzinforbrug (liter/år/produkt)"</f>
        <v>PRODUKT 3 - Årligt benzinforbrug (liter/år/produkt)</v>
      </c>
      <c r="K141" s="284" t="str">
        <f>'Benzin - diesel - hybrid'!K8</f>
        <v>PRODUKT 4</v>
      </c>
      <c r="L141" s="310" t="str">
        <f>K141&amp;" - Årligt benzinforbrug (liter/år/produkt)"</f>
        <v>PRODUKT 4 - Årligt benzinforbrug (liter/år/produkt)</v>
      </c>
      <c r="M141" s="284" t="str">
        <f>'Benzin - diesel - hybrid'!M8</f>
        <v>PRODUKT 5</v>
      </c>
      <c r="N141" s="310" t="str">
        <f>M141&amp;" - Årligt benzinforbrug (liter/år/produkt)"</f>
        <v>PRODUKT 5 - Årligt benzinforbrug (liter/år/produkt)</v>
      </c>
      <c r="O141" s="284" t="str">
        <f>'Benzin - diesel - hybrid'!O8</f>
        <v>PRODUKT 6</v>
      </c>
      <c r="P141" s="310" t="str">
        <f>O141&amp;" - Årligt benzinforbrug (liter/år/produkt)"</f>
        <v>PRODUKT 6 - Årligt benzinforbrug (liter/år/produkt)</v>
      </c>
      <c r="Q141" s="284" t="str">
        <f>'Benzin - diesel - hybrid'!Q8</f>
        <v>PRODUKT 7</v>
      </c>
      <c r="R141" s="310" t="str">
        <f>Q141&amp;" - Årligt benzinforbrug (liter/år/produkt)"</f>
        <v>PRODUKT 7 - Årligt benzinforbrug (liter/år/produkt)</v>
      </c>
      <c r="S141" s="284" t="str">
        <f>'Benzin - diesel - hybrid'!S8</f>
        <v>PRODUKT 8</v>
      </c>
      <c r="T141" s="310" t="str">
        <f>S141&amp;" - Årligt benzinforbrug (liter/år/produkt)"</f>
        <v>PRODUKT 8 - Årligt benzinforbrug (liter/år/produkt)</v>
      </c>
      <c r="U141" s="284" t="str">
        <f>U25</f>
        <v>PRODUKT 9</v>
      </c>
      <c r="V141" s="310" t="str">
        <f>U141&amp;" - Årligt benzinforbrug (liter/år/produkt)"</f>
        <v>PRODUKT 9 - Årligt benzinforbrug (liter/år/produkt)</v>
      </c>
      <c r="W141" s="284" t="str">
        <f>W25</f>
        <v>PRODUKT 10</v>
      </c>
      <c r="X141" s="310" t="str">
        <f>W141&amp;" - Årligt benzinforbrug (liter/år/produkt)"</f>
        <v>PRODUKT 10 - Årligt benzinforbrug (liter/år/produkt)</v>
      </c>
    </row>
    <row r="142" spans="1:24">
      <c r="A142" s="312"/>
      <c r="B142" s="285">
        <v>1</v>
      </c>
      <c r="C142" s="285">
        <f>B142</f>
        <v>1</v>
      </c>
      <c r="D142" s="285"/>
      <c r="E142" s="291">
        <f>F142*'Benzin - diesel - hybrid'!E$44*VLOOKUP('Benzin - diesel - hybrid'!E$50+($B142-1),Fremskrivninger!$A$48:$H$77,8)/1000</f>
        <v>0</v>
      </c>
      <c r="F142" s="313">
        <f>IFERROR('Benzin - diesel - hybrid'!E$45/'Benzin - diesel - hybrid'!E$16,0)</f>
        <v>0</v>
      </c>
      <c r="G142" s="291">
        <f>H142*'Benzin - diesel - hybrid'!G$44*VLOOKUP('Benzin - diesel - hybrid'!G$50+($B142-1),Fremskrivninger!$A$48:$H$77,8)/1000</f>
        <v>0</v>
      </c>
      <c r="H142" s="313">
        <f>IFERROR('Benzin - diesel - hybrid'!G$45/'Benzin - diesel - hybrid'!G$16,0)</f>
        <v>0</v>
      </c>
      <c r="I142" s="291">
        <f>J142*'Benzin - diesel - hybrid'!I$44*VLOOKUP('Benzin - diesel - hybrid'!I$50+($B142-1),Fremskrivninger!$A$48:$H$77,8)/1000</f>
        <v>0</v>
      </c>
      <c r="J142" s="313">
        <f>IFERROR('Benzin - diesel - hybrid'!I$45/'Benzin - diesel - hybrid'!I$16,0)</f>
        <v>0</v>
      </c>
      <c r="K142" s="291">
        <f>L142*'Benzin - diesel - hybrid'!K$44*VLOOKUP('Benzin - diesel - hybrid'!K$50+($B142-1),Fremskrivninger!$A$48:$H$77,8)/1000</f>
        <v>0</v>
      </c>
      <c r="L142" s="313">
        <f>IFERROR('Benzin - diesel - hybrid'!K$45/'Benzin - diesel - hybrid'!K$16,0)</f>
        <v>0</v>
      </c>
      <c r="M142" s="291">
        <f>N142*'Benzin - diesel - hybrid'!M$44*VLOOKUP('Benzin - diesel - hybrid'!M$50+($B142-1),Fremskrivninger!$A$48:$H$77,8)/1000</f>
        <v>0</v>
      </c>
      <c r="N142" s="313">
        <f>IFERROR('Benzin - diesel - hybrid'!M$45/'Benzin - diesel - hybrid'!M$16,0)</f>
        <v>0</v>
      </c>
      <c r="O142" s="291">
        <f>P142*'Benzin - diesel - hybrid'!O$44*VLOOKUP('Benzin - diesel - hybrid'!O$50+($B142-1),Fremskrivninger!$A$48:$H$77,8)/1000</f>
        <v>0</v>
      </c>
      <c r="P142" s="313">
        <f>IFERROR('Benzin - diesel - hybrid'!O$45/'Benzin - diesel - hybrid'!O$16,0)</f>
        <v>0</v>
      </c>
      <c r="Q142" s="291">
        <f>R142*'Benzin - diesel - hybrid'!Q$44*VLOOKUP('Benzin - diesel - hybrid'!Q$50+($B142-1),Fremskrivninger!$A$48:$H$77,8)/1000</f>
        <v>0</v>
      </c>
      <c r="R142" s="313">
        <f>IFERROR('Benzin - diesel - hybrid'!Q$45/'Benzin - diesel - hybrid'!Q$16,0)</f>
        <v>0</v>
      </c>
      <c r="S142" s="291">
        <f>T142*'Benzin - diesel - hybrid'!S$44*VLOOKUP('Benzin - diesel - hybrid'!S$50+($B142-1),Fremskrivninger!$A$48:$H$77,8)/1000</f>
        <v>0</v>
      </c>
      <c r="T142" s="313">
        <f>IFERROR('Benzin - diesel - hybrid'!S$45/'Benzin - diesel - hybrid'!S$16,0)</f>
        <v>0</v>
      </c>
      <c r="U142" s="291">
        <f>V142*'Benzin - diesel - hybrid'!U$44*VLOOKUP('Benzin - diesel - hybrid'!U$50+($B142-1),Fremskrivninger!$A$48:$H$77,8)/1000</f>
        <v>0</v>
      </c>
      <c r="V142" s="313">
        <f>IFERROR('Benzin - diesel - hybrid'!U$45/'Benzin - diesel - hybrid'!U$16,0)</f>
        <v>0</v>
      </c>
      <c r="W142" s="291">
        <f>X142*'Benzin - diesel - hybrid'!W$44*VLOOKUP('Benzin - diesel - hybrid'!W$50+($B142-1),Fremskrivninger!$A$48:$H$77,8)/1000</f>
        <v>0</v>
      </c>
      <c r="X142" s="313">
        <f>IFERROR('Benzin - diesel - hybrid'!W$45/'Benzin - diesel - hybrid'!W$16,0)</f>
        <v>0</v>
      </c>
    </row>
    <row r="143" spans="1:24">
      <c r="A143" s="312"/>
      <c r="B143" s="285">
        <v>2</v>
      </c>
      <c r="C143" s="285">
        <f t="shared" ref="C143:C161" si="9">B143</f>
        <v>2</v>
      </c>
      <c r="D143" s="285"/>
      <c r="E143" s="291">
        <f>F143*'Benzin - diesel - hybrid'!E$44*VLOOKUP('Benzin - diesel - hybrid'!E$50+($B143-1),Fremskrivninger!$A$48:$H$77,8)/1000</f>
        <v>0</v>
      </c>
      <c r="F143" s="313">
        <f>IFERROR('Benzin - diesel - hybrid'!E$45/'Benzin - diesel - hybrid'!E$16,0)</f>
        <v>0</v>
      </c>
      <c r="G143" s="291">
        <f>H143*'Benzin - diesel - hybrid'!G$44*VLOOKUP('Benzin - diesel - hybrid'!G$50+($B143-1),Fremskrivninger!$A$48:$H$77,8)/1000</f>
        <v>0</v>
      </c>
      <c r="H143" s="313">
        <f>IFERROR('Benzin - diesel - hybrid'!G$45/'Benzin - diesel - hybrid'!G$16,0)</f>
        <v>0</v>
      </c>
      <c r="I143" s="291">
        <f>J143*'Benzin - diesel - hybrid'!I$44*VLOOKUP('Benzin - diesel - hybrid'!I$50+($B143-1),Fremskrivninger!$A$48:$H$77,8)/1000</f>
        <v>0</v>
      </c>
      <c r="J143" s="313">
        <f>IFERROR('Benzin - diesel - hybrid'!I$45/'Benzin - diesel - hybrid'!I$16,0)</f>
        <v>0</v>
      </c>
      <c r="K143" s="291">
        <f>L143*'Benzin - diesel - hybrid'!K$44*VLOOKUP('Benzin - diesel - hybrid'!K$50+($B143-1),Fremskrivninger!$A$48:$H$77,8)/1000</f>
        <v>0</v>
      </c>
      <c r="L143" s="313">
        <f>IFERROR('Benzin - diesel - hybrid'!K$45/'Benzin - diesel - hybrid'!K$16,0)</f>
        <v>0</v>
      </c>
      <c r="M143" s="291">
        <f>N143*'Benzin - diesel - hybrid'!M$44*VLOOKUP('Benzin - diesel - hybrid'!M$50+($B143-1),Fremskrivninger!$A$48:$H$77,8)/1000</f>
        <v>0</v>
      </c>
      <c r="N143" s="313">
        <f>IFERROR('Benzin - diesel - hybrid'!M$45/'Benzin - diesel - hybrid'!M$16,0)</f>
        <v>0</v>
      </c>
      <c r="O143" s="291">
        <f>P143*'Benzin - diesel - hybrid'!O$44*VLOOKUP('Benzin - diesel - hybrid'!O$50+($B143-1),Fremskrivninger!$A$48:$H$77,8)/1000</f>
        <v>0</v>
      </c>
      <c r="P143" s="313">
        <f>IFERROR('Benzin - diesel - hybrid'!O$45/'Benzin - diesel - hybrid'!O$16,0)</f>
        <v>0</v>
      </c>
      <c r="Q143" s="291">
        <f>R143*'Benzin - diesel - hybrid'!Q$44*VLOOKUP('Benzin - diesel - hybrid'!Q$50+($B143-1),Fremskrivninger!$A$48:$H$77,8)/1000</f>
        <v>0</v>
      </c>
      <c r="R143" s="313">
        <f>IFERROR('Benzin - diesel - hybrid'!Q$45/'Benzin - diesel - hybrid'!Q$16,0)</f>
        <v>0</v>
      </c>
      <c r="S143" s="291">
        <f>T143*'Benzin - diesel - hybrid'!S$44*VLOOKUP('Benzin - diesel - hybrid'!S$50+($B143-1),Fremskrivninger!$A$48:$H$77,8)/1000</f>
        <v>0</v>
      </c>
      <c r="T143" s="313">
        <f>IFERROR('Benzin - diesel - hybrid'!S$45/'Benzin - diesel - hybrid'!S$16,0)</f>
        <v>0</v>
      </c>
      <c r="U143" s="291">
        <f>V143*'Benzin - diesel - hybrid'!U$44*VLOOKUP('Benzin - diesel - hybrid'!U$50+($B143-1),Fremskrivninger!$A$48:$H$77,8)/1000</f>
        <v>0</v>
      </c>
      <c r="V143" s="313">
        <f>IFERROR('Benzin - diesel - hybrid'!U$45/'Benzin - diesel - hybrid'!U$16,0)</f>
        <v>0</v>
      </c>
      <c r="W143" s="291">
        <f>X143*'Benzin - diesel - hybrid'!W$44*VLOOKUP('Benzin - diesel - hybrid'!W$50+($B143-1),Fremskrivninger!$A$48:$H$77,8)/1000</f>
        <v>0</v>
      </c>
      <c r="X143" s="313">
        <f>IFERROR('Benzin - diesel - hybrid'!W$45/'Benzin - diesel - hybrid'!W$16,0)</f>
        <v>0</v>
      </c>
    </row>
    <row r="144" spans="1:24">
      <c r="A144" s="312"/>
      <c r="B144" s="285">
        <v>3</v>
      </c>
      <c r="C144" s="285">
        <f t="shared" si="9"/>
        <v>3</v>
      </c>
      <c r="D144" s="285"/>
      <c r="E144" s="291">
        <f>F144*'Benzin - diesel - hybrid'!E$44*VLOOKUP('Benzin - diesel - hybrid'!E$50+($B144-1),Fremskrivninger!$A$48:$H$77,8)/1000</f>
        <v>0</v>
      </c>
      <c r="F144" s="313">
        <f>IFERROR('Benzin - diesel - hybrid'!E$45/'Benzin - diesel - hybrid'!E$16,0)</f>
        <v>0</v>
      </c>
      <c r="G144" s="291">
        <f>H144*'Benzin - diesel - hybrid'!G$44*VLOOKUP('Benzin - diesel - hybrid'!G$50+($B144-1),Fremskrivninger!$A$48:$H$77,8)/1000</f>
        <v>0</v>
      </c>
      <c r="H144" s="313">
        <f>IFERROR('Benzin - diesel - hybrid'!G$45/'Benzin - diesel - hybrid'!G$16,0)</f>
        <v>0</v>
      </c>
      <c r="I144" s="291">
        <f>J144*'Benzin - diesel - hybrid'!I$44*VLOOKUP('Benzin - diesel - hybrid'!I$50+($B144-1),Fremskrivninger!$A$48:$H$77,8)/1000</f>
        <v>0</v>
      </c>
      <c r="J144" s="313">
        <f>IFERROR('Benzin - diesel - hybrid'!I$45/'Benzin - diesel - hybrid'!I$16,0)</f>
        <v>0</v>
      </c>
      <c r="K144" s="291">
        <f>L144*'Benzin - diesel - hybrid'!K$44*VLOOKUP('Benzin - diesel - hybrid'!K$50+($B144-1),Fremskrivninger!$A$48:$H$77,8)/1000</f>
        <v>0</v>
      </c>
      <c r="L144" s="313">
        <f>IFERROR('Benzin - diesel - hybrid'!K$45/'Benzin - diesel - hybrid'!K$16,0)</f>
        <v>0</v>
      </c>
      <c r="M144" s="291">
        <f>N144*'Benzin - diesel - hybrid'!M$44*VLOOKUP('Benzin - diesel - hybrid'!M$50+($B144-1),Fremskrivninger!$A$48:$H$77,8)/1000</f>
        <v>0</v>
      </c>
      <c r="N144" s="313">
        <f>IFERROR('Benzin - diesel - hybrid'!M$45/'Benzin - diesel - hybrid'!M$16,0)</f>
        <v>0</v>
      </c>
      <c r="O144" s="291">
        <f>P144*'Benzin - diesel - hybrid'!O$44*VLOOKUP('Benzin - diesel - hybrid'!O$50+($B144-1),Fremskrivninger!$A$48:$H$77,8)/1000</f>
        <v>0</v>
      </c>
      <c r="P144" s="313">
        <f>IFERROR('Benzin - diesel - hybrid'!O$45/'Benzin - diesel - hybrid'!O$16,0)</f>
        <v>0</v>
      </c>
      <c r="Q144" s="291">
        <f>R144*'Benzin - diesel - hybrid'!Q$44*VLOOKUP('Benzin - diesel - hybrid'!Q$50+($B144-1),Fremskrivninger!$A$48:$H$77,8)/1000</f>
        <v>0</v>
      </c>
      <c r="R144" s="313">
        <f>IFERROR('Benzin - diesel - hybrid'!Q$45/'Benzin - diesel - hybrid'!Q$16,0)</f>
        <v>0</v>
      </c>
      <c r="S144" s="291">
        <f>T144*'Benzin - diesel - hybrid'!S$44*VLOOKUP('Benzin - diesel - hybrid'!S$50+($B144-1),Fremskrivninger!$A$48:$H$77,8)/1000</f>
        <v>0</v>
      </c>
      <c r="T144" s="313">
        <f>IFERROR('Benzin - diesel - hybrid'!S$45/'Benzin - diesel - hybrid'!S$16,0)</f>
        <v>0</v>
      </c>
      <c r="U144" s="291">
        <f>V144*'Benzin - diesel - hybrid'!U$44*VLOOKUP('Benzin - diesel - hybrid'!U$50+($B144-1),Fremskrivninger!$A$48:$H$77,8)/1000</f>
        <v>0</v>
      </c>
      <c r="V144" s="313">
        <f>IFERROR('Benzin - diesel - hybrid'!U$45/'Benzin - diesel - hybrid'!U$16,0)</f>
        <v>0</v>
      </c>
      <c r="W144" s="291">
        <f>X144*'Benzin - diesel - hybrid'!W$44*VLOOKUP('Benzin - diesel - hybrid'!W$50+($B144-1),Fremskrivninger!$A$48:$H$77,8)/1000</f>
        <v>0</v>
      </c>
      <c r="X144" s="313">
        <f>IFERROR('Benzin - diesel - hybrid'!W$45/'Benzin - diesel - hybrid'!W$16,0)</f>
        <v>0</v>
      </c>
    </row>
    <row r="145" spans="1:24">
      <c r="A145" s="312"/>
      <c r="B145" s="285">
        <v>4</v>
      </c>
      <c r="C145" s="285">
        <f t="shared" si="9"/>
        <v>4</v>
      </c>
      <c r="D145" s="285"/>
      <c r="E145" s="291">
        <f>F145*'Benzin - diesel - hybrid'!E$44*VLOOKUP('Benzin - diesel - hybrid'!E$50+($B145-1),Fremskrivninger!$A$48:$H$77,8)/1000</f>
        <v>0</v>
      </c>
      <c r="F145" s="313">
        <f>IFERROR('Benzin - diesel - hybrid'!E$45/'Benzin - diesel - hybrid'!E$16,0)</f>
        <v>0</v>
      </c>
      <c r="G145" s="291">
        <f>H145*'Benzin - diesel - hybrid'!G$44*VLOOKUP('Benzin - diesel - hybrid'!G$50+($B145-1),Fremskrivninger!$A$48:$H$77,8)/1000</f>
        <v>0</v>
      </c>
      <c r="H145" s="313">
        <f>IFERROR('Benzin - diesel - hybrid'!G$45/'Benzin - diesel - hybrid'!G$16,0)</f>
        <v>0</v>
      </c>
      <c r="I145" s="291">
        <f>J145*'Benzin - diesel - hybrid'!I$44*VLOOKUP('Benzin - diesel - hybrid'!I$50+($B145-1),Fremskrivninger!$A$48:$H$77,8)/1000</f>
        <v>0</v>
      </c>
      <c r="J145" s="313">
        <f>IFERROR('Benzin - diesel - hybrid'!I$45/'Benzin - diesel - hybrid'!I$16,0)</f>
        <v>0</v>
      </c>
      <c r="K145" s="291">
        <f>L145*'Benzin - diesel - hybrid'!K$44*VLOOKUP('Benzin - diesel - hybrid'!K$50+($B145-1),Fremskrivninger!$A$48:$H$77,8)/1000</f>
        <v>0</v>
      </c>
      <c r="L145" s="313">
        <f>IFERROR('Benzin - diesel - hybrid'!K$45/'Benzin - diesel - hybrid'!K$16,0)</f>
        <v>0</v>
      </c>
      <c r="M145" s="291">
        <f>N145*'Benzin - diesel - hybrid'!M$44*VLOOKUP('Benzin - diesel - hybrid'!M$50+($B145-1),Fremskrivninger!$A$48:$H$77,8)/1000</f>
        <v>0</v>
      </c>
      <c r="N145" s="313">
        <f>IFERROR('Benzin - diesel - hybrid'!M$45/'Benzin - diesel - hybrid'!M$16,0)</f>
        <v>0</v>
      </c>
      <c r="O145" s="291">
        <f>P145*'Benzin - diesel - hybrid'!O$44*VLOOKUP('Benzin - diesel - hybrid'!O$50+($B145-1),Fremskrivninger!$A$48:$H$77,8)/1000</f>
        <v>0</v>
      </c>
      <c r="P145" s="313">
        <f>IFERROR('Benzin - diesel - hybrid'!O$45/'Benzin - diesel - hybrid'!O$16,0)</f>
        <v>0</v>
      </c>
      <c r="Q145" s="291">
        <f>R145*'Benzin - diesel - hybrid'!Q$44*VLOOKUP('Benzin - diesel - hybrid'!Q$50+($B145-1),Fremskrivninger!$A$48:$H$77,8)/1000</f>
        <v>0</v>
      </c>
      <c r="R145" s="313">
        <f>IFERROR('Benzin - diesel - hybrid'!Q$45/'Benzin - diesel - hybrid'!Q$16,0)</f>
        <v>0</v>
      </c>
      <c r="S145" s="291">
        <f>T145*'Benzin - diesel - hybrid'!S$44*VLOOKUP('Benzin - diesel - hybrid'!S$50+($B145-1),Fremskrivninger!$A$48:$H$77,8)/1000</f>
        <v>0</v>
      </c>
      <c r="T145" s="313">
        <f>IFERROR('Benzin - diesel - hybrid'!S$45/'Benzin - diesel - hybrid'!S$16,0)</f>
        <v>0</v>
      </c>
      <c r="U145" s="291">
        <f>V145*'Benzin - diesel - hybrid'!U$44*VLOOKUP('Benzin - diesel - hybrid'!U$50+($B145-1),Fremskrivninger!$A$48:$H$77,8)/1000</f>
        <v>0</v>
      </c>
      <c r="V145" s="313">
        <f>IFERROR('Benzin - diesel - hybrid'!U$45/'Benzin - diesel - hybrid'!U$16,0)</f>
        <v>0</v>
      </c>
      <c r="W145" s="291">
        <f>X145*'Benzin - diesel - hybrid'!W$44*VLOOKUP('Benzin - diesel - hybrid'!W$50+($B145-1),Fremskrivninger!$A$48:$H$77,8)/1000</f>
        <v>0</v>
      </c>
      <c r="X145" s="313">
        <f>IFERROR('Benzin - diesel - hybrid'!W$45/'Benzin - diesel - hybrid'!W$16,0)</f>
        <v>0</v>
      </c>
    </row>
    <row r="146" spans="1:24">
      <c r="A146" s="312"/>
      <c r="B146" s="285">
        <v>5</v>
      </c>
      <c r="C146" s="285">
        <f t="shared" si="9"/>
        <v>5</v>
      </c>
      <c r="D146" s="285"/>
      <c r="E146" s="291">
        <f>F146*'Benzin - diesel - hybrid'!E$44*VLOOKUP('Benzin - diesel - hybrid'!E$50+($B146-1),Fremskrivninger!$A$48:$H$77,8)/1000</f>
        <v>0</v>
      </c>
      <c r="F146" s="313">
        <f>IFERROR('Benzin - diesel - hybrid'!E$45/'Benzin - diesel - hybrid'!E$16,0)</f>
        <v>0</v>
      </c>
      <c r="G146" s="291">
        <f>H146*'Benzin - diesel - hybrid'!G$44*VLOOKUP('Benzin - diesel - hybrid'!G$50+($B146-1),Fremskrivninger!$A$48:$H$77,8)/1000</f>
        <v>0</v>
      </c>
      <c r="H146" s="313">
        <f>IFERROR('Benzin - diesel - hybrid'!G$45/'Benzin - diesel - hybrid'!G$16,0)</f>
        <v>0</v>
      </c>
      <c r="I146" s="291">
        <f>J146*'Benzin - diesel - hybrid'!I$44*VLOOKUP('Benzin - diesel - hybrid'!I$50+($B146-1),Fremskrivninger!$A$48:$H$77,8)/1000</f>
        <v>0</v>
      </c>
      <c r="J146" s="313">
        <f>IFERROR('Benzin - diesel - hybrid'!I$45/'Benzin - diesel - hybrid'!I$16,0)</f>
        <v>0</v>
      </c>
      <c r="K146" s="291">
        <f>L146*'Benzin - diesel - hybrid'!K$44*VLOOKUP('Benzin - diesel - hybrid'!K$50+($B146-1),Fremskrivninger!$A$48:$H$77,8)/1000</f>
        <v>0</v>
      </c>
      <c r="L146" s="313">
        <f>IFERROR('Benzin - diesel - hybrid'!K$45/'Benzin - diesel - hybrid'!K$16,0)</f>
        <v>0</v>
      </c>
      <c r="M146" s="291">
        <f>N146*'Benzin - diesel - hybrid'!M$44*VLOOKUP('Benzin - diesel - hybrid'!M$50+($B146-1),Fremskrivninger!$A$48:$H$77,8)/1000</f>
        <v>0</v>
      </c>
      <c r="N146" s="313">
        <f>IFERROR('Benzin - diesel - hybrid'!M$45/'Benzin - diesel - hybrid'!M$16,0)</f>
        <v>0</v>
      </c>
      <c r="O146" s="291">
        <f>P146*'Benzin - diesel - hybrid'!O$44*VLOOKUP('Benzin - diesel - hybrid'!O$50+($B146-1),Fremskrivninger!$A$48:$H$77,8)/1000</f>
        <v>0</v>
      </c>
      <c r="P146" s="313">
        <f>IFERROR('Benzin - diesel - hybrid'!O$45/'Benzin - diesel - hybrid'!O$16,0)</f>
        <v>0</v>
      </c>
      <c r="Q146" s="291">
        <f>R146*'Benzin - diesel - hybrid'!Q$44*VLOOKUP('Benzin - diesel - hybrid'!Q$50+($B146-1),Fremskrivninger!$A$48:$H$77,8)/1000</f>
        <v>0</v>
      </c>
      <c r="R146" s="313">
        <f>IFERROR('Benzin - diesel - hybrid'!Q$45/'Benzin - diesel - hybrid'!Q$16,0)</f>
        <v>0</v>
      </c>
      <c r="S146" s="291">
        <f>T146*'Benzin - diesel - hybrid'!S$44*VLOOKUP('Benzin - diesel - hybrid'!S$50+($B146-1),Fremskrivninger!$A$48:$H$77,8)/1000</f>
        <v>0</v>
      </c>
      <c r="T146" s="313">
        <f>IFERROR('Benzin - diesel - hybrid'!S$45/'Benzin - diesel - hybrid'!S$16,0)</f>
        <v>0</v>
      </c>
      <c r="U146" s="291">
        <f>V146*'Benzin - diesel - hybrid'!U$44*VLOOKUP('Benzin - diesel - hybrid'!U$50+($B146-1),Fremskrivninger!$A$48:$H$77,8)/1000</f>
        <v>0</v>
      </c>
      <c r="V146" s="313">
        <f>IFERROR('Benzin - diesel - hybrid'!U$45/'Benzin - diesel - hybrid'!U$16,0)</f>
        <v>0</v>
      </c>
      <c r="W146" s="291">
        <f>X146*'Benzin - diesel - hybrid'!W$44*VLOOKUP('Benzin - diesel - hybrid'!W$50+($B146-1),Fremskrivninger!$A$48:$H$77,8)/1000</f>
        <v>0</v>
      </c>
      <c r="X146" s="313">
        <f>IFERROR('Benzin - diesel - hybrid'!W$45/'Benzin - diesel - hybrid'!W$16,0)</f>
        <v>0</v>
      </c>
    </row>
    <row r="147" spans="1:24">
      <c r="A147" s="312"/>
      <c r="B147" s="285">
        <v>6</v>
      </c>
      <c r="C147" s="285">
        <f t="shared" si="9"/>
        <v>6</v>
      </c>
      <c r="D147" s="285"/>
      <c r="E147" s="291">
        <f>F147*'Benzin - diesel - hybrid'!E$44*VLOOKUP('Benzin - diesel - hybrid'!E$50+($B147-1),Fremskrivninger!$A$48:$H$77,8)/1000</f>
        <v>0</v>
      </c>
      <c r="F147" s="313">
        <f>IFERROR('Benzin - diesel - hybrid'!E$45/'Benzin - diesel - hybrid'!E$16,0)</f>
        <v>0</v>
      </c>
      <c r="G147" s="291">
        <f>H147*'Benzin - diesel - hybrid'!G$44*VLOOKUP('Benzin - diesel - hybrid'!G$50+($B147-1),Fremskrivninger!$A$48:$H$77,8)/1000</f>
        <v>0</v>
      </c>
      <c r="H147" s="313">
        <f>IFERROR('Benzin - diesel - hybrid'!G$45/'Benzin - diesel - hybrid'!G$16,0)</f>
        <v>0</v>
      </c>
      <c r="I147" s="291">
        <f>J147*'Benzin - diesel - hybrid'!I$44*VLOOKUP('Benzin - diesel - hybrid'!I$50+($B147-1),Fremskrivninger!$A$48:$H$77,8)/1000</f>
        <v>0</v>
      </c>
      <c r="J147" s="313">
        <f>IFERROR('Benzin - diesel - hybrid'!I$45/'Benzin - diesel - hybrid'!I$16,0)</f>
        <v>0</v>
      </c>
      <c r="K147" s="291">
        <f>L147*'Benzin - diesel - hybrid'!K$44*VLOOKUP('Benzin - diesel - hybrid'!K$50+($B147-1),Fremskrivninger!$A$48:$H$77,8)/1000</f>
        <v>0</v>
      </c>
      <c r="L147" s="313">
        <f>IFERROR('Benzin - diesel - hybrid'!K$45/'Benzin - diesel - hybrid'!K$16,0)</f>
        <v>0</v>
      </c>
      <c r="M147" s="291">
        <f>N147*'Benzin - diesel - hybrid'!M$44*VLOOKUP('Benzin - diesel - hybrid'!M$50+($B147-1),Fremskrivninger!$A$48:$H$77,8)/1000</f>
        <v>0</v>
      </c>
      <c r="N147" s="313">
        <f>IFERROR('Benzin - diesel - hybrid'!M$45/'Benzin - diesel - hybrid'!M$16,0)</f>
        <v>0</v>
      </c>
      <c r="O147" s="291">
        <f>P147*'Benzin - diesel - hybrid'!O$44*VLOOKUP('Benzin - diesel - hybrid'!O$50+($B147-1),Fremskrivninger!$A$48:$H$77,8)/1000</f>
        <v>0</v>
      </c>
      <c r="P147" s="313">
        <f>IFERROR('Benzin - diesel - hybrid'!O$45/'Benzin - diesel - hybrid'!O$16,0)</f>
        <v>0</v>
      </c>
      <c r="Q147" s="291">
        <f>R147*'Benzin - diesel - hybrid'!Q$44*VLOOKUP('Benzin - diesel - hybrid'!Q$50+($B147-1),Fremskrivninger!$A$48:$H$77,8)/1000</f>
        <v>0</v>
      </c>
      <c r="R147" s="313">
        <f>IFERROR('Benzin - diesel - hybrid'!Q$45/'Benzin - diesel - hybrid'!Q$16,0)</f>
        <v>0</v>
      </c>
      <c r="S147" s="291">
        <f>T147*'Benzin - diesel - hybrid'!S$44*VLOOKUP('Benzin - diesel - hybrid'!S$50+($B147-1),Fremskrivninger!$A$48:$H$77,8)/1000</f>
        <v>0</v>
      </c>
      <c r="T147" s="313">
        <f>IFERROR('Benzin - diesel - hybrid'!S$45/'Benzin - diesel - hybrid'!S$16,0)</f>
        <v>0</v>
      </c>
      <c r="U147" s="291">
        <f>V147*'Benzin - diesel - hybrid'!U$44*VLOOKUP('Benzin - diesel - hybrid'!U$50+($B147-1),Fremskrivninger!$A$48:$H$77,8)/1000</f>
        <v>0</v>
      </c>
      <c r="V147" s="313">
        <f>IFERROR('Benzin - diesel - hybrid'!U$45/'Benzin - diesel - hybrid'!U$16,0)</f>
        <v>0</v>
      </c>
      <c r="W147" s="291">
        <f>X147*'Benzin - diesel - hybrid'!W$44*VLOOKUP('Benzin - diesel - hybrid'!W$50+($B147-1),Fremskrivninger!$A$48:$H$77,8)/1000</f>
        <v>0</v>
      </c>
      <c r="X147" s="313">
        <f>IFERROR('Benzin - diesel - hybrid'!W$45/'Benzin - diesel - hybrid'!W$16,0)</f>
        <v>0</v>
      </c>
    </row>
    <row r="148" spans="1:24">
      <c r="A148" s="312"/>
      <c r="B148" s="285">
        <v>7</v>
      </c>
      <c r="C148" s="285">
        <f t="shared" si="9"/>
        <v>7</v>
      </c>
      <c r="D148" s="285"/>
      <c r="E148" s="291">
        <f>F148*'Benzin - diesel - hybrid'!E$44*VLOOKUP('Benzin - diesel - hybrid'!E$50+($B148-1),Fremskrivninger!$A$48:$H$77,8)/1000</f>
        <v>0</v>
      </c>
      <c r="F148" s="313">
        <f>IFERROR('Benzin - diesel - hybrid'!E$45/'Benzin - diesel - hybrid'!E$16,0)</f>
        <v>0</v>
      </c>
      <c r="G148" s="291">
        <f>H148*'Benzin - diesel - hybrid'!G$44*VLOOKUP('Benzin - diesel - hybrid'!G$50+($B148-1),Fremskrivninger!$A$48:$H$77,8)/1000</f>
        <v>0</v>
      </c>
      <c r="H148" s="313">
        <f>IFERROR('Benzin - diesel - hybrid'!G$45/'Benzin - diesel - hybrid'!G$16,0)</f>
        <v>0</v>
      </c>
      <c r="I148" s="291">
        <f>J148*'Benzin - diesel - hybrid'!I$44*VLOOKUP('Benzin - diesel - hybrid'!I$50+($B148-1),Fremskrivninger!$A$48:$H$77,8)/1000</f>
        <v>0</v>
      </c>
      <c r="J148" s="313">
        <f>IFERROR('Benzin - diesel - hybrid'!I$45/'Benzin - diesel - hybrid'!I$16,0)</f>
        <v>0</v>
      </c>
      <c r="K148" s="291">
        <f>L148*'Benzin - diesel - hybrid'!K$44*VLOOKUP('Benzin - diesel - hybrid'!K$50+($B148-1),Fremskrivninger!$A$48:$H$77,8)/1000</f>
        <v>0</v>
      </c>
      <c r="L148" s="313">
        <f>IFERROR('Benzin - diesel - hybrid'!K$45/'Benzin - diesel - hybrid'!K$16,0)</f>
        <v>0</v>
      </c>
      <c r="M148" s="291">
        <f>N148*'Benzin - diesel - hybrid'!M$44*VLOOKUP('Benzin - diesel - hybrid'!M$50+($B148-1),Fremskrivninger!$A$48:$H$77,8)/1000</f>
        <v>0</v>
      </c>
      <c r="N148" s="313">
        <f>IFERROR('Benzin - diesel - hybrid'!M$45/'Benzin - diesel - hybrid'!M$16,0)</f>
        <v>0</v>
      </c>
      <c r="O148" s="291">
        <f>P148*'Benzin - diesel - hybrid'!O$44*VLOOKUP('Benzin - diesel - hybrid'!O$50+($B148-1),Fremskrivninger!$A$48:$H$77,8)/1000</f>
        <v>0</v>
      </c>
      <c r="P148" s="313">
        <f>IFERROR('Benzin - diesel - hybrid'!O$45/'Benzin - diesel - hybrid'!O$16,0)</f>
        <v>0</v>
      </c>
      <c r="Q148" s="291">
        <f>R148*'Benzin - diesel - hybrid'!Q$44*VLOOKUP('Benzin - diesel - hybrid'!Q$50+($B148-1),Fremskrivninger!$A$48:$H$77,8)/1000</f>
        <v>0</v>
      </c>
      <c r="R148" s="313">
        <f>IFERROR('Benzin - diesel - hybrid'!Q$45/'Benzin - diesel - hybrid'!Q$16,0)</f>
        <v>0</v>
      </c>
      <c r="S148" s="291">
        <f>T148*'Benzin - diesel - hybrid'!S$44*VLOOKUP('Benzin - diesel - hybrid'!S$50+($B148-1),Fremskrivninger!$A$48:$H$77,8)/1000</f>
        <v>0</v>
      </c>
      <c r="T148" s="313">
        <f>IFERROR('Benzin - diesel - hybrid'!S$45/'Benzin - diesel - hybrid'!S$16,0)</f>
        <v>0</v>
      </c>
      <c r="U148" s="291">
        <f>V148*'Benzin - diesel - hybrid'!U$44*VLOOKUP('Benzin - diesel - hybrid'!U$50+($B148-1),Fremskrivninger!$A$48:$H$77,8)/1000</f>
        <v>0</v>
      </c>
      <c r="V148" s="313">
        <f>IFERROR('Benzin - diesel - hybrid'!U$45/'Benzin - diesel - hybrid'!U$16,0)</f>
        <v>0</v>
      </c>
      <c r="W148" s="291">
        <f>X148*'Benzin - diesel - hybrid'!W$44*VLOOKUP('Benzin - diesel - hybrid'!W$50+($B148-1),Fremskrivninger!$A$48:$H$77,8)/1000</f>
        <v>0</v>
      </c>
      <c r="X148" s="313">
        <f>IFERROR('Benzin - diesel - hybrid'!W$45/'Benzin - diesel - hybrid'!W$16,0)</f>
        <v>0</v>
      </c>
    </row>
    <row r="149" spans="1:24">
      <c r="A149" s="312"/>
      <c r="B149" s="285">
        <v>8</v>
      </c>
      <c r="C149" s="285">
        <f t="shared" si="9"/>
        <v>8</v>
      </c>
      <c r="D149" s="285"/>
      <c r="E149" s="291">
        <f>F149*'Benzin - diesel - hybrid'!E$44*VLOOKUP('Benzin - diesel - hybrid'!E$50+($B149-1),Fremskrivninger!$A$48:$H$77,8)/1000</f>
        <v>0</v>
      </c>
      <c r="F149" s="313">
        <f>IFERROR('Benzin - diesel - hybrid'!E$45/'Benzin - diesel - hybrid'!E$16,0)</f>
        <v>0</v>
      </c>
      <c r="G149" s="291">
        <f>H149*'Benzin - diesel - hybrid'!G$44*VLOOKUP('Benzin - diesel - hybrid'!G$50+($B149-1),Fremskrivninger!$A$48:$H$77,8)/1000</f>
        <v>0</v>
      </c>
      <c r="H149" s="313">
        <f>IFERROR('Benzin - diesel - hybrid'!G$45/'Benzin - diesel - hybrid'!G$16,0)</f>
        <v>0</v>
      </c>
      <c r="I149" s="291">
        <f>J149*'Benzin - diesel - hybrid'!I$44*VLOOKUP('Benzin - diesel - hybrid'!I$50+($B149-1),Fremskrivninger!$A$48:$H$77,8)/1000</f>
        <v>0</v>
      </c>
      <c r="J149" s="313">
        <f>IFERROR('Benzin - diesel - hybrid'!I$45/'Benzin - diesel - hybrid'!I$16,0)</f>
        <v>0</v>
      </c>
      <c r="K149" s="291">
        <f>L149*'Benzin - diesel - hybrid'!K$44*VLOOKUP('Benzin - diesel - hybrid'!K$50+($B149-1),Fremskrivninger!$A$48:$H$77,8)/1000</f>
        <v>0</v>
      </c>
      <c r="L149" s="313">
        <f>IFERROR('Benzin - diesel - hybrid'!K$45/'Benzin - diesel - hybrid'!K$16,0)</f>
        <v>0</v>
      </c>
      <c r="M149" s="291">
        <f>N149*'Benzin - diesel - hybrid'!M$44*VLOOKUP('Benzin - diesel - hybrid'!M$50+($B149-1),Fremskrivninger!$A$48:$H$77,8)/1000</f>
        <v>0</v>
      </c>
      <c r="N149" s="313">
        <f>IFERROR('Benzin - diesel - hybrid'!M$45/'Benzin - diesel - hybrid'!M$16,0)</f>
        <v>0</v>
      </c>
      <c r="O149" s="291">
        <f>P149*'Benzin - diesel - hybrid'!O$44*VLOOKUP('Benzin - diesel - hybrid'!O$50+($B149-1),Fremskrivninger!$A$48:$H$77,8)/1000</f>
        <v>0</v>
      </c>
      <c r="P149" s="313">
        <f>IFERROR('Benzin - diesel - hybrid'!O$45/'Benzin - diesel - hybrid'!O$16,0)</f>
        <v>0</v>
      </c>
      <c r="Q149" s="291">
        <f>R149*'Benzin - diesel - hybrid'!Q$44*VLOOKUP('Benzin - diesel - hybrid'!Q$50+($B149-1),Fremskrivninger!$A$48:$H$77,8)/1000</f>
        <v>0</v>
      </c>
      <c r="R149" s="313">
        <f>IFERROR('Benzin - diesel - hybrid'!Q$45/'Benzin - diesel - hybrid'!Q$16,0)</f>
        <v>0</v>
      </c>
      <c r="S149" s="291">
        <f>T149*'Benzin - diesel - hybrid'!S$44*VLOOKUP('Benzin - diesel - hybrid'!S$50+($B149-1),Fremskrivninger!$A$48:$H$77,8)/1000</f>
        <v>0</v>
      </c>
      <c r="T149" s="313">
        <f>IFERROR('Benzin - diesel - hybrid'!S$45/'Benzin - diesel - hybrid'!S$16,0)</f>
        <v>0</v>
      </c>
      <c r="U149" s="291">
        <f>V149*'Benzin - diesel - hybrid'!U$44*VLOOKUP('Benzin - diesel - hybrid'!U$50+($B149-1),Fremskrivninger!$A$48:$H$77,8)/1000</f>
        <v>0</v>
      </c>
      <c r="V149" s="313">
        <f>IFERROR('Benzin - diesel - hybrid'!U$45/'Benzin - diesel - hybrid'!U$16,0)</f>
        <v>0</v>
      </c>
      <c r="W149" s="291">
        <f>X149*'Benzin - diesel - hybrid'!W$44*VLOOKUP('Benzin - diesel - hybrid'!W$50+($B149-1),Fremskrivninger!$A$48:$H$77,8)/1000</f>
        <v>0</v>
      </c>
      <c r="X149" s="313">
        <f>IFERROR('Benzin - diesel - hybrid'!W$45/'Benzin - diesel - hybrid'!W$16,0)</f>
        <v>0</v>
      </c>
    </row>
    <row r="150" spans="1:24">
      <c r="A150" s="312"/>
      <c r="B150" s="285">
        <v>9</v>
      </c>
      <c r="C150" s="285">
        <f t="shared" si="9"/>
        <v>9</v>
      </c>
      <c r="D150" s="285"/>
      <c r="E150" s="291">
        <f>F150*'Benzin - diesel - hybrid'!E$44*VLOOKUP('Benzin - diesel - hybrid'!E$50+($B150-1),Fremskrivninger!$A$48:$H$77,8)/1000</f>
        <v>0</v>
      </c>
      <c r="F150" s="313">
        <f>IFERROR('Benzin - diesel - hybrid'!E$45/'Benzin - diesel - hybrid'!E$16,0)</f>
        <v>0</v>
      </c>
      <c r="G150" s="291">
        <f>H150*'Benzin - diesel - hybrid'!G$44*VLOOKUP('Benzin - diesel - hybrid'!G$50+($B150-1),Fremskrivninger!$A$48:$H$77,8)/1000</f>
        <v>0</v>
      </c>
      <c r="H150" s="313">
        <f>IFERROR('Benzin - diesel - hybrid'!G$45/'Benzin - diesel - hybrid'!G$16,0)</f>
        <v>0</v>
      </c>
      <c r="I150" s="291">
        <f>J150*'Benzin - diesel - hybrid'!I$44*VLOOKUP('Benzin - diesel - hybrid'!I$50+($B150-1),Fremskrivninger!$A$48:$H$77,8)/1000</f>
        <v>0</v>
      </c>
      <c r="J150" s="313">
        <f>IFERROR('Benzin - diesel - hybrid'!I$45/'Benzin - diesel - hybrid'!I$16,0)</f>
        <v>0</v>
      </c>
      <c r="K150" s="291">
        <f>L150*'Benzin - diesel - hybrid'!K$44*VLOOKUP('Benzin - diesel - hybrid'!K$50+($B150-1),Fremskrivninger!$A$48:$H$77,8)/1000</f>
        <v>0</v>
      </c>
      <c r="L150" s="313">
        <f>IFERROR('Benzin - diesel - hybrid'!K$45/'Benzin - diesel - hybrid'!K$16,0)</f>
        <v>0</v>
      </c>
      <c r="M150" s="291">
        <f>N150*'Benzin - diesel - hybrid'!M$44*VLOOKUP('Benzin - diesel - hybrid'!M$50+($B150-1),Fremskrivninger!$A$48:$H$77,8)/1000</f>
        <v>0</v>
      </c>
      <c r="N150" s="313">
        <f>IFERROR('Benzin - diesel - hybrid'!M$45/'Benzin - diesel - hybrid'!M$16,0)</f>
        <v>0</v>
      </c>
      <c r="O150" s="291">
        <f>P150*'Benzin - diesel - hybrid'!O$44*VLOOKUP('Benzin - diesel - hybrid'!O$50+($B150-1),Fremskrivninger!$A$48:$H$77,8)/1000</f>
        <v>0</v>
      </c>
      <c r="P150" s="313">
        <f>IFERROR('Benzin - diesel - hybrid'!O$45/'Benzin - diesel - hybrid'!O$16,0)</f>
        <v>0</v>
      </c>
      <c r="Q150" s="291">
        <f>R150*'Benzin - diesel - hybrid'!Q$44*VLOOKUP('Benzin - diesel - hybrid'!Q$50+($B150-1),Fremskrivninger!$A$48:$H$77,8)/1000</f>
        <v>0</v>
      </c>
      <c r="R150" s="313">
        <f>IFERROR('Benzin - diesel - hybrid'!Q$45/'Benzin - diesel - hybrid'!Q$16,0)</f>
        <v>0</v>
      </c>
      <c r="S150" s="291">
        <f>T150*'Benzin - diesel - hybrid'!S$44*VLOOKUP('Benzin - diesel - hybrid'!S$50+($B150-1),Fremskrivninger!$A$48:$H$77,8)/1000</f>
        <v>0</v>
      </c>
      <c r="T150" s="313">
        <f>IFERROR('Benzin - diesel - hybrid'!S$45/'Benzin - diesel - hybrid'!S$16,0)</f>
        <v>0</v>
      </c>
      <c r="U150" s="291">
        <f>V150*'Benzin - diesel - hybrid'!U$44*VLOOKUP('Benzin - diesel - hybrid'!U$50+($B150-1),Fremskrivninger!$A$48:$H$77,8)/1000</f>
        <v>0</v>
      </c>
      <c r="V150" s="313">
        <f>IFERROR('Benzin - diesel - hybrid'!U$45/'Benzin - diesel - hybrid'!U$16,0)</f>
        <v>0</v>
      </c>
      <c r="W150" s="291">
        <f>X150*'Benzin - diesel - hybrid'!W$44*VLOOKUP('Benzin - diesel - hybrid'!W$50+($B150-1),Fremskrivninger!$A$48:$H$77,8)/1000</f>
        <v>0</v>
      </c>
      <c r="X150" s="313">
        <f>IFERROR('Benzin - diesel - hybrid'!W$45/'Benzin - diesel - hybrid'!W$16,0)</f>
        <v>0</v>
      </c>
    </row>
    <row r="151" spans="1:24">
      <c r="A151" s="312"/>
      <c r="B151" s="285">
        <v>10</v>
      </c>
      <c r="C151" s="285">
        <f t="shared" si="9"/>
        <v>10</v>
      </c>
      <c r="D151" s="285"/>
      <c r="E151" s="291">
        <f>F151*'Benzin - diesel - hybrid'!E$44*VLOOKUP('Benzin - diesel - hybrid'!E$50+($B151-1),Fremskrivninger!$A$48:$H$77,8)/1000</f>
        <v>0</v>
      </c>
      <c r="F151" s="313">
        <f>IFERROR('Benzin - diesel - hybrid'!E$45/'Benzin - diesel - hybrid'!E$16,0)</f>
        <v>0</v>
      </c>
      <c r="G151" s="291">
        <f>H151*'Benzin - diesel - hybrid'!G$44*VLOOKUP('Benzin - diesel - hybrid'!G$50+($B151-1),Fremskrivninger!$A$48:$H$77,8)/1000</f>
        <v>0</v>
      </c>
      <c r="H151" s="313">
        <f>IFERROR('Benzin - diesel - hybrid'!G$45/'Benzin - diesel - hybrid'!G$16,0)</f>
        <v>0</v>
      </c>
      <c r="I151" s="291">
        <f>J151*'Benzin - diesel - hybrid'!I$44*VLOOKUP('Benzin - diesel - hybrid'!I$50+($B151-1),Fremskrivninger!$A$48:$H$77,8)/1000</f>
        <v>0</v>
      </c>
      <c r="J151" s="313">
        <f>IFERROR('Benzin - diesel - hybrid'!I$45/'Benzin - diesel - hybrid'!I$16,0)</f>
        <v>0</v>
      </c>
      <c r="K151" s="291">
        <f>L151*'Benzin - diesel - hybrid'!K$44*VLOOKUP('Benzin - diesel - hybrid'!K$50+($B151-1),Fremskrivninger!$A$48:$H$77,8)/1000</f>
        <v>0</v>
      </c>
      <c r="L151" s="313">
        <f>IFERROR('Benzin - diesel - hybrid'!K$45/'Benzin - diesel - hybrid'!K$16,0)</f>
        <v>0</v>
      </c>
      <c r="M151" s="291">
        <f>N151*'Benzin - diesel - hybrid'!M$44*VLOOKUP('Benzin - diesel - hybrid'!M$50+($B151-1),Fremskrivninger!$A$48:$H$77,8)/1000</f>
        <v>0</v>
      </c>
      <c r="N151" s="313">
        <f>IFERROR('Benzin - diesel - hybrid'!M$45/'Benzin - diesel - hybrid'!M$16,0)</f>
        <v>0</v>
      </c>
      <c r="O151" s="291">
        <f>P151*'Benzin - diesel - hybrid'!O$44*VLOOKUP('Benzin - diesel - hybrid'!O$50+($B151-1),Fremskrivninger!$A$48:$H$77,8)/1000</f>
        <v>0</v>
      </c>
      <c r="P151" s="313">
        <f>IFERROR('Benzin - diesel - hybrid'!O$45/'Benzin - diesel - hybrid'!O$16,0)</f>
        <v>0</v>
      </c>
      <c r="Q151" s="291">
        <f>R151*'Benzin - diesel - hybrid'!Q$44*VLOOKUP('Benzin - diesel - hybrid'!Q$50+($B151-1),Fremskrivninger!$A$48:$H$77,8)/1000</f>
        <v>0</v>
      </c>
      <c r="R151" s="313">
        <f>IFERROR('Benzin - diesel - hybrid'!Q$45/'Benzin - diesel - hybrid'!Q$16,0)</f>
        <v>0</v>
      </c>
      <c r="S151" s="291">
        <f>T151*'Benzin - diesel - hybrid'!S$44*VLOOKUP('Benzin - diesel - hybrid'!S$50+($B151-1),Fremskrivninger!$A$48:$H$77,8)/1000</f>
        <v>0</v>
      </c>
      <c r="T151" s="313">
        <f>IFERROR('Benzin - diesel - hybrid'!S$45/'Benzin - diesel - hybrid'!S$16,0)</f>
        <v>0</v>
      </c>
      <c r="U151" s="291">
        <f>V151*'Benzin - diesel - hybrid'!U$44*VLOOKUP('Benzin - diesel - hybrid'!U$50+($B151-1),Fremskrivninger!$A$48:$H$77,8)/1000</f>
        <v>0</v>
      </c>
      <c r="V151" s="313">
        <f>IFERROR('Benzin - diesel - hybrid'!U$45/'Benzin - diesel - hybrid'!U$16,0)</f>
        <v>0</v>
      </c>
      <c r="W151" s="291">
        <f>X151*'Benzin - diesel - hybrid'!W$44*VLOOKUP('Benzin - diesel - hybrid'!W$50+($B151-1),Fremskrivninger!$A$48:$H$77,8)/1000</f>
        <v>0</v>
      </c>
      <c r="X151" s="313">
        <f>IFERROR('Benzin - diesel - hybrid'!W$45/'Benzin - diesel - hybrid'!W$16,0)</f>
        <v>0</v>
      </c>
    </row>
    <row r="152" spans="1:24">
      <c r="A152" s="312"/>
      <c r="B152" s="285">
        <v>11</v>
      </c>
      <c r="C152" s="285">
        <f t="shared" si="9"/>
        <v>11</v>
      </c>
      <c r="D152" s="285"/>
      <c r="E152" s="291">
        <f>F152*'Benzin - diesel - hybrid'!E$44*VLOOKUP('Benzin - diesel - hybrid'!E$50+($B152-1),Fremskrivninger!$A$48:$H$77,8)/1000</f>
        <v>0</v>
      </c>
      <c r="F152" s="313">
        <f>IFERROR('Benzin - diesel - hybrid'!E$45/'Benzin - diesel - hybrid'!E$16,0)</f>
        <v>0</v>
      </c>
      <c r="G152" s="291">
        <f>H152*'Benzin - diesel - hybrid'!G$44*VLOOKUP('Benzin - diesel - hybrid'!G$50+($B152-1),Fremskrivninger!$A$48:$H$77,8)/1000</f>
        <v>0</v>
      </c>
      <c r="H152" s="313">
        <f>IFERROR('Benzin - diesel - hybrid'!G$45/'Benzin - diesel - hybrid'!G$16,0)</f>
        <v>0</v>
      </c>
      <c r="I152" s="291">
        <f>J152*'Benzin - diesel - hybrid'!I$44*VLOOKUP('Benzin - diesel - hybrid'!I$50+($B152-1),Fremskrivninger!$A$48:$H$77,8)/1000</f>
        <v>0</v>
      </c>
      <c r="J152" s="313">
        <f>IFERROR('Benzin - diesel - hybrid'!I$45/'Benzin - diesel - hybrid'!I$16,0)</f>
        <v>0</v>
      </c>
      <c r="K152" s="291">
        <f>L152*'Benzin - diesel - hybrid'!K$44*VLOOKUP('Benzin - diesel - hybrid'!K$50+($B152-1),Fremskrivninger!$A$48:$H$77,8)/1000</f>
        <v>0</v>
      </c>
      <c r="L152" s="313">
        <f>IFERROR('Benzin - diesel - hybrid'!K$45/'Benzin - diesel - hybrid'!K$16,0)</f>
        <v>0</v>
      </c>
      <c r="M152" s="291">
        <f>N152*'Benzin - diesel - hybrid'!M$44*VLOOKUP('Benzin - diesel - hybrid'!M$50+($B152-1),Fremskrivninger!$A$48:$H$77,8)/1000</f>
        <v>0</v>
      </c>
      <c r="N152" s="313">
        <f>IFERROR('Benzin - diesel - hybrid'!M$45/'Benzin - diesel - hybrid'!M$16,0)</f>
        <v>0</v>
      </c>
      <c r="O152" s="291">
        <f>P152*'Benzin - diesel - hybrid'!O$44*VLOOKUP('Benzin - diesel - hybrid'!O$50+($B152-1),Fremskrivninger!$A$48:$H$77,8)/1000</f>
        <v>0</v>
      </c>
      <c r="P152" s="313">
        <f>IFERROR('Benzin - diesel - hybrid'!O$45/'Benzin - diesel - hybrid'!O$16,0)</f>
        <v>0</v>
      </c>
      <c r="Q152" s="291">
        <f>R152*'Benzin - diesel - hybrid'!Q$44*VLOOKUP('Benzin - diesel - hybrid'!Q$50+($B152-1),Fremskrivninger!$A$48:$H$77,8)/1000</f>
        <v>0</v>
      </c>
      <c r="R152" s="313">
        <f>IFERROR('Benzin - diesel - hybrid'!Q$45/'Benzin - diesel - hybrid'!Q$16,0)</f>
        <v>0</v>
      </c>
      <c r="S152" s="291">
        <f>T152*'Benzin - diesel - hybrid'!S$44*VLOOKUP('Benzin - diesel - hybrid'!S$50+($B152-1),Fremskrivninger!$A$48:$H$77,8)/1000</f>
        <v>0</v>
      </c>
      <c r="T152" s="313">
        <f>IFERROR('Benzin - diesel - hybrid'!S$45/'Benzin - diesel - hybrid'!S$16,0)</f>
        <v>0</v>
      </c>
      <c r="U152" s="291">
        <f>V152*'Benzin - diesel - hybrid'!U$44*VLOOKUP('Benzin - diesel - hybrid'!U$50+($B152-1),Fremskrivninger!$A$48:$H$77,8)/1000</f>
        <v>0</v>
      </c>
      <c r="V152" s="313">
        <f>IFERROR('Benzin - diesel - hybrid'!U$45/'Benzin - diesel - hybrid'!U$16,0)</f>
        <v>0</v>
      </c>
      <c r="W152" s="291">
        <f>X152*'Benzin - diesel - hybrid'!W$44*VLOOKUP('Benzin - diesel - hybrid'!W$50+($B152-1),Fremskrivninger!$A$48:$H$77,8)/1000</f>
        <v>0</v>
      </c>
      <c r="X152" s="313">
        <f>IFERROR('Benzin - diesel - hybrid'!W$45/'Benzin - diesel - hybrid'!W$16,0)</f>
        <v>0</v>
      </c>
    </row>
    <row r="153" spans="1:24">
      <c r="A153" s="312"/>
      <c r="B153" s="285">
        <v>12</v>
      </c>
      <c r="C153" s="285">
        <f t="shared" si="9"/>
        <v>12</v>
      </c>
      <c r="D153" s="285"/>
      <c r="E153" s="291">
        <f>F153*'Benzin - diesel - hybrid'!E$44*VLOOKUP('Benzin - diesel - hybrid'!E$50+($B153-1),Fremskrivninger!$A$48:$H$77,8)/1000</f>
        <v>0</v>
      </c>
      <c r="F153" s="313">
        <f>IFERROR('Benzin - diesel - hybrid'!E$45/'Benzin - diesel - hybrid'!E$16,0)</f>
        <v>0</v>
      </c>
      <c r="G153" s="291">
        <f>H153*'Benzin - diesel - hybrid'!G$44*VLOOKUP('Benzin - diesel - hybrid'!G$50+($B153-1),Fremskrivninger!$A$48:$H$77,8)/1000</f>
        <v>0</v>
      </c>
      <c r="H153" s="313">
        <f>IFERROR('Benzin - diesel - hybrid'!G$45/'Benzin - diesel - hybrid'!G$16,0)</f>
        <v>0</v>
      </c>
      <c r="I153" s="291">
        <f>J153*'Benzin - diesel - hybrid'!I$44*VLOOKUP('Benzin - diesel - hybrid'!I$50+($B153-1),Fremskrivninger!$A$48:$H$77,8)/1000</f>
        <v>0</v>
      </c>
      <c r="J153" s="313">
        <f>IFERROR('Benzin - diesel - hybrid'!I$45/'Benzin - diesel - hybrid'!I$16,0)</f>
        <v>0</v>
      </c>
      <c r="K153" s="291">
        <f>L153*'Benzin - diesel - hybrid'!K$44*VLOOKUP('Benzin - diesel - hybrid'!K$50+($B153-1),Fremskrivninger!$A$48:$H$77,8)/1000</f>
        <v>0</v>
      </c>
      <c r="L153" s="313">
        <f>IFERROR('Benzin - diesel - hybrid'!K$45/'Benzin - diesel - hybrid'!K$16,0)</f>
        <v>0</v>
      </c>
      <c r="M153" s="291">
        <f>N153*'Benzin - diesel - hybrid'!M$44*VLOOKUP('Benzin - diesel - hybrid'!M$50+($B153-1),Fremskrivninger!$A$48:$H$77,8)/1000</f>
        <v>0</v>
      </c>
      <c r="N153" s="313">
        <f>IFERROR('Benzin - diesel - hybrid'!M$45/'Benzin - diesel - hybrid'!M$16,0)</f>
        <v>0</v>
      </c>
      <c r="O153" s="291">
        <f>P153*'Benzin - diesel - hybrid'!O$44*VLOOKUP('Benzin - diesel - hybrid'!O$50+($B153-1),Fremskrivninger!$A$48:$H$77,8)/1000</f>
        <v>0</v>
      </c>
      <c r="P153" s="313">
        <f>IFERROR('Benzin - diesel - hybrid'!O$45/'Benzin - diesel - hybrid'!O$16,0)</f>
        <v>0</v>
      </c>
      <c r="Q153" s="291">
        <f>R153*'Benzin - diesel - hybrid'!Q$44*VLOOKUP('Benzin - diesel - hybrid'!Q$50+($B153-1),Fremskrivninger!$A$48:$H$77,8)/1000</f>
        <v>0</v>
      </c>
      <c r="R153" s="313">
        <f>IFERROR('Benzin - diesel - hybrid'!Q$45/'Benzin - diesel - hybrid'!Q$16,0)</f>
        <v>0</v>
      </c>
      <c r="S153" s="291">
        <f>T153*'Benzin - diesel - hybrid'!S$44*VLOOKUP('Benzin - diesel - hybrid'!S$50+($B153-1),Fremskrivninger!$A$48:$H$77,8)/1000</f>
        <v>0</v>
      </c>
      <c r="T153" s="313">
        <f>IFERROR('Benzin - diesel - hybrid'!S$45/'Benzin - diesel - hybrid'!S$16,0)</f>
        <v>0</v>
      </c>
      <c r="U153" s="291">
        <f>V153*'Benzin - diesel - hybrid'!U$44*VLOOKUP('Benzin - diesel - hybrid'!U$50+($B153-1),Fremskrivninger!$A$48:$H$77,8)/1000</f>
        <v>0</v>
      </c>
      <c r="V153" s="313">
        <f>IFERROR('Benzin - diesel - hybrid'!U$45/'Benzin - diesel - hybrid'!U$16,0)</f>
        <v>0</v>
      </c>
      <c r="W153" s="291">
        <f>X153*'Benzin - diesel - hybrid'!W$44*VLOOKUP('Benzin - diesel - hybrid'!W$50+($B153-1),Fremskrivninger!$A$48:$H$77,8)/1000</f>
        <v>0</v>
      </c>
      <c r="X153" s="313">
        <f>IFERROR('Benzin - diesel - hybrid'!W$45/'Benzin - diesel - hybrid'!W$16,0)</f>
        <v>0</v>
      </c>
    </row>
    <row r="154" spans="1:24">
      <c r="A154" s="312"/>
      <c r="B154" s="285">
        <v>13</v>
      </c>
      <c r="C154" s="285">
        <f t="shared" si="9"/>
        <v>13</v>
      </c>
      <c r="D154" s="285"/>
      <c r="E154" s="291">
        <f>F154*'Benzin - diesel - hybrid'!E$44*VLOOKUP('Benzin - diesel - hybrid'!E$50+($B154-1),Fremskrivninger!$A$48:$H$77,8)/1000</f>
        <v>0</v>
      </c>
      <c r="F154" s="313">
        <f>IFERROR('Benzin - diesel - hybrid'!E$45/'Benzin - diesel - hybrid'!E$16,0)</f>
        <v>0</v>
      </c>
      <c r="G154" s="291">
        <f>H154*'Benzin - diesel - hybrid'!G$44*VLOOKUP('Benzin - diesel - hybrid'!G$50+($B154-1),Fremskrivninger!$A$48:$H$77,8)/1000</f>
        <v>0</v>
      </c>
      <c r="H154" s="313">
        <f>IFERROR('Benzin - diesel - hybrid'!G$45/'Benzin - diesel - hybrid'!G$16,0)</f>
        <v>0</v>
      </c>
      <c r="I154" s="291">
        <f>J154*'Benzin - diesel - hybrid'!I$44*VLOOKUP('Benzin - diesel - hybrid'!I$50+($B154-1),Fremskrivninger!$A$48:$H$77,8)/1000</f>
        <v>0</v>
      </c>
      <c r="J154" s="313">
        <f>IFERROR('Benzin - diesel - hybrid'!I$45/'Benzin - diesel - hybrid'!I$16,0)</f>
        <v>0</v>
      </c>
      <c r="K154" s="291">
        <f>L154*'Benzin - diesel - hybrid'!K$44*VLOOKUP('Benzin - diesel - hybrid'!K$50+($B154-1),Fremskrivninger!$A$48:$H$77,8)/1000</f>
        <v>0</v>
      </c>
      <c r="L154" s="313">
        <f>IFERROR('Benzin - diesel - hybrid'!K$45/'Benzin - diesel - hybrid'!K$16,0)</f>
        <v>0</v>
      </c>
      <c r="M154" s="291">
        <f>N154*'Benzin - diesel - hybrid'!M$44*VLOOKUP('Benzin - diesel - hybrid'!M$50+($B154-1),Fremskrivninger!$A$48:$H$77,8)/1000</f>
        <v>0</v>
      </c>
      <c r="N154" s="313">
        <f>IFERROR('Benzin - diesel - hybrid'!M$45/'Benzin - diesel - hybrid'!M$16,0)</f>
        <v>0</v>
      </c>
      <c r="O154" s="291">
        <f>P154*'Benzin - diesel - hybrid'!O$44*VLOOKUP('Benzin - diesel - hybrid'!O$50+($B154-1),Fremskrivninger!$A$48:$H$77,8)/1000</f>
        <v>0</v>
      </c>
      <c r="P154" s="313">
        <f>IFERROR('Benzin - diesel - hybrid'!O$45/'Benzin - diesel - hybrid'!O$16,0)</f>
        <v>0</v>
      </c>
      <c r="Q154" s="291">
        <f>R154*'Benzin - diesel - hybrid'!Q$44*VLOOKUP('Benzin - diesel - hybrid'!Q$50+($B154-1),Fremskrivninger!$A$48:$H$77,8)/1000</f>
        <v>0</v>
      </c>
      <c r="R154" s="313">
        <f>IFERROR('Benzin - diesel - hybrid'!Q$45/'Benzin - diesel - hybrid'!Q$16,0)</f>
        <v>0</v>
      </c>
      <c r="S154" s="291">
        <f>T154*'Benzin - diesel - hybrid'!S$44*VLOOKUP('Benzin - diesel - hybrid'!S$50+($B154-1),Fremskrivninger!$A$48:$H$77,8)/1000</f>
        <v>0</v>
      </c>
      <c r="T154" s="313">
        <f>IFERROR('Benzin - diesel - hybrid'!S$45/'Benzin - diesel - hybrid'!S$16,0)</f>
        <v>0</v>
      </c>
      <c r="U154" s="291">
        <f>V154*'Benzin - diesel - hybrid'!U$44*VLOOKUP('Benzin - diesel - hybrid'!U$50+($B154-1),Fremskrivninger!$A$48:$H$77,8)/1000</f>
        <v>0</v>
      </c>
      <c r="V154" s="313">
        <f>IFERROR('Benzin - diesel - hybrid'!U$45/'Benzin - diesel - hybrid'!U$16,0)</f>
        <v>0</v>
      </c>
      <c r="W154" s="291">
        <f>X154*'Benzin - diesel - hybrid'!W$44*VLOOKUP('Benzin - diesel - hybrid'!W$50+($B154-1),Fremskrivninger!$A$48:$H$77,8)/1000</f>
        <v>0</v>
      </c>
      <c r="X154" s="313">
        <f>IFERROR('Benzin - diesel - hybrid'!W$45/'Benzin - diesel - hybrid'!W$16,0)</f>
        <v>0</v>
      </c>
    </row>
    <row r="155" spans="1:24">
      <c r="A155" s="312"/>
      <c r="B155" s="285">
        <v>14</v>
      </c>
      <c r="C155" s="285">
        <f t="shared" si="9"/>
        <v>14</v>
      </c>
      <c r="D155" s="285"/>
      <c r="E155" s="291">
        <f>F155*'Benzin - diesel - hybrid'!E$44*VLOOKUP('Benzin - diesel - hybrid'!E$50+($B155-1),Fremskrivninger!$A$48:$H$77,8)/1000</f>
        <v>0</v>
      </c>
      <c r="F155" s="313">
        <f>IFERROR('Benzin - diesel - hybrid'!E$45/'Benzin - diesel - hybrid'!E$16,0)</f>
        <v>0</v>
      </c>
      <c r="G155" s="291">
        <f>H155*'Benzin - diesel - hybrid'!G$44*VLOOKUP('Benzin - diesel - hybrid'!G$50+($B155-1),Fremskrivninger!$A$48:$H$77,8)/1000</f>
        <v>0</v>
      </c>
      <c r="H155" s="313">
        <f>IFERROR('Benzin - diesel - hybrid'!G$45/'Benzin - diesel - hybrid'!G$16,0)</f>
        <v>0</v>
      </c>
      <c r="I155" s="291">
        <f>J155*'Benzin - diesel - hybrid'!I$44*VLOOKUP('Benzin - diesel - hybrid'!I$50+($B155-1),Fremskrivninger!$A$48:$H$77,8)/1000</f>
        <v>0</v>
      </c>
      <c r="J155" s="313">
        <f>IFERROR('Benzin - diesel - hybrid'!I$45/'Benzin - diesel - hybrid'!I$16,0)</f>
        <v>0</v>
      </c>
      <c r="K155" s="291">
        <f>L155*'Benzin - diesel - hybrid'!K$44*VLOOKUP('Benzin - diesel - hybrid'!K$50+($B155-1),Fremskrivninger!$A$48:$H$77,8)/1000</f>
        <v>0</v>
      </c>
      <c r="L155" s="313">
        <f>IFERROR('Benzin - diesel - hybrid'!K$45/'Benzin - diesel - hybrid'!K$16,0)</f>
        <v>0</v>
      </c>
      <c r="M155" s="291">
        <f>N155*'Benzin - diesel - hybrid'!M$44*VLOOKUP('Benzin - diesel - hybrid'!M$50+($B155-1),Fremskrivninger!$A$48:$H$77,8)/1000</f>
        <v>0</v>
      </c>
      <c r="N155" s="313">
        <f>IFERROR('Benzin - diesel - hybrid'!M$45/'Benzin - diesel - hybrid'!M$16,0)</f>
        <v>0</v>
      </c>
      <c r="O155" s="291">
        <f>P155*'Benzin - diesel - hybrid'!O$44*VLOOKUP('Benzin - diesel - hybrid'!O$50+($B155-1),Fremskrivninger!$A$48:$H$77,8)/1000</f>
        <v>0</v>
      </c>
      <c r="P155" s="313">
        <f>IFERROR('Benzin - diesel - hybrid'!O$45/'Benzin - diesel - hybrid'!O$16,0)</f>
        <v>0</v>
      </c>
      <c r="Q155" s="291">
        <f>R155*'Benzin - diesel - hybrid'!Q$44*VLOOKUP('Benzin - diesel - hybrid'!Q$50+($B155-1),Fremskrivninger!$A$48:$H$77,8)/1000</f>
        <v>0</v>
      </c>
      <c r="R155" s="313">
        <f>IFERROR('Benzin - diesel - hybrid'!Q$45/'Benzin - diesel - hybrid'!Q$16,0)</f>
        <v>0</v>
      </c>
      <c r="S155" s="291">
        <f>T155*'Benzin - diesel - hybrid'!S$44*VLOOKUP('Benzin - diesel - hybrid'!S$50+($B155-1),Fremskrivninger!$A$48:$H$77,8)/1000</f>
        <v>0</v>
      </c>
      <c r="T155" s="313">
        <f>IFERROR('Benzin - diesel - hybrid'!S$45/'Benzin - diesel - hybrid'!S$16,0)</f>
        <v>0</v>
      </c>
      <c r="U155" s="291">
        <f>V155*'Benzin - diesel - hybrid'!U$44*VLOOKUP('Benzin - diesel - hybrid'!U$50+($B155-1),Fremskrivninger!$A$48:$H$77,8)/1000</f>
        <v>0</v>
      </c>
      <c r="V155" s="313">
        <f>IFERROR('Benzin - diesel - hybrid'!U$45/'Benzin - diesel - hybrid'!U$16,0)</f>
        <v>0</v>
      </c>
      <c r="W155" s="291">
        <f>X155*'Benzin - diesel - hybrid'!W$44*VLOOKUP('Benzin - diesel - hybrid'!W$50+($B155-1),Fremskrivninger!$A$48:$H$77,8)/1000</f>
        <v>0</v>
      </c>
      <c r="X155" s="313">
        <f>IFERROR('Benzin - diesel - hybrid'!W$45/'Benzin - diesel - hybrid'!W$16,0)</f>
        <v>0</v>
      </c>
    </row>
    <row r="156" spans="1:24">
      <c r="A156" s="312"/>
      <c r="B156" s="285">
        <v>15</v>
      </c>
      <c r="C156" s="285">
        <f t="shared" si="9"/>
        <v>15</v>
      </c>
      <c r="D156" s="285"/>
      <c r="E156" s="291">
        <f>F156*'Benzin - diesel - hybrid'!E$44*VLOOKUP('Benzin - diesel - hybrid'!E$50+($B156-1),Fremskrivninger!$A$48:$H$77,8)/1000</f>
        <v>0</v>
      </c>
      <c r="F156" s="313">
        <f>IFERROR('Benzin - diesel - hybrid'!E$45/'Benzin - diesel - hybrid'!E$16,0)</f>
        <v>0</v>
      </c>
      <c r="G156" s="291">
        <f>H156*'Benzin - diesel - hybrid'!G$44*VLOOKUP('Benzin - diesel - hybrid'!G$50+($B156-1),Fremskrivninger!$A$48:$H$77,8)/1000</f>
        <v>0</v>
      </c>
      <c r="H156" s="313">
        <f>IFERROR('Benzin - diesel - hybrid'!G$45/'Benzin - diesel - hybrid'!G$16,0)</f>
        <v>0</v>
      </c>
      <c r="I156" s="291">
        <f>J156*'Benzin - diesel - hybrid'!I$44*VLOOKUP('Benzin - diesel - hybrid'!I$50+($B156-1),Fremskrivninger!$A$48:$H$77,8)/1000</f>
        <v>0</v>
      </c>
      <c r="J156" s="313">
        <f>IFERROR('Benzin - diesel - hybrid'!I$45/'Benzin - diesel - hybrid'!I$16,0)</f>
        <v>0</v>
      </c>
      <c r="K156" s="291">
        <f>L156*'Benzin - diesel - hybrid'!K$44*VLOOKUP('Benzin - diesel - hybrid'!K$50+($B156-1),Fremskrivninger!$A$48:$H$77,8)/1000</f>
        <v>0</v>
      </c>
      <c r="L156" s="313">
        <f>IFERROR('Benzin - diesel - hybrid'!K$45/'Benzin - diesel - hybrid'!K$16,0)</f>
        <v>0</v>
      </c>
      <c r="M156" s="291">
        <f>N156*'Benzin - diesel - hybrid'!M$44*VLOOKUP('Benzin - diesel - hybrid'!M$50+($B156-1),Fremskrivninger!$A$48:$H$77,8)/1000</f>
        <v>0</v>
      </c>
      <c r="N156" s="313">
        <f>IFERROR('Benzin - diesel - hybrid'!M$45/'Benzin - diesel - hybrid'!M$16,0)</f>
        <v>0</v>
      </c>
      <c r="O156" s="291">
        <f>P156*'Benzin - diesel - hybrid'!O$44*VLOOKUP('Benzin - diesel - hybrid'!O$50+($B156-1),Fremskrivninger!$A$48:$H$77,8)/1000</f>
        <v>0</v>
      </c>
      <c r="P156" s="313">
        <f>IFERROR('Benzin - diesel - hybrid'!O$45/'Benzin - diesel - hybrid'!O$16,0)</f>
        <v>0</v>
      </c>
      <c r="Q156" s="291">
        <f>R156*'Benzin - diesel - hybrid'!Q$44*VLOOKUP('Benzin - diesel - hybrid'!Q$50+($B156-1),Fremskrivninger!$A$48:$H$77,8)/1000</f>
        <v>0</v>
      </c>
      <c r="R156" s="313">
        <f>IFERROR('Benzin - diesel - hybrid'!Q$45/'Benzin - diesel - hybrid'!Q$16,0)</f>
        <v>0</v>
      </c>
      <c r="S156" s="291">
        <f>T156*'Benzin - diesel - hybrid'!S$44*VLOOKUP('Benzin - diesel - hybrid'!S$50+($B156-1),Fremskrivninger!$A$48:$H$77,8)/1000</f>
        <v>0</v>
      </c>
      <c r="T156" s="313">
        <f>IFERROR('Benzin - diesel - hybrid'!S$45/'Benzin - diesel - hybrid'!S$16,0)</f>
        <v>0</v>
      </c>
      <c r="U156" s="291">
        <f>V156*'Benzin - diesel - hybrid'!U$44*VLOOKUP('Benzin - diesel - hybrid'!U$50+($B156-1),Fremskrivninger!$A$48:$H$77,8)/1000</f>
        <v>0</v>
      </c>
      <c r="V156" s="313">
        <f>IFERROR('Benzin - diesel - hybrid'!U$45/'Benzin - diesel - hybrid'!U$16,0)</f>
        <v>0</v>
      </c>
      <c r="W156" s="291">
        <f>X156*'Benzin - diesel - hybrid'!W$44*VLOOKUP('Benzin - diesel - hybrid'!W$50+($B156-1),Fremskrivninger!$A$48:$H$77,8)/1000</f>
        <v>0</v>
      </c>
      <c r="X156" s="313">
        <f>IFERROR('Benzin - diesel - hybrid'!W$45/'Benzin - diesel - hybrid'!W$16,0)</f>
        <v>0</v>
      </c>
    </row>
    <row r="157" spans="1:24">
      <c r="A157" s="312"/>
      <c r="B157" s="285">
        <v>16</v>
      </c>
      <c r="C157" s="285">
        <f t="shared" si="9"/>
        <v>16</v>
      </c>
      <c r="D157" s="285"/>
      <c r="E157" s="291">
        <f>F157*'Benzin - diesel - hybrid'!E$44*VLOOKUP('Benzin - diesel - hybrid'!E$50+($B157-1),Fremskrivninger!$A$48:$H$77,8)/1000</f>
        <v>0</v>
      </c>
      <c r="F157" s="313">
        <f>IFERROR('Benzin - diesel - hybrid'!E$45/'Benzin - diesel - hybrid'!E$16,0)</f>
        <v>0</v>
      </c>
      <c r="G157" s="291">
        <f>H157*'Benzin - diesel - hybrid'!G$44*VLOOKUP('Benzin - diesel - hybrid'!G$50+($B157-1),Fremskrivninger!$A$48:$H$77,8)/1000</f>
        <v>0</v>
      </c>
      <c r="H157" s="313">
        <f>IFERROR('Benzin - diesel - hybrid'!G$45/'Benzin - diesel - hybrid'!G$16,0)</f>
        <v>0</v>
      </c>
      <c r="I157" s="291">
        <f>J157*'Benzin - diesel - hybrid'!I$44*VLOOKUP('Benzin - diesel - hybrid'!I$50+($B157-1),Fremskrivninger!$A$48:$H$77,8)/1000</f>
        <v>0</v>
      </c>
      <c r="J157" s="313">
        <f>IFERROR('Benzin - diesel - hybrid'!I$45/'Benzin - diesel - hybrid'!I$16,0)</f>
        <v>0</v>
      </c>
      <c r="K157" s="291">
        <f>L157*'Benzin - diesel - hybrid'!K$44*VLOOKUP('Benzin - diesel - hybrid'!K$50+($B157-1),Fremskrivninger!$A$48:$H$77,8)/1000</f>
        <v>0</v>
      </c>
      <c r="L157" s="313">
        <f>IFERROR('Benzin - diesel - hybrid'!K$45/'Benzin - diesel - hybrid'!K$16,0)</f>
        <v>0</v>
      </c>
      <c r="M157" s="291">
        <f>N157*'Benzin - diesel - hybrid'!M$44*VLOOKUP('Benzin - diesel - hybrid'!M$50+($B157-1),Fremskrivninger!$A$48:$H$77,8)/1000</f>
        <v>0</v>
      </c>
      <c r="N157" s="313">
        <f>IFERROR('Benzin - diesel - hybrid'!M$45/'Benzin - diesel - hybrid'!M$16,0)</f>
        <v>0</v>
      </c>
      <c r="O157" s="291">
        <f>P157*'Benzin - diesel - hybrid'!O$44*VLOOKUP('Benzin - diesel - hybrid'!O$50+($B157-1),Fremskrivninger!$A$48:$H$77,8)/1000</f>
        <v>0</v>
      </c>
      <c r="P157" s="313">
        <f>IFERROR('Benzin - diesel - hybrid'!O$45/'Benzin - diesel - hybrid'!O$16,0)</f>
        <v>0</v>
      </c>
      <c r="Q157" s="291">
        <f>R157*'Benzin - diesel - hybrid'!Q$44*VLOOKUP('Benzin - diesel - hybrid'!Q$50+($B157-1),Fremskrivninger!$A$48:$H$77,8)/1000</f>
        <v>0</v>
      </c>
      <c r="R157" s="313">
        <f>IFERROR('Benzin - diesel - hybrid'!Q$45/'Benzin - diesel - hybrid'!Q$16,0)</f>
        <v>0</v>
      </c>
      <c r="S157" s="291">
        <f>T157*'Benzin - diesel - hybrid'!S$44*VLOOKUP('Benzin - diesel - hybrid'!S$50+($B157-1),Fremskrivninger!$A$48:$H$77,8)/1000</f>
        <v>0</v>
      </c>
      <c r="T157" s="313">
        <f>IFERROR('Benzin - diesel - hybrid'!S$45/'Benzin - diesel - hybrid'!S$16,0)</f>
        <v>0</v>
      </c>
      <c r="U157" s="291">
        <f>V157*'Benzin - diesel - hybrid'!U$44*VLOOKUP('Benzin - diesel - hybrid'!U$50+($B157-1),Fremskrivninger!$A$48:$H$77,8)/1000</f>
        <v>0</v>
      </c>
      <c r="V157" s="313">
        <f>IFERROR('Benzin - diesel - hybrid'!U$45/'Benzin - diesel - hybrid'!U$16,0)</f>
        <v>0</v>
      </c>
      <c r="W157" s="291">
        <f>X157*'Benzin - diesel - hybrid'!W$44*VLOOKUP('Benzin - diesel - hybrid'!W$50+($B157-1),Fremskrivninger!$A$48:$H$77,8)/1000</f>
        <v>0</v>
      </c>
      <c r="X157" s="313">
        <f>IFERROR('Benzin - diesel - hybrid'!W$45/'Benzin - diesel - hybrid'!W$16,0)</f>
        <v>0</v>
      </c>
    </row>
    <row r="158" spans="1:24">
      <c r="A158" s="312"/>
      <c r="B158" s="285">
        <v>17</v>
      </c>
      <c r="C158" s="285">
        <f t="shared" si="9"/>
        <v>17</v>
      </c>
      <c r="D158" s="285"/>
      <c r="E158" s="291">
        <f>F158*'Benzin - diesel - hybrid'!E$44*VLOOKUP('Benzin - diesel - hybrid'!E$50+($B158-1),Fremskrivninger!$A$48:$H$77,8)/1000</f>
        <v>0</v>
      </c>
      <c r="F158" s="313">
        <f>IFERROR('Benzin - diesel - hybrid'!E$45/'Benzin - diesel - hybrid'!E$16,0)</f>
        <v>0</v>
      </c>
      <c r="G158" s="291">
        <f>H158*'Benzin - diesel - hybrid'!G$44*VLOOKUP('Benzin - diesel - hybrid'!G$50+($B158-1),Fremskrivninger!$A$48:$H$77,8)/1000</f>
        <v>0</v>
      </c>
      <c r="H158" s="313">
        <f>IFERROR('Benzin - diesel - hybrid'!G$45/'Benzin - diesel - hybrid'!G$16,0)</f>
        <v>0</v>
      </c>
      <c r="I158" s="291">
        <f>J158*'Benzin - diesel - hybrid'!I$44*VLOOKUP('Benzin - diesel - hybrid'!I$50+($B158-1),Fremskrivninger!$A$48:$H$77,8)/1000</f>
        <v>0</v>
      </c>
      <c r="J158" s="313">
        <f>IFERROR('Benzin - diesel - hybrid'!I$45/'Benzin - diesel - hybrid'!I$16,0)</f>
        <v>0</v>
      </c>
      <c r="K158" s="291">
        <f>L158*'Benzin - diesel - hybrid'!K$44*VLOOKUP('Benzin - diesel - hybrid'!K$50+($B158-1),Fremskrivninger!$A$48:$H$77,8)/1000</f>
        <v>0</v>
      </c>
      <c r="L158" s="313">
        <f>IFERROR('Benzin - diesel - hybrid'!K$45/'Benzin - diesel - hybrid'!K$16,0)</f>
        <v>0</v>
      </c>
      <c r="M158" s="291">
        <f>N158*'Benzin - diesel - hybrid'!M$44*VLOOKUP('Benzin - diesel - hybrid'!M$50+($B158-1),Fremskrivninger!$A$48:$H$77,8)/1000</f>
        <v>0</v>
      </c>
      <c r="N158" s="313">
        <f>IFERROR('Benzin - diesel - hybrid'!M$45/'Benzin - diesel - hybrid'!M$16,0)</f>
        <v>0</v>
      </c>
      <c r="O158" s="291">
        <f>P158*'Benzin - diesel - hybrid'!O$44*VLOOKUP('Benzin - diesel - hybrid'!O$50+($B158-1),Fremskrivninger!$A$48:$H$77,8)/1000</f>
        <v>0</v>
      </c>
      <c r="P158" s="313">
        <f>IFERROR('Benzin - diesel - hybrid'!O$45/'Benzin - diesel - hybrid'!O$16,0)</f>
        <v>0</v>
      </c>
      <c r="Q158" s="291">
        <f>R158*'Benzin - diesel - hybrid'!Q$44*VLOOKUP('Benzin - diesel - hybrid'!Q$50+($B158-1),Fremskrivninger!$A$48:$H$77,8)/1000</f>
        <v>0</v>
      </c>
      <c r="R158" s="313">
        <f>IFERROR('Benzin - diesel - hybrid'!Q$45/'Benzin - diesel - hybrid'!Q$16,0)</f>
        <v>0</v>
      </c>
      <c r="S158" s="291">
        <f>T158*'Benzin - diesel - hybrid'!S$44*VLOOKUP('Benzin - diesel - hybrid'!S$50+($B158-1),Fremskrivninger!$A$48:$H$77,8)/1000</f>
        <v>0</v>
      </c>
      <c r="T158" s="313">
        <f>IFERROR('Benzin - diesel - hybrid'!S$45/'Benzin - diesel - hybrid'!S$16,0)</f>
        <v>0</v>
      </c>
      <c r="U158" s="291">
        <f>V158*'Benzin - diesel - hybrid'!U$44*VLOOKUP('Benzin - diesel - hybrid'!U$50+($B158-1),Fremskrivninger!$A$48:$H$77,8)/1000</f>
        <v>0</v>
      </c>
      <c r="V158" s="313">
        <f>IFERROR('Benzin - diesel - hybrid'!U$45/'Benzin - diesel - hybrid'!U$16,0)</f>
        <v>0</v>
      </c>
      <c r="W158" s="291">
        <f>X158*'Benzin - diesel - hybrid'!W$44*VLOOKUP('Benzin - diesel - hybrid'!W$50+($B158-1),Fremskrivninger!$A$48:$H$77,8)/1000</f>
        <v>0</v>
      </c>
      <c r="X158" s="313">
        <f>IFERROR('Benzin - diesel - hybrid'!W$45/'Benzin - diesel - hybrid'!W$16,0)</f>
        <v>0</v>
      </c>
    </row>
    <row r="159" spans="1:24">
      <c r="A159" s="312"/>
      <c r="B159" s="285">
        <v>18</v>
      </c>
      <c r="C159" s="285">
        <f t="shared" si="9"/>
        <v>18</v>
      </c>
      <c r="D159" s="285"/>
      <c r="E159" s="291">
        <f>F159*'Benzin - diesel - hybrid'!E$44*VLOOKUP('Benzin - diesel - hybrid'!E$50+($B159-1),Fremskrivninger!$A$48:$H$77,8)/1000</f>
        <v>0</v>
      </c>
      <c r="F159" s="313">
        <f>IFERROR('Benzin - diesel - hybrid'!E$45/'Benzin - diesel - hybrid'!E$16,0)</f>
        <v>0</v>
      </c>
      <c r="G159" s="291">
        <f>H159*'Benzin - diesel - hybrid'!G$44*VLOOKUP('Benzin - diesel - hybrid'!G$50+($B159-1),Fremskrivninger!$A$48:$H$77,8)/1000</f>
        <v>0</v>
      </c>
      <c r="H159" s="313">
        <f>IFERROR('Benzin - diesel - hybrid'!G$45/'Benzin - diesel - hybrid'!G$16,0)</f>
        <v>0</v>
      </c>
      <c r="I159" s="291">
        <f>J159*'Benzin - diesel - hybrid'!I$44*VLOOKUP('Benzin - diesel - hybrid'!I$50+($B159-1),Fremskrivninger!$A$48:$H$77,8)/1000</f>
        <v>0</v>
      </c>
      <c r="J159" s="313">
        <f>IFERROR('Benzin - diesel - hybrid'!I$45/'Benzin - diesel - hybrid'!I$16,0)</f>
        <v>0</v>
      </c>
      <c r="K159" s="291">
        <f>L159*'Benzin - diesel - hybrid'!K$44*VLOOKUP('Benzin - diesel - hybrid'!K$50+($B159-1),Fremskrivninger!$A$48:$H$77,8)/1000</f>
        <v>0</v>
      </c>
      <c r="L159" s="313">
        <f>IFERROR('Benzin - diesel - hybrid'!K$45/'Benzin - diesel - hybrid'!K$16,0)</f>
        <v>0</v>
      </c>
      <c r="M159" s="291">
        <f>N159*'Benzin - diesel - hybrid'!M$44*VLOOKUP('Benzin - diesel - hybrid'!M$50+($B159-1),Fremskrivninger!$A$48:$H$77,8)/1000</f>
        <v>0</v>
      </c>
      <c r="N159" s="313">
        <f>IFERROR('Benzin - diesel - hybrid'!M$45/'Benzin - diesel - hybrid'!M$16,0)</f>
        <v>0</v>
      </c>
      <c r="O159" s="291">
        <f>P159*'Benzin - diesel - hybrid'!O$44*VLOOKUP('Benzin - diesel - hybrid'!O$50+($B159-1),Fremskrivninger!$A$48:$H$77,8)/1000</f>
        <v>0</v>
      </c>
      <c r="P159" s="313">
        <f>IFERROR('Benzin - diesel - hybrid'!O$45/'Benzin - diesel - hybrid'!O$16,0)</f>
        <v>0</v>
      </c>
      <c r="Q159" s="291">
        <f>R159*'Benzin - diesel - hybrid'!Q$44*VLOOKUP('Benzin - diesel - hybrid'!Q$50+($B159-1),Fremskrivninger!$A$48:$H$77,8)/1000</f>
        <v>0</v>
      </c>
      <c r="R159" s="313">
        <f>IFERROR('Benzin - diesel - hybrid'!Q$45/'Benzin - diesel - hybrid'!Q$16,0)</f>
        <v>0</v>
      </c>
      <c r="S159" s="291">
        <f>T159*'Benzin - diesel - hybrid'!S$44*VLOOKUP('Benzin - diesel - hybrid'!S$50+($B159-1),Fremskrivninger!$A$48:$H$77,8)/1000</f>
        <v>0</v>
      </c>
      <c r="T159" s="313">
        <f>IFERROR('Benzin - diesel - hybrid'!S$45/'Benzin - diesel - hybrid'!S$16,0)</f>
        <v>0</v>
      </c>
      <c r="U159" s="291">
        <f>V159*'Benzin - diesel - hybrid'!U$44*VLOOKUP('Benzin - diesel - hybrid'!U$50+($B159-1),Fremskrivninger!$A$48:$H$77,8)/1000</f>
        <v>0</v>
      </c>
      <c r="V159" s="313">
        <f>IFERROR('Benzin - diesel - hybrid'!U$45/'Benzin - diesel - hybrid'!U$16,0)</f>
        <v>0</v>
      </c>
      <c r="W159" s="291">
        <f>X159*'Benzin - diesel - hybrid'!W$44*VLOOKUP('Benzin - diesel - hybrid'!W$50+($B159-1),Fremskrivninger!$A$48:$H$77,8)/1000</f>
        <v>0</v>
      </c>
      <c r="X159" s="313">
        <f>IFERROR('Benzin - diesel - hybrid'!W$45/'Benzin - diesel - hybrid'!W$16,0)</f>
        <v>0</v>
      </c>
    </row>
    <row r="160" spans="1:24">
      <c r="A160" s="312"/>
      <c r="B160" s="285">
        <v>19</v>
      </c>
      <c r="C160" s="285">
        <f t="shared" si="9"/>
        <v>19</v>
      </c>
      <c r="D160" s="285"/>
      <c r="E160" s="291">
        <f>F160*'Benzin - diesel - hybrid'!E$44*VLOOKUP('Benzin - diesel - hybrid'!E$50+($B160-1),Fremskrivninger!$A$48:$H$77,8)/1000</f>
        <v>0</v>
      </c>
      <c r="F160" s="313">
        <f>IFERROR('Benzin - diesel - hybrid'!E$45/'Benzin - diesel - hybrid'!E$16,0)</f>
        <v>0</v>
      </c>
      <c r="G160" s="291">
        <f>H160*'Benzin - diesel - hybrid'!G$44*VLOOKUP('Benzin - diesel - hybrid'!G$50+($B160-1),Fremskrivninger!$A$48:$H$77,8)/1000</f>
        <v>0</v>
      </c>
      <c r="H160" s="313">
        <f>IFERROR('Benzin - diesel - hybrid'!G$45/'Benzin - diesel - hybrid'!G$16,0)</f>
        <v>0</v>
      </c>
      <c r="I160" s="291">
        <f>J160*'Benzin - diesel - hybrid'!I$44*VLOOKUP('Benzin - diesel - hybrid'!I$50+($B160-1),Fremskrivninger!$A$48:$H$77,8)/1000</f>
        <v>0</v>
      </c>
      <c r="J160" s="313">
        <f>IFERROR('Benzin - diesel - hybrid'!I$45/'Benzin - diesel - hybrid'!I$16,0)</f>
        <v>0</v>
      </c>
      <c r="K160" s="291">
        <f>L160*'Benzin - diesel - hybrid'!K$44*VLOOKUP('Benzin - diesel - hybrid'!K$50+($B160-1),Fremskrivninger!$A$48:$H$77,8)/1000</f>
        <v>0</v>
      </c>
      <c r="L160" s="313">
        <f>IFERROR('Benzin - diesel - hybrid'!K$45/'Benzin - diesel - hybrid'!K$16,0)</f>
        <v>0</v>
      </c>
      <c r="M160" s="291">
        <f>N160*'Benzin - diesel - hybrid'!M$44*VLOOKUP('Benzin - diesel - hybrid'!M$50+($B160-1),Fremskrivninger!$A$48:$H$77,8)/1000</f>
        <v>0</v>
      </c>
      <c r="N160" s="313">
        <f>IFERROR('Benzin - diesel - hybrid'!M$45/'Benzin - diesel - hybrid'!M$16,0)</f>
        <v>0</v>
      </c>
      <c r="O160" s="291">
        <f>P160*'Benzin - diesel - hybrid'!O$44*VLOOKUP('Benzin - diesel - hybrid'!O$50+($B160-1),Fremskrivninger!$A$48:$H$77,8)/1000</f>
        <v>0</v>
      </c>
      <c r="P160" s="313">
        <f>IFERROR('Benzin - diesel - hybrid'!O$45/'Benzin - diesel - hybrid'!O$16,0)</f>
        <v>0</v>
      </c>
      <c r="Q160" s="291">
        <f>R160*'Benzin - diesel - hybrid'!Q$44*VLOOKUP('Benzin - diesel - hybrid'!Q$50+($B160-1),Fremskrivninger!$A$48:$H$77,8)/1000</f>
        <v>0</v>
      </c>
      <c r="R160" s="313">
        <f>IFERROR('Benzin - diesel - hybrid'!Q$45/'Benzin - diesel - hybrid'!Q$16,0)</f>
        <v>0</v>
      </c>
      <c r="S160" s="291">
        <f>T160*'Benzin - diesel - hybrid'!S$44*VLOOKUP('Benzin - diesel - hybrid'!S$50+($B160-1),Fremskrivninger!$A$48:$H$77,8)/1000</f>
        <v>0</v>
      </c>
      <c r="T160" s="313">
        <f>IFERROR('Benzin - diesel - hybrid'!S$45/'Benzin - diesel - hybrid'!S$16,0)</f>
        <v>0</v>
      </c>
      <c r="U160" s="291">
        <f>V160*'Benzin - diesel - hybrid'!U$44*VLOOKUP('Benzin - diesel - hybrid'!U$50+($B160-1),Fremskrivninger!$A$48:$H$77,8)/1000</f>
        <v>0</v>
      </c>
      <c r="V160" s="313">
        <f>IFERROR('Benzin - diesel - hybrid'!U$45/'Benzin - diesel - hybrid'!U$16,0)</f>
        <v>0</v>
      </c>
      <c r="W160" s="291">
        <f>X160*'Benzin - diesel - hybrid'!W$44*VLOOKUP('Benzin - diesel - hybrid'!W$50+($B160-1),Fremskrivninger!$A$48:$H$77,8)/1000</f>
        <v>0</v>
      </c>
      <c r="X160" s="313">
        <f>IFERROR('Benzin - diesel - hybrid'!W$45/'Benzin - diesel - hybrid'!W$16,0)</f>
        <v>0</v>
      </c>
    </row>
    <row r="161" spans="1:24">
      <c r="A161" s="315"/>
      <c r="B161" s="290">
        <v>20</v>
      </c>
      <c r="C161" s="290">
        <f t="shared" si="9"/>
        <v>20</v>
      </c>
      <c r="D161" s="290"/>
      <c r="E161" s="291">
        <f>F161*'Benzin - diesel - hybrid'!E$44*VLOOKUP('Benzin - diesel - hybrid'!E$50+($B161-1),Fremskrivninger!$A$48:$H$77,8)/1000</f>
        <v>0</v>
      </c>
      <c r="F161" s="313">
        <f>IFERROR('Benzin - diesel - hybrid'!E$45/'Benzin - diesel - hybrid'!E$16,0)</f>
        <v>0</v>
      </c>
      <c r="G161" s="291">
        <f>H161*'Benzin - diesel - hybrid'!G$44*VLOOKUP('Benzin - diesel - hybrid'!G$50+($B161-1),Fremskrivninger!$A$48:$H$77,8)/1000</f>
        <v>0</v>
      </c>
      <c r="H161" s="313">
        <f>IFERROR('Benzin - diesel - hybrid'!G$45/'Benzin - diesel - hybrid'!G$16,0)</f>
        <v>0</v>
      </c>
      <c r="I161" s="291">
        <f>J161*'Benzin - diesel - hybrid'!I$44*VLOOKUP('Benzin - diesel - hybrid'!I$50+($B161-1),Fremskrivninger!$A$48:$H$77,8)/1000</f>
        <v>0</v>
      </c>
      <c r="J161" s="313">
        <f>IFERROR('Benzin - diesel - hybrid'!I$45/'Benzin - diesel - hybrid'!I$16,0)</f>
        <v>0</v>
      </c>
      <c r="K161" s="291">
        <f>L161*'Benzin - diesel - hybrid'!K$44*VLOOKUP('Benzin - diesel - hybrid'!K$50+($B161-1),Fremskrivninger!$A$48:$H$77,8)/1000</f>
        <v>0</v>
      </c>
      <c r="L161" s="313">
        <f>IFERROR('Benzin - diesel - hybrid'!K$45/'Benzin - diesel - hybrid'!K$16,0)</f>
        <v>0</v>
      </c>
      <c r="M161" s="291">
        <f>N161*'Benzin - diesel - hybrid'!M$44*VLOOKUP('Benzin - diesel - hybrid'!M$50+($B161-1),Fremskrivninger!$A$48:$H$77,8)/1000</f>
        <v>0</v>
      </c>
      <c r="N161" s="313">
        <f>IFERROR('Benzin - diesel - hybrid'!M$45/'Benzin - diesel - hybrid'!M$16,0)</f>
        <v>0</v>
      </c>
      <c r="O161" s="291">
        <f>P161*'Benzin - diesel - hybrid'!O$44*VLOOKUP('Benzin - diesel - hybrid'!O$50+($B161-1),Fremskrivninger!$A$48:$H$77,8)/1000</f>
        <v>0</v>
      </c>
      <c r="P161" s="313">
        <f>IFERROR('Benzin - diesel - hybrid'!O$45/'Benzin - diesel - hybrid'!O$16,0)</f>
        <v>0</v>
      </c>
      <c r="Q161" s="291">
        <f>R161*'Benzin - diesel - hybrid'!Q$44*VLOOKUP('Benzin - diesel - hybrid'!Q$50+($B161-1),Fremskrivninger!$A$48:$H$77,8)/1000</f>
        <v>0</v>
      </c>
      <c r="R161" s="313">
        <f>IFERROR('Benzin - diesel - hybrid'!Q$45/'Benzin - diesel - hybrid'!Q$16,0)</f>
        <v>0</v>
      </c>
      <c r="S161" s="291">
        <f>T161*'Benzin - diesel - hybrid'!S$44*VLOOKUP('Benzin - diesel - hybrid'!S$50+($B161-1),Fremskrivninger!$A$48:$H$77,8)/1000</f>
        <v>0</v>
      </c>
      <c r="T161" s="313">
        <f>IFERROR('Benzin - diesel - hybrid'!S$45/'Benzin - diesel - hybrid'!S$16,0)</f>
        <v>0</v>
      </c>
      <c r="U161" s="291">
        <f>V161*'Benzin - diesel - hybrid'!U$44*VLOOKUP('Benzin - diesel - hybrid'!U$50+($B161-1),Fremskrivninger!$A$48:$H$77,8)/1000</f>
        <v>0</v>
      </c>
      <c r="V161" s="313">
        <f>IFERROR('Benzin - diesel - hybrid'!U$45/'Benzin - diesel - hybrid'!U$16,0)</f>
        <v>0</v>
      </c>
      <c r="W161" s="291">
        <f>X161*'Benzin - diesel - hybrid'!W$44*VLOOKUP('Benzin - diesel - hybrid'!W$50+($B161-1),Fremskrivninger!$A$48:$H$77,8)/1000</f>
        <v>0</v>
      </c>
      <c r="X161" s="313">
        <f>IFERROR('Benzin - diesel - hybrid'!W$45/'Benzin - diesel - hybrid'!W$16,0)</f>
        <v>0</v>
      </c>
    </row>
    <row r="163" spans="1:24">
      <c r="A163" s="289" t="s">
        <v>178</v>
      </c>
      <c r="B163" s="309"/>
      <c r="C163" s="309"/>
      <c r="D163" s="309"/>
      <c r="E163" s="309"/>
      <c r="F163" s="309"/>
      <c r="G163" s="309"/>
      <c r="H163" s="309"/>
      <c r="I163" s="309"/>
      <c r="J163" s="309"/>
      <c r="K163" s="309"/>
      <c r="L163" s="309"/>
      <c r="M163" s="309"/>
      <c r="N163" s="309"/>
      <c r="O163" s="309"/>
      <c r="P163" s="309"/>
      <c r="Q163" s="309"/>
      <c r="R163" s="309"/>
      <c r="S163" s="309"/>
      <c r="T163" s="314"/>
      <c r="U163" s="309"/>
      <c r="V163" s="314"/>
      <c r="W163" s="309"/>
      <c r="X163" s="314"/>
    </row>
    <row r="164" spans="1:24" ht="54.45">
      <c r="A164" s="282"/>
      <c r="B164" s="283" t="s">
        <v>20</v>
      </c>
      <c r="C164" s="309"/>
      <c r="D164" s="309" t="s">
        <v>21</v>
      </c>
      <c r="E164" s="284" t="str">
        <f>E141</f>
        <v>PRODUKT 1</v>
      </c>
      <c r="F164" s="310" t="str">
        <f>E164&amp;" - Årligt dieselforbrug (liter/år/produkt)"</f>
        <v>PRODUKT 1 - Årligt dieselforbrug (liter/år/produkt)</v>
      </c>
      <c r="G164" s="284" t="str">
        <f>G141</f>
        <v>PRODUKT 2</v>
      </c>
      <c r="H164" s="310" t="str">
        <f>G164&amp;" - Årligt dieselforbrug (liter/år/produkt)"</f>
        <v>PRODUKT 2 - Årligt dieselforbrug (liter/år/produkt)</v>
      </c>
      <c r="I164" s="284" t="str">
        <f>I141</f>
        <v>PRODUKT 3</v>
      </c>
      <c r="J164" s="310" t="str">
        <f>I164&amp;" - Årligt dieselforbrug (liter/år/produkt)"</f>
        <v>PRODUKT 3 - Årligt dieselforbrug (liter/år/produkt)</v>
      </c>
      <c r="K164" s="284" t="str">
        <f>K141</f>
        <v>PRODUKT 4</v>
      </c>
      <c r="L164" s="310" t="str">
        <f>K164&amp;" - Årligt dieselforbrug (liter/år/produkt)"</f>
        <v>PRODUKT 4 - Årligt dieselforbrug (liter/år/produkt)</v>
      </c>
      <c r="M164" s="284" t="str">
        <f>M141</f>
        <v>PRODUKT 5</v>
      </c>
      <c r="N164" s="310" t="str">
        <f>M164&amp;" - Årligt dieselforbrug (liter/år/produkt)"</f>
        <v>PRODUKT 5 - Årligt dieselforbrug (liter/år/produkt)</v>
      </c>
      <c r="O164" s="284" t="str">
        <f>O141</f>
        <v>PRODUKT 6</v>
      </c>
      <c r="P164" s="310" t="str">
        <f>O164&amp;" - Årligt dieselforbrug (liter/år/produkt)"</f>
        <v>PRODUKT 6 - Årligt dieselforbrug (liter/år/produkt)</v>
      </c>
      <c r="Q164" s="284" t="str">
        <f>Q141</f>
        <v>PRODUKT 7</v>
      </c>
      <c r="R164" s="310" t="str">
        <f>Q164&amp;" - Årligt dieselforbrug (liter/år/produkt)"</f>
        <v>PRODUKT 7 - Årligt dieselforbrug (liter/år/produkt)</v>
      </c>
      <c r="S164" s="284" t="str">
        <f>S141</f>
        <v>PRODUKT 8</v>
      </c>
      <c r="T164" s="310" t="str">
        <f>S164&amp;" - Årligt dieselforbrug (liter/år/produkt)"</f>
        <v>PRODUKT 8 - Årligt dieselforbrug (liter/år/produkt)</v>
      </c>
      <c r="U164" s="284" t="str">
        <f>U141</f>
        <v>PRODUKT 9</v>
      </c>
      <c r="V164" s="310" t="str">
        <f>U164&amp;" - Årligt dieselforbrug (liter/år/produkt)"</f>
        <v>PRODUKT 9 - Årligt dieselforbrug (liter/år/produkt)</v>
      </c>
      <c r="W164" s="284" t="str">
        <f>W141</f>
        <v>PRODUKT 10</v>
      </c>
      <c r="X164" s="310" t="str">
        <f>W164&amp;" - Årligt dieselforbrug (liter/år/produkt)"</f>
        <v>PRODUKT 10 - Årligt dieselforbrug (liter/år/produkt)</v>
      </c>
    </row>
    <row r="165" spans="1:24">
      <c r="A165" s="312"/>
      <c r="B165" s="285">
        <v>1</v>
      </c>
      <c r="C165" s="285">
        <f>B165</f>
        <v>1</v>
      </c>
      <c r="D165" s="285"/>
      <c r="E165" s="291">
        <f>F142*'Benzin - diesel - hybrid'!E$44*VLOOKUP('Benzin - diesel - hybrid'!E$50+($B165-1),Fremskrivninger!$A$92:$H$121,8)/1000</f>
        <v>0</v>
      </c>
      <c r="F165" s="313">
        <f>IFERROR('Benzin - diesel - hybrid'!E$45/'Benzin - diesel - hybrid'!E$16,0)</f>
        <v>0</v>
      </c>
      <c r="G165" s="291">
        <f>H142*'Benzin - diesel - hybrid'!G$44*VLOOKUP('Benzin - diesel - hybrid'!G$50+($B165-1),Fremskrivninger!$A$92:$H$121,8)/1000</f>
        <v>0</v>
      </c>
      <c r="H165" s="313">
        <f>IFERROR('Benzin - diesel - hybrid'!G$45/'Benzin - diesel - hybrid'!G$16,0)</f>
        <v>0</v>
      </c>
      <c r="I165" s="291">
        <f>J142*'Benzin - diesel - hybrid'!I$44*VLOOKUP('Benzin - diesel - hybrid'!I$50+($B165-1),Fremskrivninger!$A$92:$H$121,8)/1000</f>
        <v>0</v>
      </c>
      <c r="J165" s="313">
        <f>IFERROR('Benzin - diesel - hybrid'!I$45/'Benzin - diesel - hybrid'!I$16,0)</f>
        <v>0</v>
      </c>
      <c r="K165" s="291">
        <f>L142*'Benzin - diesel - hybrid'!K$44*VLOOKUP('Benzin - diesel - hybrid'!K$50+($B165-1),Fremskrivninger!$A$92:$H$121,8)/1000</f>
        <v>0</v>
      </c>
      <c r="L165" s="313">
        <f>IFERROR('Benzin - diesel - hybrid'!K$45/'Benzin - diesel - hybrid'!K$16,0)</f>
        <v>0</v>
      </c>
      <c r="M165" s="291">
        <f>N142*'Benzin - diesel - hybrid'!M$44*VLOOKUP('Benzin - diesel - hybrid'!M$50+($B165-1),Fremskrivninger!$A$92:$H$121,8)/1000</f>
        <v>0</v>
      </c>
      <c r="N165" s="313">
        <f>IFERROR('Benzin - diesel - hybrid'!M$45/'Benzin - diesel - hybrid'!M$16,0)</f>
        <v>0</v>
      </c>
      <c r="O165" s="291">
        <f>P142*'Benzin - diesel - hybrid'!O$44*VLOOKUP('Benzin - diesel - hybrid'!O$50+($B165-1),Fremskrivninger!$A$92:$H$121,8)/1000</f>
        <v>0</v>
      </c>
      <c r="P165" s="313">
        <f>IFERROR('Benzin - diesel - hybrid'!O$45/'Benzin - diesel - hybrid'!O$16,0)</f>
        <v>0</v>
      </c>
      <c r="Q165" s="291">
        <f>R142*'Benzin - diesel - hybrid'!Q$44*VLOOKUP('Benzin - diesel - hybrid'!Q$50+($B165-1),Fremskrivninger!$A$92:$H$121,8)/1000</f>
        <v>0</v>
      </c>
      <c r="R165" s="313">
        <f>IFERROR('Benzin - diesel - hybrid'!Q$45/'Benzin - diesel - hybrid'!Q$16,0)</f>
        <v>0</v>
      </c>
      <c r="S165" s="291">
        <f>T142*'Benzin - diesel - hybrid'!S$44*VLOOKUP('Benzin - diesel - hybrid'!S$50+($B165-1),Fremskrivninger!$A$92:$H$121,8)/1000</f>
        <v>0</v>
      </c>
      <c r="T165" s="313">
        <f>IFERROR('Benzin - diesel - hybrid'!S$45/'Benzin - diesel - hybrid'!S$16,0)</f>
        <v>0</v>
      </c>
      <c r="U165" s="291">
        <f>V142*'Benzin - diesel - hybrid'!U$44*VLOOKUP('Benzin - diesel - hybrid'!U$50+($B165-1),Fremskrivninger!$A$92:$H$121,8)/1000</f>
        <v>0</v>
      </c>
      <c r="V165" s="313">
        <f>IFERROR('Benzin - diesel - hybrid'!U$45/'Benzin - diesel - hybrid'!U$16,0)</f>
        <v>0</v>
      </c>
      <c r="W165" s="291">
        <f>X142*'Benzin - diesel - hybrid'!W$44*VLOOKUP('Benzin - diesel - hybrid'!W$50+($B165-1),Fremskrivninger!$A$92:$H$121,8)/1000</f>
        <v>0</v>
      </c>
      <c r="X165" s="313">
        <f>IFERROR('Benzin - diesel - hybrid'!W$45/'Benzin - diesel - hybrid'!W$16,0)</f>
        <v>0</v>
      </c>
    </row>
    <row r="166" spans="1:24">
      <c r="A166" s="312"/>
      <c r="B166" s="285">
        <v>2</v>
      </c>
      <c r="C166" s="285">
        <f t="shared" ref="C166:C184" si="10">B166</f>
        <v>2</v>
      </c>
      <c r="D166" s="285"/>
      <c r="E166" s="291">
        <f>F143*'Benzin - diesel - hybrid'!E$44*VLOOKUP('Benzin - diesel - hybrid'!E$50+($B166-1),Fremskrivninger!$A$92:$H$121,8)/1000</f>
        <v>0</v>
      </c>
      <c r="F166" s="313">
        <f>IFERROR('Benzin - diesel - hybrid'!E$45/'Benzin - diesel - hybrid'!E$16,0)</f>
        <v>0</v>
      </c>
      <c r="G166" s="291">
        <f>H143*'Benzin - diesel - hybrid'!G$44*VLOOKUP('Benzin - diesel - hybrid'!G$50+($B166-1),Fremskrivninger!$A$92:$H$121,8)/1000</f>
        <v>0</v>
      </c>
      <c r="H166" s="313">
        <f>IFERROR('Benzin - diesel - hybrid'!G$45/'Benzin - diesel - hybrid'!G$16,0)</f>
        <v>0</v>
      </c>
      <c r="I166" s="291">
        <f>J143*'Benzin - diesel - hybrid'!I$44*VLOOKUP('Benzin - diesel - hybrid'!I$50+($B166-1),Fremskrivninger!$A$92:$H$121,8)/1000</f>
        <v>0</v>
      </c>
      <c r="J166" s="313">
        <f>IFERROR('Benzin - diesel - hybrid'!I$45/'Benzin - diesel - hybrid'!I$16,0)</f>
        <v>0</v>
      </c>
      <c r="K166" s="291">
        <f>L143*'Benzin - diesel - hybrid'!K$44*VLOOKUP('Benzin - diesel - hybrid'!K$50+($B166-1),Fremskrivninger!$A$92:$H$121,8)/1000</f>
        <v>0</v>
      </c>
      <c r="L166" s="313">
        <f>IFERROR('Benzin - diesel - hybrid'!K$45/'Benzin - diesel - hybrid'!K$16,0)</f>
        <v>0</v>
      </c>
      <c r="M166" s="291">
        <f>N143*'Benzin - diesel - hybrid'!M$44*VLOOKUP('Benzin - diesel - hybrid'!M$50+($B166-1),Fremskrivninger!$A$92:$H$121,8)/1000</f>
        <v>0</v>
      </c>
      <c r="N166" s="313">
        <f>IFERROR('Benzin - diesel - hybrid'!M$45/'Benzin - diesel - hybrid'!M$16,0)</f>
        <v>0</v>
      </c>
      <c r="O166" s="291">
        <f>P143*'Benzin - diesel - hybrid'!O$44*VLOOKUP('Benzin - diesel - hybrid'!O$50+($B166-1),Fremskrivninger!$A$92:$H$121,8)/1000</f>
        <v>0</v>
      </c>
      <c r="P166" s="313">
        <f>IFERROR('Benzin - diesel - hybrid'!O$45/'Benzin - diesel - hybrid'!O$16,0)</f>
        <v>0</v>
      </c>
      <c r="Q166" s="291">
        <f>R143*'Benzin - diesel - hybrid'!Q$44*VLOOKUP('Benzin - diesel - hybrid'!Q$50+($B166-1),Fremskrivninger!$A$92:$H$121,8)/1000</f>
        <v>0</v>
      </c>
      <c r="R166" s="313">
        <f>IFERROR('Benzin - diesel - hybrid'!Q$45/'Benzin - diesel - hybrid'!Q$16,0)</f>
        <v>0</v>
      </c>
      <c r="S166" s="291">
        <f>T143*'Benzin - diesel - hybrid'!S$44*VLOOKUP('Benzin - diesel - hybrid'!S$50+($B166-1),Fremskrivninger!$A$92:$H$121,8)/1000</f>
        <v>0</v>
      </c>
      <c r="T166" s="313">
        <f>IFERROR('Benzin - diesel - hybrid'!S$45/'Benzin - diesel - hybrid'!S$16,0)</f>
        <v>0</v>
      </c>
      <c r="U166" s="291">
        <f>V143*'Benzin - diesel - hybrid'!U$44*VLOOKUP('Benzin - diesel - hybrid'!U$50+($B166-1),Fremskrivninger!$A$92:$H$121,8)/1000</f>
        <v>0</v>
      </c>
      <c r="V166" s="313">
        <f>IFERROR('Benzin - diesel - hybrid'!U$45/'Benzin - diesel - hybrid'!U$16,0)</f>
        <v>0</v>
      </c>
      <c r="W166" s="291">
        <f>X143*'Benzin - diesel - hybrid'!W$44*VLOOKUP('Benzin - diesel - hybrid'!W$50+($B166-1),Fremskrivninger!$A$92:$H$121,8)/1000</f>
        <v>0</v>
      </c>
      <c r="X166" s="313">
        <f>IFERROR('Benzin - diesel - hybrid'!W$45/'Benzin - diesel - hybrid'!W$16,0)</f>
        <v>0</v>
      </c>
    </row>
    <row r="167" spans="1:24">
      <c r="A167" s="312"/>
      <c r="B167" s="285">
        <v>3</v>
      </c>
      <c r="C167" s="285">
        <f t="shared" si="10"/>
        <v>3</v>
      </c>
      <c r="D167" s="285"/>
      <c r="E167" s="291">
        <f>F144*'Benzin - diesel - hybrid'!E$44*VLOOKUP('Benzin - diesel - hybrid'!E$50+($B167-1),Fremskrivninger!$A$92:$H$121,8)/1000</f>
        <v>0</v>
      </c>
      <c r="F167" s="313">
        <f>IFERROR('Benzin - diesel - hybrid'!E$45/'Benzin - diesel - hybrid'!E$16,0)</f>
        <v>0</v>
      </c>
      <c r="G167" s="291">
        <f>H144*'Benzin - diesel - hybrid'!G$44*VLOOKUP('Benzin - diesel - hybrid'!G$50+($B167-1),Fremskrivninger!$A$92:$H$121,8)/1000</f>
        <v>0</v>
      </c>
      <c r="H167" s="313">
        <f>IFERROR('Benzin - diesel - hybrid'!G$45/'Benzin - diesel - hybrid'!G$16,0)</f>
        <v>0</v>
      </c>
      <c r="I167" s="291">
        <f>J144*'Benzin - diesel - hybrid'!I$44*VLOOKUP('Benzin - diesel - hybrid'!I$50+($B167-1),Fremskrivninger!$A$92:$H$121,8)/1000</f>
        <v>0</v>
      </c>
      <c r="J167" s="313">
        <f>IFERROR('Benzin - diesel - hybrid'!I$45/'Benzin - diesel - hybrid'!I$16,0)</f>
        <v>0</v>
      </c>
      <c r="K167" s="291">
        <f>L144*'Benzin - diesel - hybrid'!K$44*VLOOKUP('Benzin - diesel - hybrid'!K$50+($B167-1),Fremskrivninger!$A$92:$H$121,8)/1000</f>
        <v>0</v>
      </c>
      <c r="L167" s="313">
        <f>IFERROR('Benzin - diesel - hybrid'!K$45/'Benzin - diesel - hybrid'!K$16,0)</f>
        <v>0</v>
      </c>
      <c r="M167" s="291">
        <f>N144*'Benzin - diesel - hybrid'!M$44*VLOOKUP('Benzin - diesel - hybrid'!M$50+($B167-1),Fremskrivninger!$A$92:$H$121,8)/1000</f>
        <v>0</v>
      </c>
      <c r="N167" s="313">
        <f>IFERROR('Benzin - diesel - hybrid'!M$45/'Benzin - diesel - hybrid'!M$16,0)</f>
        <v>0</v>
      </c>
      <c r="O167" s="291">
        <f>P144*'Benzin - diesel - hybrid'!O$44*VLOOKUP('Benzin - diesel - hybrid'!O$50+($B167-1),Fremskrivninger!$A$92:$H$121,8)/1000</f>
        <v>0</v>
      </c>
      <c r="P167" s="313">
        <f>IFERROR('Benzin - diesel - hybrid'!O$45/'Benzin - diesel - hybrid'!O$16,0)</f>
        <v>0</v>
      </c>
      <c r="Q167" s="291">
        <f>R144*'Benzin - diesel - hybrid'!Q$44*VLOOKUP('Benzin - diesel - hybrid'!Q$50+($B167-1),Fremskrivninger!$A$92:$H$121,8)/1000</f>
        <v>0</v>
      </c>
      <c r="R167" s="313">
        <f>IFERROR('Benzin - diesel - hybrid'!Q$45/'Benzin - diesel - hybrid'!Q$16,0)</f>
        <v>0</v>
      </c>
      <c r="S167" s="291">
        <f>T144*'Benzin - diesel - hybrid'!S$44*VLOOKUP('Benzin - diesel - hybrid'!S$50+($B167-1),Fremskrivninger!$A$92:$H$121,8)/1000</f>
        <v>0</v>
      </c>
      <c r="T167" s="313">
        <f>IFERROR('Benzin - diesel - hybrid'!S$45/'Benzin - diesel - hybrid'!S$16,0)</f>
        <v>0</v>
      </c>
      <c r="U167" s="291">
        <f>V144*'Benzin - diesel - hybrid'!U$44*VLOOKUP('Benzin - diesel - hybrid'!U$50+($B167-1),Fremskrivninger!$A$92:$H$121,8)/1000</f>
        <v>0</v>
      </c>
      <c r="V167" s="313">
        <f>IFERROR('Benzin - diesel - hybrid'!U$45/'Benzin - diesel - hybrid'!U$16,0)</f>
        <v>0</v>
      </c>
      <c r="W167" s="291">
        <f>X144*'Benzin - diesel - hybrid'!W$44*VLOOKUP('Benzin - diesel - hybrid'!W$50+($B167-1),Fremskrivninger!$A$92:$H$121,8)/1000</f>
        <v>0</v>
      </c>
      <c r="X167" s="313">
        <f>IFERROR('Benzin - diesel - hybrid'!W$45/'Benzin - diesel - hybrid'!W$16,0)</f>
        <v>0</v>
      </c>
    </row>
    <row r="168" spans="1:24">
      <c r="A168" s="312"/>
      <c r="B168" s="285">
        <v>4</v>
      </c>
      <c r="C168" s="285">
        <f t="shared" si="10"/>
        <v>4</v>
      </c>
      <c r="D168" s="285"/>
      <c r="E168" s="291">
        <f>F145*'Benzin - diesel - hybrid'!E$44*VLOOKUP('Benzin - diesel - hybrid'!E$50+($B168-1),Fremskrivninger!$A$92:$H$121,8)/1000</f>
        <v>0</v>
      </c>
      <c r="F168" s="313">
        <f>IFERROR('Benzin - diesel - hybrid'!E$45/'Benzin - diesel - hybrid'!E$16,0)</f>
        <v>0</v>
      </c>
      <c r="G168" s="291">
        <f>H145*'Benzin - diesel - hybrid'!G$44*VLOOKUP('Benzin - diesel - hybrid'!G$50+($B168-1),Fremskrivninger!$A$92:$H$121,8)/1000</f>
        <v>0</v>
      </c>
      <c r="H168" s="313">
        <f>IFERROR('Benzin - diesel - hybrid'!G$45/'Benzin - diesel - hybrid'!G$16,0)</f>
        <v>0</v>
      </c>
      <c r="I168" s="291">
        <f>J145*'Benzin - diesel - hybrid'!I$44*VLOOKUP('Benzin - diesel - hybrid'!I$50+($B168-1),Fremskrivninger!$A$92:$H$121,8)/1000</f>
        <v>0</v>
      </c>
      <c r="J168" s="313">
        <f>IFERROR('Benzin - diesel - hybrid'!I$45/'Benzin - diesel - hybrid'!I$16,0)</f>
        <v>0</v>
      </c>
      <c r="K168" s="291">
        <f>L145*'Benzin - diesel - hybrid'!K$44*VLOOKUP('Benzin - diesel - hybrid'!K$50+($B168-1),Fremskrivninger!$A$92:$H$121,8)/1000</f>
        <v>0</v>
      </c>
      <c r="L168" s="313">
        <f>IFERROR('Benzin - diesel - hybrid'!K$45/'Benzin - diesel - hybrid'!K$16,0)</f>
        <v>0</v>
      </c>
      <c r="M168" s="291">
        <f>N145*'Benzin - diesel - hybrid'!M$44*VLOOKUP('Benzin - diesel - hybrid'!M$50+($B168-1),Fremskrivninger!$A$92:$H$121,8)/1000</f>
        <v>0</v>
      </c>
      <c r="N168" s="313">
        <f>IFERROR('Benzin - diesel - hybrid'!M$45/'Benzin - diesel - hybrid'!M$16,0)</f>
        <v>0</v>
      </c>
      <c r="O168" s="291">
        <f>P145*'Benzin - diesel - hybrid'!O$44*VLOOKUP('Benzin - diesel - hybrid'!O$50+($B168-1),Fremskrivninger!$A$92:$H$121,8)/1000</f>
        <v>0</v>
      </c>
      <c r="P168" s="313">
        <f>IFERROR('Benzin - diesel - hybrid'!O$45/'Benzin - diesel - hybrid'!O$16,0)</f>
        <v>0</v>
      </c>
      <c r="Q168" s="291">
        <f>R145*'Benzin - diesel - hybrid'!Q$44*VLOOKUP('Benzin - diesel - hybrid'!Q$50+($B168-1),Fremskrivninger!$A$92:$H$121,8)/1000</f>
        <v>0</v>
      </c>
      <c r="R168" s="313">
        <f>IFERROR('Benzin - diesel - hybrid'!Q$45/'Benzin - diesel - hybrid'!Q$16,0)</f>
        <v>0</v>
      </c>
      <c r="S168" s="291">
        <f>T145*'Benzin - diesel - hybrid'!S$44*VLOOKUP('Benzin - diesel - hybrid'!S$50+($B168-1),Fremskrivninger!$A$92:$H$121,8)/1000</f>
        <v>0</v>
      </c>
      <c r="T168" s="313">
        <f>IFERROR('Benzin - diesel - hybrid'!S$45/'Benzin - diesel - hybrid'!S$16,0)</f>
        <v>0</v>
      </c>
      <c r="U168" s="291">
        <f>V145*'Benzin - diesel - hybrid'!U$44*VLOOKUP('Benzin - diesel - hybrid'!U$50+($B168-1),Fremskrivninger!$A$92:$H$121,8)/1000</f>
        <v>0</v>
      </c>
      <c r="V168" s="313">
        <f>IFERROR('Benzin - diesel - hybrid'!U$45/'Benzin - diesel - hybrid'!U$16,0)</f>
        <v>0</v>
      </c>
      <c r="W168" s="291">
        <f>X145*'Benzin - diesel - hybrid'!W$44*VLOOKUP('Benzin - diesel - hybrid'!W$50+($B168-1),Fremskrivninger!$A$92:$H$121,8)/1000</f>
        <v>0</v>
      </c>
      <c r="X168" s="313">
        <f>IFERROR('Benzin - diesel - hybrid'!W$45/'Benzin - diesel - hybrid'!W$16,0)</f>
        <v>0</v>
      </c>
    </row>
    <row r="169" spans="1:24">
      <c r="A169" s="312"/>
      <c r="B169" s="285">
        <v>5</v>
      </c>
      <c r="C169" s="285">
        <f t="shared" si="10"/>
        <v>5</v>
      </c>
      <c r="D169" s="285"/>
      <c r="E169" s="291">
        <f>F146*'Benzin - diesel - hybrid'!E$44*VLOOKUP('Benzin - diesel - hybrid'!E$50+($B169-1),Fremskrivninger!$A$92:$H$121,8)/1000</f>
        <v>0</v>
      </c>
      <c r="F169" s="313">
        <f>IFERROR('Benzin - diesel - hybrid'!E$45/'Benzin - diesel - hybrid'!E$16,0)</f>
        <v>0</v>
      </c>
      <c r="G169" s="291">
        <f>H146*'Benzin - diesel - hybrid'!G$44*VLOOKUP('Benzin - diesel - hybrid'!G$50+($B169-1),Fremskrivninger!$A$92:$H$121,8)/1000</f>
        <v>0</v>
      </c>
      <c r="H169" s="313">
        <f>IFERROR('Benzin - diesel - hybrid'!G$45/'Benzin - diesel - hybrid'!G$16,0)</f>
        <v>0</v>
      </c>
      <c r="I169" s="291">
        <f>J146*'Benzin - diesel - hybrid'!I$44*VLOOKUP('Benzin - diesel - hybrid'!I$50+($B169-1),Fremskrivninger!$A$92:$H$121,8)/1000</f>
        <v>0</v>
      </c>
      <c r="J169" s="313">
        <f>IFERROR('Benzin - diesel - hybrid'!I$45/'Benzin - diesel - hybrid'!I$16,0)</f>
        <v>0</v>
      </c>
      <c r="K169" s="291">
        <f>L146*'Benzin - diesel - hybrid'!K$44*VLOOKUP('Benzin - diesel - hybrid'!K$50+($B169-1),Fremskrivninger!$A$92:$H$121,8)/1000</f>
        <v>0</v>
      </c>
      <c r="L169" s="313">
        <f>IFERROR('Benzin - diesel - hybrid'!K$45/'Benzin - diesel - hybrid'!K$16,0)</f>
        <v>0</v>
      </c>
      <c r="M169" s="291">
        <f>N146*'Benzin - diesel - hybrid'!M$44*VLOOKUP('Benzin - diesel - hybrid'!M$50+($B169-1),Fremskrivninger!$A$92:$H$121,8)/1000</f>
        <v>0</v>
      </c>
      <c r="N169" s="313">
        <f>IFERROR('Benzin - diesel - hybrid'!M$45/'Benzin - diesel - hybrid'!M$16,0)</f>
        <v>0</v>
      </c>
      <c r="O169" s="291">
        <f>P146*'Benzin - diesel - hybrid'!O$44*VLOOKUP('Benzin - diesel - hybrid'!O$50+($B169-1),Fremskrivninger!$A$92:$H$121,8)/1000</f>
        <v>0</v>
      </c>
      <c r="P169" s="313">
        <f>IFERROR('Benzin - diesel - hybrid'!O$45/'Benzin - diesel - hybrid'!O$16,0)</f>
        <v>0</v>
      </c>
      <c r="Q169" s="291">
        <f>R146*'Benzin - diesel - hybrid'!Q$44*VLOOKUP('Benzin - diesel - hybrid'!Q$50+($B169-1),Fremskrivninger!$A$92:$H$121,8)/1000</f>
        <v>0</v>
      </c>
      <c r="R169" s="313">
        <f>IFERROR('Benzin - diesel - hybrid'!Q$45/'Benzin - diesel - hybrid'!Q$16,0)</f>
        <v>0</v>
      </c>
      <c r="S169" s="291">
        <f>T146*'Benzin - diesel - hybrid'!S$44*VLOOKUP('Benzin - diesel - hybrid'!S$50+($B169-1),Fremskrivninger!$A$92:$H$121,8)/1000</f>
        <v>0</v>
      </c>
      <c r="T169" s="313">
        <f>IFERROR('Benzin - diesel - hybrid'!S$45/'Benzin - diesel - hybrid'!S$16,0)</f>
        <v>0</v>
      </c>
      <c r="U169" s="291">
        <f>V146*'Benzin - diesel - hybrid'!U$44*VLOOKUP('Benzin - diesel - hybrid'!U$50+($B169-1),Fremskrivninger!$A$92:$H$121,8)/1000</f>
        <v>0</v>
      </c>
      <c r="V169" s="313">
        <f>IFERROR('Benzin - diesel - hybrid'!U$45/'Benzin - diesel - hybrid'!U$16,0)</f>
        <v>0</v>
      </c>
      <c r="W169" s="291">
        <f>X146*'Benzin - diesel - hybrid'!W$44*VLOOKUP('Benzin - diesel - hybrid'!W$50+($B169-1),Fremskrivninger!$A$92:$H$121,8)/1000</f>
        <v>0</v>
      </c>
      <c r="X169" s="313">
        <f>IFERROR('Benzin - diesel - hybrid'!W$45/'Benzin - diesel - hybrid'!W$16,0)</f>
        <v>0</v>
      </c>
    </row>
    <row r="170" spans="1:24">
      <c r="A170" s="312"/>
      <c r="B170" s="285">
        <v>6</v>
      </c>
      <c r="C170" s="285">
        <f t="shared" si="10"/>
        <v>6</v>
      </c>
      <c r="D170" s="285"/>
      <c r="E170" s="291">
        <f>F147*'Benzin - diesel - hybrid'!E$44*VLOOKUP('Benzin - diesel - hybrid'!E$50+($B170-1),Fremskrivninger!$A$92:$H$121,8)/1000</f>
        <v>0</v>
      </c>
      <c r="F170" s="313">
        <f>IFERROR('Benzin - diesel - hybrid'!E$45/'Benzin - diesel - hybrid'!E$16,0)</f>
        <v>0</v>
      </c>
      <c r="G170" s="291">
        <f>H147*'Benzin - diesel - hybrid'!G$44*VLOOKUP('Benzin - diesel - hybrid'!G$50+($B170-1),Fremskrivninger!$A$92:$H$121,8)/1000</f>
        <v>0</v>
      </c>
      <c r="H170" s="313">
        <f>IFERROR('Benzin - diesel - hybrid'!G$45/'Benzin - diesel - hybrid'!G$16,0)</f>
        <v>0</v>
      </c>
      <c r="I170" s="291">
        <f>J147*'Benzin - diesel - hybrid'!I$44*VLOOKUP('Benzin - diesel - hybrid'!I$50+($B170-1),Fremskrivninger!$A$92:$H$121,8)/1000</f>
        <v>0</v>
      </c>
      <c r="J170" s="313">
        <f>IFERROR('Benzin - diesel - hybrid'!I$45/'Benzin - diesel - hybrid'!I$16,0)</f>
        <v>0</v>
      </c>
      <c r="K170" s="291">
        <f>L147*'Benzin - diesel - hybrid'!K$44*VLOOKUP('Benzin - diesel - hybrid'!K$50+($B170-1),Fremskrivninger!$A$92:$H$121,8)/1000</f>
        <v>0</v>
      </c>
      <c r="L170" s="313">
        <f>IFERROR('Benzin - diesel - hybrid'!K$45/'Benzin - diesel - hybrid'!K$16,0)</f>
        <v>0</v>
      </c>
      <c r="M170" s="291">
        <f>N147*'Benzin - diesel - hybrid'!M$44*VLOOKUP('Benzin - diesel - hybrid'!M$50+($B170-1),Fremskrivninger!$A$92:$H$121,8)/1000</f>
        <v>0</v>
      </c>
      <c r="N170" s="313">
        <f>IFERROR('Benzin - diesel - hybrid'!M$45/'Benzin - diesel - hybrid'!M$16,0)</f>
        <v>0</v>
      </c>
      <c r="O170" s="291">
        <f>P147*'Benzin - diesel - hybrid'!O$44*VLOOKUP('Benzin - diesel - hybrid'!O$50+($B170-1),Fremskrivninger!$A$92:$H$121,8)/1000</f>
        <v>0</v>
      </c>
      <c r="P170" s="313">
        <f>IFERROR('Benzin - diesel - hybrid'!O$45/'Benzin - diesel - hybrid'!O$16,0)</f>
        <v>0</v>
      </c>
      <c r="Q170" s="291">
        <f>R147*'Benzin - diesel - hybrid'!Q$44*VLOOKUP('Benzin - diesel - hybrid'!Q$50+($B170-1),Fremskrivninger!$A$92:$H$121,8)/1000</f>
        <v>0</v>
      </c>
      <c r="R170" s="313">
        <f>IFERROR('Benzin - diesel - hybrid'!Q$45/'Benzin - diesel - hybrid'!Q$16,0)</f>
        <v>0</v>
      </c>
      <c r="S170" s="291">
        <f>T147*'Benzin - diesel - hybrid'!S$44*VLOOKUP('Benzin - diesel - hybrid'!S$50+($B170-1),Fremskrivninger!$A$92:$H$121,8)/1000</f>
        <v>0</v>
      </c>
      <c r="T170" s="313">
        <f>IFERROR('Benzin - diesel - hybrid'!S$45/'Benzin - diesel - hybrid'!S$16,0)</f>
        <v>0</v>
      </c>
      <c r="U170" s="291">
        <f>V147*'Benzin - diesel - hybrid'!U$44*VLOOKUP('Benzin - diesel - hybrid'!U$50+($B170-1),Fremskrivninger!$A$92:$H$121,8)/1000</f>
        <v>0</v>
      </c>
      <c r="V170" s="313">
        <f>IFERROR('Benzin - diesel - hybrid'!U$45/'Benzin - diesel - hybrid'!U$16,0)</f>
        <v>0</v>
      </c>
      <c r="W170" s="291">
        <f>X147*'Benzin - diesel - hybrid'!W$44*VLOOKUP('Benzin - diesel - hybrid'!W$50+($B170-1),Fremskrivninger!$A$92:$H$121,8)/1000</f>
        <v>0</v>
      </c>
      <c r="X170" s="313">
        <f>IFERROR('Benzin - diesel - hybrid'!W$45/'Benzin - diesel - hybrid'!W$16,0)</f>
        <v>0</v>
      </c>
    </row>
    <row r="171" spans="1:24">
      <c r="A171" s="312"/>
      <c r="B171" s="285">
        <v>7</v>
      </c>
      <c r="C171" s="285">
        <f t="shared" si="10"/>
        <v>7</v>
      </c>
      <c r="D171" s="285"/>
      <c r="E171" s="291">
        <f>F148*'Benzin - diesel - hybrid'!E$44*VLOOKUP('Benzin - diesel - hybrid'!E$50+($B171-1),Fremskrivninger!$A$92:$H$121,8)/1000</f>
        <v>0</v>
      </c>
      <c r="F171" s="313">
        <f>IFERROR('Benzin - diesel - hybrid'!E$45/'Benzin - diesel - hybrid'!E$16,0)</f>
        <v>0</v>
      </c>
      <c r="G171" s="291">
        <f>H148*'Benzin - diesel - hybrid'!G$44*VLOOKUP('Benzin - diesel - hybrid'!G$50+($B171-1),Fremskrivninger!$A$92:$H$121,8)/1000</f>
        <v>0</v>
      </c>
      <c r="H171" s="313">
        <f>IFERROR('Benzin - diesel - hybrid'!G$45/'Benzin - diesel - hybrid'!G$16,0)</f>
        <v>0</v>
      </c>
      <c r="I171" s="291">
        <f>J148*'Benzin - diesel - hybrid'!I$44*VLOOKUP('Benzin - diesel - hybrid'!I$50+($B171-1),Fremskrivninger!$A$92:$H$121,8)/1000</f>
        <v>0</v>
      </c>
      <c r="J171" s="313">
        <f>IFERROR('Benzin - diesel - hybrid'!I$45/'Benzin - diesel - hybrid'!I$16,0)</f>
        <v>0</v>
      </c>
      <c r="K171" s="291">
        <f>L148*'Benzin - diesel - hybrid'!K$44*VLOOKUP('Benzin - diesel - hybrid'!K$50+($B171-1),Fremskrivninger!$A$92:$H$121,8)/1000</f>
        <v>0</v>
      </c>
      <c r="L171" s="313">
        <f>IFERROR('Benzin - diesel - hybrid'!K$45/'Benzin - diesel - hybrid'!K$16,0)</f>
        <v>0</v>
      </c>
      <c r="M171" s="291">
        <f>N148*'Benzin - diesel - hybrid'!M$44*VLOOKUP('Benzin - diesel - hybrid'!M$50+($B171-1),Fremskrivninger!$A$92:$H$121,8)/1000</f>
        <v>0</v>
      </c>
      <c r="N171" s="313">
        <f>IFERROR('Benzin - diesel - hybrid'!M$45/'Benzin - diesel - hybrid'!M$16,0)</f>
        <v>0</v>
      </c>
      <c r="O171" s="291">
        <f>P148*'Benzin - diesel - hybrid'!O$44*VLOOKUP('Benzin - diesel - hybrid'!O$50+($B171-1),Fremskrivninger!$A$92:$H$121,8)/1000</f>
        <v>0</v>
      </c>
      <c r="P171" s="313">
        <f>IFERROR('Benzin - diesel - hybrid'!O$45/'Benzin - diesel - hybrid'!O$16,0)</f>
        <v>0</v>
      </c>
      <c r="Q171" s="291">
        <f>R148*'Benzin - diesel - hybrid'!Q$44*VLOOKUP('Benzin - diesel - hybrid'!Q$50+($B171-1),Fremskrivninger!$A$92:$H$121,8)/1000</f>
        <v>0</v>
      </c>
      <c r="R171" s="313">
        <f>IFERROR('Benzin - diesel - hybrid'!Q$45/'Benzin - diesel - hybrid'!Q$16,0)</f>
        <v>0</v>
      </c>
      <c r="S171" s="291">
        <f>T148*'Benzin - diesel - hybrid'!S$44*VLOOKUP('Benzin - diesel - hybrid'!S$50+($B171-1),Fremskrivninger!$A$92:$H$121,8)/1000</f>
        <v>0</v>
      </c>
      <c r="T171" s="313">
        <f>IFERROR('Benzin - diesel - hybrid'!S$45/'Benzin - diesel - hybrid'!S$16,0)</f>
        <v>0</v>
      </c>
      <c r="U171" s="291">
        <f>V148*'Benzin - diesel - hybrid'!U$44*VLOOKUP('Benzin - diesel - hybrid'!U$50+($B171-1),Fremskrivninger!$A$92:$H$121,8)/1000</f>
        <v>0</v>
      </c>
      <c r="V171" s="313">
        <f>IFERROR('Benzin - diesel - hybrid'!U$45/'Benzin - diesel - hybrid'!U$16,0)</f>
        <v>0</v>
      </c>
      <c r="W171" s="291">
        <f>X148*'Benzin - diesel - hybrid'!W$44*VLOOKUP('Benzin - diesel - hybrid'!W$50+($B171-1),Fremskrivninger!$A$92:$H$121,8)/1000</f>
        <v>0</v>
      </c>
      <c r="X171" s="313">
        <f>IFERROR('Benzin - diesel - hybrid'!W$45/'Benzin - diesel - hybrid'!W$16,0)</f>
        <v>0</v>
      </c>
    </row>
    <row r="172" spans="1:24">
      <c r="A172" s="312"/>
      <c r="B172" s="285">
        <v>8</v>
      </c>
      <c r="C172" s="285">
        <f t="shared" si="10"/>
        <v>8</v>
      </c>
      <c r="D172" s="285"/>
      <c r="E172" s="291">
        <f>F149*'Benzin - diesel - hybrid'!E$44*VLOOKUP('Benzin - diesel - hybrid'!E$50+($B172-1),Fremskrivninger!$A$92:$H$121,8)/1000</f>
        <v>0</v>
      </c>
      <c r="F172" s="313">
        <f>IFERROR('Benzin - diesel - hybrid'!E$45/'Benzin - diesel - hybrid'!E$16,0)</f>
        <v>0</v>
      </c>
      <c r="G172" s="291">
        <f>H149*'Benzin - diesel - hybrid'!G$44*VLOOKUP('Benzin - diesel - hybrid'!G$50+($B172-1),Fremskrivninger!$A$92:$H$121,8)/1000</f>
        <v>0</v>
      </c>
      <c r="H172" s="313">
        <f>IFERROR('Benzin - diesel - hybrid'!G$45/'Benzin - diesel - hybrid'!G$16,0)</f>
        <v>0</v>
      </c>
      <c r="I172" s="291">
        <f>J149*'Benzin - diesel - hybrid'!I$44*VLOOKUP('Benzin - diesel - hybrid'!I$50+($B172-1),Fremskrivninger!$A$92:$H$121,8)/1000</f>
        <v>0</v>
      </c>
      <c r="J172" s="313">
        <f>IFERROR('Benzin - diesel - hybrid'!I$45/'Benzin - diesel - hybrid'!I$16,0)</f>
        <v>0</v>
      </c>
      <c r="K172" s="291">
        <f>L149*'Benzin - diesel - hybrid'!K$44*VLOOKUP('Benzin - diesel - hybrid'!K$50+($B172-1),Fremskrivninger!$A$92:$H$121,8)/1000</f>
        <v>0</v>
      </c>
      <c r="L172" s="313">
        <f>IFERROR('Benzin - diesel - hybrid'!K$45/'Benzin - diesel - hybrid'!K$16,0)</f>
        <v>0</v>
      </c>
      <c r="M172" s="291">
        <f>N149*'Benzin - diesel - hybrid'!M$44*VLOOKUP('Benzin - diesel - hybrid'!M$50+($B172-1),Fremskrivninger!$A$92:$H$121,8)/1000</f>
        <v>0</v>
      </c>
      <c r="N172" s="313">
        <f>IFERROR('Benzin - diesel - hybrid'!M$45/'Benzin - diesel - hybrid'!M$16,0)</f>
        <v>0</v>
      </c>
      <c r="O172" s="291">
        <f>P149*'Benzin - diesel - hybrid'!O$44*VLOOKUP('Benzin - diesel - hybrid'!O$50+($B172-1),Fremskrivninger!$A$92:$H$121,8)/1000</f>
        <v>0</v>
      </c>
      <c r="P172" s="313">
        <f>IFERROR('Benzin - diesel - hybrid'!O$45/'Benzin - diesel - hybrid'!O$16,0)</f>
        <v>0</v>
      </c>
      <c r="Q172" s="291">
        <f>R149*'Benzin - diesel - hybrid'!Q$44*VLOOKUP('Benzin - diesel - hybrid'!Q$50+($B172-1),Fremskrivninger!$A$92:$H$121,8)/1000</f>
        <v>0</v>
      </c>
      <c r="R172" s="313">
        <f>IFERROR('Benzin - diesel - hybrid'!Q$45/'Benzin - diesel - hybrid'!Q$16,0)</f>
        <v>0</v>
      </c>
      <c r="S172" s="291">
        <f>T149*'Benzin - diesel - hybrid'!S$44*VLOOKUP('Benzin - diesel - hybrid'!S$50+($B172-1),Fremskrivninger!$A$92:$H$121,8)/1000</f>
        <v>0</v>
      </c>
      <c r="T172" s="313">
        <f>IFERROR('Benzin - diesel - hybrid'!S$45/'Benzin - diesel - hybrid'!S$16,0)</f>
        <v>0</v>
      </c>
      <c r="U172" s="291">
        <f>V149*'Benzin - diesel - hybrid'!U$44*VLOOKUP('Benzin - diesel - hybrid'!U$50+($B172-1),Fremskrivninger!$A$92:$H$121,8)/1000</f>
        <v>0</v>
      </c>
      <c r="V172" s="313">
        <f>IFERROR('Benzin - diesel - hybrid'!U$45/'Benzin - diesel - hybrid'!U$16,0)</f>
        <v>0</v>
      </c>
      <c r="W172" s="291">
        <f>X149*'Benzin - diesel - hybrid'!W$44*VLOOKUP('Benzin - diesel - hybrid'!W$50+($B172-1),Fremskrivninger!$A$92:$H$121,8)/1000</f>
        <v>0</v>
      </c>
      <c r="X172" s="313">
        <f>IFERROR('Benzin - diesel - hybrid'!W$45/'Benzin - diesel - hybrid'!W$16,0)</f>
        <v>0</v>
      </c>
    </row>
    <row r="173" spans="1:24">
      <c r="A173" s="312"/>
      <c r="B173" s="285">
        <v>9</v>
      </c>
      <c r="C173" s="285">
        <f t="shared" si="10"/>
        <v>9</v>
      </c>
      <c r="D173" s="285"/>
      <c r="E173" s="291">
        <f>F150*'Benzin - diesel - hybrid'!E$44*VLOOKUP('Benzin - diesel - hybrid'!E$50+($B173-1),Fremskrivninger!$A$92:$H$121,8)/1000</f>
        <v>0</v>
      </c>
      <c r="F173" s="313">
        <f>IFERROR('Benzin - diesel - hybrid'!E$45/'Benzin - diesel - hybrid'!E$16,0)</f>
        <v>0</v>
      </c>
      <c r="G173" s="291">
        <f>H150*'Benzin - diesel - hybrid'!G$44*VLOOKUP('Benzin - diesel - hybrid'!G$50+($B173-1),Fremskrivninger!$A$92:$H$121,8)/1000</f>
        <v>0</v>
      </c>
      <c r="H173" s="313">
        <f>IFERROR('Benzin - diesel - hybrid'!G$45/'Benzin - diesel - hybrid'!G$16,0)</f>
        <v>0</v>
      </c>
      <c r="I173" s="291">
        <f>J150*'Benzin - diesel - hybrid'!I$44*VLOOKUP('Benzin - diesel - hybrid'!I$50+($B173-1),Fremskrivninger!$A$92:$H$121,8)/1000</f>
        <v>0</v>
      </c>
      <c r="J173" s="313">
        <f>IFERROR('Benzin - diesel - hybrid'!I$45/'Benzin - diesel - hybrid'!I$16,0)</f>
        <v>0</v>
      </c>
      <c r="K173" s="291">
        <f>L150*'Benzin - diesel - hybrid'!K$44*VLOOKUP('Benzin - diesel - hybrid'!K$50+($B173-1),Fremskrivninger!$A$92:$H$121,8)/1000</f>
        <v>0</v>
      </c>
      <c r="L173" s="313">
        <f>IFERROR('Benzin - diesel - hybrid'!K$45/'Benzin - diesel - hybrid'!K$16,0)</f>
        <v>0</v>
      </c>
      <c r="M173" s="291">
        <f>N150*'Benzin - diesel - hybrid'!M$44*VLOOKUP('Benzin - diesel - hybrid'!M$50+($B173-1),Fremskrivninger!$A$92:$H$121,8)/1000</f>
        <v>0</v>
      </c>
      <c r="N173" s="313">
        <f>IFERROR('Benzin - diesel - hybrid'!M$45/'Benzin - diesel - hybrid'!M$16,0)</f>
        <v>0</v>
      </c>
      <c r="O173" s="291">
        <f>P150*'Benzin - diesel - hybrid'!O$44*VLOOKUP('Benzin - diesel - hybrid'!O$50+($B173-1),Fremskrivninger!$A$92:$H$121,8)/1000</f>
        <v>0</v>
      </c>
      <c r="P173" s="313">
        <f>IFERROR('Benzin - diesel - hybrid'!O$45/'Benzin - diesel - hybrid'!O$16,0)</f>
        <v>0</v>
      </c>
      <c r="Q173" s="291">
        <f>R150*'Benzin - diesel - hybrid'!Q$44*VLOOKUP('Benzin - diesel - hybrid'!Q$50+($B173-1),Fremskrivninger!$A$92:$H$121,8)/1000</f>
        <v>0</v>
      </c>
      <c r="R173" s="313">
        <f>IFERROR('Benzin - diesel - hybrid'!Q$45/'Benzin - diesel - hybrid'!Q$16,0)</f>
        <v>0</v>
      </c>
      <c r="S173" s="291">
        <f>T150*'Benzin - diesel - hybrid'!S$44*VLOOKUP('Benzin - diesel - hybrid'!S$50+($B173-1),Fremskrivninger!$A$92:$H$121,8)/1000</f>
        <v>0</v>
      </c>
      <c r="T173" s="313">
        <f>IFERROR('Benzin - diesel - hybrid'!S$45/'Benzin - diesel - hybrid'!S$16,0)</f>
        <v>0</v>
      </c>
      <c r="U173" s="291">
        <f>V150*'Benzin - diesel - hybrid'!U$44*VLOOKUP('Benzin - diesel - hybrid'!U$50+($B173-1),Fremskrivninger!$A$92:$H$121,8)/1000</f>
        <v>0</v>
      </c>
      <c r="V173" s="313">
        <f>IFERROR('Benzin - diesel - hybrid'!U$45/'Benzin - diesel - hybrid'!U$16,0)</f>
        <v>0</v>
      </c>
      <c r="W173" s="291">
        <f>X150*'Benzin - diesel - hybrid'!W$44*VLOOKUP('Benzin - diesel - hybrid'!W$50+($B173-1),Fremskrivninger!$A$92:$H$121,8)/1000</f>
        <v>0</v>
      </c>
      <c r="X173" s="313">
        <f>IFERROR('Benzin - diesel - hybrid'!W$45/'Benzin - diesel - hybrid'!W$16,0)</f>
        <v>0</v>
      </c>
    </row>
    <row r="174" spans="1:24">
      <c r="A174" s="312"/>
      <c r="B174" s="285">
        <v>10</v>
      </c>
      <c r="C174" s="285">
        <f t="shared" si="10"/>
        <v>10</v>
      </c>
      <c r="D174" s="285"/>
      <c r="E174" s="291">
        <f>F151*'Benzin - diesel - hybrid'!E$44*VLOOKUP('Benzin - diesel - hybrid'!E$50+($B174-1),Fremskrivninger!$A$92:$H$121,8)/1000</f>
        <v>0</v>
      </c>
      <c r="F174" s="313">
        <f>IFERROR('Benzin - diesel - hybrid'!E$45/'Benzin - diesel - hybrid'!E$16,0)</f>
        <v>0</v>
      </c>
      <c r="G174" s="291">
        <f>H151*'Benzin - diesel - hybrid'!G$44*VLOOKUP('Benzin - diesel - hybrid'!G$50+($B174-1),Fremskrivninger!$A$92:$H$121,8)/1000</f>
        <v>0</v>
      </c>
      <c r="H174" s="313">
        <f>IFERROR('Benzin - diesel - hybrid'!G$45/'Benzin - diesel - hybrid'!G$16,0)</f>
        <v>0</v>
      </c>
      <c r="I174" s="291">
        <f>J151*'Benzin - diesel - hybrid'!I$44*VLOOKUP('Benzin - diesel - hybrid'!I$50+($B174-1),Fremskrivninger!$A$92:$H$121,8)/1000</f>
        <v>0</v>
      </c>
      <c r="J174" s="313">
        <f>IFERROR('Benzin - diesel - hybrid'!I$45/'Benzin - diesel - hybrid'!I$16,0)</f>
        <v>0</v>
      </c>
      <c r="K174" s="291">
        <f>L151*'Benzin - diesel - hybrid'!K$44*VLOOKUP('Benzin - diesel - hybrid'!K$50+($B174-1),Fremskrivninger!$A$92:$H$121,8)/1000</f>
        <v>0</v>
      </c>
      <c r="L174" s="313">
        <f>IFERROR('Benzin - diesel - hybrid'!K$45/'Benzin - diesel - hybrid'!K$16,0)</f>
        <v>0</v>
      </c>
      <c r="M174" s="291">
        <f>N151*'Benzin - diesel - hybrid'!M$44*VLOOKUP('Benzin - diesel - hybrid'!M$50+($B174-1),Fremskrivninger!$A$92:$H$121,8)/1000</f>
        <v>0</v>
      </c>
      <c r="N174" s="313">
        <f>IFERROR('Benzin - diesel - hybrid'!M$45/'Benzin - diesel - hybrid'!M$16,0)</f>
        <v>0</v>
      </c>
      <c r="O174" s="291">
        <f>P151*'Benzin - diesel - hybrid'!O$44*VLOOKUP('Benzin - diesel - hybrid'!O$50+($B174-1),Fremskrivninger!$A$92:$H$121,8)/1000</f>
        <v>0</v>
      </c>
      <c r="P174" s="313">
        <f>IFERROR('Benzin - diesel - hybrid'!O$45/'Benzin - diesel - hybrid'!O$16,0)</f>
        <v>0</v>
      </c>
      <c r="Q174" s="291">
        <f>R151*'Benzin - diesel - hybrid'!Q$44*VLOOKUP('Benzin - diesel - hybrid'!Q$50+($B174-1),Fremskrivninger!$A$92:$H$121,8)/1000</f>
        <v>0</v>
      </c>
      <c r="R174" s="313">
        <f>IFERROR('Benzin - diesel - hybrid'!Q$45/'Benzin - diesel - hybrid'!Q$16,0)</f>
        <v>0</v>
      </c>
      <c r="S174" s="291">
        <f>T151*'Benzin - diesel - hybrid'!S$44*VLOOKUP('Benzin - diesel - hybrid'!S$50+($B174-1),Fremskrivninger!$A$92:$H$121,8)/1000</f>
        <v>0</v>
      </c>
      <c r="T174" s="313">
        <f>IFERROR('Benzin - diesel - hybrid'!S$45/'Benzin - diesel - hybrid'!S$16,0)</f>
        <v>0</v>
      </c>
      <c r="U174" s="291">
        <f>V151*'Benzin - diesel - hybrid'!U$44*VLOOKUP('Benzin - diesel - hybrid'!U$50+($B174-1),Fremskrivninger!$A$92:$H$121,8)/1000</f>
        <v>0</v>
      </c>
      <c r="V174" s="313">
        <f>IFERROR('Benzin - diesel - hybrid'!U$45/'Benzin - diesel - hybrid'!U$16,0)</f>
        <v>0</v>
      </c>
      <c r="W174" s="291">
        <f>X151*'Benzin - diesel - hybrid'!W$44*VLOOKUP('Benzin - diesel - hybrid'!W$50+($B174-1),Fremskrivninger!$A$92:$H$121,8)/1000</f>
        <v>0</v>
      </c>
      <c r="X174" s="313">
        <f>IFERROR('Benzin - diesel - hybrid'!W$45/'Benzin - diesel - hybrid'!W$16,0)</f>
        <v>0</v>
      </c>
    </row>
    <row r="175" spans="1:24">
      <c r="A175" s="312"/>
      <c r="B175" s="285">
        <v>11</v>
      </c>
      <c r="C175" s="285">
        <f t="shared" si="10"/>
        <v>11</v>
      </c>
      <c r="D175" s="285"/>
      <c r="E175" s="291">
        <f>F152*'Benzin - diesel - hybrid'!E$44*VLOOKUP('Benzin - diesel - hybrid'!E$50+($B175-1),Fremskrivninger!$A$92:$H$121,8)/1000</f>
        <v>0</v>
      </c>
      <c r="F175" s="313">
        <f>IFERROR('Benzin - diesel - hybrid'!E$45/'Benzin - diesel - hybrid'!E$16,0)</f>
        <v>0</v>
      </c>
      <c r="G175" s="291">
        <f>H152*'Benzin - diesel - hybrid'!G$44*VLOOKUP('Benzin - diesel - hybrid'!G$50+($B175-1),Fremskrivninger!$A$92:$H$121,8)/1000</f>
        <v>0</v>
      </c>
      <c r="H175" s="313">
        <f>IFERROR('Benzin - diesel - hybrid'!G$45/'Benzin - diesel - hybrid'!G$16,0)</f>
        <v>0</v>
      </c>
      <c r="I175" s="291">
        <f>J152*'Benzin - diesel - hybrid'!I$44*VLOOKUP('Benzin - diesel - hybrid'!I$50+($B175-1),Fremskrivninger!$A$92:$H$121,8)/1000</f>
        <v>0</v>
      </c>
      <c r="J175" s="313">
        <f>IFERROR('Benzin - diesel - hybrid'!I$45/'Benzin - diesel - hybrid'!I$16,0)</f>
        <v>0</v>
      </c>
      <c r="K175" s="291">
        <f>L152*'Benzin - diesel - hybrid'!K$44*VLOOKUP('Benzin - diesel - hybrid'!K$50+($B175-1),Fremskrivninger!$A$92:$H$121,8)/1000</f>
        <v>0</v>
      </c>
      <c r="L175" s="313">
        <f>IFERROR('Benzin - diesel - hybrid'!K$45/'Benzin - diesel - hybrid'!K$16,0)</f>
        <v>0</v>
      </c>
      <c r="M175" s="291">
        <f>N152*'Benzin - diesel - hybrid'!M$44*VLOOKUP('Benzin - diesel - hybrid'!M$50+($B175-1),Fremskrivninger!$A$92:$H$121,8)/1000</f>
        <v>0</v>
      </c>
      <c r="N175" s="313">
        <f>IFERROR('Benzin - diesel - hybrid'!M$45/'Benzin - diesel - hybrid'!M$16,0)</f>
        <v>0</v>
      </c>
      <c r="O175" s="291">
        <f>P152*'Benzin - diesel - hybrid'!O$44*VLOOKUP('Benzin - diesel - hybrid'!O$50+($B175-1),Fremskrivninger!$A$92:$H$121,8)/1000</f>
        <v>0</v>
      </c>
      <c r="P175" s="313">
        <f>IFERROR('Benzin - diesel - hybrid'!O$45/'Benzin - diesel - hybrid'!O$16,0)</f>
        <v>0</v>
      </c>
      <c r="Q175" s="291">
        <f>R152*'Benzin - diesel - hybrid'!Q$44*VLOOKUP('Benzin - diesel - hybrid'!Q$50+($B175-1),Fremskrivninger!$A$92:$H$121,8)/1000</f>
        <v>0</v>
      </c>
      <c r="R175" s="313">
        <f>IFERROR('Benzin - diesel - hybrid'!Q$45/'Benzin - diesel - hybrid'!Q$16,0)</f>
        <v>0</v>
      </c>
      <c r="S175" s="291">
        <f>T152*'Benzin - diesel - hybrid'!S$44*VLOOKUP('Benzin - diesel - hybrid'!S$50+($B175-1),Fremskrivninger!$A$92:$H$121,8)/1000</f>
        <v>0</v>
      </c>
      <c r="T175" s="313">
        <f>IFERROR('Benzin - diesel - hybrid'!S$45/'Benzin - diesel - hybrid'!S$16,0)</f>
        <v>0</v>
      </c>
      <c r="U175" s="291">
        <f>V152*'Benzin - diesel - hybrid'!U$44*VLOOKUP('Benzin - diesel - hybrid'!U$50+($B175-1),Fremskrivninger!$A$92:$H$121,8)/1000</f>
        <v>0</v>
      </c>
      <c r="V175" s="313">
        <f>IFERROR('Benzin - diesel - hybrid'!U$45/'Benzin - diesel - hybrid'!U$16,0)</f>
        <v>0</v>
      </c>
      <c r="W175" s="291">
        <f>X152*'Benzin - diesel - hybrid'!W$44*VLOOKUP('Benzin - diesel - hybrid'!W$50+($B175-1),Fremskrivninger!$A$92:$H$121,8)/1000</f>
        <v>0</v>
      </c>
      <c r="X175" s="313">
        <f>IFERROR('Benzin - diesel - hybrid'!W$45/'Benzin - diesel - hybrid'!W$16,0)</f>
        <v>0</v>
      </c>
    </row>
    <row r="176" spans="1:24">
      <c r="A176" s="312"/>
      <c r="B176" s="285">
        <v>12</v>
      </c>
      <c r="C176" s="285">
        <f t="shared" si="10"/>
        <v>12</v>
      </c>
      <c r="D176" s="285"/>
      <c r="E176" s="291">
        <f>F153*'Benzin - diesel - hybrid'!E$44*VLOOKUP('Benzin - diesel - hybrid'!E$50+($B176-1),Fremskrivninger!$A$92:$H$121,8)/1000</f>
        <v>0</v>
      </c>
      <c r="F176" s="313">
        <f>IFERROR('Benzin - diesel - hybrid'!E$45/'Benzin - diesel - hybrid'!E$16,0)</f>
        <v>0</v>
      </c>
      <c r="G176" s="291">
        <f>H153*'Benzin - diesel - hybrid'!G$44*VLOOKUP('Benzin - diesel - hybrid'!G$50+($B176-1),Fremskrivninger!$A$92:$H$121,8)/1000</f>
        <v>0</v>
      </c>
      <c r="H176" s="313">
        <f>IFERROR('Benzin - diesel - hybrid'!G$45/'Benzin - diesel - hybrid'!G$16,0)</f>
        <v>0</v>
      </c>
      <c r="I176" s="291">
        <f>J153*'Benzin - diesel - hybrid'!I$44*VLOOKUP('Benzin - diesel - hybrid'!I$50+($B176-1),Fremskrivninger!$A$92:$H$121,8)/1000</f>
        <v>0</v>
      </c>
      <c r="J176" s="313">
        <f>IFERROR('Benzin - diesel - hybrid'!I$45/'Benzin - diesel - hybrid'!I$16,0)</f>
        <v>0</v>
      </c>
      <c r="K176" s="291">
        <f>L153*'Benzin - diesel - hybrid'!K$44*VLOOKUP('Benzin - diesel - hybrid'!K$50+($B176-1),Fremskrivninger!$A$92:$H$121,8)/1000</f>
        <v>0</v>
      </c>
      <c r="L176" s="313">
        <f>IFERROR('Benzin - diesel - hybrid'!K$45/'Benzin - diesel - hybrid'!K$16,0)</f>
        <v>0</v>
      </c>
      <c r="M176" s="291">
        <f>N153*'Benzin - diesel - hybrid'!M$44*VLOOKUP('Benzin - diesel - hybrid'!M$50+($B176-1),Fremskrivninger!$A$92:$H$121,8)/1000</f>
        <v>0</v>
      </c>
      <c r="N176" s="313">
        <f>IFERROR('Benzin - diesel - hybrid'!M$45/'Benzin - diesel - hybrid'!M$16,0)</f>
        <v>0</v>
      </c>
      <c r="O176" s="291">
        <f>P153*'Benzin - diesel - hybrid'!O$44*VLOOKUP('Benzin - diesel - hybrid'!O$50+($B176-1),Fremskrivninger!$A$92:$H$121,8)/1000</f>
        <v>0</v>
      </c>
      <c r="P176" s="313">
        <f>IFERROR('Benzin - diesel - hybrid'!O$45/'Benzin - diesel - hybrid'!O$16,0)</f>
        <v>0</v>
      </c>
      <c r="Q176" s="291">
        <f>R153*'Benzin - diesel - hybrid'!Q$44*VLOOKUP('Benzin - diesel - hybrid'!Q$50+($B176-1),Fremskrivninger!$A$92:$H$121,8)/1000</f>
        <v>0</v>
      </c>
      <c r="R176" s="313">
        <f>IFERROR('Benzin - diesel - hybrid'!Q$45/'Benzin - diesel - hybrid'!Q$16,0)</f>
        <v>0</v>
      </c>
      <c r="S176" s="291">
        <f>T153*'Benzin - diesel - hybrid'!S$44*VLOOKUP('Benzin - diesel - hybrid'!S$50+($B176-1),Fremskrivninger!$A$92:$H$121,8)/1000</f>
        <v>0</v>
      </c>
      <c r="T176" s="313">
        <f>IFERROR('Benzin - diesel - hybrid'!S$45/'Benzin - diesel - hybrid'!S$16,0)</f>
        <v>0</v>
      </c>
      <c r="U176" s="291">
        <f>V153*'Benzin - diesel - hybrid'!U$44*VLOOKUP('Benzin - diesel - hybrid'!U$50+($B176-1),Fremskrivninger!$A$92:$H$121,8)/1000</f>
        <v>0</v>
      </c>
      <c r="V176" s="313">
        <f>IFERROR('Benzin - diesel - hybrid'!U$45/'Benzin - diesel - hybrid'!U$16,0)</f>
        <v>0</v>
      </c>
      <c r="W176" s="291">
        <f>X153*'Benzin - diesel - hybrid'!W$44*VLOOKUP('Benzin - diesel - hybrid'!W$50+($B176-1),Fremskrivninger!$A$92:$H$121,8)/1000</f>
        <v>0</v>
      </c>
      <c r="X176" s="313">
        <f>IFERROR('Benzin - diesel - hybrid'!W$45/'Benzin - diesel - hybrid'!W$16,0)</f>
        <v>0</v>
      </c>
    </row>
    <row r="177" spans="1:24">
      <c r="A177" s="312"/>
      <c r="B177" s="285">
        <v>13</v>
      </c>
      <c r="C177" s="285">
        <f t="shared" si="10"/>
        <v>13</v>
      </c>
      <c r="D177" s="285"/>
      <c r="E177" s="291">
        <f>F154*'Benzin - diesel - hybrid'!E$44*VLOOKUP('Benzin - diesel - hybrid'!E$50+($B177-1),Fremskrivninger!$A$92:$H$121,8)/1000</f>
        <v>0</v>
      </c>
      <c r="F177" s="313">
        <f>IFERROR('Benzin - diesel - hybrid'!E$45/'Benzin - diesel - hybrid'!E$16,0)</f>
        <v>0</v>
      </c>
      <c r="G177" s="291">
        <f>H154*'Benzin - diesel - hybrid'!G$44*VLOOKUP('Benzin - diesel - hybrid'!G$50+($B177-1),Fremskrivninger!$A$92:$H$121,8)/1000</f>
        <v>0</v>
      </c>
      <c r="H177" s="313">
        <f>IFERROR('Benzin - diesel - hybrid'!G$45/'Benzin - diesel - hybrid'!G$16,0)</f>
        <v>0</v>
      </c>
      <c r="I177" s="291">
        <f>J154*'Benzin - diesel - hybrid'!I$44*VLOOKUP('Benzin - diesel - hybrid'!I$50+($B177-1),Fremskrivninger!$A$92:$H$121,8)/1000</f>
        <v>0</v>
      </c>
      <c r="J177" s="313">
        <f>IFERROR('Benzin - diesel - hybrid'!I$45/'Benzin - diesel - hybrid'!I$16,0)</f>
        <v>0</v>
      </c>
      <c r="K177" s="291">
        <f>L154*'Benzin - diesel - hybrid'!K$44*VLOOKUP('Benzin - diesel - hybrid'!K$50+($B177-1),Fremskrivninger!$A$92:$H$121,8)/1000</f>
        <v>0</v>
      </c>
      <c r="L177" s="313">
        <f>IFERROR('Benzin - diesel - hybrid'!K$45/'Benzin - diesel - hybrid'!K$16,0)</f>
        <v>0</v>
      </c>
      <c r="M177" s="291">
        <f>N154*'Benzin - diesel - hybrid'!M$44*VLOOKUP('Benzin - diesel - hybrid'!M$50+($B177-1),Fremskrivninger!$A$92:$H$121,8)/1000</f>
        <v>0</v>
      </c>
      <c r="N177" s="313">
        <f>IFERROR('Benzin - diesel - hybrid'!M$45/'Benzin - diesel - hybrid'!M$16,0)</f>
        <v>0</v>
      </c>
      <c r="O177" s="291">
        <f>P154*'Benzin - diesel - hybrid'!O$44*VLOOKUP('Benzin - diesel - hybrid'!O$50+($B177-1),Fremskrivninger!$A$92:$H$121,8)/1000</f>
        <v>0</v>
      </c>
      <c r="P177" s="313">
        <f>IFERROR('Benzin - diesel - hybrid'!O$45/'Benzin - diesel - hybrid'!O$16,0)</f>
        <v>0</v>
      </c>
      <c r="Q177" s="291">
        <f>R154*'Benzin - diesel - hybrid'!Q$44*VLOOKUP('Benzin - diesel - hybrid'!Q$50+($B177-1),Fremskrivninger!$A$92:$H$121,8)/1000</f>
        <v>0</v>
      </c>
      <c r="R177" s="313">
        <f>IFERROR('Benzin - diesel - hybrid'!Q$45/'Benzin - diesel - hybrid'!Q$16,0)</f>
        <v>0</v>
      </c>
      <c r="S177" s="291">
        <f>T154*'Benzin - diesel - hybrid'!S$44*VLOOKUP('Benzin - diesel - hybrid'!S$50+($B177-1),Fremskrivninger!$A$92:$H$121,8)/1000</f>
        <v>0</v>
      </c>
      <c r="T177" s="313">
        <f>IFERROR('Benzin - diesel - hybrid'!S$45/'Benzin - diesel - hybrid'!S$16,0)</f>
        <v>0</v>
      </c>
      <c r="U177" s="291">
        <f>V154*'Benzin - diesel - hybrid'!U$44*VLOOKUP('Benzin - diesel - hybrid'!U$50+($B177-1),Fremskrivninger!$A$92:$H$121,8)/1000</f>
        <v>0</v>
      </c>
      <c r="V177" s="313">
        <f>IFERROR('Benzin - diesel - hybrid'!U$45/'Benzin - diesel - hybrid'!U$16,0)</f>
        <v>0</v>
      </c>
      <c r="W177" s="291">
        <f>X154*'Benzin - diesel - hybrid'!W$44*VLOOKUP('Benzin - diesel - hybrid'!W$50+($B177-1),Fremskrivninger!$A$92:$H$121,8)/1000</f>
        <v>0</v>
      </c>
      <c r="X177" s="313">
        <f>IFERROR('Benzin - diesel - hybrid'!W$45/'Benzin - diesel - hybrid'!W$16,0)</f>
        <v>0</v>
      </c>
    </row>
    <row r="178" spans="1:24">
      <c r="A178" s="312"/>
      <c r="B178" s="285">
        <v>14</v>
      </c>
      <c r="C178" s="285">
        <f t="shared" si="10"/>
        <v>14</v>
      </c>
      <c r="D178" s="285"/>
      <c r="E178" s="291">
        <f>F155*'Benzin - diesel - hybrid'!E$44*VLOOKUP('Benzin - diesel - hybrid'!E$50+($B178-1),Fremskrivninger!$A$92:$H$121,8)/1000</f>
        <v>0</v>
      </c>
      <c r="F178" s="313">
        <f>IFERROR('Benzin - diesel - hybrid'!E$45/'Benzin - diesel - hybrid'!E$16,0)</f>
        <v>0</v>
      </c>
      <c r="G178" s="291">
        <f>H155*'Benzin - diesel - hybrid'!G$44*VLOOKUP('Benzin - diesel - hybrid'!G$50+($B178-1),Fremskrivninger!$A$92:$H$121,8)/1000</f>
        <v>0</v>
      </c>
      <c r="H178" s="313">
        <f>IFERROR('Benzin - diesel - hybrid'!G$45/'Benzin - diesel - hybrid'!G$16,0)</f>
        <v>0</v>
      </c>
      <c r="I178" s="291">
        <f>J155*'Benzin - diesel - hybrid'!I$44*VLOOKUP('Benzin - diesel - hybrid'!I$50+($B178-1),Fremskrivninger!$A$92:$H$121,8)/1000</f>
        <v>0</v>
      </c>
      <c r="J178" s="313">
        <f>IFERROR('Benzin - diesel - hybrid'!I$45/'Benzin - diesel - hybrid'!I$16,0)</f>
        <v>0</v>
      </c>
      <c r="K178" s="291">
        <f>L155*'Benzin - diesel - hybrid'!K$44*VLOOKUP('Benzin - diesel - hybrid'!K$50+($B178-1),Fremskrivninger!$A$92:$H$121,8)/1000</f>
        <v>0</v>
      </c>
      <c r="L178" s="313">
        <f>IFERROR('Benzin - diesel - hybrid'!K$45/'Benzin - diesel - hybrid'!K$16,0)</f>
        <v>0</v>
      </c>
      <c r="M178" s="291">
        <f>N155*'Benzin - diesel - hybrid'!M$44*VLOOKUP('Benzin - diesel - hybrid'!M$50+($B178-1),Fremskrivninger!$A$92:$H$121,8)/1000</f>
        <v>0</v>
      </c>
      <c r="N178" s="313">
        <f>IFERROR('Benzin - diesel - hybrid'!M$45/'Benzin - diesel - hybrid'!M$16,0)</f>
        <v>0</v>
      </c>
      <c r="O178" s="291">
        <f>P155*'Benzin - diesel - hybrid'!O$44*VLOOKUP('Benzin - diesel - hybrid'!O$50+($B178-1),Fremskrivninger!$A$92:$H$121,8)/1000</f>
        <v>0</v>
      </c>
      <c r="P178" s="313">
        <f>IFERROR('Benzin - diesel - hybrid'!O$45/'Benzin - diesel - hybrid'!O$16,0)</f>
        <v>0</v>
      </c>
      <c r="Q178" s="291">
        <f>R155*'Benzin - diesel - hybrid'!Q$44*VLOOKUP('Benzin - diesel - hybrid'!Q$50+($B178-1),Fremskrivninger!$A$92:$H$121,8)/1000</f>
        <v>0</v>
      </c>
      <c r="R178" s="313">
        <f>IFERROR('Benzin - diesel - hybrid'!Q$45/'Benzin - diesel - hybrid'!Q$16,0)</f>
        <v>0</v>
      </c>
      <c r="S178" s="291">
        <f>T155*'Benzin - diesel - hybrid'!S$44*VLOOKUP('Benzin - diesel - hybrid'!S$50+($B178-1),Fremskrivninger!$A$92:$H$121,8)/1000</f>
        <v>0</v>
      </c>
      <c r="T178" s="313">
        <f>IFERROR('Benzin - diesel - hybrid'!S$45/'Benzin - diesel - hybrid'!S$16,0)</f>
        <v>0</v>
      </c>
      <c r="U178" s="291">
        <f>V155*'Benzin - diesel - hybrid'!U$44*VLOOKUP('Benzin - diesel - hybrid'!U$50+($B178-1),Fremskrivninger!$A$92:$H$121,8)/1000</f>
        <v>0</v>
      </c>
      <c r="V178" s="313">
        <f>IFERROR('Benzin - diesel - hybrid'!U$45/'Benzin - diesel - hybrid'!U$16,0)</f>
        <v>0</v>
      </c>
      <c r="W178" s="291">
        <f>X155*'Benzin - diesel - hybrid'!W$44*VLOOKUP('Benzin - diesel - hybrid'!W$50+($B178-1),Fremskrivninger!$A$92:$H$121,8)/1000</f>
        <v>0</v>
      </c>
      <c r="X178" s="313">
        <f>IFERROR('Benzin - diesel - hybrid'!W$45/'Benzin - diesel - hybrid'!W$16,0)</f>
        <v>0</v>
      </c>
    </row>
    <row r="179" spans="1:24">
      <c r="A179" s="312"/>
      <c r="B179" s="285">
        <v>15</v>
      </c>
      <c r="C179" s="285">
        <f t="shared" si="10"/>
        <v>15</v>
      </c>
      <c r="D179" s="285"/>
      <c r="E179" s="291">
        <f>F156*'Benzin - diesel - hybrid'!E$44*VLOOKUP('Benzin - diesel - hybrid'!E$50+($B179-1),Fremskrivninger!$A$92:$H$121,8)/1000</f>
        <v>0</v>
      </c>
      <c r="F179" s="313">
        <f>IFERROR('Benzin - diesel - hybrid'!E$45/'Benzin - diesel - hybrid'!E$16,0)</f>
        <v>0</v>
      </c>
      <c r="G179" s="291">
        <f>H156*'Benzin - diesel - hybrid'!G$44*VLOOKUP('Benzin - diesel - hybrid'!G$50+($B179-1),Fremskrivninger!$A$92:$H$121,8)/1000</f>
        <v>0</v>
      </c>
      <c r="H179" s="313">
        <f>IFERROR('Benzin - diesel - hybrid'!G$45/'Benzin - diesel - hybrid'!G$16,0)</f>
        <v>0</v>
      </c>
      <c r="I179" s="291">
        <f>J156*'Benzin - diesel - hybrid'!I$44*VLOOKUP('Benzin - diesel - hybrid'!I$50+($B179-1),Fremskrivninger!$A$92:$H$121,8)/1000</f>
        <v>0</v>
      </c>
      <c r="J179" s="313">
        <f>IFERROR('Benzin - diesel - hybrid'!I$45/'Benzin - diesel - hybrid'!I$16,0)</f>
        <v>0</v>
      </c>
      <c r="K179" s="291">
        <f>L156*'Benzin - diesel - hybrid'!K$44*VLOOKUP('Benzin - diesel - hybrid'!K$50+($B179-1),Fremskrivninger!$A$92:$H$121,8)/1000</f>
        <v>0</v>
      </c>
      <c r="L179" s="313">
        <f>IFERROR('Benzin - diesel - hybrid'!K$45/'Benzin - diesel - hybrid'!K$16,0)</f>
        <v>0</v>
      </c>
      <c r="M179" s="291">
        <f>N156*'Benzin - diesel - hybrid'!M$44*VLOOKUP('Benzin - diesel - hybrid'!M$50+($B179-1),Fremskrivninger!$A$92:$H$121,8)/1000</f>
        <v>0</v>
      </c>
      <c r="N179" s="313">
        <f>IFERROR('Benzin - diesel - hybrid'!M$45/'Benzin - diesel - hybrid'!M$16,0)</f>
        <v>0</v>
      </c>
      <c r="O179" s="291">
        <f>P156*'Benzin - diesel - hybrid'!O$44*VLOOKUP('Benzin - diesel - hybrid'!O$50+($B179-1),Fremskrivninger!$A$92:$H$121,8)/1000</f>
        <v>0</v>
      </c>
      <c r="P179" s="313">
        <f>IFERROR('Benzin - diesel - hybrid'!O$45/'Benzin - diesel - hybrid'!O$16,0)</f>
        <v>0</v>
      </c>
      <c r="Q179" s="291">
        <f>R156*'Benzin - diesel - hybrid'!Q$44*VLOOKUP('Benzin - diesel - hybrid'!Q$50+($B179-1),Fremskrivninger!$A$92:$H$121,8)/1000</f>
        <v>0</v>
      </c>
      <c r="R179" s="313">
        <f>IFERROR('Benzin - diesel - hybrid'!Q$45/'Benzin - diesel - hybrid'!Q$16,0)</f>
        <v>0</v>
      </c>
      <c r="S179" s="291">
        <f>T156*'Benzin - diesel - hybrid'!S$44*VLOOKUP('Benzin - diesel - hybrid'!S$50+($B179-1),Fremskrivninger!$A$92:$H$121,8)/1000</f>
        <v>0</v>
      </c>
      <c r="T179" s="313">
        <f>IFERROR('Benzin - diesel - hybrid'!S$45/'Benzin - diesel - hybrid'!S$16,0)</f>
        <v>0</v>
      </c>
      <c r="U179" s="291">
        <f>V156*'Benzin - diesel - hybrid'!U$44*VLOOKUP('Benzin - diesel - hybrid'!U$50+($B179-1),Fremskrivninger!$A$92:$H$121,8)/1000</f>
        <v>0</v>
      </c>
      <c r="V179" s="313">
        <f>IFERROR('Benzin - diesel - hybrid'!U$45/'Benzin - diesel - hybrid'!U$16,0)</f>
        <v>0</v>
      </c>
      <c r="W179" s="291">
        <f>X156*'Benzin - diesel - hybrid'!W$44*VLOOKUP('Benzin - diesel - hybrid'!W$50+($B179-1),Fremskrivninger!$A$92:$H$121,8)/1000</f>
        <v>0</v>
      </c>
      <c r="X179" s="313">
        <f>IFERROR('Benzin - diesel - hybrid'!W$45/'Benzin - diesel - hybrid'!W$16,0)</f>
        <v>0</v>
      </c>
    </row>
    <row r="180" spans="1:24">
      <c r="A180" s="312"/>
      <c r="B180" s="285">
        <v>16</v>
      </c>
      <c r="C180" s="285">
        <f t="shared" si="10"/>
        <v>16</v>
      </c>
      <c r="D180" s="285"/>
      <c r="E180" s="291">
        <f>F157*'Benzin - diesel - hybrid'!E$44*VLOOKUP('Benzin - diesel - hybrid'!E$50+($B180-1),Fremskrivninger!$A$92:$H$121,8)/1000</f>
        <v>0</v>
      </c>
      <c r="F180" s="313">
        <f>IFERROR('Benzin - diesel - hybrid'!E$45/'Benzin - diesel - hybrid'!E$16,0)</f>
        <v>0</v>
      </c>
      <c r="G180" s="291">
        <f>H157*'Benzin - diesel - hybrid'!G$44*VLOOKUP('Benzin - diesel - hybrid'!G$50+($B180-1),Fremskrivninger!$A$92:$H$121,8)/1000</f>
        <v>0</v>
      </c>
      <c r="H180" s="313">
        <f>IFERROR('Benzin - diesel - hybrid'!G$45/'Benzin - diesel - hybrid'!G$16,0)</f>
        <v>0</v>
      </c>
      <c r="I180" s="291">
        <f>J157*'Benzin - diesel - hybrid'!I$44*VLOOKUP('Benzin - diesel - hybrid'!I$50+($B180-1),Fremskrivninger!$A$92:$H$121,8)/1000</f>
        <v>0</v>
      </c>
      <c r="J180" s="313">
        <f>IFERROR('Benzin - diesel - hybrid'!I$45/'Benzin - diesel - hybrid'!I$16,0)</f>
        <v>0</v>
      </c>
      <c r="K180" s="291">
        <f>L157*'Benzin - diesel - hybrid'!K$44*VLOOKUP('Benzin - diesel - hybrid'!K$50+($B180-1),Fremskrivninger!$A$92:$H$121,8)/1000</f>
        <v>0</v>
      </c>
      <c r="L180" s="313">
        <f>IFERROR('Benzin - diesel - hybrid'!K$45/'Benzin - diesel - hybrid'!K$16,0)</f>
        <v>0</v>
      </c>
      <c r="M180" s="291">
        <f>N157*'Benzin - diesel - hybrid'!M$44*VLOOKUP('Benzin - diesel - hybrid'!M$50+($B180-1),Fremskrivninger!$A$92:$H$121,8)/1000</f>
        <v>0</v>
      </c>
      <c r="N180" s="313">
        <f>IFERROR('Benzin - diesel - hybrid'!M$45/'Benzin - diesel - hybrid'!M$16,0)</f>
        <v>0</v>
      </c>
      <c r="O180" s="291">
        <f>P157*'Benzin - diesel - hybrid'!O$44*VLOOKUP('Benzin - diesel - hybrid'!O$50+($B180-1),Fremskrivninger!$A$92:$H$121,8)/1000</f>
        <v>0</v>
      </c>
      <c r="P180" s="313">
        <f>IFERROR('Benzin - diesel - hybrid'!O$45/'Benzin - diesel - hybrid'!O$16,0)</f>
        <v>0</v>
      </c>
      <c r="Q180" s="291">
        <f>R157*'Benzin - diesel - hybrid'!Q$44*VLOOKUP('Benzin - diesel - hybrid'!Q$50+($B180-1),Fremskrivninger!$A$92:$H$121,8)/1000</f>
        <v>0</v>
      </c>
      <c r="R180" s="313">
        <f>IFERROR('Benzin - diesel - hybrid'!Q$45/'Benzin - diesel - hybrid'!Q$16,0)</f>
        <v>0</v>
      </c>
      <c r="S180" s="291">
        <f>T157*'Benzin - diesel - hybrid'!S$44*VLOOKUP('Benzin - diesel - hybrid'!S$50+($B180-1),Fremskrivninger!$A$92:$H$121,8)/1000</f>
        <v>0</v>
      </c>
      <c r="T180" s="313">
        <f>IFERROR('Benzin - diesel - hybrid'!S$45/'Benzin - diesel - hybrid'!S$16,0)</f>
        <v>0</v>
      </c>
      <c r="U180" s="291">
        <f>V157*'Benzin - diesel - hybrid'!U$44*VLOOKUP('Benzin - diesel - hybrid'!U$50+($B180-1),Fremskrivninger!$A$92:$H$121,8)/1000</f>
        <v>0</v>
      </c>
      <c r="V180" s="313">
        <f>IFERROR('Benzin - diesel - hybrid'!U$45/'Benzin - diesel - hybrid'!U$16,0)</f>
        <v>0</v>
      </c>
      <c r="W180" s="291">
        <f>X157*'Benzin - diesel - hybrid'!W$44*VLOOKUP('Benzin - diesel - hybrid'!W$50+($B180-1),Fremskrivninger!$A$92:$H$121,8)/1000</f>
        <v>0</v>
      </c>
      <c r="X180" s="313">
        <f>IFERROR('Benzin - diesel - hybrid'!W$45/'Benzin - diesel - hybrid'!W$16,0)</f>
        <v>0</v>
      </c>
    </row>
    <row r="181" spans="1:24">
      <c r="A181" s="312"/>
      <c r="B181" s="285">
        <v>17</v>
      </c>
      <c r="C181" s="285">
        <f t="shared" si="10"/>
        <v>17</v>
      </c>
      <c r="D181" s="285"/>
      <c r="E181" s="291">
        <f>F158*'Benzin - diesel - hybrid'!E$44*VLOOKUP('Benzin - diesel - hybrid'!E$50+($B181-1),Fremskrivninger!$A$92:$H$121,8)/1000</f>
        <v>0</v>
      </c>
      <c r="F181" s="313">
        <f>IFERROR('Benzin - diesel - hybrid'!E$45/'Benzin - diesel - hybrid'!E$16,0)</f>
        <v>0</v>
      </c>
      <c r="G181" s="291">
        <f>H158*'Benzin - diesel - hybrid'!G$44*VLOOKUP('Benzin - diesel - hybrid'!G$50+($B181-1),Fremskrivninger!$A$92:$H$121,8)/1000</f>
        <v>0</v>
      </c>
      <c r="H181" s="313">
        <f>IFERROR('Benzin - diesel - hybrid'!G$45/'Benzin - diesel - hybrid'!G$16,0)</f>
        <v>0</v>
      </c>
      <c r="I181" s="291">
        <f>J158*'Benzin - diesel - hybrid'!I$44*VLOOKUP('Benzin - diesel - hybrid'!I$50+($B181-1),Fremskrivninger!$A$92:$H$121,8)/1000</f>
        <v>0</v>
      </c>
      <c r="J181" s="313">
        <f>IFERROR('Benzin - diesel - hybrid'!I$45/'Benzin - diesel - hybrid'!I$16,0)</f>
        <v>0</v>
      </c>
      <c r="K181" s="291">
        <f>L158*'Benzin - diesel - hybrid'!K$44*VLOOKUP('Benzin - diesel - hybrid'!K$50+($B181-1),Fremskrivninger!$A$92:$H$121,8)/1000</f>
        <v>0</v>
      </c>
      <c r="L181" s="313">
        <f>IFERROR('Benzin - diesel - hybrid'!K$45/'Benzin - diesel - hybrid'!K$16,0)</f>
        <v>0</v>
      </c>
      <c r="M181" s="291">
        <f>N158*'Benzin - diesel - hybrid'!M$44*VLOOKUP('Benzin - diesel - hybrid'!M$50+($B181-1),Fremskrivninger!$A$92:$H$121,8)/1000</f>
        <v>0</v>
      </c>
      <c r="N181" s="313">
        <f>IFERROR('Benzin - diesel - hybrid'!M$45/'Benzin - diesel - hybrid'!M$16,0)</f>
        <v>0</v>
      </c>
      <c r="O181" s="291">
        <f>P158*'Benzin - diesel - hybrid'!O$44*VLOOKUP('Benzin - diesel - hybrid'!O$50+($B181-1),Fremskrivninger!$A$92:$H$121,8)/1000</f>
        <v>0</v>
      </c>
      <c r="P181" s="313">
        <f>IFERROR('Benzin - diesel - hybrid'!O$45/'Benzin - diesel - hybrid'!O$16,0)</f>
        <v>0</v>
      </c>
      <c r="Q181" s="291">
        <f>R158*'Benzin - diesel - hybrid'!Q$44*VLOOKUP('Benzin - diesel - hybrid'!Q$50+($B181-1),Fremskrivninger!$A$92:$H$121,8)/1000</f>
        <v>0</v>
      </c>
      <c r="R181" s="313">
        <f>IFERROR('Benzin - diesel - hybrid'!Q$45/'Benzin - diesel - hybrid'!Q$16,0)</f>
        <v>0</v>
      </c>
      <c r="S181" s="291">
        <f>T158*'Benzin - diesel - hybrid'!S$44*VLOOKUP('Benzin - diesel - hybrid'!S$50+($B181-1),Fremskrivninger!$A$92:$H$121,8)/1000</f>
        <v>0</v>
      </c>
      <c r="T181" s="313">
        <f>IFERROR('Benzin - diesel - hybrid'!S$45/'Benzin - diesel - hybrid'!S$16,0)</f>
        <v>0</v>
      </c>
      <c r="U181" s="291">
        <f>V158*'Benzin - diesel - hybrid'!U$44*VLOOKUP('Benzin - diesel - hybrid'!U$50+($B181-1),Fremskrivninger!$A$92:$H$121,8)/1000</f>
        <v>0</v>
      </c>
      <c r="V181" s="313">
        <f>IFERROR('Benzin - diesel - hybrid'!U$45/'Benzin - diesel - hybrid'!U$16,0)</f>
        <v>0</v>
      </c>
      <c r="W181" s="291">
        <f>X158*'Benzin - diesel - hybrid'!W$44*VLOOKUP('Benzin - diesel - hybrid'!W$50+($B181-1),Fremskrivninger!$A$92:$H$121,8)/1000</f>
        <v>0</v>
      </c>
      <c r="X181" s="313">
        <f>IFERROR('Benzin - diesel - hybrid'!W$45/'Benzin - diesel - hybrid'!W$16,0)</f>
        <v>0</v>
      </c>
    </row>
    <row r="182" spans="1:24">
      <c r="A182" s="312"/>
      <c r="B182" s="285">
        <v>18</v>
      </c>
      <c r="C182" s="285">
        <f t="shared" si="10"/>
        <v>18</v>
      </c>
      <c r="D182" s="285"/>
      <c r="E182" s="291">
        <f>F159*'Benzin - diesel - hybrid'!E$44*VLOOKUP('Benzin - diesel - hybrid'!E$50+($B182-1),Fremskrivninger!$A$92:$H$121,8)/1000</f>
        <v>0</v>
      </c>
      <c r="F182" s="313">
        <f>IFERROR('Benzin - diesel - hybrid'!E$45/'Benzin - diesel - hybrid'!E$16,0)</f>
        <v>0</v>
      </c>
      <c r="G182" s="291">
        <f>H159*'Benzin - diesel - hybrid'!G$44*VLOOKUP('Benzin - diesel - hybrid'!G$50+($B182-1),Fremskrivninger!$A$92:$H$121,8)/1000</f>
        <v>0</v>
      </c>
      <c r="H182" s="313">
        <f>IFERROR('Benzin - diesel - hybrid'!G$45/'Benzin - diesel - hybrid'!G$16,0)</f>
        <v>0</v>
      </c>
      <c r="I182" s="291">
        <f>J159*'Benzin - diesel - hybrid'!I$44*VLOOKUP('Benzin - diesel - hybrid'!I$50+($B182-1),Fremskrivninger!$A$92:$H$121,8)/1000</f>
        <v>0</v>
      </c>
      <c r="J182" s="313">
        <f>IFERROR('Benzin - diesel - hybrid'!I$45/'Benzin - diesel - hybrid'!I$16,0)</f>
        <v>0</v>
      </c>
      <c r="K182" s="291">
        <f>L159*'Benzin - diesel - hybrid'!K$44*VLOOKUP('Benzin - diesel - hybrid'!K$50+($B182-1),Fremskrivninger!$A$92:$H$121,8)/1000</f>
        <v>0</v>
      </c>
      <c r="L182" s="313">
        <f>IFERROR('Benzin - diesel - hybrid'!K$45/'Benzin - diesel - hybrid'!K$16,0)</f>
        <v>0</v>
      </c>
      <c r="M182" s="291">
        <f>N159*'Benzin - diesel - hybrid'!M$44*VLOOKUP('Benzin - diesel - hybrid'!M$50+($B182-1),Fremskrivninger!$A$92:$H$121,8)/1000</f>
        <v>0</v>
      </c>
      <c r="N182" s="313">
        <f>IFERROR('Benzin - diesel - hybrid'!M$45/'Benzin - diesel - hybrid'!M$16,0)</f>
        <v>0</v>
      </c>
      <c r="O182" s="291">
        <f>P159*'Benzin - diesel - hybrid'!O$44*VLOOKUP('Benzin - diesel - hybrid'!O$50+($B182-1),Fremskrivninger!$A$92:$H$121,8)/1000</f>
        <v>0</v>
      </c>
      <c r="P182" s="313">
        <f>IFERROR('Benzin - diesel - hybrid'!O$45/'Benzin - diesel - hybrid'!O$16,0)</f>
        <v>0</v>
      </c>
      <c r="Q182" s="291">
        <f>R159*'Benzin - diesel - hybrid'!Q$44*VLOOKUP('Benzin - diesel - hybrid'!Q$50+($B182-1),Fremskrivninger!$A$92:$H$121,8)/1000</f>
        <v>0</v>
      </c>
      <c r="R182" s="313">
        <f>IFERROR('Benzin - diesel - hybrid'!Q$45/'Benzin - diesel - hybrid'!Q$16,0)</f>
        <v>0</v>
      </c>
      <c r="S182" s="291">
        <f>T159*'Benzin - diesel - hybrid'!S$44*VLOOKUP('Benzin - diesel - hybrid'!S$50+($B182-1),Fremskrivninger!$A$92:$H$121,8)/1000</f>
        <v>0</v>
      </c>
      <c r="T182" s="313">
        <f>IFERROR('Benzin - diesel - hybrid'!S$45/'Benzin - diesel - hybrid'!S$16,0)</f>
        <v>0</v>
      </c>
      <c r="U182" s="291">
        <f>V159*'Benzin - diesel - hybrid'!U$44*VLOOKUP('Benzin - diesel - hybrid'!U$50+($B182-1),Fremskrivninger!$A$92:$H$121,8)/1000</f>
        <v>0</v>
      </c>
      <c r="V182" s="313">
        <f>IFERROR('Benzin - diesel - hybrid'!U$45/'Benzin - diesel - hybrid'!U$16,0)</f>
        <v>0</v>
      </c>
      <c r="W182" s="291">
        <f>X159*'Benzin - diesel - hybrid'!W$44*VLOOKUP('Benzin - diesel - hybrid'!W$50+($B182-1),Fremskrivninger!$A$92:$H$121,8)/1000</f>
        <v>0</v>
      </c>
      <c r="X182" s="313">
        <f>IFERROR('Benzin - diesel - hybrid'!W$45/'Benzin - diesel - hybrid'!W$16,0)</f>
        <v>0</v>
      </c>
    </row>
    <row r="183" spans="1:24">
      <c r="A183" s="312"/>
      <c r="B183" s="285">
        <v>19</v>
      </c>
      <c r="C183" s="285">
        <f t="shared" si="10"/>
        <v>19</v>
      </c>
      <c r="D183" s="285"/>
      <c r="E183" s="291">
        <f>F160*'Benzin - diesel - hybrid'!E$44*VLOOKUP('Benzin - diesel - hybrid'!E$50+($B183-1),Fremskrivninger!$A$92:$H$121,8)/1000</f>
        <v>0</v>
      </c>
      <c r="F183" s="313">
        <f>IFERROR('Benzin - diesel - hybrid'!E$45/'Benzin - diesel - hybrid'!E$16,0)</f>
        <v>0</v>
      </c>
      <c r="G183" s="291">
        <f>H160*'Benzin - diesel - hybrid'!G$44*VLOOKUP('Benzin - diesel - hybrid'!G$50+($B183-1),Fremskrivninger!$A$92:$H$121,8)/1000</f>
        <v>0</v>
      </c>
      <c r="H183" s="313">
        <f>IFERROR('Benzin - diesel - hybrid'!G$45/'Benzin - diesel - hybrid'!G$16,0)</f>
        <v>0</v>
      </c>
      <c r="I183" s="291">
        <f>J160*'Benzin - diesel - hybrid'!I$44*VLOOKUP('Benzin - diesel - hybrid'!I$50+($B183-1),Fremskrivninger!$A$92:$H$121,8)/1000</f>
        <v>0</v>
      </c>
      <c r="J183" s="313">
        <f>IFERROR('Benzin - diesel - hybrid'!I$45/'Benzin - diesel - hybrid'!I$16,0)</f>
        <v>0</v>
      </c>
      <c r="K183" s="291">
        <f>L160*'Benzin - diesel - hybrid'!K$44*VLOOKUP('Benzin - diesel - hybrid'!K$50+($B183-1),Fremskrivninger!$A$92:$H$121,8)/1000</f>
        <v>0</v>
      </c>
      <c r="L183" s="313">
        <f>IFERROR('Benzin - diesel - hybrid'!K$45/'Benzin - diesel - hybrid'!K$16,0)</f>
        <v>0</v>
      </c>
      <c r="M183" s="291">
        <f>N160*'Benzin - diesel - hybrid'!M$44*VLOOKUP('Benzin - diesel - hybrid'!M$50+($B183-1),Fremskrivninger!$A$92:$H$121,8)/1000</f>
        <v>0</v>
      </c>
      <c r="N183" s="313">
        <f>IFERROR('Benzin - diesel - hybrid'!M$45/'Benzin - diesel - hybrid'!M$16,0)</f>
        <v>0</v>
      </c>
      <c r="O183" s="291">
        <f>P160*'Benzin - diesel - hybrid'!O$44*VLOOKUP('Benzin - diesel - hybrid'!O$50+($B183-1),Fremskrivninger!$A$92:$H$121,8)/1000</f>
        <v>0</v>
      </c>
      <c r="P183" s="313">
        <f>IFERROR('Benzin - diesel - hybrid'!O$45/'Benzin - diesel - hybrid'!O$16,0)</f>
        <v>0</v>
      </c>
      <c r="Q183" s="291">
        <f>R160*'Benzin - diesel - hybrid'!Q$44*VLOOKUP('Benzin - diesel - hybrid'!Q$50+($B183-1),Fremskrivninger!$A$92:$H$121,8)/1000</f>
        <v>0</v>
      </c>
      <c r="R183" s="313">
        <f>IFERROR('Benzin - diesel - hybrid'!Q$45/'Benzin - diesel - hybrid'!Q$16,0)</f>
        <v>0</v>
      </c>
      <c r="S183" s="291">
        <f>T160*'Benzin - diesel - hybrid'!S$44*VLOOKUP('Benzin - diesel - hybrid'!S$50+($B183-1),Fremskrivninger!$A$92:$H$121,8)/1000</f>
        <v>0</v>
      </c>
      <c r="T183" s="313">
        <f>IFERROR('Benzin - diesel - hybrid'!S$45/'Benzin - diesel - hybrid'!S$16,0)</f>
        <v>0</v>
      </c>
      <c r="U183" s="291">
        <f>V160*'Benzin - diesel - hybrid'!U$44*VLOOKUP('Benzin - diesel - hybrid'!U$50+($B183-1),Fremskrivninger!$A$92:$H$121,8)/1000</f>
        <v>0</v>
      </c>
      <c r="V183" s="313">
        <f>IFERROR('Benzin - diesel - hybrid'!U$45/'Benzin - diesel - hybrid'!U$16,0)</f>
        <v>0</v>
      </c>
      <c r="W183" s="291">
        <f>X160*'Benzin - diesel - hybrid'!W$44*VLOOKUP('Benzin - diesel - hybrid'!W$50+($B183-1),Fremskrivninger!$A$92:$H$121,8)/1000</f>
        <v>0</v>
      </c>
      <c r="X183" s="313">
        <f>IFERROR('Benzin - diesel - hybrid'!W$45/'Benzin - diesel - hybrid'!W$16,0)</f>
        <v>0</v>
      </c>
    </row>
    <row r="184" spans="1:24">
      <c r="A184" s="315"/>
      <c r="B184" s="290">
        <v>20</v>
      </c>
      <c r="C184" s="290">
        <f t="shared" si="10"/>
        <v>20</v>
      </c>
      <c r="D184" s="290"/>
      <c r="E184" s="291">
        <f>F161*'Benzin - diesel - hybrid'!E$44*VLOOKUP('Benzin - diesel - hybrid'!E$50+($B184-1),Fremskrivninger!$A$92:$H$121,8)/1000</f>
        <v>0</v>
      </c>
      <c r="F184" s="313">
        <f>IFERROR('Benzin - diesel - hybrid'!E$45/'Benzin - diesel - hybrid'!E$16,0)</f>
        <v>0</v>
      </c>
      <c r="G184" s="291">
        <f>H161*'Benzin - diesel - hybrid'!G$44*VLOOKUP('Benzin - diesel - hybrid'!G$50+($B184-1),Fremskrivninger!$A$92:$H$121,8)/1000</f>
        <v>0</v>
      </c>
      <c r="H184" s="313">
        <f>IFERROR('Benzin - diesel - hybrid'!G$45/'Benzin - diesel - hybrid'!G$16,0)</f>
        <v>0</v>
      </c>
      <c r="I184" s="291">
        <f>J161*'Benzin - diesel - hybrid'!I$44*VLOOKUP('Benzin - diesel - hybrid'!I$50+($B184-1),Fremskrivninger!$A$92:$H$121,8)/1000</f>
        <v>0</v>
      </c>
      <c r="J184" s="313">
        <f>IFERROR('Benzin - diesel - hybrid'!I$45/'Benzin - diesel - hybrid'!I$16,0)</f>
        <v>0</v>
      </c>
      <c r="K184" s="291">
        <f>L161*'Benzin - diesel - hybrid'!K$44*VLOOKUP('Benzin - diesel - hybrid'!K$50+($B184-1),Fremskrivninger!$A$92:$H$121,8)/1000</f>
        <v>0</v>
      </c>
      <c r="L184" s="313">
        <f>IFERROR('Benzin - diesel - hybrid'!K$45/'Benzin - diesel - hybrid'!K$16,0)</f>
        <v>0</v>
      </c>
      <c r="M184" s="291">
        <f>N161*'Benzin - diesel - hybrid'!M$44*VLOOKUP('Benzin - diesel - hybrid'!M$50+($B184-1),Fremskrivninger!$A$92:$H$121,8)/1000</f>
        <v>0</v>
      </c>
      <c r="N184" s="313">
        <f>IFERROR('Benzin - diesel - hybrid'!M$45/'Benzin - diesel - hybrid'!M$16,0)</f>
        <v>0</v>
      </c>
      <c r="O184" s="291">
        <f>P161*'Benzin - diesel - hybrid'!O$44*VLOOKUP('Benzin - diesel - hybrid'!O$50+($B184-1),Fremskrivninger!$A$92:$H$121,8)/1000</f>
        <v>0</v>
      </c>
      <c r="P184" s="313">
        <f>IFERROR('Benzin - diesel - hybrid'!O$45/'Benzin - diesel - hybrid'!O$16,0)</f>
        <v>0</v>
      </c>
      <c r="Q184" s="291">
        <f>R161*'Benzin - diesel - hybrid'!Q$44*VLOOKUP('Benzin - diesel - hybrid'!Q$50+($B184-1),Fremskrivninger!$A$92:$H$121,8)/1000</f>
        <v>0</v>
      </c>
      <c r="R184" s="313">
        <f>IFERROR('Benzin - diesel - hybrid'!Q$45/'Benzin - diesel - hybrid'!Q$16,0)</f>
        <v>0</v>
      </c>
      <c r="S184" s="291">
        <f>T161*'Benzin - diesel - hybrid'!S$44*VLOOKUP('Benzin - diesel - hybrid'!S$50+($B184-1),Fremskrivninger!$A$92:$H$121,8)/1000</f>
        <v>0</v>
      </c>
      <c r="T184" s="313">
        <f>IFERROR('Benzin - diesel - hybrid'!S$45/'Benzin - diesel - hybrid'!S$16,0)</f>
        <v>0</v>
      </c>
      <c r="U184" s="291">
        <f>V161*'Benzin - diesel - hybrid'!U$44*VLOOKUP('Benzin - diesel - hybrid'!U$50+($B184-1),Fremskrivninger!$A$92:$H$121,8)/1000</f>
        <v>0</v>
      </c>
      <c r="V184" s="313">
        <f>IFERROR('Benzin - diesel - hybrid'!U$45/'Benzin - diesel - hybrid'!U$16,0)</f>
        <v>0</v>
      </c>
      <c r="W184" s="291">
        <f>X161*'Benzin - diesel - hybrid'!W$44*VLOOKUP('Benzin - diesel - hybrid'!W$50+($B184-1),Fremskrivninger!$A$92:$H$121,8)/1000</f>
        <v>0</v>
      </c>
      <c r="X184" s="313">
        <f>IFERROR('Benzin - diesel - hybrid'!W$45/'Benzin - diesel - hybrid'!W$16,0)</f>
        <v>0</v>
      </c>
    </row>
    <row r="185" spans="1:24">
      <c r="A185" s="289" t="s">
        <v>82</v>
      </c>
      <c r="B185" s="316"/>
      <c r="C185" s="316"/>
      <c r="D185" s="316"/>
      <c r="E185" s="316"/>
      <c r="F185" s="316"/>
      <c r="G185" s="316"/>
      <c r="H185" s="316"/>
      <c r="I185" s="316"/>
      <c r="J185" s="316"/>
      <c r="K185" s="316"/>
      <c r="L185" s="316"/>
      <c r="M185" s="316"/>
      <c r="N185" s="316"/>
      <c r="O185" s="316"/>
      <c r="P185" s="316"/>
      <c r="Q185" s="316"/>
      <c r="R185" s="316"/>
      <c r="S185" s="316"/>
      <c r="T185" s="314"/>
      <c r="U185" s="316"/>
      <c r="V185" s="314"/>
      <c r="W185" s="316"/>
      <c r="X185" s="314"/>
    </row>
    <row r="186" spans="1:24" ht="54.45">
      <c r="A186" s="282"/>
      <c r="B186" s="304" t="s">
        <v>20</v>
      </c>
      <c r="C186" s="316"/>
      <c r="D186" s="316" t="s">
        <v>21</v>
      </c>
      <c r="E186" s="305" t="str">
        <f>E141&amp;" - Samfundsøkonomiske omkostninger (kr.)"</f>
        <v>PRODUKT 1 - Samfundsøkonomiske omkostninger (kr.)</v>
      </c>
      <c r="F186" s="317" t="str">
        <f>E141&amp;" - Samlet udledning i tons Co2e"</f>
        <v>PRODUKT 1 - Samlet udledning i tons Co2e</v>
      </c>
      <c r="G186" s="305" t="str">
        <f>G141&amp;" - Samfundsøkonomiske omkostninger (kr.)"</f>
        <v>PRODUKT 2 - Samfundsøkonomiske omkostninger (kr.)</v>
      </c>
      <c r="H186" s="317" t="str">
        <f>G141&amp;" - Samlet udledning i tons Co2e"</f>
        <v>PRODUKT 2 - Samlet udledning i tons Co2e</v>
      </c>
      <c r="I186" s="305" t="str">
        <f>I141&amp;" - Samfundsøkonomiske omkostninger (kr.)"</f>
        <v>PRODUKT 3 - Samfundsøkonomiske omkostninger (kr.)</v>
      </c>
      <c r="J186" s="317" t="str">
        <f>I141&amp;" - Samlet udledning i tons Co2e"</f>
        <v>PRODUKT 3 - Samlet udledning i tons Co2e</v>
      </c>
      <c r="K186" s="305" t="str">
        <f>K141&amp;" - Samfundsøkonomiske omkostninger (kr.)"</f>
        <v>PRODUKT 4 - Samfundsøkonomiske omkostninger (kr.)</v>
      </c>
      <c r="L186" s="317" t="str">
        <f>K141&amp;" - Samlet udledning i tons Co2e"</f>
        <v>PRODUKT 4 - Samlet udledning i tons Co2e</v>
      </c>
      <c r="M186" s="305" t="str">
        <f>M141&amp;" - Samfundsøkonomiske omkostninger (kr.)"</f>
        <v>PRODUKT 5 - Samfundsøkonomiske omkostninger (kr.)</v>
      </c>
      <c r="N186" s="317" t="str">
        <f>M141&amp;" - Samlet udledning i tons Co2e"</f>
        <v>PRODUKT 5 - Samlet udledning i tons Co2e</v>
      </c>
      <c r="O186" s="305" t="str">
        <f>O141&amp;" - Samfundsøkonomiske omkostninger (kr.)"</f>
        <v>PRODUKT 6 - Samfundsøkonomiske omkostninger (kr.)</v>
      </c>
      <c r="P186" s="317" t="str">
        <f>O141&amp;" - Samlet udledning i tons Co2e"</f>
        <v>PRODUKT 6 - Samlet udledning i tons Co2e</v>
      </c>
      <c r="Q186" s="305" t="str">
        <f>Q141&amp;" - Samfundsøkonomiske omkostninger (kr.)"</f>
        <v>PRODUKT 7 - Samfundsøkonomiske omkostninger (kr.)</v>
      </c>
      <c r="R186" s="317" t="str">
        <f>Q141&amp;" - Samlet udledning i tons Co2e"</f>
        <v>PRODUKT 7 - Samlet udledning i tons Co2e</v>
      </c>
      <c r="S186" s="305" t="str">
        <f>S141&amp;" - Samfundsøkonomiske omkostninger (kr.)"</f>
        <v>PRODUKT 8 - Samfundsøkonomiske omkostninger (kr.)</v>
      </c>
      <c r="T186" s="317" t="str">
        <f>S141&amp;" - Samlet udledning i tons Co2e"</f>
        <v>PRODUKT 8 - Samlet udledning i tons Co2e</v>
      </c>
      <c r="U186" s="305" t="str">
        <f>U141&amp;" - Samfundsøkonomiske omkostninger (kr.)"</f>
        <v>PRODUKT 9 - Samfundsøkonomiske omkostninger (kr.)</v>
      </c>
      <c r="V186" s="317" t="str">
        <f>U141&amp;" - Samlet udledning i tons Co2e"</f>
        <v>PRODUKT 9 - Samlet udledning i tons Co2e</v>
      </c>
      <c r="W186" s="305" t="str">
        <f>W141&amp;" - Samfundsøkonomiske omkostninger (kr.)"</f>
        <v>PRODUKT 10 - Samfundsøkonomiske omkostninger (kr.)</v>
      </c>
      <c r="X186" s="317" t="str">
        <f>W141&amp;" - Samlet udledning i tons Co2e"</f>
        <v>PRODUKT 10 - Samlet udledning i tons Co2e</v>
      </c>
    </row>
    <row r="187" spans="1:24">
      <c r="A187" s="312"/>
      <c r="B187" s="306">
        <v>1</v>
      </c>
      <c r="C187" s="306">
        <f>B187</f>
        <v>1</v>
      </c>
      <c r="D187" s="306"/>
      <c r="E187" s="505">
        <f>F187*IF('Benzin - diesel - hybrid'!E$29="nej",0,IF('Benzin - diesel - hybrid'!E$37="ja",'Benzin - diesel - hybrid'!E$38,'Benzin - diesel - hybrid'!E$39))*(1+'Benzin - diesel - hybrid'!E$52)^-$C187</f>
        <v>0</v>
      </c>
      <c r="F187" s="318">
        <f>IF('Benzin - diesel - hybrid'!E$54="benzin",E142,IF('Benzin - diesel - hybrid'!E$54="diesel",E165,0))</f>
        <v>0</v>
      </c>
      <c r="G187" s="505">
        <f>H187*IF('Benzin - diesel - hybrid'!G$29="nej",0,IF('Benzin - diesel - hybrid'!G$37="ja",'Benzin - diesel - hybrid'!G$38,'Benzin - diesel - hybrid'!G$39))*(1+'Benzin - diesel - hybrid'!G$52)^-$C187</f>
        <v>0</v>
      </c>
      <c r="H187" s="318">
        <f>IF('Benzin - diesel - hybrid'!G$54="benzin",G142,IF('Benzin - diesel - hybrid'!G$54="diesel",G165,0))</f>
        <v>0</v>
      </c>
      <c r="I187" s="505">
        <f>J187*IF('Benzin - diesel - hybrid'!I$29="nej",0,IF('Benzin - diesel - hybrid'!I$37="ja",'Benzin - diesel - hybrid'!I$38,'Benzin - diesel - hybrid'!I$39))*(1+'Benzin - diesel - hybrid'!I$52)^-$C187</f>
        <v>0</v>
      </c>
      <c r="J187" s="318">
        <f>IF('Benzin - diesel - hybrid'!I$54="benzin",I142,IF('Benzin - diesel - hybrid'!I$54="diesel",I165,0))</f>
        <v>0</v>
      </c>
      <c r="K187" s="505">
        <f>L187*IF('Benzin - diesel - hybrid'!K$29="nej",0,IF('Benzin - diesel - hybrid'!K$37="ja",'Benzin - diesel - hybrid'!K$38,'Benzin - diesel - hybrid'!K$39))*(1+'Benzin - diesel - hybrid'!K$52)^-$C187</f>
        <v>0</v>
      </c>
      <c r="L187" s="318">
        <f>IF('Benzin - diesel - hybrid'!K$54="benzin",K142,IF('Benzin - diesel - hybrid'!K$54="diesel",K165,0))</f>
        <v>0</v>
      </c>
      <c r="M187" s="505">
        <f>N187*IF('Benzin - diesel - hybrid'!M$29="nej",0,IF('Benzin - diesel - hybrid'!M$37="ja",'Benzin - diesel - hybrid'!M$38,'Benzin - diesel - hybrid'!M$39))*(1+'Benzin - diesel - hybrid'!M$52)^-$C187</f>
        <v>0</v>
      </c>
      <c r="N187" s="318">
        <f>IF('Benzin - diesel - hybrid'!M$54="benzin",M142,IF('Benzin - diesel - hybrid'!M$54="diesel",M165,0))</f>
        <v>0</v>
      </c>
      <c r="O187" s="505">
        <f>P187*IF('Benzin - diesel - hybrid'!O$29="nej",0,IF('Benzin - diesel - hybrid'!O$37="ja",'Benzin - diesel - hybrid'!O$38,'Benzin - diesel - hybrid'!O$39))*(1+'Benzin - diesel - hybrid'!O$52)^-$C187</f>
        <v>0</v>
      </c>
      <c r="P187" s="318">
        <f>IF('Benzin - diesel - hybrid'!O$54="benzin",O142,IF('Benzin - diesel - hybrid'!O$54="diesel",O165,0))</f>
        <v>0</v>
      </c>
      <c r="Q187" s="505">
        <f>R187*IF('Benzin - diesel - hybrid'!Q$29="nej",0,IF('Benzin - diesel - hybrid'!Q$37="ja",'Benzin - diesel - hybrid'!Q$38,'Benzin - diesel - hybrid'!Q$39))*(1+'Benzin - diesel - hybrid'!Q$52)^-$C187</f>
        <v>0</v>
      </c>
      <c r="R187" s="318">
        <f>IF('Benzin - diesel - hybrid'!Q$54="benzin",Q142,IF('Benzin - diesel - hybrid'!Q$54="diesel",Q165,0))</f>
        <v>0</v>
      </c>
      <c r="S187" s="505">
        <f>T187*IF('Benzin - diesel - hybrid'!S$29="nej",0,IF('Benzin - diesel - hybrid'!S$37="ja",'Benzin - diesel - hybrid'!S$38,'Benzin - diesel - hybrid'!S$39))*(1+'Benzin - diesel - hybrid'!S$52)^-$C187</f>
        <v>0</v>
      </c>
      <c r="T187" s="318">
        <f>IF('Benzin - diesel - hybrid'!S$54="benzin",S142,IF('Benzin - diesel - hybrid'!S$54="diesel",S165,0))</f>
        <v>0</v>
      </c>
      <c r="U187" s="505">
        <f>V187*IF('Benzin - diesel - hybrid'!U$29="nej",0,IF('Benzin - diesel - hybrid'!U$37="ja",'Benzin - diesel - hybrid'!U$38,'Benzin - diesel - hybrid'!U$39))*(1+'Benzin - diesel - hybrid'!U$52)^-$C187</f>
        <v>0</v>
      </c>
      <c r="V187" s="318">
        <f>IF('Benzin - diesel - hybrid'!U$54="benzin",U142,IF('Benzin - diesel - hybrid'!U$54="diesel",U165,0))</f>
        <v>0</v>
      </c>
      <c r="W187" s="505">
        <f>X187*IF('Benzin - diesel - hybrid'!W$29="nej",0,IF('Benzin - diesel - hybrid'!W$37="ja",'Benzin - diesel - hybrid'!W$38,'Benzin - diesel - hybrid'!W$39))*(1+'Benzin - diesel - hybrid'!W$52)^-$C187</f>
        <v>0</v>
      </c>
      <c r="X187" s="318">
        <f>IF('Benzin - diesel - hybrid'!W$54="benzin",W142,IF('Benzin - diesel - hybrid'!W$54="diesel",W165,0))</f>
        <v>0</v>
      </c>
    </row>
    <row r="188" spans="1:24">
      <c r="A188" s="312"/>
      <c r="B188" s="306">
        <v>2</v>
      </c>
      <c r="C188" s="306">
        <f t="shared" ref="C188:C206" si="11">B188</f>
        <v>2</v>
      </c>
      <c r="D188" s="306"/>
      <c r="E188" s="505">
        <f>F188*IF('Benzin - diesel - hybrid'!E$29="nej",0,IF('Benzin - diesel - hybrid'!E$37="ja",'Benzin - diesel - hybrid'!E$38,'Benzin - diesel - hybrid'!E$39))*(1+'Benzin - diesel - hybrid'!E$52)^-$C188</f>
        <v>0</v>
      </c>
      <c r="F188" s="318">
        <f>IF('Benzin - diesel - hybrid'!E$54="benzin",E143,IF('Benzin - diesel - hybrid'!E$54="diesel",E166,0))</f>
        <v>0</v>
      </c>
      <c r="G188" s="505">
        <f>H188*IF('Benzin - diesel - hybrid'!G$29="nej",0,IF('Benzin - diesel - hybrid'!G$37="ja",'Benzin - diesel - hybrid'!G$38,'Benzin - diesel - hybrid'!G$39))*(1+'Benzin - diesel - hybrid'!G$52)^-$C188</f>
        <v>0</v>
      </c>
      <c r="H188" s="318">
        <f>IF('Benzin - diesel - hybrid'!G$54="benzin",G143,IF('Benzin - diesel - hybrid'!G$54="diesel",G166,0))</f>
        <v>0</v>
      </c>
      <c r="I188" s="505">
        <f>J188*IF('Benzin - diesel - hybrid'!I$29="nej",0,IF('Benzin - diesel - hybrid'!I$37="ja",'Benzin - diesel - hybrid'!I$38,'Benzin - diesel - hybrid'!I$39))*(1+'Benzin - diesel - hybrid'!I$52)^-$C188</f>
        <v>0</v>
      </c>
      <c r="J188" s="318">
        <f>IF('Benzin - diesel - hybrid'!I$54="benzin",I143,IF('Benzin - diesel - hybrid'!I$54="diesel",I166,0))</f>
        <v>0</v>
      </c>
      <c r="K188" s="505">
        <f>L188*IF('Benzin - diesel - hybrid'!K$29="nej",0,IF('Benzin - diesel - hybrid'!K$37="ja",'Benzin - diesel - hybrid'!K$38,'Benzin - diesel - hybrid'!K$39))*(1+'Benzin - diesel - hybrid'!K$52)^-$C188</f>
        <v>0</v>
      </c>
      <c r="L188" s="318">
        <f>IF('Benzin - diesel - hybrid'!K$54="benzin",K143,IF('Benzin - diesel - hybrid'!K$54="diesel",K166,0))</f>
        <v>0</v>
      </c>
      <c r="M188" s="505">
        <f>N188*IF('Benzin - diesel - hybrid'!M$29="nej",0,IF('Benzin - diesel - hybrid'!M$37="ja",'Benzin - diesel - hybrid'!M$38,'Benzin - diesel - hybrid'!M$39))*(1+'Benzin - diesel - hybrid'!M$52)^-$C188</f>
        <v>0</v>
      </c>
      <c r="N188" s="318">
        <f>IF('Benzin - diesel - hybrid'!M$54="benzin",M143,IF('Benzin - diesel - hybrid'!M$54="diesel",M166,0))</f>
        <v>0</v>
      </c>
      <c r="O188" s="505">
        <f>P188*IF('Benzin - diesel - hybrid'!O$29="nej",0,IF('Benzin - diesel - hybrid'!O$37="ja",'Benzin - diesel - hybrid'!O$38,'Benzin - diesel - hybrid'!O$39))*(1+'Benzin - diesel - hybrid'!O$52)^-$C188</f>
        <v>0</v>
      </c>
      <c r="P188" s="318">
        <f>IF('Benzin - diesel - hybrid'!O$54="benzin",O143,IF('Benzin - diesel - hybrid'!O$54="diesel",O166,0))</f>
        <v>0</v>
      </c>
      <c r="Q188" s="505">
        <f>R188*IF('Benzin - diesel - hybrid'!Q$29="nej",0,IF('Benzin - diesel - hybrid'!Q$37="ja",'Benzin - diesel - hybrid'!Q$38,'Benzin - diesel - hybrid'!Q$39))*(1+'Benzin - diesel - hybrid'!Q$52)^-$C188</f>
        <v>0</v>
      </c>
      <c r="R188" s="318">
        <f>IF('Benzin - diesel - hybrid'!Q$54="benzin",Q143,IF('Benzin - diesel - hybrid'!Q$54="diesel",Q166,0))</f>
        <v>0</v>
      </c>
      <c r="S188" s="505">
        <f>T188*IF('Benzin - diesel - hybrid'!S$29="nej",0,IF('Benzin - diesel - hybrid'!S$37="ja",'Benzin - diesel - hybrid'!S$38,'Benzin - diesel - hybrid'!S$39))*(1+'Benzin - diesel - hybrid'!S$52)^-$C188</f>
        <v>0</v>
      </c>
      <c r="T188" s="318">
        <f>IF('Benzin - diesel - hybrid'!S$54="benzin",S143,IF('Benzin - diesel - hybrid'!S$54="diesel",S166,0))</f>
        <v>0</v>
      </c>
      <c r="U188" s="505">
        <f>V188*IF('Benzin - diesel - hybrid'!U$29="nej",0,IF('Benzin - diesel - hybrid'!U$37="ja",'Benzin - diesel - hybrid'!U$38,'Benzin - diesel - hybrid'!U$39))*(1+'Benzin - diesel - hybrid'!U$52)^-$C188</f>
        <v>0</v>
      </c>
      <c r="V188" s="318">
        <f>IF('Benzin - diesel - hybrid'!U$54="benzin",U143,IF('Benzin - diesel - hybrid'!U$54="diesel",U166,0))</f>
        <v>0</v>
      </c>
      <c r="W188" s="505">
        <f>X188*IF('Benzin - diesel - hybrid'!W$29="nej",0,IF('Benzin - diesel - hybrid'!W$37="ja",'Benzin - diesel - hybrid'!W$38,'Benzin - diesel - hybrid'!W$39))*(1+'Benzin - diesel - hybrid'!W$52)^-$C188</f>
        <v>0</v>
      </c>
      <c r="X188" s="318">
        <f>IF('Benzin - diesel - hybrid'!W$54="benzin",W143,IF('Benzin - diesel - hybrid'!W$54="diesel",W166,0))</f>
        <v>0</v>
      </c>
    </row>
    <row r="189" spans="1:24">
      <c r="A189" s="312"/>
      <c r="B189" s="306">
        <v>3</v>
      </c>
      <c r="C189" s="306">
        <f t="shared" si="11"/>
        <v>3</v>
      </c>
      <c r="D189" s="306"/>
      <c r="E189" s="505">
        <f>F189*IF('Benzin - diesel - hybrid'!E$29="nej",0,IF('Benzin - diesel - hybrid'!E$37="ja",'Benzin - diesel - hybrid'!E$38,'Benzin - diesel - hybrid'!E$39))*(1+'Benzin - diesel - hybrid'!E$52)^-$C189</f>
        <v>0</v>
      </c>
      <c r="F189" s="318">
        <f>IF('Benzin - diesel - hybrid'!E$54="benzin",E144,IF('Benzin - diesel - hybrid'!E$54="diesel",E167,0))</f>
        <v>0</v>
      </c>
      <c r="G189" s="505">
        <f>H189*IF('Benzin - diesel - hybrid'!G$29="nej",0,IF('Benzin - diesel - hybrid'!G$37="ja",'Benzin - diesel - hybrid'!G$38,'Benzin - diesel - hybrid'!G$39))*(1+'Benzin - diesel - hybrid'!G$52)^-$C189</f>
        <v>0</v>
      </c>
      <c r="H189" s="318">
        <f>IF('Benzin - diesel - hybrid'!G$54="benzin",G144,IF('Benzin - diesel - hybrid'!G$54="diesel",G167,0))</f>
        <v>0</v>
      </c>
      <c r="I189" s="505">
        <f>J189*IF('Benzin - diesel - hybrid'!I$29="nej",0,IF('Benzin - diesel - hybrid'!I$37="ja",'Benzin - diesel - hybrid'!I$38,'Benzin - diesel - hybrid'!I$39))*(1+'Benzin - diesel - hybrid'!I$52)^-$C189</f>
        <v>0</v>
      </c>
      <c r="J189" s="318">
        <f>IF('Benzin - diesel - hybrid'!I$54="benzin",I144,IF('Benzin - diesel - hybrid'!I$54="diesel",I167,0))</f>
        <v>0</v>
      </c>
      <c r="K189" s="505">
        <f>L189*IF('Benzin - diesel - hybrid'!K$29="nej",0,IF('Benzin - diesel - hybrid'!K$37="ja",'Benzin - diesel - hybrid'!K$38,'Benzin - diesel - hybrid'!K$39))*(1+'Benzin - diesel - hybrid'!K$52)^-$C189</f>
        <v>0</v>
      </c>
      <c r="L189" s="318">
        <f>IF('Benzin - diesel - hybrid'!K$54="benzin",K144,IF('Benzin - diesel - hybrid'!K$54="diesel",K167,0))</f>
        <v>0</v>
      </c>
      <c r="M189" s="505">
        <f>N189*IF('Benzin - diesel - hybrid'!M$29="nej",0,IF('Benzin - diesel - hybrid'!M$37="ja",'Benzin - diesel - hybrid'!M$38,'Benzin - diesel - hybrid'!M$39))*(1+'Benzin - diesel - hybrid'!M$52)^-$C189</f>
        <v>0</v>
      </c>
      <c r="N189" s="318">
        <f>IF('Benzin - diesel - hybrid'!M$54="benzin",M144,IF('Benzin - diesel - hybrid'!M$54="diesel",M167,0))</f>
        <v>0</v>
      </c>
      <c r="O189" s="505">
        <f>P189*IF('Benzin - diesel - hybrid'!O$29="nej",0,IF('Benzin - diesel - hybrid'!O$37="ja",'Benzin - diesel - hybrid'!O$38,'Benzin - diesel - hybrid'!O$39))*(1+'Benzin - diesel - hybrid'!O$52)^-$C189</f>
        <v>0</v>
      </c>
      <c r="P189" s="318">
        <f>IF('Benzin - diesel - hybrid'!O$54="benzin",O144,IF('Benzin - diesel - hybrid'!O$54="diesel",O167,0))</f>
        <v>0</v>
      </c>
      <c r="Q189" s="505">
        <f>R189*IF('Benzin - diesel - hybrid'!Q$29="nej",0,IF('Benzin - diesel - hybrid'!Q$37="ja",'Benzin - diesel - hybrid'!Q$38,'Benzin - diesel - hybrid'!Q$39))*(1+'Benzin - diesel - hybrid'!Q$52)^-$C189</f>
        <v>0</v>
      </c>
      <c r="R189" s="318">
        <f>IF('Benzin - diesel - hybrid'!Q$54="benzin",Q144,IF('Benzin - diesel - hybrid'!Q$54="diesel",Q167,0))</f>
        <v>0</v>
      </c>
      <c r="S189" s="505">
        <f>T189*IF('Benzin - diesel - hybrid'!S$29="nej",0,IF('Benzin - diesel - hybrid'!S$37="ja",'Benzin - diesel - hybrid'!S$38,'Benzin - diesel - hybrid'!S$39))*(1+'Benzin - diesel - hybrid'!S$52)^-$C189</f>
        <v>0</v>
      </c>
      <c r="T189" s="318">
        <f>IF('Benzin - diesel - hybrid'!S$54="benzin",S144,IF('Benzin - diesel - hybrid'!S$54="diesel",S167,0))</f>
        <v>0</v>
      </c>
      <c r="U189" s="505">
        <f>V189*IF('Benzin - diesel - hybrid'!U$29="nej",0,IF('Benzin - diesel - hybrid'!U$37="ja",'Benzin - diesel - hybrid'!U$38,'Benzin - diesel - hybrid'!U$39))*(1+'Benzin - diesel - hybrid'!U$52)^-$C189</f>
        <v>0</v>
      </c>
      <c r="V189" s="318">
        <f>IF('Benzin - diesel - hybrid'!U$54="benzin",U144,IF('Benzin - diesel - hybrid'!U$54="diesel",U167,0))</f>
        <v>0</v>
      </c>
      <c r="W189" s="505">
        <f>X189*IF('Benzin - diesel - hybrid'!W$29="nej",0,IF('Benzin - diesel - hybrid'!W$37="ja",'Benzin - diesel - hybrid'!W$38,'Benzin - diesel - hybrid'!W$39))*(1+'Benzin - diesel - hybrid'!W$52)^-$C189</f>
        <v>0</v>
      </c>
      <c r="X189" s="318">
        <f>IF('Benzin - diesel - hybrid'!W$54="benzin",W144,IF('Benzin - diesel - hybrid'!W$54="diesel",W167,0))</f>
        <v>0</v>
      </c>
    </row>
    <row r="190" spans="1:24">
      <c r="A190" s="312"/>
      <c r="B190" s="306">
        <v>4</v>
      </c>
      <c r="C190" s="306">
        <f t="shared" si="11"/>
        <v>4</v>
      </c>
      <c r="D190" s="306"/>
      <c r="E190" s="505">
        <f>F190*IF('Benzin - diesel - hybrid'!E$29="nej",0,IF('Benzin - diesel - hybrid'!E$37="ja",'Benzin - diesel - hybrid'!E$38,'Benzin - diesel - hybrid'!E$39))*(1+'Benzin - diesel - hybrid'!E$52)^-$C190</f>
        <v>0</v>
      </c>
      <c r="F190" s="318">
        <f>IF('Benzin - diesel - hybrid'!E$54="benzin",E145,IF('Benzin - diesel - hybrid'!E$54="diesel",E168,0))</f>
        <v>0</v>
      </c>
      <c r="G190" s="505">
        <f>H190*IF('Benzin - diesel - hybrid'!G$29="nej",0,IF('Benzin - diesel - hybrid'!G$37="ja",'Benzin - diesel - hybrid'!G$38,'Benzin - diesel - hybrid'!G$39))*(1+'Benzin - diesel - hybrid'!G$52)^-$C190</f>
        <v>0</v>
      </c>
      <c r="H190" s="318">
        <f>IF('Benzin - diesel - hybrid'!G$54="benzin",G145,IF('Benzin - diesel - hybrid'!G$54="diesel",G168,0))</f>
        <v>0</v>
      </c>
      <c r="I190" s="505">
        <f>J190*IF('Benzin - diesel - hybrid'!I$29="nej",0,IF('Benzin - diesel - hybrid'!I$37="ja",'Benzin - diesel - hybrid'!I$38,'Benzin - diesel - hybrid'!I$39))*(1+'Benzin - diesel - hybrid'!I$52)^-$C190</f>
        <v>0</v>
      </c>
      <c r="J190" s="318">
        <f>IF('Benzin - diesel - hybrid'!I$54="benzin",I145,IF('Benzin - diesel - hybrid'!I$54="diesel",I168,0))</f>
        <v>0</v>
      </c>
      <c r="K190" s="505">
        <f>L190*IF('Benzin - diesel - hybrid'!K$29="nej",0,IF('Benzin - diesel - hybrid'!K$37="ja",'Benzin - diesel - hybrid'!K$38,'Benzin - diesel - hybrid'!K$39))*(1+'Benzin - diesel - hybrid'!K$52)^-$C190</f>
        <v>0</v>
      </c>
      <c r="L190" s="318">
        <f>IF('Benzin - diesel - hybrid'!K$54="benzin",K145,IF('Benzin - diesel - hybrid'!K$54="diesel",K168,0))</f>
        <v>0</v>
      </c>
      <c r="M190" s="505">
        <f>N190*IF('Benzin - diesel - hybrid'!M$29="nej",0,IF('Benzin - diesel - hybrid'!M$37="ja",'Benzin - diesel - hybrid'!M$38,'Benzin - diesel - hybrid'!M$39))*(1+'Benzin - diesel - hybrid'!M$52)^-$C190</f>
        <v>0</v>
      </c>
      <c r="N190" s="318">
        <f>IF('Benzin - diesel - hybrid'!M$54="benzin",M145,IF('Benzin - diesel - hybrid'!M$54="diesel",M168,0))</f>
        <v>0</v>
      </c>
      <c r="O190" s="505">
        <f>P190*IF('Benzin - diesel - hybrid'!O$29="nej",0,IF('Benzin - diesel - hybrid'!O$37="ja",'Benzin - diesel - hybrid'!O$38,'Benzin - diesel - hybrid'!O$39))*(1+'Benzin - diesel - hybrid'!O$52)^-$C190</f>
        <v>0</v>
      </c>
      <c r="P190" s="318">
        <f>IF('Benzin - diesel - hybrid'!O$54="benzin",O145,IF('Benzin - diesel - hybrid'!O$54="diesel",O168,0))</f>
        <v>0</v>
      </c>
      <c r="Q190" s="505">
        <f>R190*IF('Benzin - diesel - hybrid'!Q$29="nej",0,IF('Benzin - diesel - hybrid'!Q$37="ja",'Benzin - diesel - hybrid'!Q$38,'Benzin - diesel - hybrid'!Q$39))*(1+'Benzin - diesel - hybrid'!Q$52)^-$C190</f>
        <v>0</v>
      </c>
      <c r="R190" s="318">
        <f>IF('Benzin - diesel - hybrid'!Q$54="benzin",Q145,IF('Benzin - diesel - hybrid'!Q$54="diesel",Q168,0))</f>
        <v>0</v>
      </c>
      <c r="S190" s="505">
        <f>T190*IF('Benzin - diesel - hybrid'!S$29="nej",0,IF('Benzin - diesel - hybrid'!S$37="ja",'Benzin - diesel - hybrid'!S$38,'Benzin - diesel - hybrid'!S$39))*(1+'Benzin - diesel - hybrid'!S$52)^-$C190</f>
        <v>0</v>
      </c>
      <c r="T190" s="318">
        <f>IF('Benzin - diesel - hybrid'!S$54="benzin",S145,IF('Benzin - diesel - hybrid'!S$54="diesel",S168,0))</f>
        <v>0</v>
      </c>
      <c r="U190" s="505">
        <f>V190*IF('Benzin - diesel - hybrid'!U$29="nej",0,IF('Benzin - diesel - hybrid'!U$37="ja",'Benzin - diesel - hybrid'!U$38,'Benzin - diesel - hybrid'!U$39))*(1+'Benzin - diesel - hybrid'!U$52)^-$C190</f>
        <v>0</v>
      </c>
      <c r="V190" s="318">
        <f>IF('Benzin - diesel - hybrid'!U$54="benzin",U145,IF('Benzin - diesel - hybrid'!U$54="diesel",U168,0))</f>
        <v>0</v>
      </c>
      <c r="W190" s="505">
        <f>X190*IF('Benzin - diesel - hybrid'!W$29="nej",0,IF('Benzin - diesel - hybrid'!W$37="ja",'Benzin - diesel - hybrid'!W$38,'Benzin - diesel - hybrid'!W$39))*(1+'Benzin - diesel - hybrid'!W$52)^-$C190</f>
        <v>0</v>
      </c>
      <c r="X190" s="318">
        <f>IF('Benzin - diesel - hybrid'!W$54="benzin",W145,IF('Benzin - diesel - hybrid'!W$54="diesel",W168,0))</f>
        <v>0</v>
      </c>
    </row>
    <row r="191" spans="1:24">
      <c r="A191" s="312"/>
      <c r="B191" s="306">
        <v>5</v>
      </c>
      <c r="C191" s="306">
        <f t="shared" si="11"/>
        <v>5</v>
      </c>
      <c r="D191" s="306"/>
      <c r="E191" s="505">
        <f>F191*IF('Benzin - diesel - hybrid'!E$29="nej",0,IF('Benzin - diesel - hybrid'!E$37="ja",'Benzin - diesel - hybrid'!E$38,'Benzin - diesel - hybrid'!E$39))*(1+'Benzin - diesel - hybrid'!E$52)^-$C191</f>
        <v>0</v>
      </c>
      <c r="F191" s="318">
        <f>IF('Benzin - diesel - hybrid'!E$54="benzin",E146,IF('Benzin - diesel - hybrid'!E$54="diesel",E169,0))</f>
        <v>0</v>
      </c>
      <c r="G191" s="505">
        <f>H191*IF('Benzin - diesel - hybrid'!G$29="nej",0,IF('Benzin - diesel - hybrid'!G$37="ja",'Benzin - diesel - hybrid'!G$38,'Benzin - diesel - hybrid'!G$39))*(1+'Benzin - diesel - hybrid'!G$52)^-$C191</f>
        <v>0</v>
      </c>
      <c r="H191" s="318">
        <f>IF('Benzin - diesel - hybrid'!G$54="benzin",G146,IF('Benzin - diesel - hybrid'!G$54="diesel",G169,0))</f>
        <v>0</v>
      </c>
      <c r="I191" s="505">
        <f>J191*IF('Benzin - diesel - hybrid'!I$29="nej",0,IF('Benzin - diesel - hybrid'!I$37="ja",'Benzin - diesel - hybrid'!I$38,'Benzin - diesel - hybrid'!I$39))*(1+'Benzin - diesel - hybrid'!I$52)^-$C191</f>
        <v>0</v>
      </c>
      <c r="J191" s="318">
        <f>IF('Benzin - diesel - hybrid'!I$54="benzin",I146,IF('Benzin - diesel - hybrid'!I$54="diesel",I169,0))</f>
        <v>0</v>
      </c>
      <c r="K191" s="505">
        <f>L191*IF('Benzin - diesel - hybrid'!K$29="nej",0,IF('Benzin - diesel - hybrid'!K$37="ja",'Benzin - diesel - hybrid'!K$38,'Benzin - diesel - hybrid'!K$39))*(1+'Benzin - diesel - hybrid'!K$52)^-$C191</f>
        <v>0</v>
      </c>
      <c r="L191" s="318">
        <f>IF('Benzin - diesel - hybrid'!K$54="benzin",K146,IF('Benzin - diesel - hybrid'!K$54="diesel",K169,0))</f>
        <v>0</v>
      </c>
      <c r="M191" s="505">
        <f>N191*IF('Benzin - diesel - hybrid'!M$29="nej",0,IF('Benzin - diesel - hybrid'!M$37="ja",'Benzin - diesel - hybrid'!M$38,'Benzin - diesel - hybrid'!M$39))*(1+'Benzin - diesel - hybrid'!M$52)^-$C191</f>
        <v>0</v>
      </c>
      <c r="N191" s="318">
        <f>IF('Benzin - diesel - hybrid'!M$54="benzin",M146,IF('Benzin - diesel - hybrid'!M$54="diesel",M169,0))</f>
        <v>0</v>
      </c>
      <c r="O191" s="505">
        <f>P191*IF('Benzin - diesel - hybrid'!O$29="nej",0,IF('Benzin - diesel - hybrid'!O$37="ja",'Benzin - diesel - hybrid'!O$38,'Benzin - diesel - hybrid'!O$39))*(1+'Benzin - diesel - hybrid'!O$52)^-$C191</f>
        <v>0</v>
      </c>
      <c r="P191" s="318">
        <f>IF('Benzin - diesel - hybrid'!O$54="benzin",O146,IF('Benzin - diesel - hybrid'!O$54="diesel",O169,0))</f>
        <v>0</v>
      </c>
      <c r="Q191" s="505">
        <f>R191*IF('Benzin - diesel - hybrid'!Q$29="nej",0,IF('Benzin - diesel - hybrid'!Q$37="ja",'Benzin - diesel - hybrid'!Q$38,'Benzin - diesel - hybrid'!Q$39))*(1+'Benzin - diesel - hybrid'!Q$52)^-$C191</f>
        <v>0</v>
      </c>
      <c r="R191" s="318">
        <f>IF('Benzin - diesel - hybrid'!Q$54="benzin",Q146,IF('Benzin - diesel - hybrid'!Q$54="diesel",Q169,0))</f>
        <v>0</v>
      </c>
      <c r="S191" s="505">
        <f>T191*IF('Benzin - diesel - hybrid'!S$29="nej",0,IF('Benzin - diesel - hybrid'!S$37="ja",'Benzin - diesel - hybrid'!S$38,'Benzin - diesel - hybrid'!S$39))*(1+'Benzin - diesel - hybrid'!S$52)^-$C191</f>
        <v>0</v>
      </c>
      <c r="T191" s="318">
        <f>IF('Benzin - diesel - hybrid'!S$54="benzin",S146,IF('Benzin - diesel - hybrid'!S$54="diesel",S169,0))</f>
        <v>0</v>
      </c>
      <c r="U191" s="505">
        <f>V191*IF('Benzin - diesel - hybrid'!U$29="nej",0,IF('Benzin - diesel - hybrid'!U$37="ja",'Benzin - diesel - hybrid'!U$38,'Benzin - diesel - hybrid'!U$39))*(1+'Benzin - diesel - hybrid'!U$52)^-$C191</f>
        <v>0</v>
      </c>
      <c r="V191" s="318">
        <f>IF('Benzin - diesel - hybrid'!U$54="benzin",U146,IF('Benzin - diesel - hybrid'!U$54="diesel",U169,0))</f>
        <v>0</v>
      </c>
      <c r="W191" s="505">
        <f>X191*IF('Benzin - diesel - hybrid'!W$29="nej",0,IF('Benzin - diesel - hybrid'!W$37="ja",'Benzin - diesel - hybrid'!W$38,'Benzin - diesel - hybrid'!W$39))*(1+'Benzin - diesel - hybrid'!W$52)^-$C191</f>
        <v>0</v>
      </c>
      <c r="X191" s="318">
        <f>IF('Benzin - diesel - hybrid'!W$54="benzin",W146,IF('Benzin - diesel - hybrid'!W$54="diesel",W169,0))</f>
        <v>0</v>
      </c>
    </row>
    <row r="192" spans="1:24">
      <c r="A192" s="312"/>
      <c r="B192" s="306">
        <v>6</v>
      </c>
      <c r="C192" s="306">
        <f t="shared" si="11"/>
        <v>6</v>
      </c>
      <c r="D192" s="306"/>
      <c r="E192" s="505">
        <f>F192*IF('Benzin - diesel - hybrid'!E$29="nej",0,IF('Benzin - diesel - hybrid'!E$37="ja",'Benzin - diesel - hybrid'!E$38,'Benzin - diesel - hybrid'!E$39))*(1+'Benzin - diesel - hybrid'!E$52)^-$C192</f>
        <v>0</v>
      </c>
      <c r="F192" s="318">
        <f>IF('Benzin - diesel - hybrid'!E$54="benzin",E147,IF('Benzin - diesel - hybrid'!E$54="diesel",E170,0))</f>
        <v>0</v>
      </c>
      <c r="G192" s="505">
        <f>H192*IF('Benzin - diesel - hybrid'!G$29="nej",0,IF('Benzin - diesel - hybrid'!G$37="ja",'Benzin - diesel - hybrid'!G$38,'Benzin - diesel - hybrid'!G$39))*(1+'Benzin - diesel - hybrid'!G$52)^-$C192</f>
        <v>0</v>
      </c>
      <c r="H192" s="318">
        <f>IF('Benzin - diesel - hybrid'!G$54="benzin",G147,IF('Benzin - diesel - hybrid'!G$54="diesel",G170,0))</f>
        <v>0</v>
      </c>
      <c r="I192" s="505">
        <f>J192*IF('Benzin - diesel - hybrid'!I$29="nej",0,IF('Benzin - diesel - hybrid'!I$37="ja",'Benzin - diesel - hybrid'!I$38,'Benzin - diesel - hybrid'!I$39))*(1+'Benzin - diesel - hybrid'!I$52)^-$C192</f>
        <v>0</v>
      </c>
      <c r="J192" s="318">
        <f>IF('Benzin - diesel - hybrid'!I$54="benzin",I147,IF('Benzin - diesel - hybrid'!I$54="diesel",I170,0))</f>
        <v>0</v>
      </c>
      <c r="K192" s="505">
        <f>L192*IF('Benzin - diesel - hybrid'!K$29="nej",0,IF('Benzin - diesel - hybrid'!K$37="ja",'Benzin - diesel - hybrid'!K$38,'Benzin - diesel - hybrid'!K$39))*(1+'Benzin - diesel - hybrid'!K$52)^-$C192</f>
        <v>0</v>
      </c>
      <c r="L192" s="318">
        <f>IF('Benzin - diesel - hybrid'!K$54="benzin",K147,IF('Benzin - diesel - hybrid'!K$54="diesel",K170,0))</f>
        <v>0</v>
      </c>
      <c r="M192" s="505">
        <f>N192*IF('Benzin - diesel - hybrid'!M$29="nej",0,IF('Benzin - diesel - hybrid'!M$37="ja",'Benzin - diesel - hybrid'!M$38,'Benzin - diesel - hybrid'!M$39))*(1+'Benzin - diesel - hybrid'!M$52)^-$C192</f>
        <v>0</v>
      </c>
      <c r="N192" s="318">
        <f>IF('Benzin - diesel - hybrid'!M$54="benzin",M147,IF('Benzin - diesel - hybrid'!M$54="diesel",M170,0))</f>
        <v>0</v>
      </c>
      <c r="O192" s="505">
        <f>P192*IF('Benzin - diesel - hybrid'!O$29="nej",0,IF('Benzin - diesel - hybrid'!O$37="ja",'Benzin - diesel - hybrid'!O$38,'Benzin - diesel - hybrid'!O$39))*(1+'Benzin - diesel - hybrid'!O$52)^-$C192</f>
        <v>0</v>
      </c>
      <c r="P192" s="318">
        <f>IF('Benzin - diesel - hybrid'!O$54="benzin",O147,IF('Benzin - diesel - hybrid'!O$54="diesel",O170,0))</f>
        <v>0</v>
      </c>
      <c r="Q192" s="505">
        <f>R192*IF('Benzin - diesel - hybrid'!Q$29="nej",0,IF('Benzin - diesel - hybrid'!Q$37="ja",'Benzin - diesel - hybrid'!Q$38,'Benzin - diesel - hybrid'!Q$39))*(1+'Benzin - diesel - hybrid'!Q$52)^-$C192</f>
        <v>0</v>
      </c>
      <c r="R192" s="318">
        <f>IF('Benzin - diesel - hybrid'!Q$54="benzin",Q147,IF('Benzin - diesel - hybrid'!Q$54="diesel",Q170,0))</f>
        <v>0</v>
      </c>
      <c r="S192" s="505">
        <f>T192*IF('Benzin - diesel - hybrid'!S$29="nej",0,IF('Benzin - diesel - hybrid'!S$37="ja",'Benzin - diesel - hybrid'!S$38,'Benzin - diesel - hybrid'!S$39))*(1+'Benzin - diesel - hybrid'!S$52)^-$C192</f>
        <v>0</v>
      </c>
      <c r="T192" s="318">
        <f>IF('Benzin - diesel - hybrid'!S$54="benzin",S147,IF('Benzin - diesel - hybrid'!S$54="diesel",S170,0))</f>
        <v>0</v>
      </c>
      <c r="U192" s="505">
        <f>V192*IF('Benzin - diesel - hybrid'!U$29="nej",0,IF('Benzin - diesel - hybrid'!U$37="ja",'Benzin - diesel - hybrid'!U$38,'Benzin - diesel - hybrid'!U$39))*(1+'Benzin - diesel - hybrid'!U$52)^-$C192</f>
        <v>0</v>
      </c>
      <c r="V192" s="318">
        <f>IF('Benzin - diesel - hybrid'!U$54="benzin",U147,IF('Benzin - diesel - hybrid'!U$54="diesel",U170,0))</f>
        <v>0</v>
      </c>
      <c r="W192" s="505">
        <f>X192*IF('Benzin - diesel - hybrid'!W$29="nej",0,IF('Benzin - diesel - hybrid'!W$37="ja",'Benzin - diesel - hybrid'!W$38,'Benzin - diesel - hybrid'!W$39))*(1+'Benzin - diesel - hybrid'!W$52)^-$C192</f>
        <v>0</v>
      </c>
      <c r="X192" s="318">
        <f>IF('Benzin - diesel - hybrid'!W$54="benzin",W147,IF('Benzin - diesel - hybrid'!W$54="diesel",W170,0))</f>
        <v>0</v>
      </c>
    </row>
    <row r="193" spans="1:24">
      <c r="A193" s="312"/>
      <c r="B193" s="306">
        <v>7</v>
      </c>
      <c r="C193" s="306">
        <f t="shared" si="11"/>
        <v>7</v>
      </c>
      <c r="D193" s="306"/>
      <c r="E193" s="505">
        <f>F193*IF('Benzin - diesel - hybrid'!E$29="nej",0,IF('Benzin - diesel - hybrid'!E$37="ja",'Benzin - diesel - hybrid'!E$38,'Benzin - diesel - hybrid'!E$39))*(1+'Benzin - diesel - hybrid'!E$52)^-$C193</f>
        <v>0</v>
      </c>
      <c r="F193" s="318">
        <f>IF('Benzin - diesel - hybrid'!E$54="benzin",E148,IF('Benzin - diesel - hybrid'!E$54="diesel",E171,0))</f>
        <v>0</v>
      </c>
      <c r="G193" s="505">
        <f>H193*IF('Benzin - diesel - hybrid'!G$29="nej",0,IF('Benzin - diesel - hybrid'!G$37="ja",'Benzin - diesel - hybrid'!G$38,'Benzin - diesel - hybrid'!G$39))*(1+'Benzin - diesel - hybrid'!G$52)^-$C193</f>
        <v>0</v>
      </c>
      <c r="H193" s="318">
        <f>IF('Benzin - diesel - hybrid'!G$54="benzin",G148,IF('Benzin - diesel - hybrid'!G$54="diesel",G171,0))</f>
        <v>0</v>
      </c>
      <c r="I193" s="505">
        <f>J193*IF('Benzin - diesel - hybrid'!I$29="nej",0,IF('Benzin - diesel - hybrid'!I$37="ja",'Benzin - diesel - hybrid'!I$38,'Benzin - diesel - hybrid'!I$39))*(1+'Benzin - diesel - hybrid'!I$52)^-$C193</f>
        <v>0</v>
      </c>
      <c r="J193" s="318">
        <f>IF('Benzin - diesel - hybrid'!I$54="benzin",I148,IF('Benzin - diesel - hybrid'!I$54="diesel",I171,0))</f>
        <v>0</v>
      </c>
      <c r="K193" s="505">
        <f>L193*IF('Benzin - diesel - hybrid'!K$29="nej",0,IF('Benzin - diesel - hybrid'!K$37="ja",'Benzin - diesel - hybrid'!K$38,'Benzin - diesel - hybrid'!K$39))*(1+'Benzin - diesel - hybrid'!K$52)^-$C193</f>
        <v>0</v>
      </c>
      <c r="L193" s="318">
        <f>IF('Benzin - diesel - hybrid'!K$54="benzin",K148,IF('Benzin - diesel - hybrid'!K$54="diesel",K171,0))</f>
        <v>0</v>
      </c>
      <c r="M193" s="505">
        <f>N193*IF('Benzin - diesel - hybrid'!M$29="nej",0,IF('Benzin - diesel - hybrid'!M$37="ja",'Benzin - diesel - hybrid'!M$38,'Benzin - diesel - hybrid'!M$39))*(1+'Benzin - diesel - hybrid'!M$52)^-$C193</f>
        <v>0</v>
      </c>
      <c r="N193" s="318">
        <f>IF('Benzin - diesel - hybrid'!M$54="benzin",M148,IF('Benzin - diesel - hybrid'!M$54="diesel",M171,0))</f>
        <v>0</v>
      </c>
      <c r="O193" s="505">
        <f>P193*IF('Benzin - diesel - hybrid'!O$29="nej",0,IF('Benzin - diesel - hybrid'!O$37="ja",'Benzin - diesel - hybrid'!O$38,'Benzin - diesel - hybrid'!O$39))*(1+'Benzin - diesel - hybrid'!O$52)^-$C193</f>
        <v>0</v>
      </c>
      <c r="P193" s="318">
        <f>IF('Benzin - diesel - hybrid'!O$54="benzin",O148,IF('Benzin - diesel - hybrid'!O$54="diesel",O171,0))</f>
        <v>0</v>
      </c>
      <c r="Q193" s="505">
        <f>R193*IF('Benzin - diesel - hybrid'!Q$29="nej",0,IF('Benzin - diesel - hybrid'!Q$37="ja",'Benzin - diesel - hybrid'!Q$38,'Benzin - diesel - hybrid'!Q$39))*(1+'Benzin - diesel - hybrid'!Q$52)^-$C193</f>
        <v>0</v>
      </c>
      <c r="R193" s="318">
        <f>IF('Benzin - diesel - hybrid'!Q$54="benzin",Q148,IF('Benzin - diesel - hybrid'!Q$54="diesel",Q171,0))</f>
        <v>0</v>
      </c>
      <c r="S193" s="505">
        <f>T193*IF('Benzin - diesel - hybrid'!S$29="nej",0,IF('Benzin - diesel - hybrid'!S$37="ja",'Benzin - diesel - hybrid'!S$38,'Benzin - diesel - hybrid'!S$39))*(1+'Benzin - diesel - hybrid'!S$52)^-$C193</f>
        <v>0</v>
      </c>
      <c r="T193" s="318">
        <f>IF('Benzin - diesel - hybrid'!S$54="benzin",S148,IF('Benzin - diesel - hybrid'!S$54="diesel",S171,0))</f>
        <v>0</v>
      </c>
      <c r="U193" s="505">
        <f>V193*IF('Benzin - diesel - hybrid'!U$29="nej",0,IF('Benzin - diesel - hybrid'!U$37="ja",'Benzin - diesel - hybrid'!U$38,'Benzin - diesel - hybrid'!U$39))*(1+'Benzin - diesel - hybrid'!U$52)^-$C193</f>
        <v>0</v>
      </c>
      <c r="V193" s="318">
        <f>IF('Benzin - diesel - hybrid'!U$54="benzin",U148,IF('Benzin - diesel - hybrid'!U$54="diesel",U171,0))</f>
        <v>0</v>
      </c>
      <c r="W193" s="505">
        <f>X193*IF('Benzin - diesel - hybrid'!W$29="nej",0,IF('Benzin - diesel - hybrid'!W$37="ja",'Benzin - diesel - hybrid'!W$38,'Benzin - diesel - hybrid'!W$39))*(1+'Benzin - diesel - hybrid'!W$52)^-$C193</f>
        <v>0</v>
      </c>
      <c r="X193" s="318">
        <f>IF('Benzin - diesel - hybrid'!W$54="benzin",W148,IF('Benzin - diesel - hybrid'!W$54="diesel",W171,0))</f>
        <v>0</v>
      </c>
    </row>
    <row r="194" spans="1:24">
      <c r="A194" s="312"/>
      <c r="B194" s="306">
        <v>8</v>
      </c>
      <c r="C194" s="306">
        <f t="shared" si="11"/>
        <v>8</v>
      </c>
      <c r="D194" s="306"/>
      <c r="E194" s="505">
        <f>F194*IF('Benzin - diesel - hybrid'!E$29="nej",0,IF('Benzin - diesel - hybrid'!E$37="ja",'Benzin - diesel - hybrid'!E$38,'Benzin - diesel - hybrid'!E$39))*(1+'Benzin - diesel - hybrid'!E$52)^-$C194</f>
        <v>0</v>
      </c>
      <c r="F194" s="318">
        <f>IF('Benzin - diesel - hybrid'!E$54="benzin",E149,IF('Benzin - diesel - hybrid'!E$54="diesel",E172,0))</f>
        <v>0</v>
      </c>
      <c r="G194" s="505">
        <f>H194*IF('Benzin - diesel - hybrid'!G$29="nej",0,IF('Benzin - diesel - hybrid'!G$37="ja",'Benzin - diesel - hybrid'!G$38,'Benzin - diesel - hybrid'!G$39))*(1+'Benzin - diesel - hybrid'!G$52)^-$C194</f>
        <v>0</v>
      </c>
      <c r="H194" s="318">
        <f>IF('Benzin - diesel - hybrid'!G$54="benzin",G149,IF('Benzin - diesel - hybrid'!G$54="diesel",G172,0))</f>
        <v>0</v>
      </c>
      <c r="I194" s="505">
        <f>J194*IF('Benzin - diesel - hybrid'!I$29="nej",0,IF('Benzin - diesel - hybrid'!I$37="ja",'Benzin - diesel - hybrid'!I$38,'Benzin - diesel - hybrid'!I$39))*(1+'Benzin - diesel - hybrid'!I$52)^-$C194</f>
        <v>0</v>
      </c>
      <c r="J194" s="318">
        <f>IF('Benzin - diesel - hybrid'!I$54="benzin",I149,IF('Benzin - diesel - hybrid'!I$54="diesel",I172,0))</f>
        <v>0</v>
      </c>
      <c r="K194" s="505">
        <f>L194*IF('Benzin - diesel - hybrid'!K$29="nej",0,IF('Benzin - diesel - hybrid'!K$37="ja",'Benzin - diesel - hybrid'!K$38,'Benzin - diesel - hybrid'!K$39))*(1+'Benzin - diesel - hybrid'!K$52)^-$C194</f>
        <v>0</v>
      </c>
      <c r="L194" s="318">
        <f>IF('Benzin - diesel - hybrid'!K$54="benzin",K149,IF('Benzin - diesel - hybrid'!K$54="diesel",K172,0))</f>
        <v>0</v>
      </c>
      <c r="M194" s="505">
        <f>N194*IF('Benzin - diesel - hybrid'!M$29="nej",0,IF('Benzin - diesel - hybrid'!M$37="ja",'Benzin - diesel - hybrid'!M$38,'Benzin - diesel - hybrid'!M$39))*(1+'Benzin - diesel - hybrid'!M$52)^-$C194</f>
        <v>0</v>
      </c>
      <c r="N194" s="318">
        <f>IF('Benzin - diesel - hybrid'!M$54="benzin",M149,IF('Benzin - diesel - hybrid'!M$54="diesel",M172,0))</f>
        <v>0</v>
      </c>
      <c r="O194" s="505">
        <f>P194*IF('Benzin - diesel - hybrid'!O$29="nej",0,IF('Benzin - diesel - hybrid'!O$37="ja",'Benzin - diesel - hybrid'!O$38,'Benzin - diesel - hybrid'!O$39))*(1+'Benzin - diesel - hybrid'!O$52)^-$C194</f>
        <v>0</v>
      </c>
      <c r="P194" s="318">
        <f>IF('Benzin - diesel - hybrid'!O$54="benzin",O149,IF('Benzin - diesel - hybrid'!O$54="diesel",O172,0))</f>
        <v>0</v>
      </c>
      <c r="Q194" s="505">
        <f>R194*IF('Benzin - diesel - hybrid'!Q$29="nej",0,IF('Benzin - diesel - hybrid'!Q$37="ja",'Benzin - diesel - hybrid'!Q$38,'Benzin - diesel - hybrid'!Q$39))*(1+'Benzin - diesel - hybrid'!Q$52)^-$C194</f>
        <v>0</v>
      </c>
      <c r="R194" s="318">
        <f>IF('Benzin - diesel - hybrid'!Q$54="benzin",Q149,IF('Benzin - diesel - hybrid'!Q$54="diesel",Q172,0))</f>
        <v>0</v>
      </c>
      <c r="S194" s="505">
        <f>T194*IF('Benzin - diesel - hybrid'!S$29="nej",0,IF('Benzin - diesel - hybrid'!S$37="ja",'Benzin - diesel - hybrid'!S$38,'Benzin - diesel - hybrid'!S$39))*(1+'Benzin - diesel - hybrid'!S$52)^-$C194</f>
        <v>0</v>
      </c>
      <c r="T194" s="318">
        <f>IF('Benzin - diesel - hybrid'!S$54="benzin",S149,IF('Benzin - diesel - hybrid'!S$54="diesel",S172,0))</f>
        <v>0</v>
      </c>
      <c r="U194" s="505">
        <f>V194*IF('Benzin - diesel - hybrid'!U$29="nej",0,IF('Benzin - diesel - hybrid'!U$37="ja",'Benzin - diesel - hybrid'!U$38,'Benzin - diesel - hybrid'!U$39))*(1+'Benzin - diesel - hybrid'!U$52)^-$C194</f>
        <v>0</v>
      </c>
      <c r="V194" s="318">
        <f>IF('Benzin - diesel - hybrid'!U$54="benzin",U149,IF('Benzin - diesel - hybrid'!U$54="diesel",U172,0))</f>
        <v>0</v>
      </c>
      <c r="W194" s="505">
        <f>X194*IF('Benzin - diesel - hybrid'!W$29="nej",0,IF('Benzin - diesel - hybrid'!W$37="ja",'Benzin - diesel - hybrid'!W$38,'Benzin - diesel - hybrid'!W$39))*(1+'Benzin - diesel - hybrid'!W$52)^-$C194</f>
        <v>0</v>
      </c>
      <c r="X194" s="318">
        <f>IF('Benzin - diesel - hybrid'!W$54="benzin",W149,IF('Benzin - diesel - hybrid'!W$54="diesel",W172,0))</f>
        <v>0</v>
      </c>
    </row>
    <row r="195" spans="1:24">
      <c r="A195" s="312"/>
      <c r="B195" s="306">
        <v>9</v>
      </c>
      <c r="C195" s="306">
        <f t="shared" si="11"/>
        <v>9</v>
      </c>
      <c r="D195" s="306"/>
      <c r="E195" s="505">
        <f>F195*IF('Benzin - diesel - hybrid'!E$29="nej",0,IF('Benzin - diesel - hybrid'!E$37="ja",'Benzin - diesel - hybrid'!E$38,'Benzin - diesel - hybrid'!E$39))*(1+'Benzin - diesel - hybrid'!E$52)^-$C195</f>
        <v>0</v>
      </c>
      <c r="F195" s="318">
        <f>IF('Benzin - diesel - hybrid'!E$54="benzin",E150,IF('Benzin - diesel - hybrid'!E$54="diesel",E173,0))</f>
        <v>0</v>
      </c>
      <c r="G195" s="505">
        <f>H195*IF('Benzin - diesel - hybrid'!G$29="nej",0,IF('Benzin - diesel - hybrid'!G$37="ja",'Benzin - diesel - hybrid'!G$38,'Benzin - diesel - hybrid'!G$39))*(1+'Benzin - diesel - hybrid'!G$52)^-$C195</f>
        <v>0</v>
      </c>
      <c r="H195" s="318">
        <f>IF('Benzin - diesel - hybrid'!G$54="benzin",G150,IF('Benzin - diesel - hybrid'!G$54="diesel",G173,0))</f>
        <v>0</v>
      </c>
      <c r="I195" s="505">
        <f>J195*IF('Benzin - diesel - hybrid'!I$29="nej",0,IF('Benzin - diesel - hybrid'!I$37="ja",'Benzin - diesel - hybrid'!I$38,'Benzin - diesel - hybrid'!I$39))*(1+'Benzin - diesel - hybrid'!I$52)^-$C195</f>
        <v>0</v>
      </c>
      <c r="J195" s="318">
        <f>IF('Benzin - diesel - hybrid'!I$54="benzin",I150,IF('Benzin - diesel - hybrid'!I$54="diesel",I173,0))</f>
        <v>0</v>
      </c>
      <c r="K195" s="505">
        <f>L195*IF('Benzin - diesel - hybrid'!K$29="nej",0,IF('Benzin - diesel - hybrid'!K$37="ja",'Benzin - diesel - hybrid'!K$38,'Benzin - diesel - hybrid'!K$39))*(1+'Benzin - diesel - hybrid'!K$52)^-$C195</f>
        <v>0</v>
      </c>
      <c r="L195" s="318">
        <f>IF('Benzin - diesel - hybrid'!K$54="benzin",K150,IF('Benzin - diesel - hybrid'!K$54="diesel",K173,0))</f>
        <v>0</v>
      </c>
      <c r="M195" s="505">
        <f>N195*IF('Benzin - diesel - hybrid'!M$29="nej",0,IF('Benzin - diesel - hybrid'!M$37="ja",'Benzin - diesel - hybrid'!M$38,'Benzin - diesel - hybrid'!M$39))*(1+'Benzin - diesel - hybrid'!M$52)^-$C195</f>
        <v>0</v>
      </c>
      <c r="N195" s="318">
        <f>IF('Benzin - diesel - hybrid'!M$54="benzin",M150,IF('Benzin - diesel - hybrid'!M$54="diesel",M173,0))</f>
        <v>0</v>
      </c>
      <c r="O195" s="505">
        <f>P195*IF('Benzin - diesel - hybrid'!O$29="nej",0,IF('Benzin - diesel - hybrid'!O$37="ja",'Benzin - diesel - hybrid'!O$38,'Benzin - diesel - hybrid'!O$39))*(1+'Benzin - diesel - hybrid'!O$52)^-$C195</f>
        <v>0</v>
      </c>
      <c r="P195" s="318">
        <f>IF('Benzin - diesel - hybrid'!O$54="benzin",O150,IF('Benzin - diesel - hybrid'!O$54="diesel",O173,0))</f>
        <v>0</v>
      </c>
      <c r="Q195" s="505">
        <f>R195*IF('Benzin - diesel - hybrid'!Q$29="nej",0,IF('Benzin - diesel - hybrid'!Q$37="ja",'Benzin - diesel - hybrid'!Q$38,'Benzin - diesel - hybrid'!Q$39))*(1+'Benzin - diesel - hybrid'!Q$52)^-$C195</f>
        <v>0</v>
      </c>
      <c r="R195" s="318">
        <f>IF('Benzin - diesel - hybrid'!Q$54="benzin",Q150,IF('Benzin - diesel - hybrid'!Q$54="diesel",Q173,0))</f>
        <v>0</v>
      </c>
      <c r="S195" s="505">
        <f>T195*IF('Benzin - diesel - hybrid'!S$29="nej",0,IF('Benzin - diesel - hybrid'!S$37="ja",'Benzin - diesel - hybrid'!S$38,'Benzin - diesel - hybrid'!S$39))*(1+'Benzin - diesel - hybrid'!S$52)^-$C195</f>
        <v>0</v>
      </c>
      <c r="T195" s="318">
        <f>IF('Benzin - diesel - hybrid'!S$54="benzin",S150,IF('Benzin - diesel - hybrid'!S$54="diesel",S173,0))</f>
        <v>0</v>
      </c>
      <c r="U195" s="505">
        <f>V195*IF('Benzin - diesel - hybrid'!U$29="nej",0,IF('Benzin - diesel - hybrid'!U$37="ja",'Benzin - diesel - hybrid'!U$38,'Benzin - diesel - hybrid'!U$39))*(1+'Benzin - diesel - hybrid'!U$52)^-$C195</f>
        <v>0</v>
      </c>
      <c r="V195" s="318">
        <f>IF('Benzin - diesel - hybrid'!U$54="benzin",U150,IF('Benzin - diesel - hybrid'!U$54="diesel",U173,0))</f>
        <v>0</v>
      </c>
      <c r="W195" s="505">
        <f>X195*IF('Benzin - diesel - hybrid'!W$29="nej",0,IF('Benzin - diesel - hybrid'!W$37="ja",'Benzin - diesel - hybrid'!W$38,'Benzin - diesel - hybrid'!W$39))*(1+'Benzin - diesel - hybrid'!W$52)^-$C195</f>
        <v>0</v>
      </c>
      <c r="X195" s="318">
        <f>IF('Benzin - diesel - hybrid'!W$54="benzin",W150,IF('Benzin - diesel - hybrid'!W$54="diesel",W173,0))</f>
        <v>0</v>
      </c>
    </row>
    <row r="196" spans="1:24">
      <c r="A196" s="312"/>
      <c r="B196" s="306">
        <v>10</v>
      </c>
      <c r="C196" s="306">
        <f t="shared" si="11"/>
        <v>10</v>
      </c>
      <c r="D196" s="306"/>
      <c r="E196" s="505">
        <f>F196*IF('Benzin - diesel - hybrid'!E$29="nej",0,IF('Benzin - diesel - hybrid'!E$37="ja",'Benzin - diesel - hybrid'!E$38,'Benzin - diesel - hybrid'!E$39))*(1+'Benzin - diesel - hybrid'!E$52)^-$C196</f>
        <v>0</v>
      </c>
      <c r="F196" s="318">
        <f>IF('Benzin - diesel - hybrid'!E$54="benzin",E151,IF('Benzin - diesel - hybrid'!E$54="diesel",E174,0))</f>
        <v>0</v>
      </c>
      <c r="G196" s="505">
        <f>H196*IF('Benzin - diesel - hybrid'!G$29="nej",0,IF('Benzin - diesel - hybrid'!G$37="ja",'Benzin - diesel - hybrid'!G$38,'Benzin - diesel - hybrid'!G$39))*(1+'Benzin - diesel - hybrid'!G$52)^-$C196</f>
        <v>0</v>
      </c>
      <c r="H196" s="318">
        <f>IF('Benzin - diesel - hybrid'!G$54="benzin",G151,IF('Benzin - diesel - hybrid'!G$54="diesel",G174,0))</f>
        <v>0</v>
      </c>
      <c r="I196" s="505">
        <f>J196*IF('Benzin - diesel - hybrid'!I$29="nej",0,IF('Benzin - diesel - hybrid'!I$37="ja",'Benzin - diesel - hybrid'!I$38,'Benzin - diesel - hybrid'!I$39))*(1+'Benzin - diesel - hybrid'!I$52)^-$C196</f>
        <v>0</v>
      </c>
      <c r="J196" s="318">
        <f>IF('Benzin - diesel - hybrid'!I$54="benzin",I151,IF('Benzin - diesel - hybrid'!I$54="diesel",I174,0))</f>
        <v>0</v>
      </c>
      <c r="K196" s="505">
        <f>L196*IF('Benzin - diesel - hybrid'!K$29="nej",0,IF('Benzin - diesel - hybrid'!K$37="ja",'Benzin - diesel - hybrid'!K$38,'Benzin - diesel - hybrid'!K$39))*(1+'Benzin - diesel - hybrid'!K$52)^-$C196</f>
        <v>0</v>
      </c>
      <c r="L196" s="318">
        <f>IF('Benzin - diesel - hybrid'!K$54="benzin",K151,IF('Benzin - diesel - hybrid'!K$54="diesel",K174,0))</f>
        <v>0</v>
      </c>
      <c r="M196" s="505">
        <f>N196*IF('Benzin - diesel - hybrid'!M$29="nej",0,IF('Benzin - diesel - hybrid'!M$37="ja",'Benzin - diesel - hybrid'!M$38,'Benzin - diesel - hybrid'!M$39))*(1+'Benzin - diesel - hybrid'!M$52)^-$C196</f>
        <v>0</v>
      </c>
      <c r="N196" s="318">
        <f>IF('Benzin - diesel - hybrid'!M$54="benzin",M151,IF('Benzin - diesel - hybrid'!M$54="diesel",M174,0))</f>
        <v>0</v>
      </c>
      <c r="O196" s="505">
        <f>P196*IF('Benzin - diesel - hybrid'!O$29="nej",0,IF('Benzin - diesel - hybrid'!O$37="ja",'Benzin - diesel - hybrid'!O$38,'Benzin - diesel - hybrid'!O$39))*(1+'Benzin - diesel - hybrid'!O$52)^-$C196</f>
        <v>0</v>
      </c>
      <c r="P196" s="318">
        <f>IF('Benzin - diesel - hybrid'!O$54="benzin",O151,IF('Benzin - diesel - hybrid'!O$54="diesel",O174,0))</f>
        <v>0</v>
      </c>
      <c r="Q196" s="505">
        <f>R196*IF('Benzin - diesel - hybrid'!Q$29="nej",0,IF('Benzin - diesel - hybrid'!Q$37="ja",'Benzin - diesel - hybrid'!Q$38,'Benzin - diesel - hybrid'!Q$39))*(1+'Benzin - diesel - hybrid'!Q$52)^-$C196</f>
        <v>0</v>
      </c>
      <c r="R196" s="318">
        <f>IF('Benzin - diesel - hybrid'!Q$54="benzin",Q151,IF('Benzin - diesel - hybrid'!Q$54="diesel",Q174,0))</f>
        <v>0</v>
      </c>
      <c r="S196" s="505">
        <f>T196*IF('Benzin - diesel - hybrid'!S$29="nej",0,IF('Benzin - diesel - hybrid'!S$37="ja",'Benzin - diesel - hybrid'!S$38,'Benzin - diesel - hybrid'!S$39))*(1+'Benzin - diesel - hybrid'!S$52)^-$C196</f>
        <v>0</v>
      </c>
      <c r="T196" s="318">
        <f>IF('Benzin - diesel - hybrid'!S$54="benzin",S151,IF('Benzin - diesel - hybrid'!S$54="diesel",S174,0))</f>
        <v>0</v>
      </c>
      <c r="U196" s="505">
        <f>V196*IF('Benzin - diesel - hybrid'!U$29="nej",0,IF('Benzin - diesel - hybrid'!U$37="ja",'Benzin - diesel - hybrid'!U$38,'Benzin - diesel - hybrid'!U$39))*(1+'Benzin - diesel - hybrid'!U$52)^-$C196</f>
        <v>0</v>
      </c>
      <c r="V196" s="318">
        <f>IF('Benzin - diesel - hybrid'!U$54="benzin",U151,IF('Benzin - diesel - hybrid'!U$54="diesel",U174,0))</f>
        <v>0</v>
      </c>
      <c r="W196" s="505">
        <f>X196*IF('Benzin - diesel - hybrid'!W$29="nej",0,IF('Benzin - diesel - hybrid'!W$37="ja",'Benzin - diesel - hybrid'!W$38,'Benzin - diesel - hybrid'!W$39))*(1+'Benzin - diesel - hybrid'!W$52)^-$C196</f>
        <v>0</v>
      </c>
      <c r="X196" s="318">
        <f>IF('Benzin - diesel - hybrid'!W$54="benzin",W151,IF('Benzin - diesel - hybrid'!W$54="diesel",W174,0))</f>
        <v>0</v>
      </c>
    </row>
    <row r="197" spans="1:24">
      <c r="A197" s="312"/>
      <c r="B197" s="306">
        <v>11</v>
      </c>
      <c r="C197" s="306">
        <f t="shared" si="11"/>
        <v>11</v>
      </c>
      <c r="D197" s="306"/>
      <c r="E197" s="505">
        <f>F197*IF('Benzin - diesel - hybrid'!E$29="nej",0,IF('Benzin - diesel - hybrid'!E$37="ja",'Benzin - diesel - hybrid'!E$38,'Benzin - diesel - hybrid'!E$39))*(1+'Benzin - diesel - hybrid'!E$52)^-$C197</f>
        <v>0</v>
      </c>
      <c r="F197" s="318">
        <f>IF('Benzin - diesel - hybrid'!E$54="benzin",E152,IF('Benzin - diesel - hybrid'!E$54="diesel",E175,0))</f>
        <v>0</v>
      </c>
      <c r="G197" s="505">
        <f>H197*IF('Benzin - diesel - hybrid'!G$29="nej",0,IF('Benzin - diesel - hybrid'!G$37="ja",'Benzin - diesel - hybrid'!G$38,'Benzin - diesel - hybrid'!G$39))*(1+'Benzin - diesel - hybrid'!G$52)^-$C197</f>
        <v>0</v>
      </c>
      <c r="H197" s="318">
        <f>IF('Benzin - diesel - hybrid'!G$54="benzin",G152,IF('Benzin - diesel - hybrid'!G$54="diesel",G175,0))</f>
        <v>0</v>
      </c>
      <c r="I197" s="505">
        <f>J197*IF('Benzin - diesel - hybrid'!I$29="nej",0,IF('Benzin - diesel - hybrid'!I$37="ja",'Benzin - diesel - hybrid'!I$38,'Benzin - diesel - hybrid'!I$39))*(1+'Benzin - diesel - hybrid'!I$52)^-$C197</f>
        <v>0</v>
      </c>
      <c r="J197" s="318">
        <f>IF('Benzin - diesel - hybrid'!I$54="benzin",I152,IF('Benzin - diesel - hybrid'!I$54="diesel",I175,0))</f>
        <v>0</v>
      </c>
      <c r="K197" s="505">
        <f>L197*IF('Benzin - diesel - hybrid'!K$29="nej",0,IF('Benzin - diesel - hybrid'!K$37="ja",'Benzin - diesel - hybrid'!K$38,'Benzin - diesel - hybrid'!K$39))*(1+'Benzin - diesel - hybrid'!K$52)^-$C197</f>
        <v>0</v>
      </c>
      <c r="L197" s="318">
        <f>IF('Benzin - diesel - hybrid'!K$54="benzin",K152,IF('Benzin - diesel - hybrid'!K$54="diesel",K175,0))</f>
        <v>0</v>
      </c>
      <c r="M197" s="505">
        <f>N197*IF('Benzin - diesel - hybrid'!M$29="nej",0,IF('Benzin - diesel - hybrid'!M$37="ja",'Benzin - diesel - hybrid'!M$38,'Benzin - diesel - hybrid'!M$39))*(1+'Benzin - diesel - hybrid'!M$52)^-$C197</f>
        <v>0</v>
      </c>
      <c r="N197" s="318">
        <f>IF('Benzin - diesel - hybrid'!M$54="benzin",M152,IF('Benzin - diesel - hybrid'!M$54="diesel",M175,0))</f>
        <v>0</v>
      </c>
      <c r="O197" s="505">
        <f>P197*IF('Benzin - diesel - hybrid'!O$29="nej",0,IF('Benzin - diesel - hybrid'!O$37="ja",'Benzin - diesel - hybrid'!O$38,'Benzin - diesel - hybrid'!O$39))*(1+'Benzin - diesel - hybrid'!O$52)^-$C197</f>
        <v>0</v>
      </c>
      <c r="P197" s="318">
        <f>IF('Benzin - diesel - hybrid'!O$54="benzin",O152,IF('Benzin - diesel - hybrid'!O$54="diesel",O175,0))</f>
        <v>0</v>
      </c>
      <c r="Q197" s="505">
        <f>R197*IF('Benzin - diesel - hybrid'!Q$29="nej",0,IF('Benzin - diesel - hybrid'!Q$37="ja",'Benzin - diesel - hybrid'!Q$38,'Benzin - diesel - hybrid'!Q$39))*(1+'Benzin - diesel - hybrid'!Q$52)^-$C197</f>
        <v>0</v>
      </c>
      <c r="R197" s="318">
        <f>IF('Benzin - diesel - hybrid'!Q$54="benzin",Q152,IF('Benzin - diesel - hybrid'!Q$54="diesel",Q175,0))</f>
        <v>0</v>
      </c>
      <c r="S197" s="505">
        <f>T197*IF('Benzin - diesel - hybrid'!S$29="nej",0,IF('Benzin - diesel - hybrid'!S$37="ja",'Benzin - diesel - hybrid'!S$38,'Benzin - diesel - hybrid'!S$39))*(1+'Benzin - diesel - hybrid'!S$52)^-$C197</f>
        <v>0</v>
      </c>
      <c r="T197" s="318">
        <f>IF('Benzin - diesel - hybrid'!S$54="benzin",S152,IF('Benzin - diesel - hybrid'!S$54="diesel",S175,0))</f>
        <v>0</v>
      </c>
      <c r="U197" s="505">
        <f>V197*IF('Benzin - diesel - hybrid'!U$29="nej",0,IF('Benzin - diesel - hybrid'!U$37="ja",'Benzin - diesel - hybrid'!U$38,'Benzin - diesel - hybrid'!U$39))*(1+'Benzin - diesel - hybrid'!U$52)^-$C197</f>
        <v>0</v>
      </c>
      <c r="V197" s="318">
        <f>IF('Benzin - diesel - hybrid'!U$54="benzin",U152,IF('Benzin - diesel - hybrid'!U$54="diesel",U175,0))</f>
        <v>0</v>
      </c>
      <c r="W197" s="505">
        <f>X197*IF('Benzin - diesel - hybrid'!W$29="nej",0,IF('Benzin - diesel - hybrid'!W$37="ja",'Benzin - diesel - hybrid'!W$38,'Benzin - diesel - hybrid'!W$39))*(1+'Benzin - diesel - hybrid'!W$52)^-$C197</f>
        <v>0</v>
      </c>
      <c r="X197" s="318">
        <f>IF('Benzin - diesel - hybrid'!W$54="benzin",W152,IF('Benzin - diesel - hybrid'!W$54="diesel",W175,0))</f>
        <v>0</v>
      </c>
    </row>
    <row r="198" spans="1:24">
      <c r="A198" s="312"/>
      <c r="B198" s="306">
        <v>12</v>
      </c>
      <c r="C198" s="306">
        <f t="shared" si="11"/>
        <v>12</v>
      </c>
      <c r="D198" s="306"/>
      <c r="E198" s="505">
        <f>F198*IF('Benzin - diesel - hybrid'!E$29="nej",0,IF('Benzin - diesel - hybrid'!E$37="ja",'Benzin - diesel - hybrid'!E$38,'Benzin - diesel - hybrid'!E$39))*(1+'Benzin - diesel - hybrid'!E$52)^-$C198</f>
        <v>0</v>
      </c>
      <c r="F198" s="318">
        <f>IF('Benzin - diesel - hybrid'!E$54="benzin",E153,IF('Benzin - diesel - hybrid'!E$54="diesel",E176,0))</f>
        <v>0</v>
      </c>
      <c r="G198" s="505">
        <f>H198*IF('Benzin - diesel - hybrid'!G$29="nej",0,IF('Benzin - diesel - hybrid'!G$37="ja",'Benzin - diesel - hybrid'!G$38,'Benzin - diesel - hybrid'!G$39))*(1+'Benzin - diesel - hybrid'!G$52)^-$C198</f>
        <v>0</v>
      </c>
      <c r="H198" s="318">
        <f>IF('Benzin - diesel - hybrid'!G$54="benzin",G153,IF('Benzin - diesel - hybrid'!G$54="diesel",G176,0))</f>
        <v>0</v>
      </c>
      <c r="I198" s="505">
        <f>J198*IF('Benzin - diesel - hybrid'!I$29="nej",0,IF('Benzin - diesel - hybrid'!I$37="ja",'Benzin - diesel - hybrid'!I$38,'Benzin - diesel - hybrid'!I$39))*(1+'Benzin - diesel - hybrid'!I$52)^-$C198</f>
        <v>0</v>
      </c>
      <c r="J198" s="318">
        <f>IF('Benzin - diesel - hybrid'!I$54="benzin",I153,IF('Benzin - diesel - hybrid'!I$54="diesel",I176,0))</f>
        <v>0</v>
      </c>
      <c r="K198" s="505">
        <f>L198*IF('Benzin - diesel - hybrid'!K$29="nej",0,IF('Benzin - diesel - hybrid'!K$37="ja",'Benzin - diesel - hybrid'!K$38,'Benzin - diesel - hybrid'!K$39))*(1+'Benzin - diesel - hybrid'!K$52)^-$C198</f>
        <v>0</v>
      </c>
      <c r="L198" s="318">
        <f>IF('Benzin - diesel - hybrid'!K$54="benzin",K153,IF('Benzin - diesel - hybrid'!K$54="diesel",K176,0))</f>
        <v>0</v>
      </c>
      <c r="M198" s="505">
        <f>N198*IF('Benzin - diesel - hybrid'!M$29="nej",0,IF('Benzin - diesel - hybrid'!M$37="ja",'Benzin - diesel - hybrid'!M$38,'Benzin - diesel - hybrid'!M$39))*(1+'Benzin - diesel - hybrid'!M$52)^-$C198</f>
        <v>0</v>
      </c>
      <c r="N198" s="318">
        <f>IF('Benzin - diesel - hybrid'!M$54="benzin",M153,IF('Benzin - diesel - hybrid'!M$54="diesel",M176,0))</f>
        <v>0</v>
      </c>
      <c r="O198" s="505">
        <f>P198*IF('Benzin - diesel - hybrid'!O$29="nej",0,IF('Benzin - diesel - hybrid'!O$37="ja",'Benzin - diesel - hybrid'!O$38,'Benzin - diesel - hybrid'!O$39))*(1+'Benzin - diesel - hybrid'!O$52)^-$C198</f>
        <v>0</v>
      </c>
      <c r="P198" s="318">
        <f>IF('Benzin - diesel - hybrid'!O$54="benzin",O153,IF('Benzin - diesel - hybrid'!O$54="diesel",O176,0))</f>
        <v>0</v>
      </c>
      <c r="Q198" s="505">
        <f>R198*IF('Benzin - diesel - hybrid'!Q$29="nej",0,IF('Benzin - diesel - hybrid'!Q$37="ja",'Benzin - diesel - hybrid'!Q$38,'Benzin - diesel - hybrid'!Q$39))*(1+'Benzin - diesel - hybrid'!Q$52)^-$C198</f>
        <v>0</v>
      </c>
      <c r="R198" s="318">
        <f>IF('Benzin - diesel - hybrid'!Q$54="benzin",Q153,IF('Benzin - diesel - hybrid'!Q$54="diesel",Q176,0))</f>
        <v>0</v>
      </c>
      <c r="S198" s="505">
        <f>T198*IF('Benzin - diesel - hybrid'!S$29="nej",0,IF('Benzin - diesel - hybrid'!S$37="ja",'Benzin - diesel - hybrid'!S$38,'Benzin - diesel - hybrid'!S$39))*(1+'Benzin - diesel - hybrid'!S$52)^-$C198</f>
        <v>0</v>
      </c>
      <c r="T198" s="318">
        <f>IF('Benzin - diesel - hybrid'!S$54="benzin",S153,IF('Benzin - diesel - hybrid'!S$54="diesel",S176,0))</f>
        <v>0</v>
      </c>
      <c r="U198" s="505">
        <f>V198*IF('Benzin - diesel - hybrid'!U$29="nej",0,IF('Benzin - diesel - hybrid'!U$37="ja",'Benzin - diesel - hybrid'!U$38,'Benzin - diesel - hybrid'!U$39))*(1+'Benzin - diesel - hybrid'!U$52)^-$C198</f>
        <v>0</v>
      </c>
      <c r="V198" s="318">
        <f>IF('Benzin - diesel - hybrid'!U$54="benzin",U153,IF('Benzin - diesel - hybrid'!U$54="diesel",U176,0))</f>
        <v>0</v>
      </c>
      <c r="W198" s="505">
        <f>X198*IF('Benzin - diesel - hybrid'!W$29="nej",0,IF('Benzin - diesel - hybrid'!W$37="ja",'Benzin - diesel - hybrid'!W$38,'Benzin - diesel - hybrid'!W$39))*(1+'Benzin - diesel - hybrid'!W$52)^-$C198</f>
        <v>0</v>
      </c>
      <c r="X198" s="318">
        <f>IF('Benzin - diesel - hybrid'!W$54="benzin",W153,IF('Benzin - diesel - hybrid'!W$54="diesel",W176,0))</f>
        <v>0</v>
      </c>
    </row>
    <row r="199" spans="1:24">
      <c r="A199" s="312"/>
      <c r="B199" s="306">
        <v>13</v>
      </c>
      <c r="C199" s="306">
        <f t="shared" si="11"/>
        <v>13</v>
      </c>
      <c r="D199" s="306"/>
      <c r="E199" s="505">
        <f>F199*IF('Benzin - diesel - hybrid'!E$29="nej",0,IF('Benzin - diesel - hybrid'!E$37="ja",'Benzin - diesel - hybrid'!E$38,'Benzin - diesel - hybrid'!E$39))*(1+'Benzin - diesel - hybrid'!E$52)^-$C199</f>
        <v>0</v>
      </c>
      <c r="F199" s="318">
        <f>IF('Benzin - diesel - hybrid'!E$54="benzin",E154,IF('Benzin - diesel - hybrid'!E$54="diesel",E177,0))</f>
        <v>0</v>
      </c>
      <c r="G199" s="505">
        <f>H199*IF('Benzin - diesel - hybrid'!G$29="nej",0,IF('Benzin - diesel - hybrid'!G$37="ja",'Benzin - diesel - hybrid'!G$38,'Benzin - diesel - hybrid'!G$39))*(1+'Benzin - diesel - hybrid'!G$52)^-$C199</f>
        <v>0</v>
      </c>
      <c r="H199" s="318">
        <f>IF('Benzin - diesel - hybrid'!G$54="benzin",G154,IF('Benzin - diesel - hybrid'!G$54="diesel",G177,0))</f>
        <v>0</v>
      </c>
      <c r="I199" s="505">
        <f>J199*IF('Benzin - diesel - hybrid'!I$29="nej",0,IF('Benzin - diesel - hybrid'!I$37="ja",'Benzin - diesel - hybrid'!I$38,'Benzin - diesel - hybrid'!I$39))*(1+'Benzin - diesel - hybrid'!I$52)^-$C199</f>
        <v>0</v>
      </c>
      <c r="J199" s="318">
        <f>IF('Benzin - diesel - hybrid'!I$54="benzin",I154,IF('Benzin - diesel - hybrid'!I$54="diesel",I177,0))</f>
        <v>0</v>
      </c>
      <c r="K199" s="505">
        <f>L199*IF('Benzin - diesel - hybrid'!K$29="nej",0,IF('Benzin - diesel - hybrid'!K$37="ja",'Benzin - diesel - hybrid'!K$38,'Benzin - diesel - hybrid'!K$39))*(1+'Benzin - diesel - hybrid'!K$52)^-$C199</f>
        <v>0</v>
      </c>
      <c r="L199" s="318">
        <f>IF('Benzin - diesel - hybrid'!K$54="benzin",K154,IF('Benzin - diesel - hybrid'!K$54="diesel",K177,0))</f>
        <v>0</v>
      </c>
      <c r="M199" s="505">
        <f>N199*IF('Benzin - diesel - hybrid'!M$29="nej",0,IF('Benzin - diesel - hybrid'!M$37="ja",'Benzin - diesel - hybrid'!M$38,'Benzin - diesel - hybrid'!M$39))*(1+'Benzin - diesel - hybrid'!M$52)^-$C199</f>
        <v>0</v>
      </c>
      <c r="N199" s="318">
        <f>IF('Benzin - diesel - hybrid'!M$54="benzin",M154,IF('Benzin - diesel - hybrid'!M$54="diesel",M177,0))</f>
        <v>0</v>
      </c>
      <c r="O199" s="505">
        <f>P199*IF('Benzin - diesel - hybrid'!O$29="nej",0,IF('Benzin - diesel - hybrid'!O$37="ja",'Benzin - diesel - hybrid'!O$38,'Benzin - diesel - hybrid'!O$39))*(1+'Benzin - diesel - hybrid'!O$52)^-$C199</f>
        <v>0</v>
      </c>
      <c r="P199" s="318">
        <f>IF('Benzin - diesel - hybrid'!O$54="benzin",O154,IF('Benzin - diesel - hybrid'!O$54="diesel",O177,0))</f>
        <v>0</v>
      </c>
      <c r="Q199" s="505">
        <f>R199*IF('Benzin - diesel - hybrid'!Q$29="nej",0,IF('Benzin - diesel - hybrid'!Q$37="ja",'Benzin - diesel - hybrid'!Q$38,'Benzin - diesel - hybrid'!Q$39))*(1+'Benzin - diesel - hybrid'!Q$52)^-$C199</f>
        <v>0</v>
      </c>
      <c r="R199" s="318">
        <f>IF('Benzin - diesel - hybrid'!Q$54="benzin",Q154,IF('Benzin - diesel - hybrid'!Q$54="diesel",Q177,0))</f>
        <v>0</v>
      </c>
      <c r="S199" s="505">
        <f>T199*IF('Benzin - diesel - hybrid'!S$29="nej",0,IF('Benzin - diesel - hybrid'!S$37="ja",'Benzin - diesel - hybrid'!S$38,'Benzin - diesel - hybrid'!S$39))*(1+'Benzin - diesel - hybrid'!S$52)^-$C199</f>
        <v>0</v>
      </c>
      <c r="T199" s="318">
        <f>IF('Benzin - diesel - hybrid'!S$54="benzin",S154,IF('Benzin - diesel - hybrid'!S$54="diesel",S177,0))</f>
        <v>0</v>
      </c>
      <c r="U199" s="505">
        <f>V199*IF('Benzin - diesel - hybrid'!U$29="nej",0,IF('Benzin - diesel - hybrid'!U$37="ja",'Benzin - diesel - hybrid'!U$38,'Benzin - diesel - hybrid'!U$39))*(1+'Benzin - diesel - hybrid'!U$52)^-$C199</f>
        <v>0</v>
      </c>
      <c r="V199" s="318">
        <f>IF('Benzin - diesel - hybrid'!U$54="benzin",U154,IF('Benzin - diesel - hybrid'!U$54="diesel",U177,0))</f>
        <v>0</v>
      </c>
      <c r="W199" s="505">
        <f>X199*IF('Benzin - diesel - hybrid'!W$29="nej",0,IF('Benzin - diesel - hybrid'!W$37="ja",'Benzin - diesel - hybrid'!W$38,'Benzin - diesel - hybrid'!W$39))*(1+'Benzin - diesel - hybrid'!W$52)^-$C199</f>
        <v>0</v>
      </c>
      <c r="X199" s="318">
        <f>IF('Benzin - diesel - hybrid'!W$54="benzin",W154,IF('Benzin - diesel - hybrid'!W$54="diesel",W177,0))</f>
        <v>0</v>
      </c>
    </row>
    <row r="200" spans="1:24">
      <c r="A200" s="312"/>
      <c r="B200" s="306">
        <v>14</v>
      </c>
      <c r="C200" s="306">
        <f t="shared" si="11"/>
        <v>14</v>
      </c>
      <c r="D200" s="306"/>
      <c r="E200" s="505">
        <f>F200*IF('Benzin - diesel - hybrid'!E$29="nej",0,IF('Benzin - diesel - hybrid'!E$37="ja",'Benzin - diesel - hybrid'!E$38,'Benzin - diesel - hybrid'!E$39))*(1+'Benzin - diesel - hybrid'!E$52)^-$C200</f>
        <v>0</v>
      </c>
      <c r="F200" s="318">
        <f>IF('Benzin - diesel - hybrid'!E$54="benzin",E155,IF('Benzin - diesel - hybrid'!E$54="diesel",E178,0))</f>
        <v>0</v>
      </c>
      <c r="G200" s="505">
        <f>H200*IF('Benzin - diesel - hybrid'!G$29="nej",0,IF('Benzin - diesel - hybrid'!G$37="ja",'Benzin - diesel - hybrid'!G$38,'Benzin - diesel - hybrid'!G$39))*(1+'Benzin - diesel - hybrid'!G$52)^-$C200</f>
        <v>0</v>
      </c>
      <c r="H200" s="318">
        <f>IF('Benzin - diesel - hybrid'!G$54="benzin",G155,IF('Benzin - diesel - hybrid'!G$54="diesel",G178,0))</f>
        <v>0</v>
      </c>
      <c r="I200" s="505">
        <f>J200*IF('Benzin - diesel - hybrid'!I$29="nej",0,IF('Benzin - diesel - hybrid'!I$37="ja",'Benzin - diesel - hybrid'!I$38,'Benzin - diesel - hybrid'!I$39))*(1+'Benzin - diesel - hybrid'!I$52)^-$C200</f>
        <v>0</v>
      </c>
      <c r="J200" s="318">
        <f>IF('Benzin - diesel - hybrid'!I$54="benzin",I155,IF('Benzin - diesel - hybrid'!I$54="diesel",I178,0))</f>
        <v>0</v>
      </c>
      <c r="K200" s="505">
        <f>L200*IF('Benzin - diesel - hybrid'!K$29="nej",0,IF('Benzin - diesel - hybrid'!K$37="ja",'Benzin - diesel - hybrid'!K$38,'Benzin - diesel - hybrid'!K$39))*(1+'Benzin - diesel - hybrid'!K$52)^-$C200</f>
        <v>0</v>
      </c>
      <c r="L200" s="318">
        <f>IF('Benzin - diesel - hybrid'!K$54="benzin",K155,IF('Benzin - diesel - hybrid'!K$54="diesel",K178,0))</f>
        <v>0</v>
      </c>
      <c r="M200" s="505">
        <f>N200*IF('Benzin - diesel - hybrid'!M$29="nej",0,IF('Benzin - diesel - hybrid'!M$37="ja",'Benzin - diesel - hybrid'!M$38,'Benzin - diesel - hybrid'!M$39))*(1+'Benzin - diesel - hybrid'!M$52)^-$C200</f>
        <v>0</v>
      </c>
      <c r="N200" s="318">
        <f>IF('Benzin - diesel - hybrid'!M$54="benzin",M155,IF('Benzin - diesel - hybrid'!M$54="diesel",M178,0))</f>
        <v>0</v>
      </c>
      <c r="O200" s="505">
        <f>P200*IF('Benzin - diesel - hybrid'!O$29="nej",0,IF('Benzin - diesel - hybrid'!O$37="ja",'Benzin - diesel - hybrid'!O$38,'Benzin - diesel - hybrid'!O$39))*(1+'Benzin - diesel - hybrid'!O$52)^-$C200</f>
        <v>0</v>
      </c>
      <c r="P200" s="318">
        <f>IF('Benzin - diesel - hybrid'!O$54="benzin",O155,IF('Benzin - diesel - hybrid'!O$54="diesel",O178,0))</f>
        <v>0</v>
      </c>
      <c r="Q200" s="505">
        <f>R200*IF('Benzin - diesel - hybrid'!Q$29="nej",0,IF('Benzin - diesel - hybrid'!Q$37="ja",'Benzin - diesel - hybrid'!Q$38,'Benzin - diesel - hybrid'!Q$39))*(1+'Benzin - diesel - hybrid'!Q$52)^-$C200</f>
        <v>0</v>
      </c>
      <c r="R200" s="318">
        <f>IF('Benzin - diesel - hybrid'!Q$54="benzin",Q155,IF('Benzin - diesel - hybrid'!Q$54="diesel",Q178,0))</f>
        <v>0</v>
      </c>
      <c r="S200" s="505">
        <f>T200*IF('Benzin - diesel - hybrid'!S$29="nej",0,IF('Benzin - diesel - hybrid'!S$37="ja",'Benzin - diesel - hybrid'!S$38,'Benzin - diesel - hybrid'!S$39))*(1+'Benzin - diesel - hybrid'!S$52)^-$C200</f>
        <v>0</v>
      </c>
      <c r="T200" s="318">
        <f>IF('Benzin - diesel - hybrid'!S$54="benzin",S155,IF('Benzin - diesel - hybrid'!S$54="diesel",S178,0))</f>
        <v>0</v>
      </c>
      <c r="U200" s="505">
        <f>V200*IF('Benzin - diesel - hybrid'!U$29="nej",0,IF('Benzin - diesel - hybrid'!U$37="ja",'Benzin - diesel - hybrid'!U$38,'Benzin - diesel - hybrid'!U$39))*(1+'Benzin - diesel - hybrid'!U$52)^-$C200</f>
        <v>0</v>
      </c>
      <c r="V200" s="318">
        <f>IF('Benzin - diesel - hybrid'!U$54="benzin",U155,IF('Benzin - diesel - hybrid'!U$54="diesel",U178,0))</f>
        <v>0</v>
      </c>
      <c r="W200" s="505">
        <f>X200*IF('Benzin - diesel - hybrid'!W$29="nej",0,IF('Benzin - diesel - hybrid'!W$37="ja",'Benzin - diesel - hybrid'!W$38,'Benzin - diesel - hybrid'!W$39))*(1+'Benzin - diesel - hybrid'!W$52)^-$C200</f>
        <v>0</v>
      </c>
      <c r="X200" s="318">
        <f>IF('Benzin - diesel - hybrid'!W$54="benzin",W155,IF('Benzin - diesel - hybrid'!W$54="diesel",W178,0))</f>
        <v>0</v>
      </c>
    </row>
    <row r="201" spans="1:24">
      <c r="A201" s="312"/>
      <c r="B201" s="306">
        <v>15</v>
      </c>
      <c r="C201" s="306">
        <f t="shared" si="11"/>
        <v>15</v>
      </c>
      <c r="D201" s="306"/>
      <c r="E201" s="505">
        <f>F201*IF('Benzin - diesel - hybrid'!E$29="nej",0,IF('Benzin - diesel - hybrid'!E$37="ja",'Benzin - diesel - hybrid'!E$38,'Benzin - diesel - hybrid'!E$39))*(1+'Benzin - diesel - hybrid'!E$52)^-$C201</f>
        <v>0</v>
      </c>
      <c r="F201" s="318">
        <f>IF('Benzin - diesel - hybrid'!E$54="benzin",E156,IF('Benzin - diesel - hybrid'!E$54="diesel",E179,0))</f>
        <v>0</v>
      </c>
      <c r="G201" s="505">
        <f>H201*IF('Benzin - diesel - hybrid'!G$29="nej",0,IF('Benzin - diesel - hybrid'!G$37="ja",'Benzin - diesel - hybrid'!G$38,'Benzin - diesel - hybrid'!G$39))*(1+'Benzin - diesel - hybrid'!G$52)^-$C201</f>
        <v>0</v>
      </c>
      <c r="H201" s="318">
        <f>IF('Benzin - diesel - hybrid'!G$54="benzin",G156,IF('Benzin - diesel - hybrid'!G$54="diesel",G179,0))</f>
        <v>0</v>
      </c>
      <c r="I201" s="505">
        <f>J201*IF('Benzin - diesel - hybrid'!I$29="nej",0,IF('Benzin - diesel - hybrid'!I$37="ja",'Benzin - diesel - hybrid'!I$38,'Benzin - diesel - hybrid'!I$39))*(1+'Benzin - diesel - hybrid'!I$52)^-$C201</f>
        <v>0</v>
      </c>
      <c r="J201" s="318">
        <f>IF('Benzin - diesel - hybrid'!I$54="benzin",I156,IF('Benzin - diesel - hybrid'!I$54="diesel",I179,0))</f>
        <v>0</v>
      </c>
      <c r="K201" s="505">
        <f>L201*IF('Benzin - diesel - hybrid'!K$29="nej",0,IF('Benzin - diesel - hybrid'!K$37="ja",'Benzin - diesel - hybrid'!K$38,'Benzin - diesel - hybrid'!K$39))*(1+'Benzin - diesel - hybrid'!K$52)^-$C201</f>
        <v>0</v>
      </c>
      <c r="L201" s="318">
        <f>IF('Benzin - diesel - hybrid'!K$54="benzin",K156,IF('Benzin - diesel - hybrid'!K$54="diesel",K179,0))</f>
        <v>0</v>
      </c>
      <c r="M201" s="505">
        <f>N201*IF('Benzin - diesel - hybrid'!M$29="nej",0,IF('Benzin - diesel - hybrid'!M$37="ja",'Benzin - diesel - hybrid'!M$38,'Benzin - diesel - hybrid'!M$39))*(1+'Benzin - diesel - hybrid'!M$52)^-$C201</f>
        <v>0</v>
      </c>
      <c r="N201" s="318">
        <f>IF('Benzin - diesel - hybrid'!M$54="benzin",M156,IF('Benzin - diesel - hybrid'!M$54="diesel",M179,0))</f>
        <v>0</v>
      </c>
      <c r="O201" s="505">
        <f>P201*IF('Benzin - diesel - hybrid'!O$29="nej",0,IF('Benzin - diesel - hybrid'!O$37="ja",'Benzin - diesel - hybrid'!O$38,'Benzin - diesel - hybrid'!O$39))*(1+'Benzin - diesel - hybrid'!O$52)^-$C201</f>
        <v>0</v>
      </c>
      <c r="P201" s="318">
        <f>IF('Benzin - diesel - hybrid'!O$54="benzin",O156,IF('Benzin - diesel - hybrid'!O$54="diesel",O179,0))</f>
        <v>0</v>
      </c>
      <c r="Q201" s="505">
        <f>R201*IF('Benzin - diesel - hybrid'!Q$29="nej",0,IF('Benzin - diesel - hybrid'!Q$37="ja",'Benzin - diesel - hybrid'!Q$38,'Benzin - diesel - hybrid'!Q$39))*(1+'Benzin - diesel - hybrid'!Q$52)^-$C201</f>
        <v>0</v>
      </c>
      <c r="R201" s="318">
        <f>IF('Benzin - diesel - hybrid'!Q$54="benzin",Q156,IF('Benzin - diesel - hybrid'!Q$54="diesel",Q179,0))</f>
        <v>0</v>
      </c>
      <c r="S201" s="505">
        <f>T201*IF('Benzin - diesel - hybrid'!S$29="nej",0,IF('Benzin - diesel - hybrid'!S$37="ja",'Benzin - diesel - hybrid'!S$38,'Benzin - diesel - hybrid'!S$39))*(1+'Benzin - diesel - hybrid'!S$52)^-$C201</f>
        <v>0</v>
      </c>
      <c r="T201" s="318">
        <f>IF('Benzin - diesel - hybrid'!S$54="benzin",S156,IF('Benzin - diesel - hybrid'!S$54="diesel",S179,0))</f>
        <v>0</v>
      </c>
      <c r="U201" s="505">
        <f>V201*IF('Benzin - diesel - hybrid'!U$29="nej",0,IF('Benzin - diesel - hybrid'!U$37="ja",'Benzin - diesel - hybrid'!U$38,'Benzin - diesel - hybrid'!U$39))*(1+'Benzin - diesel - hybrid'!U$52)^-$C201</f>
        <v>0</v>
      </c>
      <c r="V201" s="318">
        <f>IF('Benzin - diesel - hybrid'!U$54="benzin",U156,IF('Benzin - diesel - hybrid'!U$54="diesel",U179,0))</f>
        <v>0</v>
      </c>
      <c r="W201" s="505">
        <f>X201*IF('Benzin - diesel - hybrid'!W$29="nej",0,IF('Benzin - diesel - hybrid'!W$37="ja",'Benzin - diesel - hybrid'!W$38,'Benzin - diesel - hybrid'!W$39))*(1+'Benzin - diesel - hybrid'!W$52)^-$C201</f>
        <v>0</v>
      </c>
      <c r="X201" s="318">
        <f>IF('Benzin - diesel - hybrid'!W$54="benzin",W156,IF('Benzin - diesel - hybrid'!W$54="diesel",W179,0))</f>
        <v>0</v>
      </c>
    </row>
    <row r="202" spans="1:24">
      <c r="A202" s="312"/>
      <c r="B202" s="306">
        <v>16</v>
      </c>
      <c r="C202" s="306">
        <f t="shared" si="11"/>
        <v>16</v>
      </c>
      <c r="D202" s="306"/>
      <c r="E202" s="505">
        <f>F202*IF('Benzin - diesel - hybrid'!E$29="nej",0,IF('Benzin - diesel - hybrid'!E$37="ja",'Benzin - diesel - hybrid'!E$38,'Benzin - diesel - hybrid'!E$39))*(1+'Benzin - diesel - hybrid'!E$52)^-$C202</f>
        <v>0</v>
      </c>
      <c r="F202" s="318">
        <f>IF('Benzin - diesel - hybrid'!E$54="benzin",E157,IF('Benzin - diesel - hybrid'!E$54="diesel",E180,0))</f>
        <v>0</v>
      </c>
      <c r="G202" s="505">
        <f>H202*IF('Benzin - diesel - hybrid'!G$29="nej",0,IF('Benzin - diesel - hybrid'!G$37="ja",'Benzin - diesel - hybrid'!G$38,'Benzin - diesel - hybrid'!G$39))*(1+'Benzin - diesel - hybrid'!G$52)^-$C202</f>
        <v>0</v>
      </c>
      <c r="H202" s="318">
        <f>IF('Benzin - diesel - hybrid'!G$54="benzin",G157,IF('Benzin - diesel - hybrid'!G$54="diesel",G180,0))</f>
        <v>0</v>
      </c>
      <c r="I202" s="505">
        <f>J202*IF('Benzin - diesel - hybrid'!I$29="nej",0,IF('Benzin - diesel - hybrid'!I$37="ja",'Benzin - diesel - hybrid'!I$38,'Benzin - diesel - hybrid'!I$39))*(1+'Benzin - diesel - hybrid'!I$52)^-$C202</f>
        <v>0</v>
      </c>
      <c r="J202" s="318">
        <f>IF('Benzin - diesel - hybrid'!I$54="benzin",I157,IF('Benzin - diesel - hybrid'!I$54="diesel",I180,0))</f>
        <v>0</v>
      </c>
      <c r="K202" s="505">
        <f>L202*IF('Benzin - diesel - hybrid'!K$29="nej",0,IF('Benzin - diesel - hybrid'!K$37="ja",'Benzin - diesel - hybrid'!K$38,'Benzin - diesel - hybrid'!K$39))*(1+'Benzin - diesel - hybrid'!K$52)^-$C202</f>
        <v>0</v>
      </c>
      <c r="L202" s="318">
        <f>IF('Benzin - diesel - hybrid'!K$54="benzin",K157,IF('Benzin - diesel - hybrid'!K$54="diesel",K180,0))</f>
        <v>0</v>
      </c>
      <c r="M202" s="505">
        <f>N202*IF('Benzin - diesel - hybrid'!M$29="nej",0,IF('Benzin - diesel - hybrid'!M$37="ja",'Benzin - diesel - hybrid'!M$38,'Benzin - diesel - hybrid'!M$39))*(1+'Benzin - diesel - hybrid'!M$52)^-$C202</f>
        <v>0</v>
      </c>
      <c r="N202" s="318">
        <f>IF('Benzin - diesel - hybrid'!M$54="benzin",M157,IF('Benzin - diesel - hybrid'!M$54="diesel",M180,0))</f>
        <v>0</v>
      </c>
      <c r="O202" s="505">
        <f>P202*IF('Benzin - diesel - hybrid'!O$29="nej",0,IF('Benzin - diesel - hybrid'!O$37="ja",'Benzin - diesel - hybrid'!O$38,'Benzin - diesel - hybrid'!O$39))*(1+'Benzin - diesel - hybrid'!O$52)^-$C202</f>
        <v>0</v>
      </c>
      <c r="P202" s="318">
        <f>IF('Benzin - diesel - hybrid'!O$54="benzin",O157,IF('Benzin - diesel - hybrid'!O$54="diesel",O180,0))</f>
        <v>0</v>
      </c>
      <c r="Q202" s="505">
        <f>R202*IF('Benzin - diesel - hybrid'!Q$29="nej",0,IF('Benzin - diesel - hybrid'!Q$37="ja",'Benzin - diesel - hybrid'!Q$38,'Benzin - diesel - hybrid'!Q$39))*(1+'Benzin - diesel - hybrid'!Q$52)^-$C202</f>
        <v>0</v>
      </c>
      <c r="R202" s="318">
        <f>IF('Benzin - diesel - hybrid'!Q$54="benzin",Q157,IF('Benzin - diesel - hybrid'!Q$54="diesel",Q180,0))</f>
        <v>0</v>
      </c>
      <c r="S202" s="505">
        <f>T202*IF('Benzin - diesel - hybrid'!S$29="nej",0,IF('Benzin - diesel - hybrid'!S$37="ja",'Benzin - diesel - hybrid'!S$38,'Benzin - diesel - hybrid'!S$39))*(1+'Benzin - diesel - hybrid'!S$52)^-$C202</f>
        <v>0</v>
      </c>
      <c r="T202" s="318">
        <f>IF('Benzin - diesel - hybrid'!S$54="benzin",S157,IF('Benzin - diesel - hybrid'!S$54="diesel",S180,0))</f>
        <v>0</v>
      </c>
      <c r="U202" s="505">
        <f>V202*IF('Benzin - diesel - hybrid'!U$29="nej",0,IF('Benzin - diesel - hybrid'!U$37="ja",'Benzin - diesel - hybrid'!U$38,'Benzin - diesel - hybrid'!U$39))*(1+'Benzin - diesel - hybrid'!U$52)^-$C202</f>
        <v>0</v>
      </c>
      <c r="V202" s="318">
        <f>IF('Benzin - diesel - hybrid'!U$54="benzin",U157,IF('Benzin - diesel - hybrid'!U$54="diesel",U180,0))</f>
        <v>0</v>
      </c>
      <c r="W202" s="505">
        <f>X202*IF('Benzin - diesel - hybrid'!W$29="nej",0,IF('Benzin - diesel - hybrid'!W$37="ja",'Benzin - diesel - hybrid'!W$38,'Benzin - diesel - hybrid'!W$39))*(1+'Benzin - diesel - hybrid'!W$52)^-$C202</f>
        <v>0</v>
      </c>
      <c r="X202" s="318">
        <f>IF('Benzin - diesel - hybrid'!W$54="benzin",W157,IF('Benzin - diesel - hybrid'!W$54="diesel",W180,0))</f>
        <v>0</v>
      </c>
    </row>
    <row r="203" spans="1:24">
      <c r="A203" s="312"/>
      <c r="B203" s="306">
        <v>17</v>
      </c>
      <c r="C203" s="306">
        <f t="shared" si="11"/>
        <v>17</v>
      </c>
      <c r="D203" s="306"/>
      <c r="E203" s="505">
        <f>F203*IF('Benzin - diesel - hybrid'!E$29="nej",0,IF('Benzin - diesel - hybrid'!E$37="ja",'Benzin - diesel - hybrid'!E$38,'Benzin - diesel - hybrid'!E$39))*(1+'Benzin - diesel - hybrid'!E$52)^-$C203</f>
        <v>0</v>
      </c>
      <c r="F203" s="318">
        <f>IF('Benzin - diesel - hybrid'!E$54="benzin",E158,IF('Benzin - diesel - hybrid'!E$54="diesel",E181,0))</f>
        <v>0</v>
      </c>
      <c r="G203" s="505">
        <f>H203*IF('Benzin - diesel - hybrid'!G$29="nej",0,IF('Benzin - diesel - hybrid'!G$37="ja",'Benzin - diesel - hybrid'!G$38,'Benzin - diesel - hybrid'!G$39))*(1+'Benzin - diesel - hybrid'!G$52)^-$C203</f>
        <v>0</v>
      </c>
      <c r="H203" s="318">
        <f>IF('Benzin - diesel - hybrid'!G$54="benzin",G158,IF('Benzin - diesel - hybrid'!G$54="diesel",G181,0))</f>
        <v>0</v>
      </c>
      <c r="I203" s="505">
        <f>J203*IF('Benzin - diesel - hybrid'!I$29="nej",0,IF('Benzin - diesel - hybrid'!I$37="ja",'Benzin - diesel - hybrid'!I$38,'Benzin - diesel - hybrid'!I$39))*(1+'Benzin - diesel - hybrid'!I$52)^-$C203</f>
        <v>0</v>
      </c>
      <c r="J203" s="318">
        <f>IF('Benzin - diesel - hybrid'!I$54="benzin",I158,IF('Benzin - diesel - hybrid'!I$54="diesel",I181,0))</f>
        <v>0</v>
      </c>
      <c r="K203" s="505">
        <f>L203*IF('Benzin - diesel - hybrid'!K$29="nej",0,IF('Benzin - diesel - hybrid'!K$37="ja",'Benzin - diesel - hybrid'!K$38,'Benzin - diesel - hybrid'!K$39))*(1+'Benzin - diesel - hybrid'!K$52)^-$C203</f>
        <v>0</v>
      </c>
      <c r="L203" s="318">
        <f>IF('Benzin - diesel - hybrid'!K$54="benzin",K158,IF('Benzin - diesel - hybrid'!K$54="diesel",K181,0))</f>
        <v>0</v>
      </c>
      <c r="M203" s="505">
        <f>N203*IF('Benzin - diesel - hybrid'!M$29="nej",0,IF('Benzin - diesel - hybrid'!M$37="ja",'Benzin - diesel - hybrid'!M$38,'Benzin - diesel - hybrid'!M$39))*(1+'Benzin - diesel - hybrid'!M$52)^-$C203</f>
        <v>0</v>
      </c>
      <c r="N203" s="318">
        <f>IF('Benzin - diesel - hybrid'!M$54="benzin",M158,IF('Benzin - diesel - hybrid'!M$54="diesel",M181,0))</f>
        <v>0</v>
      </c>
      <c r="O203" s="505">
        <f>P203*IF('Benzin - diesel - hybrid'!O$29="nej",0,IF('Benzin - diesel - hybrid'!O$37="ja",'Benzin - diesel - hybrid'!O$38,'Benzin - diesel - hybrid'!O$39))*(1+'Benzin - diesel - hybrid'!O$52)^-$C203</f>
        <v>0</v>
      </c>
      <c r="P203" s="318">
        <f>IF('Benzin - diesel - hybrid'!O$54="benzin",O158,IF('Benzin - diesel - hybrid'!O$54="diesel",O181,0))</f>
        <v>0</v>
      </c>
      <c r="Q203" s="505">
        <f>R203*IF('Benzin - diesel - hybrid'!Q$29="nej",0,IF('Benzin - diesel - hybrid'!Q$37="ja",'Benzin - diesel - hybrid'!Q$38,'Benzin - diesel - hybrid'!Q$39))*(1+'Benzin - diesel - hybrid'!Q$52)^-$C203</f>
        <v>0</v>
      </c>
      <c r="R203" s="318">
        <f>IF('Benzin - diesel - hybrid'!Q$54="benzin",Q158,IF('Benzin - diesel - hybrid'!Q$54="diesel",Q181,0))</f>
        <v>0</v>
      </c>
      <c r="S203" s="505">
        <f>T203*IF('Benzin - diesel - hybrid'!S$29="nej",0,IF('Benzin - diesel - hybrid'!S$37="ja",'Benzin - diesel - hybrid'!S$38,'Benzin - diesel - hybrid'!S$39))*(1+'Benzin - diesel - hybrid'!S$52)^-$C203</f>
        <v>0</v>
      </c>
      <c r="T203" s="318">
        <f>IF('Benzin - diesel - hybrid'!S$54="benzin",S158,IF('Benzin - diesel - hybrid'!S$54="diesel",S181,0))</f>
        <v>0</v>
      </c>
      <c r="U203" s="505">
        <f>V203*IF('Benzin - diesel - hybrid'!U$29="nej",0,IF('Benzin - diesel - hybrid'!U$37="ja",'Benzin - diesel - hybrid'!U$38,'Benzin - diesel - hybrid'!U$39))*(1+'Benzin - diesel - hybrid'!U$52)^-$C203</f>
        <v>0</v>
      </c>
      <c r="V203" s="318">
        <f>IF('Benzin - diesel - hybrid'!U$54="benzin",U158,IF('Benzin - diesel - hybrid'!U$54="diesel",U181,0))</f>
        <v>0</v>
      </c>
      <c r="W203" s="505">
        <f>X203*IF('Benzin - diesel - hybrid'!W$29="nej",0,IF('Benzin - diesel - hybrid'!W$37="ja",'Benzin - diesel - hybrid'!W$38,'Benzin - diesel - hybrid'!W$39))*(1+'Benzin - diesel - hybrid'!W$52)^-$C203</f>
        <v>0</v>
      </c>
      <c r="X203" s="318">
        <f>IF('Benzin - diesel - hybrid'!W$54="benzin",W158,IF('Benzin - diesel - hybrid'!W$54="diesel",W181,0))</f>
        <v>0</v>
      </c>
    </row>
    <row r="204" spans="1:24">
      <c r="A204" s="312"/>
      <c r="B204" s="306">
        <v>18</v>
      </c>
      <c r="C204" s="306">
        <f t="shared" si="11"/>
        <v>18</v>
      </c>
      <c r="D204" s="306"/>
      <c r="E204" s="505">
        <f>F204*IF('Benzin - diesel - hybrid'!E$29="nej",0,IF('Benzin - diesel - hybrid'!E$37="ja",'Benzin - diesel - hybrid'!E$38,'Benzin - diesel - hybrid'!E$39))*(1+'Benzin - diesel - hybrid'!E$52)^-$C204</f>
        <v>0</v>
      </c>
      <c r="F204" s="318">
        <f>IF('Benzin - diesel - hybrid'!E$54="benzin",E159,IF('Benzin - diesel - hybrid'!E$54="diesel",E182,0))</f>
        <v>0</v>
      </c>
      <c r="G204" s="505">
        <f>H204*IF('Benzin - diesel - hybrid'!G$29="nej",0,IF('Benzin - diesel - hybrid'!G$37="ja",'Benzin - diesel - hybrid'!G$38,'Benzin - diesel - hybrid'!G$39))*(1+'Benzin - diesel - hybrid'!G$52)^-$C204</f>
        <v>0</v>
      </c>
      <c r="H204" s="318">
        <f>IF('Benzin - diesel - hybrid'!G$54="benzin",G159,IF('Benzin - diesel - hybrid'!G$54="diesel",G182,0))</f>
        <v>0</v>
      </c>
      <c r="I204" s="505">
        <f>J204*IF('Benzin - diesel - hybrid'!I$29="nej",0,IF('Benzin - diesel - hybrid'!I$37="ja",'Benzin - diesel - hybrid'!I$38,'Benzin - diesel - hybrid'!I$39))*(1+'Benzin - diesel - hybrid'!I$52)^-$C204</f>
        <v>0</v>
      </c>
      <c r="J204" s="318">
        <f>IF('Benzin - diesel - hybrid'!I$54="benzin",I159,IF('Benzin - diesel - hybrid'!I$54="diesel",I182,0))</f>
        <v>0</v>
      </c>
      <c r="K204" s="505">
        <f>L204*IF('Benzin - diesel - hybrid'!K$29="nej",0,IF('Benzin - diesel - hybrid'!K$37="ja",'Benzin - diesel - hybrid'!K$38,'Benzin - diesel - hybrid'!K$39))*(1+'Benzin - diesel - hybrid'!K$52)^-$C204</f>
        <v>0</v>
      </c>
      <c r="L204" s="318">
        <f>IF('Benzin - diesel - hybrid'!K$54="benzin",K159,IF('Benzin - diesel - hybrid'!K$54="diesel",K182,0))</f>
        <v>0</v>
      </c>
      <c r="M204" s="505">
        <f>N204*IF('Benzin - diesel - hybrid'!M$29="nej",0,IF('Benzin - diesel - hybrid'!M$37="ja",'Benzin - diesel - hybrid'!M$38,'Benzin - diesel - hybrid'!M$39))*(1+'Benzin - diesel - hybrid'!M$52)^-$C204</f>
        <v>0</v>
      </c>
      <c r="N204" s="318">
        <f>IF('Benzin - diesel - hybrid'!M$54="benzin",M159,IF('Benzin - diesel - hybrid'!M$54="diesel",M182,0))</f>
        <v>0</v>
      </c>
      <c r="O204" s="505">
        <f>P204*IF('Benzin - diesel - hybrid'!O$29="nej",0,IF('Benzin - diesel - hybrid'!O$37="ja",'Benzin - diesel - hybrid'!O$38,'Benzin - diesel - hybrid'!O$39))*(1+'Benzin - diesel - hybrid'!O$52)^-$C204</f>
        <v>0</v>
      </c>
      <c r="P204" s="318">
        <f>IF('Benzin - diesel - hybrid'!O$54="benzin",O159,IF('Benzin - diesel - hybrid'!O$54="diesel",O182,0))</f>
        <v>0</v>
      </c>
      <c r="Q204" s="505">
        <f>R204*IF('Benzin - diesel - hybrid'!Q$29="nej",0,IF('Benzin - diesel - hybrid'!Q$37="ja",'Benzin - diesel - hybrid'!Q$38,'Benzin - diesel - hybrid'!Q$39))*(1+'Benzin - diesel - hybrid'!Q$52)^-$C204</f>
        <v>0</v>
      </c>
      <c r="R204" s="318">
        <f>IF('Benzin - diesel - hybrid'!Q$54="benzin",Q159,IF('Benzin - diesel - hybrid'!Q$54="diesel",Q182,0))</f>
        <v>0</v>
      </c>
      <c r="S204" s="505">
        <f>T204*IF('Benzin - diesel - hybrid'!S$29="nej",0,IF('Benzin - diesel - hybrid'!S$37="ja",'Benzin - diesel - hybrid'!S$38,'Benzin - diesel - hybrid'!S$39))*(1+'Benzin - diesel - hybrid'!S$52)^-$C204</f>
        <v>0</v>
      </c>
      <c r="T204" s="318">
        <f>IF('Benzin - diesel - hybrid'!S$54="benzin",S159,IF('Benzin - diesel - hybrid'!S$54="diesel",S182,0))</f>
        <v>0</v>
      </c>
      <c r="U204" s="505">
        <f>V204*IF('Benzin - diesel - hybrid'!U$29="nej",0,IF('Benzin - diesel - hybrid'!U$37="ja",'Benzin - diesel - hybrid'!U$38,'Benzin - diesel - hybrid'!U$39))*(1+'Benzin - diesel - hybrid'!U$52)^-$C204</f>
        <v>0</v>
      </c>
      <c r="V204" s="318">
        <f>IF('Benzin - diesel - hybrid'!U$54="benzin",U159,IF('Benzin - diesel - hybrid'!U$54="diesel",U182,0))</f>
        <v>0</v>
      </c>
      <c r="W204" s="505">
        <f>X204*IF('Benzin - diesel - hybrid'!W$29="nej",0,IF('Benzin - diesel - hybrid'!W$37="ja",'Benzin - diesel - hybrid'!W$38,'Benzin - diesel - hybrid'!W$39))*(1+'Benzin - diesel - hybrid'!W$52)^-$C204</f>
        <v>0</v>
      </c>
      <c r="X204" s="318">
        <f>IF('Benzin - diesel - hybrid'!W$54="benzin",W159,IF('Benzin - diesel - hybrid'!W$54="diesel",W182,0))</f>
        <v>0</v>
      </c>
    </row>
    <row r="205" spans="1:24">
      <c r="A205" s="312"/>
      <c r="B205" s="306">
        <v>19</v>
      </c>
      <c r="C205" s="306">
        <f t="shared" si="11"/>
        <v>19</v>
      </c>
      <c r="D205" s="306"/>
      <c r="E205" s="505">
        <f>F205*IF('Benzin - diesel - hybrid'!E$29="nej",0,IF('Benzin - diesel - hybrid'!E$37="ja",'Benzin - diesel - hybrid'!E$38,'Benzin - diesel - hybrid'!E$39))*(1+'Benzin - diesel - hybrid'!E$52)^-$C205</f>
        <v>0</v>
      </c>
      <c r="F205" s="318">
        <f>IF('Benzin - diesel - hybrid'!E$54="benzin",E160,IF('Benzin - diesel - hybrid'!E$54="diesel",E183,0))</f>
        <v>0</v>
      </c>
      <c r="G205" s="505">
        <f>H205*IF('Benzin - diesel - hybrid'!G$29="nej",0,IF('Benzin - diesel - hybrid'!G$37="ja",'Benzin - diesel - hybrid'!G$38,'Benzin - diesel - hybrid'!G$39))*(1+'Benzin - diesel - hybrid'!G$52)^-$C205</f>
        <v>0</v>
      </c>
      <c r="H205" s="318">
        <f>IF('Benzin - diesel - hybrid'!G$54="benzin",G160,IF('Benzin - diesel - hybrid'!G$54="diesel",G183,0))</f>
        <v>0</v>
      </c>
      <c r="I205" s="505">
        <f>J205*IF('Benzin - diesel - hybrid'!I$29="nej",0,IF('Benzin - diesel - hybrid'!I$37="ja",'Benzin - diesel - hybrid'!I$38,'Benzin - diesel - hybrid'!I$39))*(1+'Benzin - diesel - hybrid'!I$52)^-$C205</f>
        <v>0</v>
      </c>
      <c r="J205" s="318">
        <f>IF('Benzin - diesel - hybrid'!I$54="benzin",I160,IF('Benzin - diesel - hybrid'!I$54="diesel",I183,0))</f>
        <v>0</v>
      </c>
      <c r="K205" s="505">
        <f>L205*IF('Benzin - diesel - hybrid'!K$29="nej",0,IF('Benzin - diesel - hybrid'!K$37="ja",'Benzin - diesel - hybrid'!K$38,'Benzin - diesel - hybrid'!K$39))*(1+'Benzin - diesel - hybrid'!K$52)^-$C205</f>
        <v>0</v>
      </c>
      <c r="L205" s="318">
        <f>IF('Benzin - diesel - hybrid'!K$54="benzin",K160,IF('Benzin - diesel - hybrid'!K$54="diesel",K183,0))</f>
        <v>0</v>
      </c>
      <c r="M205" s="505">
        <f>N205*IF('Benzin - diesel - hybrid'!M$29="nej",0,IF('Benzin - diesel - hybrid'!M$37="ja",'Benzin - diesel - hybrid'!M$38,'Benzin - diesel - hybrid'!M$39))*(1+'Benzin - diesel - hybrid'!M$52)^-$C205</f>
        <v>0</v>
      </c>
      <c r="N205" s="318">
        <f>IF('Benzin - diesel - hybrid'!M$54="benzin",M160,IF('Benzin - diesel - hybrid'!M$54="diesel",M183,0))</f>
        <v>0</v>
      </c>
      <c r="O205" s="505">
        <f>P205*IF('Benzin - diesel - hybrid'!O$29="nej",0,IF('Benzin - diesel - hybrid'!O$37="ja",'Benzin - diesel - hybrid'!O$38,'Benzin - diesel - hybrid'!O$39))*(1+'Benzin - diesel - hybrid'!O$52)^-$C205</f>
        <v>0</v>
      </c>
      <c r="P205" s="318">
        <f>IF('Benzin - diesel - hybrid'!O$54="benzin",O160,IF('Benzin - diesel - hybrid'!O$54="diesel",O183,0))</f>
        <v>0</v>
      </c>
      <c r="Q205" s="505">
        <f>R205*IF('Benzin - diesel - hybrid'!Q$29="nej",0,IF('Benzin - diesel - hybrid'!Q$37="ja",'Benzin - diesel - hybrid'!Q$38,'Benzin - diesel - hybrid'!Q$39))*(1+'Benzin - diesel - hybrid'!Q$52)^-$C205</f>
        <v>0</v>
      </c>
      <c r="R205" s="318">
        <f>IF('Benzin - diesel - hybrid'!Q$54="benzin",Q160,IF('Benzin - diesel - hybrid'!Q$54="diesel",Q183,0))</f>
        <v>0</v>
      </c>
      <c r="S205" s="505">
        <f>T205*IF('Benzin - diesel - hybrid'!S$29="nej",0,IF('Benzin - diesel - hybrid'!S$37="ja",'Benzin - diesel - hybrid'!S$38,'Benzin - diesel - hybrid'!S$39))*(1+'Benzin - diesel - hybrid'!S$52)^-$C205</f>
        <v>0</v>
      </c>
      <c r="T205" s="318">
        <f>IF('Benzin - diesel - hybrid'!S$54="benzin",S160,IF('Benzin - diesel - hybrid'!S$54="diesel",S183,0))</f>
        <v>0</v>
      </c>
      <c r="U205" s="505">
        <f>V205*IF('Benzin - diesel - hybrid'!U$29="nej",0,IF('Benzin - diesel - hybrid'!U$37="ja",'Benzin - diesel - hybrid'!U$38,'Benzin - diesel - hybrid'!U$39))*(1+'Benzin - diesel - hybrid'!U$52)^-$C205</f>
        <v>0</v>
      </c>
      <c r="V205" s="318">
        <f>IF('Benzin - diesel - hybrid'!U$54="benzin",U160,IF('Benzin - diesel - hybrid'!U$54="diesel",U183,0))</f>
        <v>0</v>
      </c>
      <c r="W205" s="505">
        <f>X205*IF('Benzin - diesel - hybrid'!W$29="nej",0,IF('Benzin - diesel - hybrid'!W$37="ja",'Benzin - diesel - hybrid'!W$38,'Benzin - diesel - hybrid'!W$39))*(1+'Benzin - diesel - hybrid'!W$52)^-$C205</f>
        <v>0</v>
      </c>
      <c r="X205" s="318">
        <f>IF('Benzin - diesel - hybrid'!W$54="benzin",W160,IF('Benzin - diesel - hybrid'!W$54="diesel",W183,0))</f>
        <v>0</v>
      </c>
    </row>
    <row r="206" spans="1:24">
      <c r="A206" s="315"/>
      <c r="B206" s="290">
        <v>20</v>
      </c>
      <c r="C206" s="290">
        <f t="shared" si="11"/>
        <v>20</v>
      </c>
      <c r="D206" s="290"/>
      <c r="E206" s="505">
        <f>F206*IF('Benzin - diesel - hybrid'!E$29="nej",0,IF('Benzin - diesel - hybrid'!E$37="ja",'Benzin - diesel - hybrid'!E$38,'Benzin - diesel - hybrid'!E$39))*(1+'Benzin - diesel - hybrid'!E$52)^-$C206</f>
        <v>0</v>
      </c>
      <c r="F206" s="318">
        <f>IF('Benzin - diesel - hybrid'!E$54="benzin",E161,IF('Benzin - diesel - hybrid'!E$54="diesel",E184,0))</f>
        <v>0</v>
      </c>
      <c r="G206" s="505">
        <f>H206*IF('Benzin - diesel - hybrid'!G$29="nej",0,IF('Benzin - diesel - hybrid'!G$37="ja",'Benzin - diesel - hybrid'!G$38,'Benzin - diesel - hybrid'!G$39))*(1+'Benzin - diesel - hybrid'!G$52)^-$C206</f>
        <v>0</v>
      </c>
      <c r="H206" s="318">
        <f>IF('Benzin - diesel - hybrid'!G$54="benzin",G161,IF('Benzin - diesel - hybrid'!G$54="diesel",G184,0))</f>
        <v>0</v>
      </c>
      <c r="I206" s="505">
        <f>J206*IF('Benzin - diesel - hybrid'!I$29="nej",0,IF('Benzin - diesel - hybrid'!I$37="ja",'Benzin - diesel - hybrid'!I$38,'Benzin - diesel - hybrid'!I$39))*(1+'Benzin - diesel - hybrid'!I$52)^-$C206</f>
        <v>0</v>
      </c>
      <c r="J206" s="318">
        <f>IF('Benzin - diesel - hybrid'!I$54="benzin",I161,IF('Benzin - diesel - hybrid'!I$54="diesel",I184,0))</f>
        <v>0</v>
      </c>
      <c r="K206" s="505">
        <f>L206*IF('Benzin - diesel - hybrid'!K$29="nej",0,IF('Benzin - diesel - hybrid'!K$37="ja",'Benzin - diesel - hybrid'!K$38,'Benzin - diesel - hybrid'!K$39))*(1+'Benzin - diesel - hybrid'!K$52)^-$C206</f>
        <v>0</v>
      </c>
      <c r="L206" s="318">
        <f>IF('Benzin - diesel - hybrid'!K$54="benzin",K161,IF('Benzin - diesel - hybrid'!K$54="diesel",K184,0))</f>
        <v>0</v>
      </c>
      <c r="M206" s="505">
        <f>N206*IF('Benzin - diesel - hybrid'!M$29="nej",0,IF('Benzin - diesel - hybrid'!M$37="ja",'Benzin - diesel - hybrid'!M$38,'Benzin - diesel - hybrid'!M$39))*(1+'Benzin - diesel - hybrid'!M$52)^-$C206</f>
        <v>0</v>
      </c>
      <c r="N206" s="318">
        <f>IF('Benzin - diesel - hybrid'!M$54="benzin",M161,IF('Benzin - diesel - hybrid'!M$54="diesel",M184,0))</f>
        <v>0</v>
      </c>
      <c r="O206" s="505">
        <f>P206*IF('Benzin - diesel - hybrid'!O$29="nej",0,IF('Benzin - diesel - hybrid'!O$37="ja",'Benzin - diesel - hybrid'!O$38,'Benzin - diesel - hybrid'!O$39))*(1+'Benzin - diesel - hybrid'!O$52)^-$C206</f>
        <v>0</v>
      </c>
      <c r="P206" s="318">
        <f>IF('Benzin - diesel - hybrid'!O$54="benzin",O161,IF('Benzin - diesel - hybrid'!O$54="diesel",O184,0))</f>
        <v>0</v>
      </c>
      <c r="Q206" s="505">
        <f>R206*IF('Benzin - diesel - hybrid'!Q$29="nej",0,IF('Benzin - diesel - hybrid'!Q$37="ja",'Benzin - diesel - hybrid'!Q$38,'Benzin - diesel - hybrid'!Q$39))*(1+'Benzin - diesel - hybrid'!Q$52)^-$C206</f>
        <v>0</v>
      </c>
      <c r="R206" s="318">
        <f>IF('Benzin - diesel - hybrid'!Q$54="benzin",Q161,IF('Benzin - diesel - hybrid'!Q$54="diesel",Q184,0))</f>
        <v>0</v>
      </c>
      <c r="S206" s="505">
        <f>T206*IF('Benzin - diesel - hybrid'!S$29="nej",0,IF('Benzin - diesel - hybrid'!S$37="ja",'Benzin - diesel - hybrid'!S$38,'Benzin - diesel - hybrid'!S$39))*(1+'Benzin - diesel - hybrid'!S$52)^-$C206</f>
        <v>0</v>
      </c>
      <c r="T206" s="318">
        <f>IF('Benzin - diesel - hybrid'!S$54="benzin",S161,IF('Benzin - diesel - hybrid'!S$54="diesel",S184,0))</f>
        <v>0</v>
      </c>
      <c r="U206" s="505">
        <f>V206*IF('Benzin - diesel - hybrid'!U$29="nej",0,IF('Benzin - diesel - hybrid'!U$37="ja",'Benzin - diesel - hybrid'!U$38,'Benzin - diesel - hybrid'!U$39))*(1+'Benzin - diesel - hybrid'!U$52)^-$C206</f>
        <v>0</v>
      </c>
      <c r="V206" s="318">
        <f>IF('Benzin - diesel - hybrid'!U$54="benzin",U161,IF('Benzin - diesel - hybrid'!U$54="diesel",U184,0))</f>
        <v>0</v>
      </c>
      <c r="W206" s="505">
        <f>X206*IF('Benzin - diesel - hybrid'!W$29="nej",0,IF('Benzin - diesel - hybrid'!W$37="ja",'Benzin - diesel - hybrid'!W$38,'Benzin - diesel - hybrid'!W$39))*(1+'Benzin - diesel - hybrid'!W$52)^-$C206</f>
        <v>0</v>
      </c>
      <c r="X206" s="318">
        <f>IF('Benzin - diesel - hybrid'!W$54="benzin",W161,IF('Benzin - diesel - hybrid'!W$54="diesel",W184,0))</f>
        <v>0</v>
      </c>
    </row>
  </sheetData>
  <sheetProtection sheet="1" objects="1" scenarios="1"/>
  <pageMargins left="0.7" right="0.7" top="0.75" bottom="0.75" header="0.3" footer="0.3"/>
  <pageSetup paperSize="9" orientation="portrait" r:id="rId1"/>
  <ignoredErrors>
    <ignoredError sqref="B73:S92"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5F28-3EE3-4E6E-9F1C-6F976F18037B}">
  <sheetPr codeName="Sheet5">
    <tabColor rgb="FF92D050"/>
  </sheetPr>
  <dimension ref="A1:BX520"/>
  <sheetViews>
    <sheetView showGridLines="0" tabSelected="1" zoomScaleNormal="100" zoomScalePageLayoutView="125" workbookViewId="0"/>
  </sheetViews>
  <sheetFormatPr defaultColWidth="0" defaultRowHeight="15" customHeight="1" zeroHeight="1" outlineLevelCol="1"/>
  <cols>
    <col min="1" max="2" width="4.15234375" style="14" customWidth="1"/>
    <col min="3" max="3" width="89.15234375" style="14" customWidth="1"/>
    <col min="4" max="4" width="21.84375" style="87" customWidth="1"/>
    <col min="5" max="5" width="16.84375" style="88" customWidth="1"/>
    <col min="6" max="6" width="3" style="88" customWidth="1"/>
    <col min="7" max="7" width="16.84375" style="88" hidden="1" customWidth="1" outlineLevel="1"/>
    <col min="8" max="8" width="2.84375" style="88" customWidth="1" collapsed="1"/>
    <col min="9" max="9" width="16.3046875" style="88" hidden="1" customWidth="1" outlineLevel="1"/>
    <col min="10" max="10" width="2.3828125" style="88" customWidth="1" collapsed="1"/>
    <col min="11" max="11" width="16.84375" style="88" hidden="1" customWidth="1" outlineLevel="1"/>
    <col min="12" max="12" width="2.84375" style="88" customWidth="1" collapsed="1"/>
    <col min="13" max="13" width="16.84375" style="88" hidden="1" customWidth="1" outlineLevel="1"/>
    <col min="14" max="14" width="2.84375" style="88" customWidth="1" collapsed="1"/>
    <col min="15" max="15" width="16.84375" style="88" hidden="1" customWidth="1" outlineLevel="1"/>
    <col min="16" max="16" width="2.3828125" style="88" customWidth="1" collapsed="1"/>
    <col min="17" max="17" width="16.84375" style="88" hidden="1" customWidth="1" outlineLevel="1"/>
    <col min="18" max="18" width="2.84375" style="88" customWidth="1" collapsed="1"/>
    <col min="19" max="19" width="16.84375" style="88" hidden="1" customWidth="1" outlineLevel="1"/>
    <col min="20" max="20" width="3.15234375" style="88" customWidth="1" collapsed="1"/>
    <col min="21" max="21" width="16.84375" style="88" hidden="1" customWidth="1" outlineLevel="1"/>
    <col min="22" max="22" width="2.3046875" style="88" customWidth="1" collapsed="1"/>
    <col min="23" max="23" width="16.84375" style="88" hidden="1" customWidth="1" outlineLevel="1"/>
    <col min="24" max="24" width="5.15234375" style="88" customWidth="1" collapsed="1"/>
    <col min="25" max="25" width="7.15234375" style="11" customWidth="1"/>
    <col min="26" max="26" width="2.84375" style="11" customWidth="1"/>
    <col min="27" max="27" width="8.84375" style="11" customWidth="1"/>
    <col min="28" max="28" width="58.15234375" style="11" customWidth="1"/>
    <col min="29" max="31" width="31" style="11" customWidth="1"/>
    <col min="32" max="34" width="31" style="11" hidden="1" customWidth="1"/>
    <col min="35" max="46" width="0" style="11" hidden="1" customWidth="1"/>
    <col min="47" max="76" width="0" style="14" hidden="1" customWidth="1"/>
    <col min="77" max="16384" width="8.843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c r="AF1" s="10"/>
      <c r="AG1" s="10"/>
      <c r="AH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F2" s="10"/>
      <c r="AG2" s="10"/>
      <c r="AH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59.25" customHeight="1">
      <c r="A3" s="15"/>
      <c r="B3" s="539" t="s">
        <v>233</v>
      </c>
      <c r="C3" s="539"/>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7"/>
      <c r="AG3" s="17"/>
      <c r="AH3" s="17"/>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F4" s="10"/>
      <c r="AG4" s="10"/>
      <c r="AH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F5" s="10"/>
      <c r="AG5" s="10"/>
      <c r="AH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1" t="s">
        <v>2</v>
      </c>
      <c r="C6" s="542"/>
      <c r="D6" s="542"/>
      <c r="E6" s="542"/>
      <c r="F6" s="92"/>
      <c r="G6" s="92"/>
      <c r="H6" s="92"/>
      <c r="I6" s="93"/>
      <c r="J6" s="92"/>
      <c r="K6" s="93"/>
      <c r="L6" s="93"/>
      <c r="M6" s="93"/>
      <c r="N6" s="93"/>
      <c r="O6" s="93"/>
      <c r="P6" s="93"/>
      <c r="Q6" s="93"/>
      <c r="R6" s="93"/>
      <c r="S6" s="93"/>
      <c r="T6" s="93"/>
      <c r="U6" s="93"/>
      <c r="V6" s="93"/>
      <c r="W6" s="93"/>
      <c r="X6" s="94"/>
      <c r="Y6" s="10"/>
      <c r="Z6" s="10"/>
      <c r="AA6" s="10"/>
      <c r="AB6" s="10"/>
      <c r="AC6" s="10"/>
      <c r="AD6" s="10"/>
      <c r="AE6" s="10"/>
      <c r="AF6" s="10"/>
      <c r="AG6" s="10"/>
      <c r="AH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 customHeight="1">
      <c r="A7" s="15"/>
      <c r="B7" s="90" t="s">
        <v>219</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7"/>
      <c r="AG7" s="17"/>
      <c r="AH7" s="17"/>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37</v>
      </c>
      <c r="E8" s="7" t="s">
        <v>120</v>
      </c>
      <c r="F8" s="99"/>
      <c r="G8" s="7" t="s">
        <v>195</v>
      </c>
      <c r="H8" s="97"/>
      <c r="I8" s="7" t="s">
        <v>196</v>
      </c>
      <c r="J8" s="99"/>
      <c r="K8" s="7" t="s">
        <v>197</v>
      </c>
      <c r="L8" s="97"/>
      <c r="M8" s="7" t="s">
        <v>198</v>
      </c>
      <c r="N8" s="99"/>
      <c r="O8" s="7" t="s">
        <v>199</v>
      </c>
      <c r="P8" s="97"/>
      <c r="Q8" s="7" t="s">
        <v>200</v>
      </c>
      <c r="R8" s="99"/>
      <c r="S8" s="7" t="s">
        <v>201</v>
      </c>
      <c r="T8" s="117"/>
      <c r="U8" s="7" t="s">
        <v>202</v>
      </c>
      <c r="V8" s="117"/>
      <c r="W8" s="7" t="s">
        <v>203</v>
      </c>
      <c r="X8" s="100"/>
      <c r="Y8" s="17"/>
      <c r="Z8" s="17"/>
      <c r="AA8" s="17"/>
      <c r="AB8" s="17"/>
      <c r="AC8" s="17"/>
      <c r="AD8" s="17"/>
      <c r="AE8" s="17"/>
      <c r="AF8" s="17"/>
      <c r="AG8" s="17"/>
      <c r="AH8" s="17"/>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35</v>
      </c>
      <c r="D9" s="98" t="s">
        <v>37</v>
      </c>
      <c r="E9" s="294"/>
      <c r="F9" s="107"/>
      <c r="G9" s="294"/>
      <c r="H9" s="127"/>
      <c r="I9" s="294"/>
      <c r="J9" s="107"/>
      <c r="K9" s="294"/>
      <c r="L9" s="127"/>
      <c r="M9" s="294"/>
      <c r="N9" s="107"/>
      <c r="O9" s="294"/>
      <c r="P9" s="127"/>
      <c r="Q9" s="294"/>
      <c r="R9" s="107"/>
      <c r="S9" s="294"/>
      <c r="T9" s="117"/>
      <c r="U9" s="294"/>
      <c r="V9" s="117"/>
      <c r="W9" s="294"/>
      <c r="X9" s="100"/>
      <c r="Y9" s="17"/>
      <c r="Z9" s="17"/>
      <c r="AA9" s="17"/>
      <c r="AB9" s="17"/>
      <c r="AC9" s="17"/>
      <c r="AD9" s="17"/>
      <c r="AE9" s="17"/>
      <c r="AF9" s="17"/>
      <c r="AG9" s="17"/>
      <c r="AH9" s="17"/>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36</v>
      </c>
      <c r="D10" s="98" t="s">
        <v>37</v>
      </c>
      <c r="E10" s="294"/>
      <c r="F10" s="107"/>
      <c r="G10" s="294"/>
      <c r="H10" s="127"/>
      <c r="I10" s="294"/>
      <c r="J10" s="107"/>
      <c r="K10" s="294"/>
      <c r="L10" s="127"/>
      <c r="M10" s="294"/>
      <c r="N10" s="107"/>
      <c r="O10" s="294"/>
      <c r="P10" s="127"/>
      <c r="Q10" s="294"/>
      <c r="R10" s="107"/>
      <c r="S10" s="294"/>
      <c r="T10" s="117"/>
      <c r="U10" s="294"/>
      <c r="V10" s="117"/>
      <c r="W10" s="294"/>
      <c r="X10" s="100"/>
      <c r="Y10" s="17"/>
      <c r="Z10" s="17"/>
      <c r="AA10" s="17"/>
      <c r="AB10" s="17"/>
      <c r="AC10" s="17"/>
      <c r="AD10" s="17"/>
      <c r="AE10" s="17"/>
      <c r="AF10" s="17"/>
      <c r="AG10" s="17"/>
      <c r="AH10" s="17"/>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F11" s="10"/>
      <c r="AG11" s="10"/>
      <c r="AH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51" t="s">
        <v>129</v>
      </c>
      <c r="D12" s="452" t="s">
        <v>131</v>
      </c>
      <c r="E12" s="208"/>
      <c r="F12" s="268"/>
      <c r="G12" s="208"/>
      <c r="H12" s="268"/>
      <c r="I12" s="208"/>
      <c r="J12" s="268"/>
      <c r="K12" s="208"/>
      <c r="L12" s="268"/>
      <c r="M12" s="208"/>
      <c r="N12" s="268"/>
      <c r="O12" s="208"/>
      <c r="P12" s="268"/>
      <c r="Q12" s="208"/>
      <c r="R12" s="268"/>
      <c r="S12" s="208"/>
      <c r="T12" s="117"/>
      <c r="U12" s="208"/>
      <c r="V12" s="117"/>
      <c r="W12" s="208"/>
      <c r="X12" s="108"/>
      <c r="Y12" s="10"/>
      <c r="Z12" s="10"/>
      <c r="AA12" s="10"/>
      <c r="AB12" s="10"/>
      <c r="AC12" s="10"/>
      <c r="AD12" s="10"/>
      <c r="AE12" s="10"/>
      <c r="AF12" s="10"/>
      <c r="AG12" s="10"/>
      <c r="AH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451" t="s">
        <v>130</v>
      </c>
      <c r="D13" s="452" t="s">
        <v>131</v>
      </c>
      <c r="E13" s="208"/>
      <c r="F13" s="268"/>
      <c r="G13" s="208"/>
      <c r="H13" s="268"/>
      <c r="I13" s="208"/>
      <c r="J13" s="268"/>
      <c r="K13" s="208"/>
      <c r="L13" s="268"/>
      <c r="M13" s="208"/>
      <c r="N13" s="268"/>
      <c r="O13" s="208"/>
      <c r="P13" s="268"/>
      <c r="Q13" s="208"/>
      <c r="R13" s="268"/>
      <c r="S13" s="208"/>
      <c r="T13" s="117"/>
      <c r="U13" s="208"/>
      <c r="V13" s="117"/>
      <c r="W13" s="208"/>
      <c r="X13" s="108"/>
      <c r="Y13" s="10"/>
      <c r="Z13" s="10"/>
      <c r="AA13" s="10"/>
      <c r="AB13" s="10"/>
      <c r="AC13" s="10"/>
      <c r="AD13" s="10"/>
      <c r="AE13" s="10"/>
      <c r="AF13" s="10"/>
      <c r="AG13" s="10"/>
      <c r="AH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6"/>
      <c r="C14" s="98"/>
      <c r="D14" s="98"/>
      <c r="E14" s="125"/>
      <c r="F14" s="107"/>
      <c r="G14" s="125"/>
      <c r="H14" s="169"/>
      <c r="I14" s="125"/>
      <c r="J14" s="107"/>
      <c r="K14" s="125"/>
      <c r="L14" s="107"/>
      <c r="M14" s="125"/>
      <c r="N14" s="107"/>
      <c r="O14" s="125"/>
      <c r="P14" s="107"/>
      <c r="Q14" s="125"/>
      <c r="R14" s="107"/>
      <c r="S14" s="125"/>
      <c r="T14" s="117"/>
      <c r="U14" s="125"/>
      <c r="V14" s="117"/>
      <c r="W14" s="125"/>
      <c r="X14" s="108"/>
      <c r="Y14" s="10"/>
      <c r="Z14" s="10"/>
      <c r="AA14" s="10"/>
      <c r="AB14" s="10"/>
      <c r="AC14" s="10"/>
      <c r="AD14" s="10"/>
      <c r="AE14" s="10"/>
      <c r="AF14" s="10"/>
      <c r="AG14" s="10"/>
      <c r="AH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9"/>
      <c r="C15" s="110" t="s">
        <v>19</v>
      </c>
      <c r="D15" s="110"/>
      <c r="E15" s="110"/>
      <c r="F15" s="110"/>
      <c r="G15" s="110"/>
      <c r="H15" s="169"/>
      <c r="I15" s="110"/>
      <c r="J15" s="110"/>
      <c r="K15" s="110"/>
      <c r="L15" s="107"/>
      <c r="M15" s="110"/>
      <c r="N15" s="110"/>
      <c r="O15" s="110"/>
      <c r="P15" s="107"/>
      <c r="Q15" s="110"/>
      <c r="R15" s="110"/>
      <c r="S15" s="110"/>
      <c r="T15" s="117"/>
      <c r="U15" s="110"/>
      <c r="V15" s="117"/>
      <c r="W15" s="110"/>
      <c r="X15" s="108"/>
      <c r="Y15" s="10"/>
      <c r="Z15" s="10"/>
      <c r="AA15" s="10"/>
      <c r="AB15" s="10"/>
      <c r="AC15" s="10"/>
      <c r="AD15" s="10"/>
      <c r="AE15" s="10"/>
      <c r="AF15" s="10"/>
      <c r="AG15" s="10"/>
      <c r="AH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453" t="s">
        <v>239</v>
      </c>
      <c r="D16" s="452" t="s">
        <v>194</v>
      </c>
      <c r="E16" s="89"/>
      <c r="F16" s="107"/>
      <c r="G16" s="89"/>
      <c r="H16" s="107"/>
      <c r="I16" s="89"/>
      <c r="J16" s="107"/>
      <c r="K16" s="89"/>
      <c r="L16" s="107"/>
      <c r="M16" s="89"/>
      <c r="N16" s="107"/>
      <c r="O16" s="89"/>
      <c r="P16" s="107"/>
      <c r="Q16" s="89"/>
      <c r="R16" s="107"/>
      <c r="S16" s="89"/>
      <c r="T16" s="117"/>
      <c r="U16" s="89"/>
      <c r="V16" s="117"/>
      <c r="W16" s="89"/>
      <c r="X16" s="108"/>
      <c r="Y16" s="10"/>
      <c r="Z16" s="10"/>
      <c r="AA16" s="10"/>
      <c r="AB16" s="10"/>
      <c r="AC16" s="10"/>
      <c r="AD16" s="10"/>
      <c r="AE16" s="10"/>
      <c r="AF16" s="10"/>
      <c r="AG16" s="10"/>
      <c r="AH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8"/>
      <c r="D17" s="98"/>
      <c r="E17" s="125"/>
      <c r="F17" s="107"/>
      <c r="G17" s="125"/>
      <c r="H17" s="107"/>
      <c r="I17" s="125"/>
      <c r="J17" s="107"/>
      <c r="K17" s="125"/>
      <c r="L17" s="107"/>
      <c r="M17" s="125"/>
      <c r="N17" s="107"/>
      <c r="O17" s="125"/>
      <c r="P17" s="107"/>
      <c r="Q17" s="125"/>
      <c r="R17" s="107"/>
      <c r="S17" s="125"/>
      <c r="T17" s="117"/>
      <c r="U17" s="125"/>
      <c r="V17" s="117"/>
      <c r="W17" s="125"/>
      <c r="X17" s="108"/>
      <c r="Y17" s="10"/>
      <c r="Z17" s="10"/>
      <c r="AA17" s="10"/>
      <c r="AB17" s="10"/>
      <c r="AC17" s="10"/>
      <c r="AD17" s="10"/>
      <c r="AE17" s="10"/>
      <c r="AF17" s="10"/>
      <c r="AG17" s="10"/>
      <c r="AH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97" t="s">
        <v>25</v>
      </c>
      <c r="D18" s="126"/>
      <c r="E18" s="125"/>
      <c r="F18" s="107"/>
      <c r="G18" s="125"/>
      <c r="H18" s="127"/>
      <c r="I18" s="125"/>
      <c r="J18" s="107"/>
      <c r="K18" s="125"/>
      <c r="L18" s="127"/>
      <c r="M18" s="125"/>
      <c r="N18" s="107"/>
      <c r="O18" s="125"/>
      <c r="P18" s="127"/>
      <c r="Q18" s="125"/>
      <c r="R18" s="107"/>
      <c r="S18" s="125"/>
      <c r="T18" s="117"/>
      <c r="U18" s="125"/>
      <c r="V18" s="117"/>
      <c r="W18" s="125"/>
      <c r="X18" s="108"/>
      <c r="Y18" s="10"/>
      <c r="Z18" s="10"/>
      <c r="AA18" s="10"/>
      <c r="AB18" s="10"/>
      <c r="AC18" s="10"/>
      <c r="AD18" s="10"/>
      <c r="AE18" s="10"/>
      <c r="AF18" s="10"/>
      <c r="AG18" s="10"/>
      <c r="AH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451" t="s">
        <v>22</v>
      </c>
      <c r="D19" s="452" t="s">
        <v>154</v>
      </c>
      <c r="E19" s="208"/>
      <c r="F19" s="268"/>
      <c r="G19" s="208"/>
      <c r="H19" s="278"/>
      <c r="I19" s="208"/>
      <c r="J19" s="268"/>
      <c r="K19" s="208"/>
      <c r="L19" s="278"/>
      <c r="M19" s="208"/>
      <c r="N19" s="268"/>
      <c r="O19" s="208"/>
      <c r="P19" s="278"/>
      <c r="Q19" s="208"/>
      <c r="R19" s="268"/>
      <c r="S19" s="208"/>
      <c r="T19" s="117"/>
      <c r="U19" s="208"/>
      <c r="V19" s="117"/>
      <c r="W19" s="208"/>
      <c r="X19" s="108"/>
      <c r="Y19" s="10"/>
      <c r="Z19" s="10"/>
      <c r="AA19" s="10"/>
      <c r="AB19" s="10"/>
      <c r="AC19" s="10"/>
      <c r="AD19" s="10"/>
      <c r="AE19" s="10"/>
      <c r="AF19" s="10"/>
      <c r="AG19" s="10"/>
      <c r="AH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8" t="s">
        <v>229</v>
      </c>
      <c r="D20" s="452" t="s">
        <v>154</v>
      </c>
      <c r="E20" s="208"/>
      <c r="F20" s="268"/>
      <c r="G20" s="208"/>
      <c r="H20" s="278"/>
      <c r="I20" s="208"/>
      <c r="J20" s="268"/>
      <c r="K20" s="208"/>
      <c r="L20" s="278"/>
      <c r="M20" s="208"/>
      <c r="N20" s="268"/>
      <c r="O20" s="208"/>
      <c r="P20" s="278"/>
      <c r="Q20" s="208"/>
      <c r="R20" s="268"/>
      <c r="S20" s="208"/>
      <c r="T20" s="117"/>
      <c r="U20" s="208"/>
      <c r="V20" s="117"/>
      <c r="W20" s="208"/>
      <c r="X20" s="108"/>
      <c r="Y20" s="10"/>
      <c r="Z20" s="10"/>
      <c r="AA20" s="10"/>
      <c r="AB20" s="10"/>
      <c r="AC20" s="10"/>
      <c r="AD20" s="10"/>
      <c r="AE20" s="10"/>
      <c r="AF20" s="10"/>
      <c r="AG20" s="10"/>
      <c r="AH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106"/>
      <c r="C21" s="308" t="s">
        <v>133</v>
      </c>
      <c r="D21" s="452" t="s">
        <v>154</v>
      </c>
      <c r="E21" s="208"/>
      <c r="F21" s="268"/>
      <c r="G21" s="208"/>
      <c r="H21" s="278"/>
      <c r="I21" s="208"/>
      <c r="J21" s="268"/>
      <c r="K21" s="208"/>
      <c r="L21" s="278"/>
      <c r="M21" s="208"/>
      <c r="N21" s="268"/>
      <c r="O21" s="208"/>
      <c r="P21" s="278"/>
      <c r="Q21" s="208"/>
      <c r="R21" s="268"/>
      <c r="S21" s="208"/>
      <c r="T21" s="117"/>
      <c r="U21" s="208"/>
      <c r="V21" s="117"/>
      <c r="W21" s="208"/>
      <c r="X21" s="108"/>
      <c r="Y21" s="10"/>
      <c r="Z21" s="10"/>
      <c r="AA21" s="10"/>
      <c r="AB21" s="10"/>
      <c r="AC21" s="10"/>
      <c r="AD21" s="10"/>
      <c r="AE21" s="10"/>
      <c r="AF21" s="10"/>
      <c r="AG21" s="10"/>
      <c r="AH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06"/>
      <c r="C22" s="127"/>
      <c r="D22" s="127"/>
      <c r="E22" s="125"/>
      <c r="F22" s="107"/>
      <c r="G22" s="125"/>
      <c r="H22" s="127"/>
      <c r="I22" s="125"/>
      <c r="J22" s="107"/>
      <c r="K22" s="125"/>
      <c r="L22" s="127"/>
      <c r="M22" s="125"/>
      <c r="N22" s="107"/>
      <c r="O22" s="125"/>
      <c r="P22" s="127"/>
      <c r="Q22" s="125"/>
      <c r="R22" s="107"/>
      <c r="S22" s="125"/>
      <c r="T22" s="117"/>
      <c r="U22" s="125"/>
      <c r="V22" s="117"/>
      <c r="W22" s="125"/>
      <c r="X22" s="108"/>
      <c r="Y22" s="10"/>
      <c r="Z22" s="10"/>
      <c r="AA22" s="10"/>
      <c r="AB22" s="10"/>
      <c r="AC22" s="10"/>
      <c r="AD22" s="10"/>
      <c r="AE22" s="10"/>
      <c r="AF22" s="10"/>
      <c r="AG22" s="10"/>
      <c r="AH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106"/>
      <c r="C23" s="97" t="s">
        <v>26</v>
      </c>
      <c r="D23" s="128"/>
      <c r="E23" s="107"/>
      <c r="F23" s="107"/>
      <c r="G23" s="107"/>
      <c r="H23" s="127"/>
      <c r="I23" s="107"/>
      <c r="J23" s="107"/>
      <c r="K23" s="107"/>
      <c r="L23" s="127"/>
      <c r="M23" s="107"/>
      <c r="N23" s="107"/>
      <c r="O23" s="107"/>
      <c r="P23" s="127"/>
      <c r="Q23" s="107"/>
      <c r="R23" s="107"/>
      <c r="S23" s="107"/>
      <c r="T23" s="117"/>
      <c r="U23" s="107"/>
      <c r="V23" s="117"/>
      <c r="W23" s="107"/>
      <c r="X23" s="108"/>
      <c r="Y23" s="10"/>
      <c r="Z23" s="10"/>
      <c r="AA23" s="10"/>
      <c r="AB23" s="10"/>
      <c r="AC23" s="10"/>
      <c r="AD23" s="10"/>
      <c r="AE23" s="10"/>
      <c r="AF23" s="10"/>
      <c r="AG23" s="10"/>
      <c r="AH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06"/>
      <c r="C24" s="307" t="s">
        <v>128</v>
      </c>
      <c r="D24" s="127" t="s">
        <v>230</v>
      </c>
      <c r="E24" s="508"/>
      <c r="F24" s="509"/>
      <c r="G24" s="508"/>
      <c r="H24" s="510"/>
      <c r="I24" s="508"/>
      <c r="J24" s="511"/>
      <c r="K24" s="508"/>
      <c r="L24" s="512"/>
      <c r="M24" s="508"/>
      <c r="N24" s="511"/>
      <c r="O24" s="508"/>
      <c r="P24" s="512"/>
      <c r="Q24" s="508"/>
      <c r="R24" s="511"/>
      <c r="S24" s="508"/>
      <c r="T24" s="513"/>
      <c r="U24" s="508"/>
      <c r="V24" s="513"/>
      <c r="W24" s="508"/>
      <c r="X24" s="108"/>
      <c r="Y24" s="10"/>
      <c r="Z24" s="10"/>
      <c r="AA24" s="10"/>
      <c r="AB24" s="10"/>
      <c r="AC24" s="10"/>
      <c r="AD24" s="10"/>
      <c r="AE24" s="10"/>
      <c r="AF24" s="10"/>
      <c r="AG24" s="10"/>
      <c r="AH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06"/>
      <c r="C25" s="307"/>
      <c r="D25" s="127"/>
      <c r="E25" s="127"/>
      <c r="F25" s="127"/>
      <c r="G25" s="127"/>
      <c r="H25" s="127"/>
      <c r="I25" s="127"/>
      <c r="J25" s="127"/>
      <c r="K25" s="127"/>
      <c r="L25" s="127"/>
      <c r="M25" s="127"/>
      <c r="N25" s="127"/>
      <c r="O25" s="127"/>
      <c r="P25" s="127"/>
      <c r="Q25" s="127"/>
      <c r="R25" s="127"/>
      <c r="S25" s="127"/>
      <c r="T25" s="127"/>
      <c r="U25" s="127"/>
      <c r="V25" s="127"/>
      <c r="W25" s="127"/>
      <c r="X25" s="108"/>
      <c r="Y25" s="10"/>
      <c r="Z25" s="10"/>
      <c r="AA25" s="10"/>
      <c r="AB25" s="10"/>
      <c r="AC25" s="10"/>
      <c r="AD25" s="10"/>
      <c r="AE25" s="10"/>
      <c r="AF25" s="10"/>
      <c r="AG25" s="10"/>
      <c r="AH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25" customHeight="1">
      <c r="A26" s="12"/>
      <c r="B26" s="514" t="s">
        <v>218</v>
      </c>
      <c r="C26" s="515"/>
      <c r="D26" s="516"/>
      <c r="E26" s="516"/>
      <c r="F26" s="516"/>
      <c r="G26" s="516"/>
      <c r="H26" s="516"/>
      <c r="I26" s="516"/>
      <c r="J26" s="516"/>
      <c r="K26" s="516"/>
      <c r="L26" s="516"/>
      <c r="M26" s="516"/>
      <c r="N26" s="516"/>
      <c r="O26" s="516"/>
      <c r="P26" s="516"/>
      <c r="Q26" s="516"/>
      <c r="R26" s="516"/>
      <c r="S26" s="516"/>
      <c r="T26" s="516"/>
      <c r="U26" s="516"/>
      <c r="V26" s="516"/>
      <c r="W26" s="516"/>
      <c r="X26" s="108"/>
      <c r="Y26" s="10"/>
      <c r="Z26" s="10"/>
      <c r="AA26" s="10"/>
      <c r="AB26" s="10"/>
      <c r="AC26" s="10"/>
      <c r="AD26" s="10"/>
      <c r="AE26" s="10"/>
      <c r="AF26" s="10"/>
      <c r="AG26" s="10"/>
      <c r="AH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518"/>
      <c r="C27" s="515"/>
      <c r="D27" s="516"/>
      <c r="E27" s="516"/>
      <c r="F27" s="516"/>
      <c r="G27" s="516"/>
      <c r="H27" s="516"/>
      <c r="I27" s="516"/>
      <c r="J27" s="516"/>
      <c r="K27" s="516"/>
      <c r="L27" s="516"/>
      <c r="M27" s="516"/>
      <c r="N27" s="516"/>
      <c r="O27" s="516"/>
      <c r="P27" s="516"/>
      <c r="Q27" s="516"/>
      <c r="R27" s="516"/>
      <c r="S27" s="516"/>
      <c r="T27" s="516"/>
      <c r="U27" s="516"/>
      <c r="V27" s="516"/>
      <c r="W27" s="516"/>
      <c r="X27" s="108"/>
      <c r="Y27" s="10"/>
      <c r="Z27" s="10"/>
      <c r="AA27" s="10"/>
      <c r="AB27" s="10"/>
      <c r="AC27" s="10"/>
      <c r="AD27" s="10"/>
      <c r="AE27" s="10"/>
      <c r="AF27" s="10"/>
      <c r="AG27" s="10"/>
      <c r="AH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15" customHeight="1">
      <c r="A28" s="12"/>
      <c r="B28" s="518"/>
      <c r="C28" s="519" t="s">
        <v>28</v>
      </c>
      <c r="D28" s="516"/>
      <c r="E28" s="517"/>
      <c r="F28" s="516"/>
      <c r="G28" s="516"/>
      <c r="H28" s="516"/>
      <c r="I28" s="516"/>
      <c r="J28" s="516"/>
      <c r="K28" s="516"/>
      <c r="L28" s="516"/>
      <c r="M28" s="516"/>
      <c r="N28" s="516"/>
      <c r="O28" s="516"/>
      <c r="P28" s="516"/>
      <c r="Q28" s="516"/>
      <c r="R28" s="516"/>
      <c r="S28" s="516"/>
      <c r="T28" s="516"/>
      <c r="U28" s="516"/>
      <c r="V28" s="516"/>
      <c r="W28" s="516"/>
      <c r="X28" s="108"/>
      <c r="Y28" s="10"/>
      <c r="Z28" s="10"/>
      <c r="AA28" s="10"/>
      <c r="AB28" s="10"/>
      <c r="AC28" s="10"/>
      <c r="AD28" s="10"/>
      <c r="AE28" s="10"/>
      <c r="AF28" s="10"/>
      <c r="AG28" s="10"/>
      <c r="AH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518"/>
      <c r="C29" s="453" t="s">
        <v>193</v>
      </c>
      <c r="D29" s="452" t="s">
        <v>135</v>
      </c>
      <c r="E29" s="89"/>
      <c r="F29" s="517"/>
      <c r="G29" s="89"/>
      <c r="H29" s="510"/>
      <c r="I29" s="89"/>
      <c r="J29" s="511"/>
      <c r="K29" s="89"/>
      <c r="L29" s="512"/>
      <c r="M29" s="89"/>
      <c r="N29" s="511"/>
      <c r="O29" s="89"/>
      <c r="P29" s="512"/>
      <c r="Q29" s="89"/>
      <c r="R29" s="511"/>
      <c r="S29" s="89"/>
      <c r="T29" s="513"/>
      <c r="U29" s="89"/>
      <c r="V29" s="513"/>
      <c r="W29" s="89"/>
      <c r="X29" s="108"/>
      <c r="Y29" s="10"/>
      <c r="Z29" s="10"/>
      <c r="AA29" s="10"/>
      <c r="AB29" s="10"/>
      <c r="AC29" s="10"/>
      <c r="AD29" s="10"/>
      <c r="AE29" s="10"/>
      <c r="AF29" s="10"/>
      <c r="AG29" s="10"/>
      <c r="AH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11"/>
      <c r="C30" s="112"/>
      <c r="D30" s="120"/>
      <c r="E30" s="113"/>
      <c r="F30" s="114"/>
      <c r="G30" s="113"/>
      <c r="H30" s="114"/>
      <c r="I30" s="113"/>
      <c r="J30" s="114"/>
      <c r="K30" s="113"/>
      <c r="L30" s="114"/>
      <c r="M30" s="113"/>
      <c r="N30" s="114"/>
      <c r="O30" s="113"/>
      <c r="P30" s="114"/>
      <c r="Q30" s="113"/>
      <c r="R30" s="114"/>
      <c r="S30" s="113"/>
      <c r="T30" s="113"/>
      <c r="U30" s="113"/>
      <c r="V30" s="113"/>
      <c r="W30" s="113"/>
      <c r="X30" s="115"/>
      <c r="Y30" s="10"/>
      <c r="Z30" s="10"/>
      <c r="AA30" s="10"/>
      <c r="AB30" s="10"/>
      <c r="AC30" s="10"/>
      <c r="AD30" s="10"/>
      <c r="AE30" s="10"/>
      <c r="AF30" s="10"/>
      <c r="AG30" s="10"/>
      <c r="AH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20"/>
      <c r="C31" s="21"/>
      <c r="D31" s="20"/>
      <c r="E31" s="12"/>
      <c r="F31" s="12"/>
      <c r="G31" s="12"/>
      <c r="H31" s="12"/>
      <c r="I31" s="12"/>
      <c r="J31" s="12"/>
      <c r="K31" s="12"/>
      <c r="L31" s="12"/>
      <c r="M31" s="12"/>
      <c r="N31" s="12"/>
      <c r="O31" s="12"/>
      <c r="P31" s="12"/>
      <c r="Q31" s="12"/>
      <c r="R31" s="12"/>
      <c r="S31" s="12"/>
      <c r="T31" s="12"/>
      <c r="U31" s="12"/>
      <c r="V31" s="12"/>
      <c r="W31" s="12"/>
      <c r="X31" s="12"/>
      <c r="Y31" s="10"/>
      <c r="Z31" s="10"/>
      <c r="AA31" s="10"/>
      <c r="AB31" s="10"/>
      <c r="AC31" s="10"/>
      <c r="AD31" s="10"/>
      <c r="AE31" s="10"/>
      <c r="AF31" s="10"/>
      <c r="AG31" s="10"/>
      <c r="AH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70"/>
      <c r="C32" s="171"/>
      <c r="D32" s="172"/>
      <c r="E32" s="173"/>
      <c r="F32" s="173"/>
      <c r="G32" s="173"/>
      <c r="H32" s="173"/>
      <c r="I32" s="173"/>
      <c r="J32" s="174"/>
      <c r="K32" s="173"/>
      <c r="L32" s="171"/>
      <c r="M32" s="173"/>
      <c r="N32" s="174"/>
      <c r="O32" s="173"/>
      <c r="P32" s="171"/>
      <c r="Q32" s="173"/>
      <c r="R32" s="174"/>
      <c r="S32" s="173"/>
      <c r="T32" s="173"/>
      <c r="U32" s="173"/>
      <c r="V32" s="173"/>
      <c r="W32" s="173"/>
      <c r="X32" s="175"/>
      <c r="Y32" s="10"/>
      <c r="Z32" s="10"/>
      <c r="AA32" s="10"/>
      <c r="AB32" s="10"/>
      <c r="AC32" s="10"/>
      <c r="AD32" s="10"/>
      <c r="AE32" s="10"/>
      <c r="AF32" s="10"/>
      <c r="AG32" s="10"/>
      <c r="AH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25" customHeight="1">
      <c r="A33" s="12"/>
      <c r="B33" s="176" t="s">
        <v>222</v>
      </c>
      <c r="C33" s="177"/>
      <c r="D33" s="177"/>
      <c r="E33" s="178"/>
      <c r="F33" s="178"/>
      <c r="G33" s="178"/>
      <c r="H33" s="178"/>
      <c r="I33" s="178"/>
      <c r="J33" s="179"/>
      <c r="K33" s="178"/>
      <c r="L33" s="180"/>
      <c r="M33" s="178"/>
      <c r="N33" s="179"/>
      <c r="O33" s="178"/>
      <c r="P33" s="180"/>
      <c r="Q33" s="178"/>
      <c r="R33" s="179"/>
      <c r="S33" s="178"/>
      <c r="T33" s="178"/>
      <c r="U33" s="178"/>
      <c r="V33" s="178"/>
      <c r="W33" s="178"/>
      <c r="X33" s="181"/>
      <c r="Y33" s="10"/>
      <c r="Z33" s="10"/>
      <c r="AA33" s="10"/>
      <c r="AB33" s="10"/>
      <c r="AC33" s="10"/>
      <c r="AD33" s="10"/>
      <c r="AE33" s="10"/>
      <c r="AF33" s="10"/>
      <c r="AG33" s="10"/>
      <c r="AH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76"/>
      <c r="C34" s="182" t="s">
        <v>38</v>
      </c>
      <c r="D34" s="177"/>
      <c r="E34" s="183" t="s">
        <v>39</v>
      </c>
      <c r="F34" s="178"/>
      <c r="G34" s="184" t="str">
        <f>$E$34</f>
        <v>Ja</v>
      </c>
      <c r="H34" s="178"/>
      <c r="I34" s="184" t="str">
        <f>$E$34</f>
        <v>Ja</v>
      </c>
      <c r="J34" s="179"/>
      <c r="K34" s="184" t="str">
        <f>$E$34</f>
        <v>Ja</v>
      </c>
      <c r="L34" s="180"/>
      <c r="M34" s="184" t="str">
        <f>$E$34</f>
        <v>Ja</v>
      </c>
      <c r="N34" s="179"/>
      <c r="O34" s="184" t="str">
        <f>$E$34</f>
        <v>Ja</v>
      </c>
      <c r="P34" s="180"/>
      <c r="Q34" s="184" t="str">
        <f>$E$34</f>
        <v>Ja</v>
      </c>
      <c r="R34" s="179"/>
      <c r="S34" s="184" t="str">
        <f>$E$34</f>
        <v>Ja</v>
      </c>
      <c r="T34" s="178"/>
      <c r="U34" s="184" t="str">
        <f>$E$34</f>
        <v>Ja</v>
      </c>
      <c r="V34" s="178"/>
      <c r="W34" s="184" t="str">
        <f>$E$34</f>
        <v>Ja</v>
      </c>
      <c r="X34" s="181"/>
      <c r="Y34" s="10"/>
      <c r="Z34" s="10"/>
      <c r="AA34" s="10"/>
      <c r="AB34" s="10"/>
      <c r="AC34" s="10"/>
      <c r="AD34" s="10"/>
      <c r="AE34" s="10"/>
      <c r="AF34" s="10"/>
      <c r="AG34" s="10"/>
      <c r="AH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76"/>
      <c r="C35" s="185"/>
      <c r="D35" s="177"/>
      <c r="E35" s="178"/>
      <c r="F35" s="178"/>
      <c r="G35" s="178"/>
      <c r="H35" s="178"/>
      <c r="I35" s="178"/>
      <c r="J35" s="179"/>
      <c r="K35" s="178"/>
      <c r="L35" s="180"/>
      <c r="M35" s="178"/>
      <c r="N35" s="179"/>
      <c r="O35" s="178"/>
      <c r="P35" s="180"/>
      <c r="Q35" s="178"/>
      <c r="R35" s="179"/>
      <c r="S35" s="178"/>
      <c r="T35" s="178"/>
      <c r="U35" s="178"/>
      <c r="V35" s="178"/>
      <c r="W35" s="178"/>
      <c r="X35" s="181"/>
      <c r="Y35" s="10"/>
      <c r="Z35" s="10"/>
      <c r="AA35" s="10"/>
      <c r="AB35" s="10"/>
      <c r="AC35" s="10"/>
      <c r="AD35" s="10"/>
      <c r="AE35" s="10"/>
      <c r="AF35" s="10"/>
      <c r="AG35" s="10"/>
      <c r="AH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76"/>
      <c r="C36" s="186" t="s">
        <v>225</v>
      </c>
      <c r="D36" s="187" t="s">
        <v>40</v>
      </c>
      <c r="E36" s="183" t="s">
        <v>39</v>
      </c>
      <c r="F36" s="178"/>
      <c r="G36" s="184" t="str">
        <f>$E36</f>
        <v>Ja</v>
      </c>
      <c r="H36" s="178"/>
      <c r="I36" s="184" t="str">
        <f>$E36</f>
        <v>Ja</v>
      </c>
      <c r="J36" s="179"/>
      <c r="K36" s="184" t="str">
        <f>$E36</f>
        <v>Ja</v>
      </c>
      <c r="L36" s="180"/>
      <c r="M36" s="184" t="str">
        <f>$E36</f>
        <v>Ja</v>
      </c>
      <c r="N36" s="179"/>
      <c r="O36" s="184" t="str">
        <f>$E36</f>
        <v>Ja</v>
      </c>
      <c r="P36" s="180"/>
      <c r="Q36" s="184" t="str">
        <f>$E36</f>
        <v>Ja</v>
      </c>
      <c r="R36" s="179"/>
      <c r="S36" s="184" t="str">
        <f>$E36</f>
        <v>Ja</v>
      </c>
      <c r="T36" s="178"/>
      <c r="U36" s="184" t="str">
        <f>$E36</f>
        <v>Ja</v>
      </c>
      <c r="V36" s="178"/>
      <c r="W36" s="184" t="str">
        <f>$E36</f>
        <v>Ja</v>
      </c>
      <c r="X36" s="181"/>
      <c r="Y36" s="10"/>
      <c r="Z36" s="10"/>
      <c r="AA36" s="10"/>
      <c r="AB36" s="10"/>
      <c r="AC36" s="10"/>
      <c r="AD36" s="10"/>
      <c r="AE36" s="10"/>
      <c r="AF36" s="10"/>
      <c r="AG36" s="10"/>
      <c r="AH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8"/>
      <c r="C37" s="189" t="s">
        <v>226</v>
      </c>
      <c r="D37" s="187" t="s">
        <v>41</v>
      </c>
      <c r="E37" s="461">
        <f>VLOOKUP(E59,Fremskrivninger!$A$9:$L$38,12)</f>
        <v>8.8999999999999996E-2</v>
      </c>
      <c r="F37" s="456"/>
      <c r="G37" s="184">
        <f>$E37</f>
        <v>8.8999999999999996E-2</v>
      </c>
      <c r="H37" s="456"/>
      <c r="I37" s="184">
        <f>$E37</f>
        <v>8.8999999999999996E-2</v>
      </c>
      <c r="J37" s="459"/>
      <c r="K37" s="184">
        <f>$E37</f>
        <v>8.8999999999999996E-2</v>
      </c>
      <c r="L37" s="460"/>
      <c r="M37" s="184">
        <f>$E37</f>
        <v>8.8999999999999996E-2</v>
      </c>
      <c r="N37" s="459"/>
      <c r="O37" s="184">
        <f>$E37</f>
        <v>8.8999999999999996E-2</v>
      </c>
      <c r="P37" s="460"/>
      <c r="Q37" s="184">
        <f>$E37</f>
        <v>8.8999999999999996E-2</v>
      </c>
      <c r="R37" s="459"/>
      <c r="S37" s="184">
        <f>$E37</f>
        <v>8.8999999999999996E-2</v>
      </c>
      <c r="T37" s="456"/>
      <c r="U37" s="184">
        <f>$E37</f>
        <v>8.8999999999999996E-2</v>
      </c>
      <c r="V37" s="456"/>
      <c r="W37" s="184">
        <f>$E37</f>
        <v>8.8999999999999996E-2</v>
      </c>
      <c r="X37" s="181"/>
      <c r="Y37" s="10"/>
      <c r="Z37" s="10"/>
      <c r="AA37" s="10"/>
      <c r="AB37" s="10"/>
      <c r="AC37" s="10"/>
      <c r="AD37" s="10"/>
      <c r="AE37" s="10"/>
      <c r="AF37" s="10"/>
      <c r="AG37" s="10"/>
      <c r="AH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8"/>
      <c r="C38" s="189" t="s">
        <v>227</v>
      </c>
      <c r="D38" s="187" t="s">
        <v>41</v>
      </c>
      <c r="E38" s="455">
        <v>0.1</v>
      </c>
      <c r="F38" s="456"/>
      <c r="G38" s="457">
        <f>$E38</f>
        <v>0.1</v>
      </c>
      <c r="H38" s="456"/>
      <c r="I38" s="457">
        <f>$E38</f>
        <v>0.1</v>
      </c>
      <c r="J38" s="459"/>
      <c r="K38" s="457">
        <f>$E38</f>
        <v>0.1</v>
      </c>
      <c r="L38" s="460"/>
      <c r="M38" s="457">
        <f>$E38</f>
        <v>0.1</v>
      </c>
      <c r="N38" s="459"/>
      <c r="O38" s="457">
        <f>$E38</f>
        <v>0.1</v>
      </c>
      <c r="P38" s="460"/>
      <c r="Q38" s="457">
        <f>$E38</f>
        <v>0.1</v>
      </c>
      <c r="R38" s="459"/>
      <c r="S38" s="457">
        <f>$E38</f>
        <v>0.1</v>
      </c>
      <c r="T38" s="456"/>
      <c r="U38" s="457">
        <f>$E38</f>
        <v>0.1</v>
      </c>
      <c r="V38" s="456"/>
      <c r="W38" s="457">
        <f>$E38</f>
        <v>0.1</v>
      </c>
      <c r="X38" s="181"/>
      <c r="Y38" s="10"/>
      <c r="Z38" s="10"/>
      <c r="AA38" s="10"/>
      <c r="AB38" s="10"/>
      <c r="AC38" s="10"/>
      <c r="AD38" s="10"/>
      <c r="AE38" s="10"/>
      <c r="AF38" s="10"/>
      <c r="AG38" s="10"/>
      <c r="AH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8"/>
      <c r="C39" s="189"/>
      <c r="D39" s="187"/>
      <c r="E39" s="187"/>
      <c r="F39" s="187"/>
      <c r="G39" s="187"/>
      <c r="H39" s="187"/>
      <c r="I39" s="187"/>
      <c r="J39" s="187"/>
      <c r="K39" s="187"/>
      <c r="L39" s="187"/>
      <c r="M39" s="187"/>
      <c r="N39" s="187"/>
      <c r="O39" s="187"/>
      <c r="P39" s="187"/>
      <c r="Q39" s="187"/>
      <c r="R39" s="187"/>
      <c r="S39" s="187"/>
      <c r="T39" s="178"/>
      <c r="U39" s="187"/>
      <c r="V39" s="178"/>
      <c r="W39" s="187"/>
      <c r="X39" s="181"/>
      <c r="Y39" s="10"/>
      <c r="Z39" s="10"/>
      <c r="AA39" s="10"/>
      <c r="AB39" s="10"/>
      <c r="AC39" s="10"/>
      <c r="AD39" s="10"/>
      <c r="AE39" s="10"/>
      <c r="AF39" s="10"/>
      <c r="AG39" s="10"/>
      <c r="AH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188"/>
      <c r="C40" s="186" t="s">
        <v>148</v>
      </c>
      <c r="D40" s="187" t="s">
        <v>40</v>
      </c>
      <c r="E40" s="183" t="s">
        <v>39</v>
      </c>
      <c r="F40" s="190"/>
      <c r="G40" s="184" t="str">
        <f>$E$40</f>
        <v>Ja</v>
      </c>
      <c r="H40" s="177"/>
      <c r="I40" s="184" t="str">
        <f>$E$40</f>
        <v>Ja</v>
      </c>
      <c r="J40" s="191"/>
      <c r="K40" s="184" t="str">
        <f>$E$40</f>
        <v>Ja</v>
      </c>
      <c r="L40" s="192"/>
      <c r="M40" s="184" t="str">
        <f>$E$40</f>
        <v>Ja</v>
      </c>
      <c r="N40" s="191"/>
      <c r="O40" s="184" t="str">
        <f>$E$40</f>
        <v>Ja</v>
      </c>
      <c r="P40" s="192"/>
      <c r="Q40" s="184" t="str">
        <f>$E$40</f>
        <v>Ja</v>
      </c>
      <c r="R40" s="191"/>
      <c r="S40" s="184" t="str">
        <f>$E$40</f>
        <v>Ja</v>
      </c>
      <c r="T40" s="178"/>
      <c r="U40" s="184" t="str">
        <f>$E$40</f>
        <v>Ja</v>
      </c>
      <c r="V40" s="178"/>
      <c r="W40" s="184" t="str">
        <f>$E$40</f>
        <v>Ja</v>
      </c>
      <c r="X40" s="181"/>
      <c r="Y40" s="10"/>
      <c r="Z40" s="10"/>
      <c r="AA40" s="10"/>
      <c r="AB40" s="10"/>
      <c r="AC40" s="10"/>
      <c r="AD40" s="10"/>
      <c r="AE40" s="10"/>
      <c r="AF40" s="10"/>
      <c r="AG40" s="10"/>
      <c r="AH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188"/>
      <c r="C41" s="189" t="s">
        <v>149</v>
      </c>
      <c r="D41" s="187" t="s">
        <v>151</v>
      </c>
      <c r="E41" s="461">
        <f>VLOOKUP($E$59,Fremskrivninger!$A$48:$H$77,8)</f>
        <v>2.52</v>
      </c>
      <c r="F41" s="456"/>
      <c r="G41" s="184">
        <f>$E$41</f>
        <v>2.52</v>
      </c>
      <c r="H41" s="458"/>
      <c r="I41" s="184">
        <f>$E$41</f>
        <v>2.52</v>
      </c>
      <c r="J41" s="459"/>
      <c r="K41" s="184">
        <f>$E$41</f>
        <v>2.52</v>
      </c>
      <c r="L41" s="460"/>
      <c r="M41" s="184">
        <f>$E$41</f>
        <v>2.52</v>
      </c>
      <c r="N41" s="459"/>
      <c r="O41" s="184">
        <f>$E$41</f>
        <v>2.52</v>
      </c>
      <c r="P41" s="460"/>
      <c r="Q41" s="184">
        <f>$E$41</f>
        <v>2.52</v>
      </c>
      <c r="R41" s="459"/>
      <c r="S41" s="184">
        <f>$E$41</f>
        <v>2.52</v>
      </c>
      <c r="T41" s="456"/>
      <c r="U41" s="184">
        <f>$E$41</f>
        <v>2.52</v>
      </c>
      <c r="V41" s="456"/>
      <c r="W41" s="184">
        <f>$E$41</f>
        <v>2.52</v>
      </c>
      <c r="X41" s="181"/>
      <c r="Y41" s="10"/>
      <c r="Z41" s="10"/>
      <c r="AA41" s="10"/>
      <c r="AB41" s="10"/>
      <c r="AC41" s="10"/>
      <c r="AD41" s="10"/>
      <c r="AE41" s="10"/>
      <c r="AF41" s="10"/>
      <c r="AG41" s="10"/>
      <c r="AH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188"/>
      <c r="C42" s="189" t="s">
        <v>150</v>
      </c>
      <c r="D42" s="187" t="s">
        <v>151</v>
      </c>
      <c r="E42" s="461">
        <f>VLOOKUP($E$59,Fremskrivninger!$A$92:$H$121,8)</f>
        <v>2.98</v>
      </c>
      <c r="F42" s="456"/>
      <c r="G42" s="184">
        <f>$E$42</f>
        <v>2.98</v>
      </c>
      <c r="H42" s="458"/>
      <c r="I42" s="184">
        <f>$E$42</f>
        <v>2.98</v>
      </c>
      <c r="J42" s="459"/>
      <c r="K42" s="184">
        <f>$E$42</f>
        <v>2.98</v>
      </c>
      <c r="L42" s="460"/>
      <c r="M42" s="184">
        <f>$E$42</f>
        <v>2.98</v>
      </c>
      <c r="N42" s="459"/>
      <c r="O42" s="184">
        <f>$E$42</f>
        <v>2.98</v>
      </c>
      <c r="P42" s="460"/>
      <c r="Q42" s="184">
        <f>$E$42</f>
        <v>2.98</v>
      </c>
      <c r="R42" s="459"/>
      <c r="S42" s="184">
        <f>$E$42</f>
        <v>2.98</v>
      </c>
      <c r="T42" s="456"/>
      <c r="U42" s="184">
        <f>$E$42</f>
        <v>2.98</v>
      </c>
      <c r="V42" s="456"/>
      <c r="W42" s="184">
        <f>$E$42</f>
        <v>2.98</v>
      </c>
      <c r="X42" s="181"/>
      <c r="Y42" s="10"/>
      <c r="Z42" s="10"/>
      <c r="AA42" s="10"/>
      <c r="AB42" s="10"/>
      <c r="AC42" s="10"/>
      <c r="AD42" s="10"/>
      <c r="AE42" s="10"/>
      <c r="AF42" s="10"/>
      <c r="AG42" s="10"/>
      <c r="AH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188"/>
      <c r="C43" s="189" t="s">
        <v>234</v>
      </c>
      <c r="D43" s="187" t="s">
        <v>151</v>
      </c>
      <c r="E43" s="455"/>
      <c r="F43" s="456"/>
      <c r="G43" s="457">
        <f>$E$43</f>
        <v>0</v>
      </c>
      <c r="H43" s="458"/>
      <c r="I43" s="457">
        <f>$E$43</f>
        <v>0</v>
      </c>
      <c r="J43" s="459"/>
      <c r="K43" s="457">
        <f>$E$43</f>
        <v>0</v>
      </c>
      <c r="L43" s="460"/>
      <c r="M43" s="457">
        <f>$E$43</f>
        <v>0</v>
      </c>
      <c r="N43" s="459"/>
      <c r="O43" s="457">
        <f>$E$43</f>
        <v>0</v>
      </c>
      <c r="P43" s="460"/>
      <c r="Q43" s="457">
        <f>$E$43</f>
        <v>0</v>
      </c>
      <c r="R43" s="459"/>
      <c r="S43" s="457">
        <f>$E$43</f>
        <v>0</v>
      </c>
      <c r="T43" s="456"/>
      <c r="U43" s="457">
        <f>$E$43</f>
        <v>0</v>
      </c>
      <c r="V43" s="456"/>
      <c r="W43" s="457">
        <f>$E$43</f>
        <v>0</v>
      </c>
      <c r="X43" s="181"/>
      <c r="Y43" s="10"/>
      <c r="Z43" s="10"/>
      <c r="AA43" s="10"/>
      <c r="AB43" s="10"/>
      <c r="AC43" s="10"/>
      <c r="AD43" s="10"/>
      <c r="AE43" s="10"/>
      <c r="AF43" s="10"/>
      <c r="AG43" s="10"/>
      <c r="AH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188"/>
      <c r="C44" s="189" t="s">
        <v>146</v>
      </c>
      <c r="D44" s="187" t="s">
        <v>151</v>
      </c>
      <c r="E44" s="455"/>
      <c r="F44" s="456"/>
      <c r="G44" s="457">
        <f>$E$43</f>
        <v>0</v>
      </c>
      <c r="H44" s="458"/>
      <c r="I44" s="457">
        <f>$E$43</f>
        <v>0</v>
      </c>
      <c r="J44" s="459"/>
      <c r="K44" s="457">
        <f>$E$43</f>
        <v>0</v>
      </c>
      <c r="L44" s="460"/>
      <c r="M44" s="457">
        <f>$E$43</f>
        <v>0</v>
      </c>
      <c r="N44" s="459"/>
      <c r="O44" s="457">
        <f>$E$43</f>
        <v>0</v>
      </c>
      <c r="P44" s="460"/>
      <c r="Q44" s="457">
        <f>$E$43</f>
        <v>0</v>
      </c>
      <c r="R44" s="459"/>
      <c r="S44" s="457">
        <f>$E$43</f>
        <v>0</v>
      </c>
      <c r="T44" s="456"/>
      <c r="U44" s="457">
        <f>$E$43</f>
        <v>0</v>
      </c>
      <c r="V44" s="456"/>
      <c r="W44" s="457">
        <f>$E$43</f>
        <v>0</v>
      </c>
      <c r="X44" s="181"/>
      <c r="Y44" s="10"/>
      <c r="Z44" s="10"/>
      <c r="AA44" s="10"/>
      <c r="AB44" s="10"/>
      <c r="AC44" s="10"/>
      <c r="AD44" s="10"/>
      <c r="AE44" s="10"/>
      <c r="AF44" s="10"/>
      <c r="AG44" s="10"/>
      <c r="AH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188"/>
      <c r="C45" s="187"/>
      <c r="D45" s="187"/>
      <c r="E45" s="177"/>
      <c r="F45" s="193"/>
      <c r="G45" s="177"/>
      <c r="H45" s="177"/>
      <c r="I45" s="194"/>
      <c r="J45" s="194"/>
      <c r="K45" s="194"/>
      <c r="L45" s="194"/>
      <c r="M45" s="194"/>
      <c r="N45" s="194"/>
      <c r="O45" s="194"/>
      <c r="P45" s="194"/>
      <c r="Q45" s="194"/>
      <c r="R45" s="194"/>
      <c r="S45" s="194"/>
      <c r="T45" s="178"/>
      <c r="U45" s="194"/>
      <c r="V45" s="178"/>
      <c r="W45" s="194"/>
      <c r="X45" s="181"/>
      <c r="Y45" s="10"/>
      <c r="Z45" s="10"/>
      <c r="AA45" s="10"/>
      <c r="AB45" s="10"/>
      <c r="AC45" s="10"/>
      <c r="AD45" s="10"/>
      <c r="AE45" s="10"/>
      <c r="AF45" s="10"/>
      <c r="AG45" s="10"/>
      <c r="AH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188"/>
      <c r="C46" s="195" t="s">
        <v>76</v>
      </c>
      <c r="D46" s="177"/>
      <c r="E46" s="183" t="s">
        <v>39</v>
      </c>
      <c r="F46" s="178"/>
      <c r="G46" s="184" t="str">
        <f>$E$46</f>
        <v>Ja</v>
      </c>
      <c r="H46" s="178"/>
      <c r="I46" s="184" t="str">
        <f>$E$46</f>
        <v>Ja</v>
      </c>
      <c r="J46" s="179"/>
      <c r="K46" s="184" t="str">
        <f>$E$46</f>
        <v>Ja</v>
      </c>
      <c r="L46" s="180"/>
      <c r="M46" s="184" t="str">
        <f>$E$46</f>
        <v>Ja</v>
      </c>
      <c r="N46" s="179"/>
      <c r="O46" s="184" t="str">
        <f>$E$46</f>
        <v>Ja</v>
      </c>
      <c r="P46" s="180"/>
      <c r="Q46" s="184" t="str">
        <f>$E$46</f>
        <v>Ja</v>
      </c>
      <c r="R46" s="179"/>
      <c r="S46" s="184" t="str">
        <f>$E$46</f>
        <v>Ja</v>
      </c>
      <c r="T46" s="178"/>
      <c r="U46" s="184" t="str">
        <f>$E$46</f>
        <v>Ja</v>
      </c>
      <c r="V46" s="178"/>
      <c r="W46" s="184" t="str">
        <f>$E$46</f>
        <v>Ja</v>
      </c>
      <c r="X46" s="181"/>
      <c r="Y46" s="10"/>
      <c r="Z46" s="10"/>
      <c r="AA46" s="10"/>
      <c r="AB46" s="10"/>
      <c r="AC46" s="10"/>
      <c r="AD46" s="10"/>
      <c r="AE46" s="10"/>
      <c r="AF46" s="10"/>
      <c r="AG46" s="10"/>
      <c r="AH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188"/>
      <c r="C47" s="187" t="s">
        <v>223</v>
      </c>
      <c r="D47" s="187" t="s">
        <v>42</v>
      </c>
      <c r="E47" s="196">
        <v>1500</v>
      </c>
      <c r="F47" s="197"/>
      <c r="G47" s="198">
        <f>$E$47</f>
        <v>1500</v>
      </c>
      <c r="H47" s="197"/>
      <c r="I47" s="198">
        <f>$E$47</f>
        <v>1500</v>
      </c>
      <c r="J47" s="199"/>
      <c r="K47" s="198">
        <f>$E$47</f>
        <v>1500</v>
      </c>
      <c r="L47" s="200"/>
      <c r="M47" s="198">
        <f>$E$47</f>
        <v>1500</v>
      </c>
      <c r="N47" s="199"/>
      <c r="O47" s="198">
        <f>$E$47</f>
        <v>1500</v>
      </c>
      <c r="P47" s="200"/>
      <c r="Q47" s="198">
        <f>$E$47</f>
        <v>1500</v>
      </c>
      <c r="R47" s="199"/>
      <c r="S47" s="198">
        <f>$E$47</f>
        <v>1500</v>
      </c>
      <c r="T47" s="178"/>
      <c r="U47" s="198">
        <f>$E$47</f>
        <v>1500</v>
      </c>
      <c r="V47" s="178"/>
      <c r="W47" s="198">
        <f>$E$47</f>
        <v>1500</v>
      </c>
      <c r="X47" s="181"/>
      <c r="Y47" s="10"/>
      <c r="Z47" s="10"/>
      <c r="AA47" s="10"/>
      <c r="AB47" s="10"/>
      <c r="AC47" s="10"/>
      <c r="AD47" s="10"/>
      <c r="AE47" s="10"/>
      <c r="AF47" s="10"/>
      <c r="AG47" s="10"/>
      <c r="AH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188"/>
      <c r="C48" s="187" t="s">
        <v>224</v>
      </c>
      <c r="D48" s="187" t="s">
        <v>42</v>
      </c>
      <c r="E48" s="196"/>
      <c r="F48" s="197"/>
      <c r="G48" s="198">
        <f>$E$48</f>
        <v>0</v>
      </c>
      <c r="H48" s="197"/>
      <c r="I48" s="198">
        <f>$E$48</f>
        <v>0</v>
      </c>
      <c r="J48" s="199"/>
      <c r="K48" s="198">
        <f>$E$48</f>
        <v>0</v>
      </c>
      <c r="L48" s="200"/>
      <c r="M48" s="198">
        <f>$E$48</f>
        <v>0</v>
      </c>
      <c r="N48" s="199"/>
      <c r="O48" s="198">
        <f>$E$48</f>
        <v>0</v>
      </c>
      <c r="P48" s="200"/>
      <c r="Q48" s="198">
        <f>$E$48</f>
        <v>0</v>
      </c>
      <c r="R48" s="199"/>
      <c r="S48" s="198">
        <f>$E$48</f>
        <v>0</v>
      </c>
      <c r="T48" s="178"/>
      <c r="U48" s="198">
        <f>$E$48</f>
        <v>0</v>
      </c>
      <c r="V48" s="178"/>
      <c r="W48" s="198">
        <f>$E$48</f>
        <v>0</v>
      </c>
      <c r="X48" s="181"/>
      <c r="Y48" s="10"/>
      <c r="Z48" s="10"/>
      <c r="AA48" s="10"/>
      <c r="AB48" s="10"/>
      <c r="AC48" s="10"/>
      <c r="AD48" s="10"/>
      <c r="AE48" s="10"/>
      <c r="AF48" s="10"/>
      <c r="AG48" s="10"/>
      <c r="AH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201"/>
      <c r="C49" s="202"/>
      <c r="D49" s="203"/>
      <c r="E49" s="204"/>
      <c r="F49" s="204"/>
      <c r="G49" s="204"/>
      <c r="H49" s="204"/>
      <c r="I49" s="204"/>
      <c r="J49" s="205"/>
      <c r="K49" s="204"/>
      <c r="L49" s="206"/>
      <c r="M49" s="204"/>
      <c r="N49" s="205"/>
      <c r="O49" s="204"/>
      <c r="P49" s="206"/>
      <c r="Q49" s="204"/>
      <c r="R49" s="205"/>
      <c r="S49" s="204"/>
      <c r="T49" s="204"/>
      <c r="U49" s="204"/>
      <c r="V49" s="204"/>
      <c r="W49" s="204"/>
      <c r="X49" s="207"/>
      <c r="Y49" s="10"/>
      <c r="Z49" s="10"/>
      <c r="AA49" s="10"/>
      <c r="AB49" s="10"/>
      <c r="AC49" s="10"/>
      <c r="AD49" s="10"/>
      <c r="AE49" s="10"/>
      <c r="AF49" s="10"/>
      <c r="AG49" s="10"/>
      <c r="AH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20"/>
      <c r="C50" s="21"/>
      <c r="D50" s="20"/>
      <c r="E50" s="12"/>
      <c r="F50" s="12"/>
      <c r="G50" s="12"/>
      <c r="H50" s="12"/>
      <c r="I50" s="12"/>
      <c r="J50" s="12"/>
      <c r="K50" s="12"/>
      <c r="L50" s="12"/>
      <c r="M50" s="12"/>
      <c r="N50" s="12"/>
      <c r="O50" s="12"/>
      <c r="P50" s="12"/>
      <c r="Q50" s="12"/>
      <c r="R50" s="12"/>
      <c r="S50" s="12"/>
      <c r="T50" s="12"/>
      <c r="U50" s="12"/>
      <c r="V50" s="12"/>
      <c r="W50" s="12"/>
      <c r="X50" s="12"/>
      <c r="Y50" s="10"/>
      <c r="Z50" s="10"/>
      <c r="AA50" s="10"/>
      <c r="AB50" s="10"/>
      <c r="AC50" s="10"/>
      <c r="AD50" s="10"/>
      <c r="AE50" s="10"/>
      <c r="AF50" s="10"/>
      <c r="AG50" s="10"/>
      <c r="AH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543" t="s">
        <v>3</v>
      </c>
      <c r="C51" s="544"/>
      <c r="D51" s="544"/>
      <c r="E51" s="22"/>
      <c r="F51" s="22"/>
      <c r="G51" s="22"/>
      <c r="H51" s="22"/>
      <c r="I51" s="22"/>
      <c r="J51" s="22"/>
      <c r="K51" s="22"/>
      <c r="L51" s="22"/>
      <c r="M51" s="22"/>
      <c r="N51" s="22"/>
      <c r="O51" s="22"/>
      <c r="P51" s="22"/>
      <c r="Q51" s="22"/>
      <c r="R51" s="22"/>
      <c r="S51" s="22"/>
      <c r="T51" s="22"/>
      <c r="U51" s="22"/>
      <c r="V51" s="22"/>
      <c r="W51" s="22"/>
      <c r="X51" s="23"/>
      <c r="Y51" s="10"/>
      <c r="Z51" s="10"/>
      <c r="AA51" s="10"/>
      <c r="AB51" s="10"/>
      <c r="AC51" s="10"/>
      <c r="AD51" s="10"/>
      <c r="AE51" s="10"/>
      <c r="AF51" s="10"/>
      <c r="AG51" s="10"/>
      <c r="AH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25" customHeight="1">
      <c r="A52" s="12"/>
      <c r="B52" s="91" t="s">
        <v>23</v>
      </c>
      <c r="C52" s="119"/>
      <c r="D52" s="25"/>
      <c r="E52" s="26"/>
      <c r="F52" s="26"/>
      <c r="G52" s="26"/>
      <c r="H52" s="26"/>
      <c r="I52" s="26"/>
      <c r="J52" s="26"/>
      <c r="K52" s="26"/>
      <c r="L52" s="26"/>
      <c r="M52" s="26"/>
      <c r="N52" s="26"/>
      <c r="O52" s="26"/>
      <c r="P52" s="26"/>
      <c r="Q52" s="26"/>
      <c r="R52" s="26"/>
      <c r="S52" s="26"/>
      <c r="T52" s="26"/>
      <c r="U52" s="26"/>
      <c r="V52" s="26"/>
      <c r="W52" s="26"/>
      <c r="X52" s="27"/>
      <c r="Y52" s="10"/>
      <c r="Z52" s="10"/>
      <c r="AA52" s="10"/>
      <c r="AB52" s="10"/>
      <c r="AC52" s="10"/>
      <c r="AD52" s="10"/>
      <c r="AE52" s="10"/>
      <c r="AF52" s="10"/>
      <c r="AG52" s="10"/>
      <c r="AH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24"/>
      <c r="C53" s="28" t="s">
        <v>77</v>
      </c>
      <c r="D53" s="28" t="s">
        <v>15</v>
      </c>
      <c r="E53" s="89"/>
      <c r="F53" s="29"/>
      <c r="G53" s="292">
        <f>$E$53</f>
        <v>0</v>
      </c>
      <c r="H53" s="29"/>
      <c r="I53" s="292">
        <f>$E$53</f>
        <v>0</v>
      </c>
      <c r="J53" s="29"/>
      <c r="K53" s="292">
        <f>$E$53</f>
        <v>0</v>
      </c>
      <c r="L53" s="29"/>
      <c r="M53" s="292">
        <f>$E$53</f>
        <v>0</v>
      </c>
      <c r="N53" s="29"/>
      <c r="O53" s="292">
        <f>$E$53</f>
        <v>0</v>
      </c>
      <c r="P53" s="29"/>
      <c r="Q53" s="292">
        <f>$E$53</f>
        <v>0</v>
      </c>
      <c r="R53" s="29"/>
      <c r="S53" s="292">
        <f>$E$53</f>
        <v>0</v>
      </c>
      <c r="T53" s="26"/>
      <c r="U53" s="292">
        <f>$E$53</f>
        <v>0</v>
      </c>
      <c r="V53" s="26"/>
      <c r="W53" s="292">
        <f>$E$53</f>
        <v>0</v>
      </c>
      <c r="X53" s="27"/>
      <c r="Y53" s="10"/>
      <c r="Z53" s="10"/>
      <c r="AA53" s="10"/>
      <c r="AB53" s="10"/>
      <c r="AC53" s="10"/>
      <c r="AD53" s="10"/>
      <c r="AE53" s="10"/>
      <c r="AF53" s="10"/>
      <c r="AG53" s="10"/>
      <c r="AH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24"/>
      <c r="C54" s="28" t="s">
        <v>136</v>
      </c>
      <c r="D54" s="28" t="s">
        <v>212</v>
      </c>
      <c r="E54" s="89"/>
      <c r="F54" s="29"/>
      <c r="G54" s="292">
        <f>$E$54</f>
        <v>0</v>
      </c>
      <c r="H54" s="29"/>
      <c r="I54" s="292">
        <f>$E$54</f>
        <v>0</v>
      </c>
      <c r="J54" s="29"/>
      <c r="K54" s="292">
        <f>$E$54</f>
        <v>0</v>
      </c>
      <c r="L54" s="29"/>
      <c r="M54" s="292">
        <f>$E$54</f>
        <v>0</v>
      </c>
      <c r="N54" s="29"/>
      <c r="O54" s="292">
        <f>$E$54</f>
        <v>0</v>
      </c>
      <c r="P54" s="29"/>
      <c r="Q54" s="292">
        <f>$E$54</f>
        <v>0</v>
      </c>
      <c r="R54" s="29"/>
      <c r="S54" s="292">
        <f>$E$54</f>
        <v>0</v>
      </c>
      <c r="T54" s="26"/>
      <c r="U54" s="292">
        <f>$E$54</f>
        <v>0</v>
      </c>
      <c r="V54" s="26"/>
      <c r="W54" s="292">
        <f>$E$54</f>
        <v>0</v>
      </c>
      <c r="X54" s="27"/>
      <c r="Y54" s="10"/>
      <c r="Z54" s="10"/>
      <c r="AA54" s="10"/>
      <c r="AB54" s="10"/>
      <c r="AC54" s="10"/>
      <c r="AD54" s="10"/>
      <c r="AE54" s="10"/>
      <c r="AF54" s="10"/>
      <c r="AG54" s="10"/>
      <c r="AH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0"/>
      <c r="C55" s="31"/>
      <c r="D55" s="32"/>
      <c r="E55" s="33"/>
      <c r="F55" s="34"/>
      <c r="G55" s="33"/>
      <c r="H55" s="34"/>
      <c r="I55" s="33"/>
      <c r="J55" s="34"/>
      <c r="K55" s="33"/>
      <c r="L55" s="34"/>
      <c r="M55" s="33"/>
      <c r="N55" s="34"/>
      <c r="O55" s="33"/>
      <c r="P55" s="34"/>
      <c r="Q55" s="33"/>
      <c r="R55" s="34"/>
      <c r="S55" s="33"/>
      <c r="T55" s="33"/>
      <c r="U55" s="33"/>
      <c r="V55" s="33"/>
      <c r="W55" s="33"/>
      <c r="X55" s="35"/>
      <c r="Y55" s="10"/>
      <c r="Z55" s="10"/>
      <c r="AA55" s="10"/>
      <c r="AB55" s="10"/>
      <c r="AC55" s="10"/>
      <c r="AD55" s="10"/>
      <c r="AE55" s="10"/>
      <c r="AF55" s="10"/>
      <c r="AG55" s="10"/>
      <c r="AH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20"/>
      <c r="C56" s="21"/>
      <c r="D56" s="20"/>
      <c r="E56" s="12"/>
      <c r="F56" s="12"/>
      <c r="G56" s="12"/>
      <c r="H56" s="12"/>
      <c r="I56" s="12"/>
      <c r="J56" s="12"/>
      <c r="K56" s="12"/>
      <c r="L56" s="12"/>
      <c r="M56" s="12"/>
      <c r="N56" s="12"/>
      <c r="O56" s="12"/>
      <c r="P56" s="12"/>
      <c r="Q56" s="12"/>
      <c r="R56" s="12"/>
      <c r="S56" s="12"/>
      <c r="T56" s="12"/>
      <c r="U56" s="12"/>
      <c r="V56" s="12"/>
      <c r="W56" s="12"/>
      <c r="X56" s="12"/>
      <c r="Y56" s="10"/>
      <c r="Z56" s="10"/>
      <c r="AA56" s="10"/>
      <c r="AB56" s="10"/>
      <c r="AC56" s="10"/>
      <c r="AD56" s="10"/>
      <c r="AE56" s="10"/>
      <c r="AF56" s="10"/>
      <c r="AG56" s="10"/>
      <c r="AH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545" t="s">
        <v>3</v>
      </c>
      <c r="C57" s="546"/>
      <c r="D57" s="546"/>
      <c r="E57" s="36"/>
      <c r="F57" s="36"/>
      <c r="G57" s="36"/>
      <c r="H57" s="36"/>
      <c r="I57" s="36"/>
      <c r="J57" s="36"/>
      <c r="K57" s="36"/>
      <c r="L57" s="36"/>
      <c r="M57" s="36"/>
      <c r="N57" s="36"/>
      <c r="O57" s="36"/>
      <c r="P57" s="36"/>
      <c r="Q57" s="36"/>
      <c r="R57" s="36"/>
      <c r="S57" s="36"/>
      <c r="T57" s="36"/>
      <c r="U57" s="36"/>
      <c r="V57" s="36"/>
      <c r="W57" s="36"/>
      <c r="X57" s="37"/>
      <c r="Y57" s="10"/>
      <c r="Z57" s="10"/>
      <c r="AA57" s="10"/>
      <c r="AB57" s="10"/>
      <c r="AC57" s="10"/>
      <c r="AD57" s="10"/>
      <c r="AE57" s="10"/>
      <c r="AF57" s="10"/>
      <c r="AG57" s="10"/>
      <c r="AH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25" customHeight="1">
      <c r="A58" s="12"/>
      <c r="B58" s="547" t="s">
        <v>24</v>
      </c>
      <c r="C58" s="548"/>
      <c r="D58" s="548"/>
      <c r="E58" s="39"/>
      <c r="F58" s="39"/>
      <c r="G58" s="39"/>
      <c r="H58" s="39"/>
      <c r="I58" s="39"/>
      <c r="J58" s="39"/>
      <c r="K58" s="39"/>
      <c r="L58" s="39"/>
      <c r="M58" s="39"/>
      <c r="N58" s="39"/>
      <c r="O58" s="39"/>
      <c r="P58" s="39"/>
      <c r="Q58" s="39"/>
      <c r="R58" s="39"/>
      <c r="S58" s="39"/>
      <c r="T58" s="39"/>
      <c r="U58" s="39"/>
      <c r="V58" s="39"/>
      <c r="W58" s="39"/>
      <c r="X58" s="40"/>
      <c r="Y58" s="10"/>
      <c r="Z58" s="10"/>
      <c r="AA58" s="10"/>
      <c r="AB58" s="10"/>
      <c r="AC58" s="10"/>
      <c r="AD58" s="10"/>
      <c r="AE58" s="10"/>
      <c r="AF58" s="10"/>
      <c r="AG58" s="10"/>
      <c r="AH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21"/>
      <c r="C59" s="210" t="s">
        <v>44</v>
      </c>
      <c r="D59" s="210" t="s">
        <v>45</v>
      </c>
      <c r="E59" s="211">
        <v>2021</v>
      </c>
      <c r="F59" s="209"/>
      <c r="G59" s="212">
        <v>2021</v>
      </c>
      <c r="H59" s="210"/>
      <c r="I59" s="212">
        <v>2021</v>
      </c>
      <c r="J59" s="209"/>
      <c r="K59" s="212">
        <v>2021</v>
      </c>
      <c r="L59" s="210"/>
      <c r="M59" s="212">
        <v>2021</v>
      </c>
      <c r="N59" s="209"/>
      <c r="O59" s="212">
        <v>2021</v>
      </c>
      <c r="P59" s="210"/>
      <c r="Q59" s="212">
        <v>2021</v>
      </c>
      <c r="R59" s="209"/>
      <c r="S59" s="212">
        <v>2021</v>
      </c>
      <c r="T59" s="39"/>
      <c r="U59" s="212">
        <v>2021</v>
      </c>
      <c r="V59" s="39"/>
      <c r="W59" s="212">
        <v>2021</v>
      </c>
      <c r="X59" s="40"/>
      <c r="Y59" s="10"/>
      <c r="Z59" s="10"/>
      <c r="AA59" s="10"/>
      <c r="AB59" s="10"/>
      <c r="AC59" s="10"/>
      <c r="AD59" s="10"/>
      <c r="AE59" s="10"/>
      <c r="AF59" s="10"/>
      <c r="AG59" s="10"/>
      <c r="AH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41" t="s">
        <v>21</v>
      </c>
      <c r="D60" s="41" t="s">
        <v>0</v>
      </c>
      <c r="E60" s="267">
        <v>4</v>
      </c>
      <c r="F60" s="42"/>
      <c r="G60" s="166">
        <f>$E$60</f>
        <v>4</v>
      </c>
      <c r="H60" s="42"/>
      <c r="I60" s="166">
        <f>$E$60</f>
        <v>4</v>
      </c>
      <c r="J60" s="42"/>
      <c r="K60" s="166">
        <f>$E$60</f>
        <v>4</v>
      </c>
      <c r="L60" s="42"/>
      <c r="M60" s="166">
        <f>$E$60</f>
        <v>4</v>
      </c>
      <c r="N60" s="42"/>
      <c r="O60" s="166">
        <f>$E$60</f>
        <v>4</v>
      </c>
      <c r="P60" s="42"/>
      <c r="Q60" s="166">
        <f>$E$60</f>
        <v>4</v>
      </c>
      <c r="R60" s="42"/>
      <c r="S60" s="166">
        <f>$E$60</f>
        <v>4</v>
      </c>
      <c r="T60" s="39"/>
      <c r="U60" s="166">
        <f>$E$60</f>
        <v>4</v>
      </c>
      <c r="V60" s="39"/>
      <c r="W60" s="166">
        <f>$E$60</f>
        <v>4</v>
      </c>
      <c r="X60" s="40"/>
      <c r="Y60" s="10"/>
      <c r="Z60" s="10"/>
      <c r="AA60" s="10"/>
      <c r="AB60" s="10"/>
      <c r="AC60" s="10"/>
      <c r="AD60" s="10"/>
      <c r="AE60" s="10"/>
      <c r="AF60" s="10"/>
      <c r="AG60" s="10"/>
      <c r="AH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41" t="s">
        <v>4</v>
      </c>
      <c r="D61" s="41" t="s">
        <v>75</v>
      </c>
      <c r="E61" s="533">
        <v>3.5000000000000003E-2</v>
      </c>
      <c r="F61" s="534"/>
      <c r="G61" s="533">
        <f>$E$61</f>
        <v>3.5000000000000003E-2</v>
      </c>
      <c r="H61" s="535"/>
      <c r="I61" s="533">
        <f>$E$61</f>
        <v>3.5000000000000003E-2</v>
      </c>
      <c r="J61" s="535"/>
      <c r="K61" s="533">
        <f>$E$61</f>
        <v>3.5000000000000003E-2</v>
      </c>
      <c r="L61" s="534"/>
      <c r="M61" s="533">
        <f>$E$61</f>
        <v>3.5000000000000003E-2</v>
      </c>
      <c r="N61" s="534"/>
      <c r="O61" s="533">
        <f>$E$61</f>
        <v>3.5000000000000003E-2</v>
      </c>
      <c r="P61" s="534"/>
      <c r="Q61" s="533">
        <f>$E$61</f>
        <v>3.5000000000000003E-2</v>
      </c>
      <c r="R61" s="534"/>
      <c r="S61" s="533">
        <f>$E$61</f>
        <v>3.5000000000000003E-2</v>
      </c>
      <c r="T61" s="536"/>
      <c r="U61" s="533">
        <f>$E$61</f>
        <v>3.5000000000000003E-2</v>
      </c>
      <c r="V61" s="536"/>
      <c r="W61" s="533">
        <f>$E$61</f>
        <v>3.5000000000000003E-2</v>
      </c>
      <c r="X61" s="40"/>
      <c r="Y61" s="10"/>
      <c r="Z61" s="10"/>
      <c r="AA61" s="10"/>
      <c r="AB61" s="10"/>
      <c r="AC61" s="10"/>
      <c r="AD61" s="10"/>
      <c r="AE61" s="10"/>
      <c r="AF61" s="10"/>
      <c r="AG61" s="10"/>
      <c r="AH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41"/>
      <c r="D62" s="41"/>
      <c r="E62" s="41"/>
      <c r="F62" s="41"/>
      <c r="G62" s="41"/>
      <c r="H62" s="41"/>
      <c r="I62" s="41"/>
      <c r="J62" s="41"/>
      <c r="K62" s="41"/>
      <c r="L62" s="41"/>
      <c r="M62" s="41"/>
      <c r="N62" s="41"/>
      <c r="O62" s="41"/>
      <c r="P62" s="41"/>
      <c r="Q62" s="41"/>
      <c r="R62" s="41"/>
      <c r="S62" s="41"/>
      <c r="T62" s="41"/>
      <c r="U62" s="41"/>
      <c r="V62" s="41"/>
      <c r="W62" s="41"/>
      <c r="X62" s="40"/>
      <c r="Y62" s="10"/>
      <c r="Z62" s="10"/>
      <c r="AA62" s="10"/>
      <c r="AB62" s="10"/>
      <c r="AC62" s="10"/>
      <c r="AD62" s="10"/>
      <c r="AE62" s="10"/>
      <c r="AF62" s="10"/>
      <c r="AG62" s="10"/>
      <c r="AH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380" t="s">
        <v>205</v>
      </c>
      <c r="D63" s="521"/>
      <c r="E63" s="41"/>
      <c r="F63" s="41"/>
      <c r="G63" s="41"/>
      <c r="H63" s="41"/>
      <c r="I63" s="41"/>
      <c r="J63" s="41"/>
      <c r="K63" s="41"/>
      <c r="L63" s="41"/>
      <c r="M63" s="41"/>
      <c r="N63" s="41"/>
      <c r="O63" s="41"/>
      <c r="P63" s="41"/>
      <c r="Q63" s="41"/>
      <c r="R63" s="41"/>
      <c r="S63" s="41"/>
      <c r="T63" s="41"/>
      <c r="U63" s="41"/>
      <c r="V63" s="41"/>
      <c r="W63" s="41"/>
      <c r="X63" s="40"/>
      <c r="Y63" s="10"/>
      <c r="Z63" s="10"/>
      <c r="AA63" s="10"/>
      <c r="AB63" s="10"/>
      <c r="AC63" s="10"/>
      <c r="AD63" s="10"/>
      <c r="AE63" s="10"/>
      <c r="AF63" s="10"/>
      <c r="AG63" s="10"/>
      <c r="AH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522" t="s">
        <v>206</v>
      </c>
      <c r="D64" s="388" t="s">
        <v>210</v>
      </c>
      <c r="E64" s="219"/>
      <c r="F64" s="41"/>
      <c r="G64" s="219">
        <f>$E$64</f>
        <v>0</v>
      </c>
      <c r="H64" s="41"/>
      <c r="I64" s="219">
        <f>$E$64</f>
        <v>0</v>
      </c>
      <c r="J64" s="41"/>
      <c r="K64" s="219">
        <f>$E$64</f>
        <v>0</v>
      </c>
      <c r="L64" s="41"/>
      <c r="M64" s="219">
        <f>$E$64</f>
        <v>0</v>
      </c>
      <c r="N64" s="41"/>
      <c r="O64" s="219">
        <f>$E$64</f>
        <v>0</v>
      </c>
      <c r="P64" s="41"/>
      <c r="Q64" s="219">
        <f>$E$64</f>
        <v>0</v>
      </c>
      <c r="R64" s="41"/>
      <c r="S64" s="219">
        <f>$E$64</f>
        <v>0</v>
      </c>
      <c r="T64" s="41"/>
      <c r="U64" s="219">
        <f>$E$64</f>
        <v>0</v>
      </c>
      <c r="V64" s="41"/>
      <c r="W64" s="219">
        <f>$E$64</f>
        <v>0</v>
      </c>
      <c r="X64" s="40"/>
      <c r="Y64" s="10"/>
      <c r="Z64" s="10"/>
      <c r="AA64" s="10"/>
      <c r="AB64" s="10"/>
      <c r="AC64" s="10"/>
      <c r="AD64" s="10"/>
      <c r="AE64" s="10"/>
      <c r="AF64" s="10"/>
      <c r="AG64" s="10"/>
      <c r="AH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388" t="s">
        <v>208</v>
      </c>
      <c r="D65" s="521" t="s">
        <v>209</v>
      </c>
      <c r="E65" s="523"/>
      <c r="F65" s="524"/>
      <c r="G65" s="523">
        <f>$E$65</f>
        <v>0</v>
      </c>
      <c r="H65" s="524"/>
      <c r="I65" s="523">
        <f>$E$65</f>
        <v>0</v>
      </c>
      <c r="J65" s="524"/>
      <c r="K65" s="523">
        <f>$E$65</f>
        <v>0</v>
      </c>
      <c r="L65" s="524"/>
      <c r="M65" s="523">
        <f>$E$65</f>
        <v>0</v>
      </c>
      <c r="N65" s="524"/>
      <c r="O65" s="523">
        <f>$E$65</f>
        <v>0</v>
      </c>
      <c r="P65" s="524"/>
      <c r="Q65" s="523">
        <f>$E$65</f>
        <v>0</v>
      </c>
      <c r="R65" s="524"/>
      <c r="S65" s="523">
        <f>$E$65</f>
        <v>0</v>
      </c>
      <c r="T65" s="524"/>
      <c r="U65" s="523">
        <f>$E$65</f>
        <v>0</v>
      </c>
      <c r="V65" s="524"/>
      <c r="W65" s="523">
        <f>$E$65</f>
        <v>0</v>
      </c>
      <c r="X65" s="40"/>
      <c r="Y65" s="10"/>
      <c r="Z65" s="10"/>
      <c r="AA65" s="10"/>
      <c r="AB65" s="10"/>
      <c r="AC65" s="10"/>
      <c r="AD65" s="10"/>
      <c r="AE65" s="10"/>
      <c r="AF65" s="10"/>
      <c r="AG65" s="10"/>
      <c r="AH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388"/>
      <c r="D66" s="521"/>
      <c r="E66" s="521"/>
      <c r="F66" s="521"/>
      <c r="G66" s="521"/>
      <c r="H66" s="521"/>
      <c r="I66" s="521"/>
      <c r="J66" s="521"/>
      <c r="K66" s="521"/>
      <c r="L66" s="521"/>
      <c r="M66" s="521"/>
      <c r="N66" s="521"/>
      <c r="O66" s="521"/>
      <c r="P66" s="521"/>
      <c r="Q66" s="521"/>
      <c r="R66" s="521"/>
      <c r="S66" s="521"/>
      <c r="T66" s="521"/>
      <c r="U66" s="521"/>
      <c r="V66" s="521"/>
      <c r="W66" s="521"/>
      <c r="X66" s="40"/>
      <c r="Y66" s="10"/>
      <c r="Z66" s="10"/>
      <c r="AA66" s="10"/>
      <c r="AB66" s="10"/>
      <c r="AC66" s="10"/>
      <c r="AD66" s="10"/>
      <c r="AE66" s="10"/>
      <c r="AF66" s="10"/>
      <c r="AG66" s="10"/>
      <c r="AH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380" t="s">
        <v>28</v>
      </c>
      <c r="D67" s="521"/>
      <c r="E67" s="41"/>
      <c r="F67" s="41"/>
      <c r="G67" s="41"/>
      <c r="H67" s="41"/>
      <c r="I67" s="41"/>
      <c r="J67" s="41"/>
      <c r="K67" s="41"/>
      <c r="L67" s="41"/>
      <c r="M67" s="41"/>
      <c r="N67" s="41"/>
      <c r="O67" s="41"/>
      <c r="P67" s="41"/>
      <c r="Q67" s="41"/>
      <c r="R67" s="41"/>
      <c r="S67" s="41"/>
      <c r="T67" s="41"/>
      <c r="U67" s="41"/>
      <c r="V67" s="41"/>
      <c r="W67" s="41"/>
      <c r="X67" s="40"/>
      <c r="Y67" s="10"/>
      <c r="Z67" s="10"/>
      <c r="AA67" s="10"/>
      <c r="AB67" s="10"/>
      <c r="AC67" s="10"/>
      <c r="AD67" s="10"/>
      <c r="AE67" s="10"/>
      <c r="AF67" s="10"/>
      <c r="AG67" s="10"/>
      <c r="AH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522" t="s">
        <v>207</v>
      </c>
      <c r="D68" s="388" t="s">
        <v>211</v>
      </c>
      <c r="E68" s="219"/>
      <c r="F68" s="41"/>
      <c r="G68" s="219"/>
      <c r="H68" s="41"/>
      <c r="I68" s="219"/>
      <c r="J68" s="41"/>
      <c r="K68" s="219"/>
      <c r="L68" s="41"/>
      <c r="M68" s="219"/>
      <c r="N68" s="41"/>
      <c r="O68" s="219"/>
      <c r="P68" s="41"/>
      <c r="Q68" s="219"/>
      <c r="R68" s="41"/>
      <c r="S68" s="219"/>
      <c r="T68" s="41"/>
      <c r="U68" s="219"/>
      <c r="V68" s="41"/>
      <c r="W68" s="219"/>
      <c r="X68" s="40"/>
      <c r="Y68" s="10"/>
      <c r="Z68" s="10"/>
      <c r="AA68" s="10"/>
      <c r="AB68" s="10"/>
      <c r="AC68" s="10"/>
      <c r="AD68" s="10"/>
      <c r="AE68" s="10"/>
      <c r="AF68" s="10"/>
      <c r="AG68" s="10"/>
      <c r="AH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522"/>
      <c r="D69" s="388"/>
      <c r="E69" s="41"/>
      <c r="F69" s="41"/>
      <c r="G69" s="41"/>
      <c r="H69" s="41"/>
      <c r="I69" s="41"/>
      <c r="J69" s="41"/>
      <c r="K69" s="41"/>
      <c r="L69" s="41"/>
      <c r="M69" s="41"/>
      <c r="N69" s="41"/>
      <c r="O69" s="41"/>
      <c r="P69" s="41"/>
      <c r="Q69" s="41"/>
      <c r="R69" s="41"/>
      <c r="S69" s="41"/>
      <c r="T69" s="41"/>
      <c r="U69" s="41"/>
      <c r="V69" s="41"/>
      <c r="W69" s="41"/>
      <c r="X69" s="40"/>
      <c r="Y69" s="10"/>
      <c r="Z69" s="10"/>
      <c r="AA69" s="10"/>
      <c r="AB69" s="10"/>
      <c r="AC69" s="10"/>
      <c r="AD69" s="10"/>
      <c r="AE69" s="10"/>
      <c r="AF69" s="10"/>
      <c r="AG69" s="10"/>
      <c r="AH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26.25" customHeight="1">
      <c r="A70" s="12"/>
      <c r="B70" s="38"/>
      <c r="C70" s="214" t="s">
        <v>204</v>
      </c>
      <c r="D70" s="520" t="s">
        <v>235</v>
      </c>
      <c r="E70" s="216" t="s">
        <v>125</v>
      </c>
      <c r="F70" s="213"/>
      <c r="G70" s="216" t="str">
        <f>$E$70</f>
        <v>Klik for valg</v>
      </c>
      <c r="H70" s="213"/>
      <c r="I70" s="216" t="str">
        <f>$E$70</f>
        <v>Klik for valg</v>
      </c>
      <c r="J70" s="213"/>
      <c r="K70" s="216" t="str">
        <f>$E$70</f>
        <v>Klik for valg</v>
      </c>
      <c r="L70" s="213"/>
      <c r="M70" s="216" t="str">
        <f>$E$70</f>
        <v>Klik for valg</v>
      </c>
      <c r="N70" s="213"/>
      <c r="O70" s="216" t="str">
        <f>$E$70</f>
        <v>Klik for valg</v>
      </c>
      <c r="P70" s="213"/>
      <c r="Q70" s="216" t="str">
        <f>$E$70</f>
        <v>Klik for valg</v>
      </c>
      <c r="R70" s="213"/>
      <c r="S70" s="216" t="str">
        <f>$E$70</f>
        <v>Klik for valg</v>
      </c>
      <c r="T70" s="39"/>
      <c r="U70" s="216" t="str">
        <f>$E$70</f>
        <v>Klik for valg</v>
      </c>
      <c r="V70" s="39"/>
      <c r="W70" s="216" t="str">
        <f>$E$70</f>
        <v>Klik for valg</v>
      </c>
      <c r="X70" s="40"/>
      <c r="Y70" s="10"/>
      <c r="Z70" s="10"/>
      <c r="AA70" s="10"/>
      <c r="AB70" s="10"/>
      <c r="AC70" s="10"/>
      <c r="AD70" s="10"/>
      <c r="AE70" s="10"/>
      <c r="AF70" s="10"/>
      <c r="AG70" s="10"/>
      <c r="AH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38"/>
      <c r="C71" s="41"/>
      <c r="D71" s="41"/>
      <c r="E71" s="41"/>
      <c r="F71" s="41"/>
      <c r="G71" s="41"/>
      <c r="H71" s="41"/>
      <c r="I71" s="41"/>
      <c r="J71" s="41"/>
      <c r="K71" s="41"/>
      <c r="L71" s="41"/>
      <c r="M71" s="41"/>
      <c r="N71" s="41"/>
      <c r="O71" s="41"/>
      <c r="P71" s="41"/>
      <c r="Q71" s="41"/>
      <c r="R71" s="41"/>
      <c r="S71" s="41"/>
      <c r="T71" s="39"/>
      <c r="U71" s="41"/>
      <c r="V71" s="39"/>
      <c r="W71" s="41"/>
      <c r="X71" s="40"/>
      <c r="Y71" s="10"/>
      <c r="Z71" s="10"/>
      <c r="AA71" s="10"/>
      <c r="AB71" s="10"/>
      <c r="AC71" s="10"/>
      <c r="AD71" s="10"/>
      <c r="AE71" s="10"/>
      <c r="AF71" s="10"/>
      <c r="AG71" s="10"/>
      <c r="AH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38"/>
      <c r="C72" s="214" t="s">
        <v>46</v>
      </c>
      <c r="D72" s="215" t="s">
        <v>40</v>
      </c>
      <c r="E72" s="216" t="s">
        <v>39</v>
      </c>
      <c r="F72" s="213"/>
      <c r="G72" s="217" t="str">
        <f>$E$72</f>
        <v>Ja</v>
      </c>
      <c r="H72" s="213"/>
      <c r="I72" s="217" t="str">
        <f>$E$72</f>
        <v>Ja</v>
      </c>
      <c r="J72" s="213"/>
      <c r="K72" s="217" t="str">
        <f>$E$72</f>
        <v>Ja</v>
      </c>
      <c r="L72" s="213"/>
      <c r="M72" s="217" t="str">
        <f>$E$72</f>
        <v>Ja</v>
      </c>
      <c r="N72" s="213"/>
      <c r="O72" s="217" t="str">
        <f>$E$72</f>
        <v>Ja</v>
      </c>
      <c r="P72" s="213"/>
      <c r="Q72" s="217" t="str">
        <f>$E$72</f>
        <v>Ja</v>
      </c>
      <c r="R72" s="213"/>
      <c r="S72" s="217" t="str">
        <f>$E$72</f>
        <v>Ja</v>
      </c>
      <c r="T72" s="39"/>
      <c r="U72" s="217" t="str">
        <f>$E$72</f>
        <v>Ja</v>
      </c>
      <c r="V72" s="39"/>
      <c r="W72" s="217" t="str">
        <f>$E$72</f>
        <v>Ja</v>
      </c>
      <c r="X72" s="40"/>
      <c r="Y72" s="10"/>
      <c r="Z72" s="10"/>
      <c r="AA72" s="10"/>
      <c r="AB72" s="10"/>
      <c r="AC72" s="10"/>
      <c r="AD72" s="10"/>
      <c r="AE72" s="10"/>
      <c r="AF72" s="10"/>
      <c r="AG72" s="10"/>
      <c r="AH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38"/>
      <c r="C73" s="218" t="s">
        <v>47</v>
      </c>
      <c r="D73" s="215" t="s">
        <v>16</v>
      </c>
      <c r="E73" s="219">
        <f>VLOOKUP(E59,Fremskrivninger!A8:D37,3)</f>
        <v>1.851</v>
      </c>
      <c r="F73" s="220"/>
      <c r="G73" s="262">
        <f>$E$73</f>
        <v>1.851</v>
      </c>
      <c r="H73" s="222"/>
      <c r="I73" s="262">
        <f>$E$73</f>
        <v>1.851</v>
      </c>
      <c r="J73" s="223"/>
      <c r="K73" s="262">
        <f>$E$73</f>
        <v>1.851</v>
      </c>
      <c r="L73" s="222"/>
      <c r="M73" s="262">
        <f>$E$73</f>
        <v>1.851</v>
      </c>
      <c r="N73" s="223"/>
      <c r="O73" s="262">
        <f>$E$73</f>
        <v>1.851</v>
      </c>
      <c r="P73" s="222"/>
      <c r="Q73" s="262">
        <f>$E$73</f>
        <v>1.851</v>
      </c>
      <c r="R73" s="223"/>
      <c r="S73" s="262">
        <f>$E$73</f>
        <v>1.851</v>
      </c>
      <c r="T73" s="39"/>
      <c r="U73" s="262">
        <f>$E$73</f>
        <v>1.851</v>
      </c>
      <c r="V73" s="39"/>
      <c r="W73" s="262">
        <f>$E$73</f>
        <v>1.851</v>
      </c>
      <c r="X73" s="40"/>
      <c r="Y73" s="10"/>
      <c r="Z73" s="10"/>
      <c r="AA73" s="10"/>
      <c r="AB73" s="10"/>
      <c r="AC73" s="10"/>
      <c r="AD73" s="10"/>
      <c r="AE73" s="10"/>
      <c r="AF73" s="10"/>
      <c r="AG73" s="10"/>
      <c r="AH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38"/>
      <c r="C74" s="218" t="s">
        <v>48</v>
      </c>
      <c r="D74" s="224" t="s">
        <v>75</v>
      </c>
      <c r="E74" s="225">
        <v>1.67E-2</v>
      </c>
      <c r="F74" s="263"/>
      <c r="G74" s="264">
        <f>$E$74</f>
        <v>1.67E-2</v>
      </c>
      <c r="H74" s="265"/>
      <c r="I74" s="264">
        <f>$E$74</f>
        <v>1.67E-2</v>
      </c>
      <c r="J74" s="266"/>
      <c r="K74" s="264">
        <f>$E$74</f>
        <v>1.67E-2</v>
      </c>
      <c r="L74" s="265"/>
      <c r="M74" s="264">
        <f>$E$74</f>
        <v>1.67E-2</v>
      </c>
      <c r="N74" s="266"/>
      <c r="O74" s="264">
        <f>$E$74</f>
        <v>1.67E-2</v>
      </c>
      <c r="P74" s="265"/>
      <c r="Q74" s="264">
        <f>$E$74</f>
        <v>1.67E-2</v>
      </c>
      <c r="R74" s="266"/>
      <c r="S74" s="264">
        <f>$E$74</f>
        <v>1.67E-2</v>
      </c>
      <c r="T74" s="39"/>
      <c r="U74" s="264">
        <f>$E$74</f>
        <v>1.67E-2</v>
      </c>
      <c r="V74" s="39"/>
      <c r="W74" s="264">
        <f>$E$74</f>
        <v>1.67E-2</v>
      </c>
      <c r="X74" s="40"/>
      <c r="Y74" s="10"/>
      <c r="Z74" s="10"/>
      <c r="AA74" s="10"/>
      <c r="AB74" s="10"/>
      <c r="AC74" s="10"/>
      <c r="AD74" s="10"/>
      <c r="AE74" s="10"/>
      <c r="AF74" s="10"/>
      <c r="AG74" s="10"/>
      <c r="AH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38"/>
      <c r="C75" s="218" t="s">
        <v>49</v>
      </c>
      <c r="D75" s="215" t="s">
        <v>16</v>
      </c>
      <c r="E75" s="196"/>
      <c r="F75" s="220"/>
      <c r="G75" s="221">
        <f>$E$75</f>
        <v>0</v>
      </c>
      <c r="H75" s="228"/>
      <c r="I75" s="221">
        <f>$E$75</f>
        <v>0</v>
      </c>
      <c r="J75" s="229"/>
      <c r="K75" s="221">
        <f>$E$75</f>
        <v>0</v>
      </c>
      <c r="L75" s="228"/>
      <c r="M75" s="221">
        <f>$E$75</f>
        <v>0</v>
      </c>
      <c r="N75" s="229"/>
      <c r="O75" s="221">
        <f>$E$75</f>
        <v>0</v>
      </c>
      <c r="P75" s="228"/>
      <c r="Q75" s="221">
        <f>$E$75</f>
        <v>0</v>
      </c>
      <c r="R75" s="229"/>
      <c r="S75" s="221">
        <f>$E$75</f>
        <v>0</v>
      </c>
      <c r="T75" s="39"/>
      <c r="U75" s="221">
        <f>$E$75</f>
        <v>0</v>
      </c>
      <c r="V75" s="39"/>
      <c r="W75" s="221">
        <f>$E$75</f>
        <v>0</v>
      </c>
      <c r="X75" s="40"/>
      <c r="Y75" s="10"/>
      <c r="Z75" s="10"/>
      <c r="AA75" s="10"/>
      <c r="AB75" s="10"/>
      <c r="AC75" s="10"/>
      <c r="AD75" s="10"/>
      <c r="AE75" s="10"/>
      <c r="AF75" s="10"/>
      <c r="AG75" s="10"/>
      <c r="AH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38"/>
      <c r="C76" s="218" t="s">
        <v>50</v>
      </c>
      <c r="D76" s="224" t="s">
        <v>75</v>
      </c>
      <c r="E76" s="225"/>
      <c r="F76" s="220"/>
      <c r="G76" s="264">
        <f>$E$76</f>
        <v>0</v>
      </c>
      <c r="H76" s="226"/>
      <c r="I76" s="264">
        <f>$E$76</f>
        <v>0</v>
      </c>
      <c r="J76" s="227"/>
      <c r="K76" s="264">
        <f>$E$76</f>
        <v>0</v>
      </c>
      <c r="L76" s="226"/>
      <c r="M76" s="264">
        <f>$E$76</f>
        <v>0</v>
      </c>
      <c r="N76" s="227"/>
      <c r="O76" s="264">
        <f>$E$76</f>
        <v>0</v>
      </c>
      <c r="P76" s="226"/>
      <c r="Q76" s="264">
        <f>$E$76</f>
        <v>0</v>
      </c>
      <c r="R76" s="227"/>
      <c r="S76" s="264">
        <f>$E$76</f>
        <v>0</v>
      </c>
      <c r="T76" s="39"/>
      <c r="U76" s="264">
        <f>$E$76</f>
        <v>0</v>
      </c>
      <c r="V76" s="39"/>
      <c r="W76" s="264">
        <f>$E$76</f>
        <v>0</v>
      </c>
      <c r="X76" s="40"/>
      <c r="Y76" s="10"/>
      <c r="Z76" s="10"/>
      <c r="AA76" s="10"/>
      <c r="AB76" s="10"/>
      <c r="AC76" s="10"/>
      <c r="AD76" s="10"/>
      <c r="AE76" s="10"/>
      <c r="AF76" s="10"/>
      <c r="AG76" s="10"/>
      <c r="AH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38"/>
      <c r="C77" s="41"/>
      <c r="D77" s="41"/>
      <c r="E77" s="41"/>
      <c r="F77" s="41"/>
      <c r="G77" s="41"/>
      <c r="H77" s="41"/>
      <c r="I77" s="41"/>
      <c r="J77" s="41"/>
      <c r="K77" s="41"/>
      <c r="L77" s="41"/>
      <c r="M77" s="41"/>
      <c r="N77" s="41"/>
      <c r="O77" s="41"/>
      <c r="P77" s="41"/>
      <c r="Q77" s="41"/>
      <c r="R77" s="41"/>
      <c r="S77" s="41"/>
      <c r="T77" s="39"/>
      <c r="U77" s="41"/>
      <c r="V77" s="39"/>
      <c r="W77" s="41"/>
      <c r="X77" s="40"/>
      <c r="Y77" s="10"/>
      <c r="Z77" s="10"/>
      <c r="AA77" s="10"/>
      <c r="AB77" s="10"/>
      <c r="AC77" s="10"/>
      <c r="AD77" s="10"/>
      <c r="AE77" s="10"/>
      <c r="AF77" s="10"/>
      <c r="AG77" s="10"/>
      <c r="AH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38"/>
      <c r="C78" s="214" t="s">
        <v>155</v>
      </c>
      <c r="D78" s="215" t="s">
        <v>40</v>
      </c>
      <c r="E78" s="216" t="s">
        <v>39</v>
      </c>
      <c r="F78" s="41"/>
      <c r="G78" s="216" t="s">
        <v>39</v>
      </c>
      <c r="H78" s="41"/>
      <c r="I78" s="216" t="s">
        <v>39</v>
      </c>
      <c r="J78" s="41"/>
      <c r="K78" s="216" t="s">
        <v>39</v>
      </c>
      <c r="L78" s="41"/>
      <c r="M78" s="216" t="s">
        <v>39</v>
      </c>
      <c r="N78" s="41"/>
      <c r="O78" s="216" t="s">
        <v>39</v>
      </c>
      <c r="P78" s="41"/>
      <c r="Q78" s="216" t="s">
        <v>39</v>
      </c>
      <c r="R78" s="41"/>
      <c r="S78" s="216" t="s">
        <v>39</v>
      </c>
      <c r="T78" s="39"/>
      <c r="U78" s="216" t="s">
        <v>39</v>
      </c>
      <c r="V78" s="39"/>
      <c r="W78" s="216" t="s">
        <v>39</v>
      </c>
      <c r="X78" s="40"/>
      <c r="Y78" s="10"/>
      <c r="Z78" s="10"/>
      <c r="AA78" s="10"/>
      <c r="AB78" s="10"/>
      <c r="AC78" s="10"/>
      <c r="AD78" s="10"/>
      <c r="AE78" s="10"/>
      <c r="AF78" s="10"/>
      <c r="AG78" s="10"/>
      <c r="AH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38"/>
      <c r="C79" s="218" t="s">
        <v>138</v>
      </c>
      <c r="D79" s="215" t="s">
        <v>139</v>
      </c>
      <c r="E79" s="219">
        <f>VLOOKUP(E59,Fremskrivninger!A48:L77,12)</f>
        <v>8.7367999999999988</v>
      </c>
      <c r="F79" s="41"/>
      <c r="G79" s="219">
        <f>VLOOKUP(G59,Fremskrivninger!$A$47:$C$77,3)</f>
        <v>8.7367999999999988</v>
      </c>
      <c r="H79" s="41"/>
      <c r="I79" s="219">
        <f>VLOOKUP(I59,Fremskrivninger!$A$47:$C$77,3)</f>
        <v>8.7367999999999988</v>
      </c>
      <c r="J79" s="41"/>
      <c r="K79" s="219">
        <f>VLOOKUP(K59,Fremskrivninger!$A$47:$C$77,3)</f>
        <v>8.7367999999999988</v>
      </c>
      <c r="L79" s="41"/>
      <c r="M79" s="219">
        <f>VLOOKUP(M59,Fremskrivninger!$A$47:$C$77,3)</f>
        <v>8.7367999999999988</v>
      </c>
      <c r="N79" s="41"/>
      <c r="O79" s="219">
        <f>VLOOKUP(O59,Fremskrivninger!$A$47:$C$77,3)</f>
        <v>8.7367999999999988</v>
      </c>
      <c r="P79" s="41"/>
      <c r="Q79" s="219">
        <f>VLOOKUP(Q59,Fremskrivninger!$A$47:$C$77,3)</f>
        <v>8.7367999999999988</v>
      </c>
      <c r="R79" s="41"/>
      <c r="S79" s="219">
        <f>VLOOKUP(S59,Fremskrivninger!$A$47:$C$77,3)</f>
        <v>8.7367999999999988</v>
      </c>
      <c r="T79" s="39"/>
      <c r="U79" s="219">
        <f>VLOOKUP(U59,Fremskrivninger!$A$47:$C$77,3)</f>
        <v>8.7367999999999988</v>
      </c>
      <c r="V79" s="39"/>
      <c r="W79" s="219">
        <f>VLOOKUP(W59,Fremskrivninger!$A$47:$C$77,3)</f>
        <v>8.7367999999999988</v>
      </c>
      <c r="X79" s="40"/>
      <c r="Y79" s="10"/>
      <c r="Z79" s="10"/>
      <c r="AA79" s="10"/>
      <c r="AB79" s="10"/>
      <c r="AC79" s="10"/>
      <c r="AD79" s="10"/>
      <c r="AE79" s="10"/>
      <c r="AF79" s="10"/>
      <c r="AG79" s="10"/>
      <c r="AH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38"/>
      <c r="C80" s="218" t="s">
        <v>141</v>
      </c>
      <c r="D80" s="224" t="s">
        <v>75</v>
      </c>
      <c r="E80" s="454">
        <v>1.3899999999999999E-2</v>
      </c>
      <c r="F80" s="468"/>
      <c r="G80" s="454">
        <v>1.3899999999999999E-2</v>
      </c>
      <c r="H80" s="468"/>
      <c r="I80" s="454">
        <v>1.3899999999999999E-2</v>
      </c>
      <c r="J80" s="468"/>
      <c r="K80" s="454">
        <v>1.3899999999999999E-2</v>
      </c>
      <c r="L80" s="468"/>
      <c r="M80" s="454">
        <v>1.3899999999999999E-2</v>
      </c>
      <c r="N80" s="468"/>
      <c r="O80" s="454">
        <v>1.3899999999999999E-2</v>
      </c>
      <c r="P80" s="468"/>
      <c r="Q80" s="454">
        <v>1.3899999999999999E-2</v>
      </c>
      <c r="R80" s="468"/>
      <c r="S80" s="454">
        <v>1.3899999999999999E-2</v>
      </c>
      <c r="T80" s="469"/>
      <c r="U80" s="454">
        <v>1.3899999999999999E-2</v>
      </c>
      <c r="V80" s="469"/>
      <c r="W80" s="454">
        <v>1.3899999999999999E-2</v>
      </c>
      <c r="X80" s="40"/>
      <c r="Y80" s="10"/>
      <c r="Z80" s="10"/>
      <c r="AA80" s="10"/>
      <c r="AB80" s="10"/>
      <c r="AC80" s="10"/>
      <c r="AD80" s="10"/>
      <c r="AE80" s="10"/>
      <c r="AF80" s="10"/>
      <c r="AG80" s="10"/>
      <c r="AH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38"/>
      <c r="C81" s="218" t="s">
        <v>143</v>
      </c>
      <c r="D81" s="215" t="s">
        <v>139</v>
      </c>
      <c r="E81" s="472"/>
      <c r="F81" s="471"/>
      <c r="G81" s="472">
        <v>0</v>
      </c>
      <c r="H81" s="471"/>
      <c r="I81" s="472">
        <v>0</v>
      </c>
      <c r="J81" s="471"/>
      <c r="K81" s="472">
        <v>0</v>
      </c>
      <c r="L81" s="471"/>
      <c r="M81" s="472">
        <v>0</v>
      </c>
      <c r="N81" s="471"/>
      <c r="O81" s="472">
        <v>0</v>
      </c>
      <c r="P81" s="471"/>
      <c r="Q81" s="472">
        <v>0</v>
      </c>
      <c r="R81" s="471"/>
      <c r="S81" s="472">
        <v>0</v>
      </c>
      <c r="T81" s="465"/>
      <c r="U81" s="472">
        <v>0</v>
      </c>
      <c r="V81" s="465"/>
      <c r="W81" s="472">
        <v>0</v>
      </c>
      <c r="X81" s="40"/>
      <c r="Y81" s="10"/>
      <c r="Z81" s="10"/>
      <c r="AA81" s="10"/>
      <c r="AB81" s="10"/>
      <c r="AC81" s="10"/>
      <c r="AD81" s="10"/>
      <c r="AE81" s="10"/>
      <c r="AF81" s="10"/>
      <c r="AG81" s="10"/>
      <c r="AH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38"/>
      <c r="C82" s="218" t="s">
        <v>144</v>
      </c>
      <c r="D82" s="224" t="s">
        <v>75</v>
      </c>
      <c r="E82" s="225"/>
      <c r="F82" s="41"/>
      <c r="G82" s="225">
        <v>0</v>
      </c>
      <c r="H82" s="41"/>
      <c r="I82" s="225">
        <v>0</v>
      </c>
      <c r="J82" s="41"/>
      <c r="K82" s="225">
        <v>0</v>
      </c>
      <c r="L82" s="41"/>
      <c r="M82" s="225">
        <v>0</v>
      </c>
      <c r="N82" s="41"/>
      <c r="O82" s="225">
        <v>0</v>
      </c>
      <c r="P82" s="41"/>
      <c r="Q82" s="225">
        <v>0</v>
      </c>
      <c r="R82" s="41"/>
      <c r="S82" s="225">
        <v>0</v>
      </c>
      <c r="T82" s="39"/>
      <c r="U82" s="225">
        <v>0</v>
      </c>
      <c r="V82" s="39"/>
      <c r="W82" s="225">
        <v>0</v>
      </c>
      <c r="X82" s="40"/>
      <c r="Y82" s="10"/>
      <c r="Z82" s="10"/>
      <c r="AA82" s="10"/>
      <c r="AB82" s="10"/>
      <c r="AC82" s="10"/>
      <c r="AD82" s="10"/>
      <c r="AE82" s="10"/>
      <c r="AF82" s="10"/>
      <c r="AG82" s="10"/>
      <c r="AH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38"/>
      <c r="C83" s="218"/>
      <c r="D83" s="224"/>
      <c r="E83" s="224"/>
      <c r="F83" s="224"/>
      <c r="G83" s="224"/>
      <c r="H83" s="224"/>
      <c r="I83" s="224"/>
      <c r="J83" s="224"/>
      <c r="K83" s="224"/>
      <c r="L83" s="224"/>
      <c r="M83" s="224"/>
      <c r="N83" s="224"/>
      <c r="O83" s="224"/>
      <c r="P83" s="224"/>
      <c r="Q83" s="224"/>
      <c r="R83" s="224"/>
      <c r="S83" s="224"/>
      <c r="T83" s="224"/>
      <c r="U83" s="224"/>
      <c r="V83" s="224"/>
      <c r="W83" s="224"/>
      <c r="X83" s="40"/>
      <c r="Y83" s="10"/>
      <c r="Z83" s="10"/>
      <c r="AA83" s="10"/>
      <c r="AB83" s="10"/>
      <c r="AC83" s="10"/>
      <c r="AD83" s="10"/>
      <c r="AE83" s="10"/>
      <c r="AF83" s="10"/>
      <c r="AG83" s="10"/>
      <c r="AH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38"/>
      <c r="C84" s="214" t="s">
        <v>156</v>
      </c>
      <c r="D84" s="215" t="s">
        <v>40</v>
      </c>
      <c r="E84" s="216" t="s">
        <v>39</v>
      </c>
      <c r="F84" s="41"/>
      <c r="G84" s="216" t="s">
        <v>39</v>
      </c>
      <c r="H84" s="41"/>
      <c r="I84" s="216" t="s">
        <v>39</v>
      </c>
      <c r="J84" s="41"/>
      <c r="K84" s="216" t="s">
        <v>39</v>
      </c>
      <c r="L84" s="41"/>
      <c r="M84" s="216" t="s">
        <v>39</v>
      </c>
      <c r="N84" s="41"/>
      <c r="O84" s="216" t="s">
        <v>39</v>
      </c>
      <c r="P84" s="41"/>
      <c r="Q84" s="216" t="s">
        <v>39</v>
      </c>
      <c r="R84" s="41"/>
      <c r="S84" s="216" t="s">
        <v>39</v>
      </c>
      <c r="T84" s="39"/>
      <c r="U84" s="216" t="s">
        <v>39</v>
      </c>
      <c r="V84" s="39"/>
      <c r="W84" s="216" t="s">
        <v>39</v>
      </c>
      <c r="X84" s="40"/>
      <c r="Y84" s="10"/>
      <c r="Z84" s="10"/>
      <c r="AA84" s="10"/>
      <c r="AB84" s="10"/>
      <c r="AC84" s="10"/>
      <c r="AD84" s="10"/>
      <c r="AE84" s="10"/>
      <c r="AF84" s="10"/>
      <c r="AG84" s="10"/>
      <c r="AH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38"/>
      <c r="C85" s="218" t="s">
        <v>140</v>
      </c>
      <c r="D85" s="215" t="s">
        <v>139</v>
      </c>
      <c r="E85" s="196">
        <f>VLOOKUP(E59,Fremskrivninger!A92:L121,12)</f>
        <v>7.6283999999999992</v>
      </c>
      <c r="F85" s="41"/>
      <c r="G85" s="196">
        <f>VLOOKUP(G59,Fremskrivninger!$A$91:$C$121,3)</f>
        <v>7.6283999999999992</v>
      </c>
      <c r="H85" s="41"/>
      <c r="I85" s="196">
        <f>VLOOKUP(I59,Fremskrivninger!$A$91:$C$121,3)</f>
        <v>7.6283999999999992</v>
      </c>
      <c r="J85" s="41"/>
      <c r="K85" s="196">
        <f>VLOOKUP(K59,Fremskrivninger!$A$91:$C$121,3)</f>
        <v>7.6283999999999992</v>
      </c>
      <c r="L85" s="41"/>
      <c r="M85" s="196">
        <f>VLOOKUP(M59,Fremskrivninger!$A$91:$C$121,3)</f>
        <v>7.6283999999999992</v>
      </c>
      <c r="N85" s="41"/>
      <c r="O85" s="196">
        <f>VLOOKUP(O59,Fremskrivninger!$A$91:$C$121,3)</f>
        <v>7.6283999999999992</v>
      </c>
      <c r="P85" s="41"/>
      <c r="Q85" s="196">
        <f>VLOOKUP(Q59,Fremskrivninger!$A$91:$C$121,3)</f>
        <v>7.6283999999999992</v>
      </c>
      <c r="R85" s="41"/>
      <c r="S85" s="196">
        <f>VLOOKUP(S59,Fremskrivninger!$A$91:$C$121,3)</f>
        <v>7.6283999999999992</v>
      </c>
      <c r="T85" s="39"/>
      <c r="U85" s="196">
        <f>VLOOKUP(U59,Fremskrivninger!$A$91:$C$121,3)</f>
        <v>7.6283999999999992</v>
      </c>
      <c r="V85" s="39"/>
      <c r="W85" s="196">
        <f>VLOOKUP(W59,Fremskrivninger!$A$91:$C$121,3)</f>
        <v>7.6283999999999992</v>
      </c>
      <c r="X85" s="40"/>
      <c r="Y85" s="10"/>
      <c r="Z85" s="10"/>
      <c r="AA85" s="10"/>
      <c r="AB85" s="10"/>
      <c r="AC85" s="10"/>
      <c r="AD85" s="10"/>
      <c r="AE85" s="10"/>
      <c r="AF85" s="10"/>
      <c r="AG85" s="10"/>
      <c r="AH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38"/>
      <c r="C86" s="218" t="s">
        <v>142</v>
      </c>
      <c r="D86" s="224" t="s">
        <v>75</v>
      </c>
      <c r="E86" s="467">
        <v>1.4500000000000001E-2</v>
      </c>
      <c r="F86" s="468"/>
      <c r="G86" s="467">
        <v>1.4500000000000001E-2</v>
      </c>
      <c r="H86" s="468"/>
      <c r="I86" s="467">
        <v>1.4500000000000001E-2</v>
      </c>
      <c r="J86" s="468"/>
      <c r="K86" s="467">
        <v>1.4500000000000001E-2</v>
      </c>
      <c r="L86" s="468"/>
      <c r="M86" s="467">
        <v>1.4500000000000001E-2</v>
      </c>
      <c r="N86" s="468"/>
      <c r="O86" s="467">
        <v>1.4500000000000001E-2</v>
      </c>
      <c r="P86" s="468"/>
      <c r="Q86" s="467">
        <v>1.4500000000000001E-2</v>
      </c>
      <c r="R86" s="468"/>
      <c r="S86" s="467">
        <v>1.4500000000000001E-2</v>
      </c>
      <c r="T86" s="469"/>
      <c r="U86" s="467">
        <v>1.4500000000000001E-2</v>
      </c>
      <c r="V86" s="469"/>
      <c r="W86" s="467">
        <v>1.4500000000000001E-2</v>
      </c>
      <c r="X86" s="40"/>
      <c r="Y86" s="10"/>
      <c r="Z86" s="10"/>
      <c r="AA86" s="10"/>
      <c r="AB86" s="10"/>
      <c r="AC86" s="10"/>
      <c r="AD86" s="10"/>
      <c r="AE86" s="10"/>
      <c r="AF86" s="10"/>
      <c r="AG86" s="10"/>
      <c r="AH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38"/>
      <c r="C87" s="218" t="s">
        <v>232</v>
      </c>
      <c r="D87" s="215" t="s">
        <v>139</v>
      </c>
      <c r="E87" s="470"/>
      <c r="F87" s="471"/>
      <c r="G87" s="470">
        <v>0</v>
      </c>
      <c r="H87" s="471"/>
      <c r="I87" s="470">
        <v>0</v>
      </c>
      <c r="J87" s="471"/>
      <c r="K87" s="470">
        <v>0</v>
      </c>
      <c r="L87" s="471"/>
      <c r="M87" s="470">
        <v>0</v>
      </c>
      <c r="N87" s="471"/>
      <c r="O87" s="470">
        <v>0</v>
      </c>
      <c r="P87" s="471"/>
      <c r="Q87" s="470">
        <v>0</v>
      </c>
      <c r="R87" s="471"/>
      <c r="S87" s="470">
        <v>0</v>
      </c>
      <c r="T87" s="465"/>
      <c r="U87" s="470">
        <v>0</v>
      </c>
      <c r="V87" s="465"/>
      <c r="W87" s="470">
        <v>0</v>
      </c>
      <c r="X87" s="40"/>
      <c r="Y87" s="10"/>
      <c r="Z87" s="10"/>
      <c r="AA87" s="10"/>
      <c r="AB87" s="10"/>
      <c r="AC87" s="10"/>
      <c r="AD87" s="10"/>
      <c r="AE87" s="10"/>
      <c r="AF87" s="10"/>
      <c r="AG87" s="10"/>
      <c r="AH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38"/>
      <c r="C88" s="218" t="s">
        <v>145</v>
      </c>
      <c r="D88" s="224" t="s">
        <v>75</v>
      </c>
      <c r="E88" s="225"/>
      <c r="F88" s="41"/>
      <c r="G88" s="225">
        <v>0</v>
      </c>
      <c r="H88" s="41"/>
      <c r="I88" s="225">
        <v>0</v>
      </c>
      <c r="J88" s="41"/>
      <c r="K88" s="225">
        <v>0</v>
      </c>
      <c r="L88" s="41"/>
      <c r="M88" s="225">
        <v>0</v>
      </c>
      <c r="N88" s="41"/>
      <c r="O88" s="225">
        <v>0</v>
      </c>
      <c r="P88" s="41"/>
      <c r="Q88" s="225">
        <v>0</v>
      </c>
      <c r="R88" s="41"/>
      <c r="S88" s="225">
        <v>0</v>
      </c>
      <c r="T88" s="39"/>
      <c r="U88" s="225">
        <v>0</v>
      </c>
      <c r="V88" s="39"/>
      <c r="W88" s="225">
        <v>0</v>
      </c>
      <c r="X88" s="40"/>
      <c r="Y88" s="10"/>
      <c r="Z88" s="10"/>
      <c r="AA88" s="10"/>
      <c r="AB88" s="10"/>
      <c r="AC88" s="10"/>
      <c r="AD88" s="10"/>
      <c r="AE88" s="10"/>
      <c r="AF88" s="10"/>
      <c r="AG88" s="10"/>
      <c r="AH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38"/>
      <c r="C89" s="41"/>
      <c r="D89" s="41"/>
      <c r="E89" s="41"/>
      <c r="F89" s="41"/>
      <c r="G89" s="41"/>
      <c r="H89" s="41"/>
      <c r="I89" s="41"/>
      <c r="J89" s="41"/>
      <c r="K89" s="41"/>
      <c r="L89" s="41"/>
      <c r="M89" s="41"/>
      <c r="N89" s="41"/>
      <c r="O89" s="41"/>
      <c r="P89" s="41"/>
      <c r="Q89" s="41"/>
      <c r="R89" s="41"/>
      <c r="S89" s="41"/>
      <c r="T89" s="39"/>
      <c r="U89" s="41"/>
      <c r="V89" s="39"/>
      <c r="W89" s="41"/>
      <c r="X89" s="40"/>
      <c r="Y89" s="10"/>
      <c r="Z89" s="10"/>
      <c r="AA89" s="10"/>
      <c r="AB89" s="10"/>
      <c r="AC89" s="10"/>
      <c r="AD89" s="10"/>
      <c r="AE89" s="10"/>
      <c r="AF89" s="10"/>
      <c r="AG89" s="10"/>
      <c r="AH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38"/>
      <c r="C90" s="380" t="s">
        <v>25</v>
      </c>
      <c r="D90" s="129"/>
      <c r="E90" s="130"/>
      <c r="F90" s="131"/>
      <c r="G90" s="130"/>
      <c r="H90" s="132"/>
      <c r="I90" s="130"/>
      <c r="J90" s="132"/>
      <c r="K90" s="130"/>
      <c r="L90" s="132"/>
      <c r="M90" s="130"/>
      <c r="N90" s="132"/>
      <c r="O90" s="130"/>
      <c r="P90" s="132"/>
      <c r="Q90" s="130"/>
      <c r="R90" s="132"/>
      <c r="S90" s="130"/>
      <c r="T90" s="39"/>
      <c r="U90" s="130"/>
      <c r="V90" s="39"/>
      <c r="W90" s="130"/>
      <c r="X90" s="40"/>
      <c r="Y90" s="10"/>
      <c r="Z90" s="10"/>
      <c r="AA90" s="10"/>
      <c r="AB90" s="10"/>
      <c r="AC90" s="10"/>
      <c r="AD90" s="10"/>
      <c r="AE90" s="10"/>
      <c r="AF90" s="10"/>
      <c r="AG90" s="10"/>
      <c r="AH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15" customHeight="1">
      <c r="A91" s="12"/>
      <c r="B91" s="38"/>
      <c r="C91" s="388" t="s">
        <v>152</v>
      </c>
      <c r="D91" s="388" t="s">
        <v>132</v>
      </c>
      <c r="E91" s="462"/>
      <c r="F91" s="463"/>
      <c r="G91" s="462"/>
      <c r="H91" s="464"/>
      <c r="I91" s="462"/>
      <c r="J91" s="464"/>
      <c r="K91" s="462"/>
      <c r="L91" s="464"/>
      <c r="M91" s="462"/>
      <c r="N91" s="464"/>
      <c r="O91" s="462"/>
      <c r="P91" s="464"/>
      <c r="Q91" s="462"/>
      <c r="R91" s="464"/>
      <c r="S91" s="462"/>
      <c r="T91" s="465"/>
      <c r="U91" s="462"/>
      <c r="V91" s="465"/>
      <c r="W91" s="462"/>
      <c r="X91" s="40"/>
      <c r="Y91" s="10"/>
      <c r="Z91" s="10"/>
      <c r="AA91" s="10"/>
      <c r="AB91" s="10"/>
      <c r="AC91" s="10"/>
      <c r="AD91" s="10"/>
      <c r="AE91" s="10"/>
      <c r="AF91" s="10"/>
      <c r="AG91" s="10"/>
      <c r="AH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38"/>
      <c r="C92" s="388" t="s">
        <v>153</v>
      </c>
      <c r="D92" s="388" t="s">
        <v>132</v>
      </c>
      <c r="E92" s="466"/>
      <c r="F92" s="463"/>
      <c r="G92" s="466"/>
      <c r="H92" s="464"/>
      <c r="I92" s="466"/>
      <c r="J92" s="464"/>
      <c r="K92" s="466"/>
      <c r="L92" s="464"/>
      <c r="M92" s="466"/>
      <c r="N92" s="464"/>
      <c r="O92" s="466"/>
      <c r="P92" s="464"/>
      <c r="Q92" s="466"/>
      <c r="R92" s="464"/>
      <c r="S92" s="466"/>
      <c r="T92" s="465"/>
      <c r="U92" s="466"/>
      <c r="V92" s="465"/>
      <c r="W92" s="466"/>
      <c r="X92" s="40"/>
      <c r="Y92" s="10"/>
      <c r="Z92" s="10"/>
      <c r="AA92" s="10"/>
      <c r="AB92" s="10"/>
      <c r="AC92" s="10"/>
      <c r="AD92" s="10"/>
      <c r="AE92" s="10"/>
      <c r="AF92" s="10"/>
      <c r="AG92" s="10"/>
      <c r="AH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43"/>
      <c r="C93" s="44"/>
      <c r="D93" s="44"/>
      <c r="E93" s="44"/>
      <c r="F93" s="44"/>
      <c r="G93" s="44"/>
      <c r="H93" s="44"/>
      <c r="I93" s="44"/>
      <c r="J93" s="44"/>
      <c r="K93" s="44"/>
      <c r="L93" s="44"/>
      <c r="M93" s="44"/>
      <c r="N93" s="44"/>
      <c r="O93" s="44"/>
      <c r="P93" s="44"/>
      <c r="Q93" s="44"/>
      <c r="R93" s="44"/>
      <c r="S93" s="44"/>
      <c r="T93" s="44"/>
      <c r="U93" s="44"/>
      <c r="V93" s="44"/>
      <c r="W93" s="44"/>
      <c r="X93" s="45"/>
      <c r="Y93" s="10"/>
      <c r="Z93" s="10"/>
      <c r="AA93" s="10"/>
      <c r="AB93" s="10"/>
      <c r="AC93" s="10"/>
      <c r="AD93" s="10"/>
      <c r="AE93" s="10"/>
      <c r="AF93" s="10"/>
      <c r="AG93" s="10"/>
      <c r="AH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12"/>
      <c r="C94" s="540"/>
      <c r="D94" s="540"/>
      <c r="E94" s="540"/>
      <c r="F94" s="540"/>
      <c r="G94" s="540"/>
      <c r="H94" s="540"/>
      <c r="I94" s="320"/>
      <c r="J94" s="47"/>
      <c r="K94" s="540"/>
      <c r="L94" s="540"/>
      <c r="M94" s="540"/>
      <c r="N94" s="540"/>
      <c r="O94" s="540"/>
      <c r="P94" s="540"/>
      <c r="Q94" s="540"/>
      <c r="R94" s="540"/>
      <c r="S94" s="540"/>
      <c r="T94" s="540"/>
      <c r="U94" s="540"/>
      <c r="V94" s="540"/>
      <c r="W94" s="540"/>
      <c r="X94" s="540"/>
      <c r="Y94" s="10"/>
      <c r="Z94" s="10"/>
      <c r="AA94" s="10"/>
      <c r="AB94" s="10"/>
      <c r="AC94" s="10"/>
      <c r="AD94" s="10"/>
      <c r="AE94" s="10"/>
      <c r="AF94" s="10"/>
      <c r="AG94" s="10"/>
      <c r="AH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48"/>
      <c r="C95" s="49"/>
      <c r="D95" s="50"/>
      <c r="E95" s="51"/>
      <c r="F95" s="51"/>
      <c r="G95" s="51"/>
      <c r="H95" s="51"/>
      <c r="I95" s="51"/>
      <c r="J95" s="51"/>
      <c r="K95" s="51"/>
      <c r="L95" s="51"/>
      <c r="M95" s="51"/>
      <c r="N95" s="51"/>
      <c r="O95" s="51"/>
      <c r="P95" s="51"/>
      <c r="Q95" s="51"/>
      <c r="R95" s="51"/>
      <c r="S95" s="51"/>
      <c r="T95" s="51"/>
      <c r="U95" s="51"/>
      <c r="V95" s="51"/>
      <c r="W95" s="51"/>
      <c r="X95" s="52"/>
      <c r="Y95" s="10"/>
      <c r="Z95" s="10"/>
      <c r="AA95" s="10"/>
      <c r="AB95" s="10"/>
      <c r="AC95" s="10"/>
      <c r="AD95" s="10"/>
      <c r="AE95" s="10"/>
      <c r="AF95" s="10"/>
      <c r="AG95" s="10"/>
      <c r="AH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25" customHeight="1">
      <c r="A96" s="12"/>
      <c r="B96" s="537" t="s">
        <v>217</v>
      </c>
      <c r="C96" s="538"/>
      <c r="D96" s="538"/>
      <c r="E96" s="54"/>
      <c r="F96" s="54"/>
      <c r="G96" s="54"/>
      <c r="H96" s="54"/>
      <c r="I96" s="54"/>
      <c r="J96" s="54"/>
      <c r="K96" s="54"/>
      <c r="L96" s="54"/>
      <c r="M96" s="54"/>
      <c r="N96" s="54"/>
      <c r="O96" s="54"/>
      <c r="P96" s="54"/>
      <c r="Q96" s="54"/>
      <c r="R96" s="54"/>
      <c r="S96" s="54"/>
      <c r="T96" s="54"/>
      <c r="U96" s="54"/>
      <c r="V96" s="54"/>
      <c r="W96" s="54"/>
      <c r="X96" s="55"/>
      <c r="Y96" s="10"/>
      <c r="Z96" s="10"/>
      <c r="AA96" s="10"/>
      <c r="AB96" s="10"/>
      <c r="AC96" s="10"/>
      <c r="AD96" s="10"/>
      <c r="AE96" s="10"/>
      <c r="AF96" s="10"/>
      <c r="AG96" s="10"/>
      <c r="AH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57"/>
      <c r="D97" s="58"/>
      <c r="E97" s="54"/>
      <c r="F97" s="54"/>
      <c r="G97" s="54"/>
      <c r="H97" s="54"/>
      <c r="I97" s="54"/>
      <c r="J97" s="54"/>
      <c r="K97" s="54"/>
      <c r="L97" s="54"/>
      <c r="M97" s="54"/>
      <c r="N97" s="54"/>
      <c r="O97" s="54"/>
      <c r="P97" s="54"/>
      <c r="Q97" s="54"/>
      <c r="R97" s="54"/>
      <c r="S97" s="54"/>
      <c r="T97" s="54"/>
      <c r="U97" s="54"/>
      <c r="V97" s="54"/>
      <c r="W97" s="54"/>
      <c r="X97" s="55"/>
      <c r="Y97" s="10"/>
      <c r="Z97" s="10"/>
      <c r="AA97" s="10"/>
      <c r="AB97" s="10"/>
      <c r="AC97" s="10"/>
      <c r="AD97" s="10"/>
      <c r="AE97" s="10"/>
      <c r="AF97" s="10"/>
      <c r="AG97" s="10"/>
      <c r="AH97" s="10"/>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ht="15" customHeight="1">
      <c r="A98" s="12"/>
      <c r="B98" s="56"/>
      <c r="C98" s="230" t="s">
        <v>188</v>
      </c>
      <c r="D98" s="230" t="s">
        <v>14</v>
      </c>
      <c r="E98" s="531">
        <f>(E12+E13)*E53</f>
        <v>0</v>
      </c>
      <c r="F98" s="531"/>
      <c r="G98" s="531">
        <f>(G12+G13)*G53</f>
        <v>0</v>
      </c>
      <c r="H98" s="531"/>
      <c r="I98" s="531">
        <f>(I12+I13)*I53</f>
        <v>0</v>
      </c>
      <c r="J98" s="531"/>
      <c r="K98" s="531">
        <f>(K12+K13)*K53</f>
        <v>0</v>
      </c>
      <c r="L98" s="531"/>
      <c r="M98" s="531">
        <f>(M12+M13)*M53</f>
        <v>0</v>
      </c>
      <c r="N98" s="531"/>
      <c r="O98" s="531">
        <f>(O12+O13)*O53</f>
        <v>0</v>
      </c>
      <c r="P98" s="531"/>
      <c r="Q98" s="531">
        <f>(Q12+Q13)*Q53</f>
        <v>0</v>
      </c>
      <c r="R98" s="531"/>
      <c r="S98" s="531">
        <f>(S12+S13)*S53</f>
        <v>0</v>
      </c>
      <c r="T98" s="531"/>
      <c r="U98" s="531">
        <f>(U12+U13)*U53</f>
        <v>0</v>
      </c>
      <c r="V98" s="531"/>
      <c r="W98" s="531">
        <f>(W12+W13)*W53</f>
        <v>0</v>
      </c>
      <c r="X98" s="55"/>
      <c r="Y98" s="10"/>
      <c r="Z98" s="10"/>
      <c r="AA98" s="10"/>
      <c r="AB98" s="10"/>
      <c r="AC98" s="10"/>
      <c r="AD98" s="10"/>
      <c r="AE98" s="10"/>
      <c r="AF98" s="10"/>
      <c r="AG98" s="10"/>
      <c r="AH98" s="10"/>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row>
    <row r="99" spans="1:76" ht="15" customHeight="1">
      <c r="A99" s="12"/>
      <c r="B99" s="56"/>
      <c r="C99" s="230" t="s">
        <v>189</v>
      </c>
      <c r="D99" s="230" t="s">
        <v>14</v>
      </c>
      <c r="E99" s="532">
        <f>IFERROR(IF(E98=0,0,E53*(E64*E60/E65)),0)</f>
        <v>0</v>
      </c>
      <c r="F99" s="532"/>
      <c r="G99" s="532">
        <f>IFERROR(IF(G98=0,0,G53*(G64*G60/G65)),0)</f>
        <v>0</v>
      </c>
      <c r="H99" s="532"/>
      <c r="I99" s="532">
        <f>IFERROR(IF(I98=0,0,I53*(I64*I60/I65)),0)</f>
        <v>0</v>
      </c>
      <c r="J99" s="532"/>
      <c r="K99" s="532">
        <f>IFERROR(IF(K98=0,0,K53*(K64*K60/K65)),0)</f>
        <v>0</v>
      </c>
      <c r="L99" s="532"/>
      <c r="M99" s="532">
        <f>IFERROR(IF(M98=0,0,M53*(M64*M60/M65)),0)</f>
        <v>0</v>
      </c>
      <c r="N99" s="532"/>
      <c r="O99" s="532">
        <f>IFERROR(IF(O98=0,0,O53*(O64*O60/O65)),0)</f>
        <v>0</v>
      </c>
      <c r="P99" s="532"/>
      <c r="Q99" s="532">
        <f>IFERROR(IF(Q98=0,0,Q53*(Q64*Q60/Q65)),0)</f>
        <v>0</v>
      </c>
      <c r="R99" s="532"/>
      <c r="S99" s="532">
        <f>IFERROR(IF(S98=0,0,S53*(S64*S60/S65)),0)</f>
        <v>0</v>
      </c>
      <c r="T99" s="532"/>
      <c r="U99" s="532">
        <f>IFERROR(IF(U98=0,0,U53*(U64*U60/U65)),0)</f>
        <v>0</v>
      </c>
      <c r="V99" s="532"/>
      <c r="W99" s="532">
        <f>IFERROR(IF(W98=0,0,W53*(W64*W60/W65)),0)</f>
        <v>0</v>
      </c>
      <c r="X99" s="55"/>
      <c r="Y99" s="10"/>
      <c r="Z99" s="10"/>
      <c r="AA99" s="10"/>
      <c r="AB99" s="10"/>
      <c r="AC99" s="10"/>
      <c r="AD99" s="10"/>
      <c r="AE99" s="10"/>
      <c r="AF99" s="10"/>
      <c r="AG99" s="10"/>
      <c r="AH99" s="10"/>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row>
    <row r="100" spans="1:76" ht="15" customHeight="1">
      <c r="A100" s="12"/>
      <c r="B100" s="56"/>
      <c r="C100" s="230" t="s">
        <v>17</v>
      </c>
      <c r="D100" s="230" t="s">
        <v>14</v>
      </c>
      <c r="E100" s="532">
        <f>SUMIFS('IB - E&amp;PH'!E4:E23,'IB - E&amp;PH'!$A$4:$A$23,"&lt;="&amp;E60)</f>
        <v>0</v>
      </c>
      <c r="F100" s="532"/>
      <c r="G100" s="532">
        <f>SUMIFS('IB - E&amp;PH'!G4:G23,'IB - E&amp;PH'!$A$4:$A$23,"&lt;="&amp;G60)</f>
        <v>0</v>
      </c>
      <c r="H100" s="532"/>
      <c r="I100" s="532">
        <f>SUMIFS('IB - E&amp;PH'!I4:I23,'IB - E&amp;PH'!$A$4:$A$23,"&lt;="&amp;I60)</f>
        <v>0</v>
      </c>
      <c r="J100" s="532"/>
      <c r="K100" s="532">
        <f>SUMIFS('IB - E&amp;PH'!K4:K23,'IB - E&amp;PH'!$A$4:$A$23,"&lt;="&amp;K60)</f>
        <v>0</v>
      </c>
      <c r="L100" s="532"/>
      <c r="M100" s="532">
        <f>SUMIFS('IB - E&amp;PH'!M4:M23,'IB - E&amp;PH'!$A$4:$A$23,"&lt;="&amp;M60)</f>
        <v>0</v>
      </c>
      <c r="N100" s="532"/>
      <c r="O100" s="532">
        <f>SUMIFS('IB - E&amp;PH'!O4:O23,'IB - E&amp;PH'!$A$4:$A$23,"&lt;="&amp;O60)</f>
        <v>0</v>
      </c>
      <c r="P100" s="532"/>
      <c r="Q100" s="532">
        <f>SUMIFS('IB - E&amp;PH'!Q4:Q23,'IB - E&amp;PH'!$A$4:$A$23,"&lt;="&amp;Q60)</f>
        <v>0</v>
      </c>
      <c r="R100" s="532"/>
      <c r="S100" s="532">
        <f>SUMIFS('IB - E&amp;PH'!S4:S23,'IB - E&amp;PH'!$A$4:$A$23,"&lt;="&amp;S60)</f>
        <v>0</v>
      </c>
      <c r="T100" s="532"/>
      <c r="U100" s="532">
        <f>SUMIFS('IB - E&amp;PH'!U4:U23,'IB - E&amp;PH'!$A$4:$A$23,"&lt;="&amp;U60)</f>
        <v>0</v>
      </c>
      <c r="V100" s="532"/>
      <c r="W100" s="532">
        <f>SUMIFS('IB - E&amp;PH'!W4:W23,'IB - E&amp;PH'!$A$4:$A$23,"&lt;="&amp;W60)</f>
        <v>0</v>
      </c>
      <c r="X100" s="55"/>
      <c r="Y100" s="10"/>
      <c r="Z100" s="10"/>
      <c r="AA100" s="10"/>
      <c r="AB100" s="10"/>
      <c r="AC100" s="10"/>
      <c r="AD100" s="10"/>
      <c r="AE100" s="10"/>
      <c r="AF100" s="10"/>
      <c r="AG100" s="10"/>
      <c r="AH100" s="10"/>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row>
    <row r="101" spans="1:76" ht="15" customHeight="1">
      <c r="A101" s="12"/>
      <c r="B101" s="56"/>
      <c r="C101" s="230" t="s">
        <v>27</v>
      </c>
      <c r="D101" s="230" t="s">
        <v>14</v>
      </c>
      <c r="E101" s="532">
        <f>SUMIFS('IB - E&amp;PH'!E49:E68,'IB - E&amp;PH'!$B$49:$B$68,"&lt;="&amp;E60)</f>
        <v>0</v>
      </c>
      <c r="F101" s="532"/>
      <c r="G101" s="532">
        <f>SUMIFS('IB - E&amp;PH'!G49:G68,'IB - E&amp;PH'!$B$49:$B$68,"&lt;="&amp;G60)</f>
        <v>0</v>
      </c>
      <c r="H101" s="532"/>
      <c r="I101" s="532">
        <f>SUMIFS('IB - E&amp;PH'!I49:I68,'IB - E&amp;PH'!$B$49:$B$68,"&lt;="&amp;I60)</f>
        <v>0</v>
      </c>
      <c r="J101" s="532"/>
      <c r="K101" s="532">
        <f>SUMIFS('IB - E&amp;PH'!K49:K68,'IB - E&amp;PH'!$B$49:$B$68,"&lt;="&amp;K60)</f>
        <v>0</v>
      </c>
      <c r="L101" s="532"/>
      <c r="M101" s="532">
        <f>SUMIFS('IB - E&amp;PH'!M49:M68,'IB - E&amp;PH'!$B$49:$B$68,"&lt;="&amp;M60)</f>
        <v>0</v>
      </c>
      <c r="N101" s="532"/>
      <c r="O101" s="532">
        <f>SUMIFS('IB - E&amp;PH'!O49:O68,'IB - E&amp;PH'!$B$49:$B$68,"&lt;="&amp;O60)</f>
        <v>0</v>
      </c>
      <c r="P101" s="532"/>
      <c r="Q101" s="532">
        <f>SUMIFS('IB - E&amp;PH'!Q49:Q68,'IB - E&amp;PH'!$B$49:$B$68,"&lt;="&amp;Q60)</f>
        <v>0</v>
      </c>
      <c r="R101" s="532"/>
      <c r="S101" s="532">
        <f>SUMIFS('IB - E&amp;PH'!S49:S68,'IB - E&amp;PH'!$B$49:$B$68,"&lt;="&amp;S60)</f>
        <v>0</v>
      </c>
      <c r="T101" s="532"/>
      <c r="U101" s="532">
        <f>SUMIFS('IB - E&amp;PH'!U49:U68,'IB - E&amp;PH'!$B$49:$B$68,"&lt;="&amp;U60)</f>
        <v>0</v>
      </c>
      <c r="V101" s="532"/>
      <c r="W101" s="532">
        <f>SUMIFS('IB - E&amp;PH'!W49:W68,'IB - E&amp;PH'!$B$49:$B$68,"&lt;="&amp;W60)</f>
        <v>0</v>
      </c>
      <c r="X101" s="134"/>
      <c r="Y101" s="10"/>
      <c r="Z101" s="10"/>
      <c r="AA101" s="10"/>
      <c r="AB101" s="10"/>
      <c r="AC101" s="10"/>
      <c r="AD101" s="10"/>
      <c r="AE101" s="10"/>
      <c r="AF101" s="10"/>
      <c r="AG101" s="10"/>
      <c r="AH101" s="10"/>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row>
    <row r="102" spans="1:76" ht="15" customHeight="1">
      <c r="A102" s="12"/>
      <c r="B102" s="56"/>
      <c r="C102" s="230" t="str">
        <f>IF(AND(E24="ja",G24="ja",I24="ja",K24="ja",M24="ja",O24="ja",Q24="ja",S24="ja"),"","Efterbrug - omkostninger og indtægter i alt")</f>
        <v>Efterbrug - omkostninger og indtægter i alt</v>
      </c>
      <c r="D102" s="230" t="str">
        <f>IF(C102="","","kr.")</f>
        <v>kr.</v>
      </c>
      <c r="E102" s="532">
        <f>-E24*E53*(1+E61)^-E60</f>
        <v>0</v>
      </c>
      <c r="F102" s="532"/>
      <c r="G102" s="532">
        <f>-G24*G53*(1+G61)^-G60</f>
        <v>0</v>
      </c>
      <c r="H102" s="532"/>
      <c r="I102" s="532">
        <f>-I24*I53*(1+I61)^-I60</f>
        <v>0</v>
      </c>
      <c r="J102" s="532"/>
      <c r="K102" s="532">
        <f>-K24*K53*(1+K61)^-K60</f>
        <v>0</v>
      </c>
      <c r="L102" s="532"/>
      <c r="M102" s="532">
        <f>-M24*M53*(1+M61)^-M60</f>
        <v>0</v>
      </c>
      <c r="N102" s="532"/>
      <c r="O102" s="532">
        <f>-O24*O53*(1+O61)^-O60</f>
        <v>0</v>
      </c>
      <c r="P102" s="532"/>
      <c r="Q102" s="532">
        <f>-Q24*Q53*(1+Q61)^-Q60</f>
        <v>0</v>
      </c>
      <c r="R102" s="532"/>
      <c r="S102" s="532">
        <f>-S24*S53*(1+S61)^-S60</f>
        <v>0</v>
      </c>
      <c r="T102" s="532"/>
      <c r="U102" s="532">
        <f>-U24*U53*(1+U61)^-U60</f>
        <v>0</v>
      </c>
      <c r="V102" s="532"/>
      <c r="W102" s="532">
        <f>-W24*W53*(1+W61)^-W60</f>
        <v>0</v>
      </c>
      <c r="X102" s="134"/>
      <c r="Y102" s="10"/>
      <c r="Z102" s="10"/>
      <c r="AA102" s="10"/>
      <c r="AB102" s="10"/>
      <c r="AC102" s="10"/>
      <c r="AD102" s="10"/>
      <c r="AE102" s="10"/>
      <c r="AF102" s="10"/>
      <c r="AG102" s="10"/>
      <c r="AH102" s="10"/>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row>
    <row r="103" spans="1:76" ht="15" customHeight="1">
      <c r="A103" s="12"/>
      <c r="B103" s="56"/>
      <c r="C103" s="230" t="str">
        <f>IF(E34="nej","","Samfundsøkonomiske omkostninger af eksterne virkninger på miljøet")</f>
        <v>Samfundsøkonomiske omkostninger af eksterne virkninger på miljøet</v>
      </c>
      <c r="D103" s="230" t="str">
        <f>IF(C103="","","kr.")</f>
        <v>kr.</v>
      </c>
      <c r="E103" s="532">
        <f>IF($D$103="","",SUMIFS('IB - E&amp;PH'!E$187:E$206,'IB - E&amp;PH'!$C$187:$C$206,"&lt;="&amp;E60))</f>
        <v>0</v>
      </c>
      <c r="F103" s="532"/>
      <c r="G103" s="532">
        <f>IF($D$103="","",SUMIFS('IB - E&amp;PH'!G$187:G$206,'IB - E&amp;PH'!$C$187:$C$206,"&lt;="&amp;G60))</f>
        <v>0</v>
      </c>
      <c r="H103" s="532"/>
      <c r="I103" s="532">
        <f>IF($D$103="","",SUMIFS('IB - E&amp;PH'!I$187:I$206,'IB - E&amp;PH'!$C$187:$C$206,"&lt;="&amp;I60))</f>
        <v>0</v>
      </c>
      <c r="J103" s="532"/>
      <c r="K103" s="532">
        <f>IF($D$103="","",SUMIFS('IB - E&amp;PH'!K$187:K$206,'IB - E&amp;PH'!$C$187:$C$206,"&lt;="&amp;K60))</f>
        <v>0</v>
      </c>
      <c r="L103" s="532"/>
      <c r="M103" s="532">
        <f>IF($D$103="","",SUMIFS('IB - E&amp;PH'!M$187:M$206,'IB - E&amp;PH'!$C$187:$C$206,"&lt;="&amp;M60))</f>
        <v>0</v>
      </c>
      <c r="N103" s="532"/>
      <c r="O103" s="532">
        <f>IF($D$103="","",SUMIFS('IB - E&amp;PH'!O$187:O$206,'IB - E&amp;PH'!$C$187:$C$206,"&lt;="&amp;O60))</f>
        <v>0</v>
      </c>
      <c r="P103" s="532"/>
      <c r="Q103" s="532">
        <f>IF($D$103="","",SUMIFS('IB - E&amp;PH'!Q$187:Q$206,'IB - E&amp;PH'!$C$187:$C$206,"&lt;="&amp;Q60))</f>
        <v>0</v>
      </c>
      <c r="R103" s="532"/>
      <c r="S103" s="532">
        <f>IF($D$103="","",SUMIFS('IB - E&amp;PH'!S$187:S$206,'IB - E&amp;PH'!$C$187:$C$206,"&lt;="&amp;S60))</f>
        <v>0</v>
      </c>
      <c r="T103" s="532"/>
      <c r="U103" s="532">
        <f>IF($D$103="","",SUMIFS('IB - E&amp;PH'!U$187:U$206,'IB - E&amp;PH'!$C$187:$C$206,"&lt;="&amp;U60))</f>
        <v>0</v>
      </c>
      <c r="V103" s="532"/>
      <c r="W103" s="532">
        <f>IF($D$103="","",SUMIFS('IB - E&amp;PH'!W$187:W$206,'IB - E&amp;PH'!$C$187:$C$206,"&lt;="&amp;W60))</f>
        <v>0</v>
      </c>
      <c r="X103" s="55"/>
      <c r="Y103" s="10"/>
      <c r="Z103" s="10"/>
      <c r="AA103" s="10"/>
      <c r="AB103" s="10"/>
      <c r="AC103" s="10"/>
      <c r="AD103" s="10"/>
      <c r="AE103" s="10"/>
      <c r="AF103" s="10"/>
      <c r="AG103" s="10"/>
      <c r="AH103" s="10"/>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row>
    <row r="104" spans="1:76" ht="15" customHeight="1">
      <c r="A104" s="12"/>
      <c r="B104" s="59"/>
      <c r="C104" s="230"/>
      <c r="D104" s="230"/>
      <c r="E104" s="532"/>
      <c r="F104" s="532"/>
      <c r="G104" s="532"/>
      <c r="H104" s="532"/>
      <c r="I104" s="532"/>
      <c r="J104" s="532"/>
      <c r="K104" s="532"/>
      <c r="L104" s="532"/>
      <c r="M104" s="532"/>
      <c r="N104" s="532"/>
      <c r="O104" s="532"/>
      <c r="P104" s="532"/>
      <c r="Q104" s="532"/>
      <c r="R104" s="532"/>
      <c r="S104" s="532"/>
      <c r="T104" s="532"/>
      <c r="U104" s="532"/>
      <c r="V104" s="532"/>
      <c r="W104" s="532"/>
      <c r="X104" s="60"/>
      <c r="Y104" s="10"/>
      <c r="Z104" s="10"/>
      <c r="AA104" s="10"/>
      <c r="AB104" s="10"/>
      <c r="AC104" s="10"/>
      <c r="AD104" s="10"/>
      <c r="AE104" s="10"/>
      <c r="AF104" s="10"/>
      <c r="AG104" s="10"/>
      <c r="AH104" s="10"/>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row>
    <row r="105" spans="1:76" ht="15" customHeight="1">
      <c r="A105" s="12"/>
      <c r="B105" s="56"/>
      <c r="C105" s="230" t="s">
        <v>51</v>
      </c>
      <c r="D105" s="230" t="s">
        <v>14</v>
      </c>
      <c r="E105" s="532">
        <f>SUM(E98:E103)</f>
        <v>0</v>
      </c>
      <c r="F105" s="532"/>
      <c r="G105" s="532">
        <f>SUM(G98:G103)</f>
        <v>0</v>
      </c>
      <c r="H105" s="532"/>
      <c r="I105" s="532">
        <f>SUM(I98:I103)</f>
        <v>0</v>
      </c>
      <c r="J105" s="532"/>
      <c r="K105" s="532">
        <f>SUM(K98:K103)</f>
        <v>0</v>
      </c>
      <c r="L105" s="532"/>
      <c r="M105" s="532">
        <f>SUM(M98:M103)</f>
        <v>0</v>
      </c>
      <c r="N105" s="532"/>
      <c r="O105" s="532">
        <f>SUM(O98:O103)</f>
        <v>0</v>
      </c>
      <c r="P105" s="532"/>
      <c r="Q105" s="532">
        <f>SUM(Q98:Q103)</f>
        <v>0</v>
      </c>
      <c r="R105" s="532"/>
      <c r="S105" s="532">
        <f>SUM(S98:S103)</f>
        <v>0</v>
      </c>
      <c r="T105" s="532"/>
      <c r="U105" s="532">
        <f>SUM(U98:U103)</f>
        <v>0</v>
      </c>
      <c r="V105" s="532"/>
      <c r="W105" s="532">
        <f>SUM(W98:W103)</f>
        <v>0</v>
      </c>
      <c r="X105" s="61"/>
      <c r="Y105" s="10"/>
      <c r="Z105" s="10"/>
      <c r="AA105" s="10"/>
      <c r="AB105" s="10"/>
      <c r="AC105" s="10"/>
      <c r="AD105" s="10"/>
      <c r="AE105" s="10"/>
      <c r="AF105" s="10"/>
      <c r="AG105" s="10"/>
      <c r="AH105" s="10"/>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row>
    <row r="106" spans="1:76" ht="15" customHeight="1">
      <c r="A106" s="12"/>
      <c r="B106" s="56"/>
      <c r="C106" s="230" t="s">
        <v>30</v>
      </c>
      <c r="D106" s="230" t="s">
        <v>31</v>
      </c>
      <c r="E106" s="532">
        <f>PMT(E61,E60,-(E105))</f>
        <v>0</v>
      </c>
      <c r="F106" s="532"/>
      <c r="G106" s="532">
        <f>PMT(G61,G60,-(G105))</f>
        <v>0</v>
      </c>
      <c r="H106" s="532"/>
      <c r="I106" s="532">
        <f>PMT(I61,I60,-(I105))</f>
        <v>0</v>
      </c>
      <c r="J106" s="532"/>
      <c r="K106" s="532">
        <f>PMT(K61,K60,-(K105))</f>
        <v>0</v>
      </c>
      <c r="L106" s="532"/>
      <c r="M106" s="532">
        <f>PMT(M61,M60,-(M105))</f>
        <v>0</v>
      </c>
      <c r="N106" s="532"/>
      <c r="O106" s="532">
        <f>PMT(O61,O60,-(O105))</f>
        <v>0</v>
      </c>
      <c r="P106" s="532"/>
      <c r="Q106" s="532">
        <f>PMT(Q61,Q60,-(Q105))</f>
        <v>0</v>
      </c>
      <c r="R106" s="532"/>
      <c r="S106" s="532">
        <f>PMT(S61,S60,-(S105))</f>
        <v>0</v>
      </c>
      <c r="T106" s="532"/>
      <c r="U106" s="532">
        <f>PMT(U61,U60,-(U105))</f>
        <v>0</v>
      </c>
      <c r="V106" s="532"/>
      <c r="W106" s="532">
        <f>PMT(W61,W60,-(W105))</f>
        <v>0</v>
      </c>
      <c r="X106" s="61"/>
      <c r="Y106" s="10"/>
      <c r="Z106" s="10"/>
      <c r="AA106" s="10"/>
      <c r="AB106" s="10"/>
      <c r="AC106" s="10"/>
      <c r="AD106" s="10"/>
      <c r="AE106" s="10"/>
      <c r="AF106" s="10"/>
      <c r="AG106" s="10"/>
      <c r="AH106" s="10"/>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row>
    <row r="107" spans="1:76" ht="15" customHeight="1">
      <c r="A107" s="12"/>
      <c r="B107" s="56"/>
      <c r="C107" s="230"/>
      <c r="D107" s="230"/>
      <c r="E107" s="133"/>
      <c r="F107" s="133"/>
      <c r="G107" s="133"/>
      <c r="H107" s="133"/>
      <c r="I107" s="133"/>
      <c r="J107" s="133"/>
      <c r="K107" s="133"/>
      <c r="L107" s="133"/>
      <c r="M107" s="133"/>
      <c r="N107" s="133"/>
      <c r="O107" s="133"/>
      <c r="P107" s="133"/>
      <c r="Q107" s="133"/>
      <c r="R107" s="133"/>
      <c r="S107" s="133"/>
      <c r="T107" s="133"/>
      <c r="U107" s="133"/>
      <c r="V107" s="133"/>
      <c r="W107" s="133"/>
      <c r="X107" s="61"/>
      <c r="Y107" s="10"/>
      <c r="Z107" s="10"/>
      <c r="AA107" s="10"/>
      <c r="AB107" s="10"/>
      <c r="AC107" s="10"/>
      <c r="AD107" s="10"/>
      <c r="AE107" s="10"/>
      <c r="AF107" s="10"/>
      <c r="AG107" s="10"/>
      <c r="AH107" s="10"/>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row>
    <row r="108" spans="1:76" ht="15" customHeight="1">
      <c r="A108" s="12"/>
      <c r="B108" s="56"/>
      <c r="C108" s="230" t="str">
        <f>IF(E34="ja","Samlede eksterne virkninger på miljøet fra brugsfasen","")</f>
        <v>Samlede eksterne virkninger på miljøet fra brugsfasen</v>
      </c>
      <c r="D108" s="230" t="str">
        <f>IF(C108="","","tons CO2e")</f>
        <v>tons CO2e</v>
      </c>
      <c r="E108" s="277">
        <f>IF(E34="ja",SUMIFS('IB - E&amp;PH'!F$187:F$206,'IB - E&amp;PH'!$B187:$B206,"&lt;="&amp;'El og plugin hybrid'!E60),"")</f>
        <v>0</v>
      </c>
      <c r="F108" s="277"/>
      <c r="G108" s="277">
        <f>IF(G34="ja",SUMIFS('IB - E&amp;PH'!H$187:H$206,'IB - E&amp;PH'!$B187:$B206,"&lt;="&amp;'El og plugin hybrid'!G60),"")</f>
        <v>0</v>
      </c>
      <c r="H108" s="277"/>
      <c r="I108" s="277">
        <f>IF(I34="ja",SUMIFS('IB - E&amp;PH'!J$187:J$206,'IB - E&amp;PH'!$B187:$B206,"&lt;="&amp;'El og plugin hybrid'!I60),"")</f>
        <v>0</v>
      </c>
      <c r="J108" s="277"/>
      <c r="K108" s="277">
        <f>IF(K34="ja",SUMIFS('IB - E&amp;PH'!L$187:L$206,'IB - E&amp;PH'!$B187:$B206,"&lt;="&amp;'El og plugin hybrid'!K60),"")</f>
        <v>0</v>
      </c>
      <c r="L108" s="277"/>
      <c r="M108" s="277">
        <f>IF(M34="ja",SUMIFS('IB - E&amp;PH'!N$187:N$206,'IB - E&amp;PH'!$B187:$B206,"&lt;="&amp;'El og plugin hybrid'!M60),"")</f>
        <v>0</v>
      </c>
      <c r="N108" s="277"/>
      <c r="O108" s="277">
        <f>IF(O34="ja",SUMIFS('IB - E&amp;PH'!P$187:P$206,'IB - E&amp;PH'!$B187:$B206,"&lt;="&amp;'El og plugin hybrid'!O60),"")</f>
        <v>0</v>
      </c>
      <c r="P108" s="277"/>
      <c r="Q108" s="277">
        <f>IF(Q34="ja",SUMIFS('IB - E&amp;PH'!R$187:R$206,'IB - E&amp;PH'!$B187:$B206,"&lt;="&amp;'El og plugin hybrid'!Q60),"")</f>
        <v>0</v>
      </c>
      <c r="R108" s="277"/>
      <c r="S108" s="277">
        <f>IF(S34="ja",SUMIFS('IB - E&amp;PH'!T$187:T$206,'IB - E&amp;PH'!$B187:$B206,"&lt;="&amp;'El og plugin hybrid'!S60),"")</f>
        <v>0</v>
      </c>
      <c r="T108" s="277"/>
      <c r="U108" s="277">
        <f>IF(U34="ja",SUMIFS('IB - E&amp;PH'!V$187:V$206,'IB - E&amp;PH'!$B187:$B206,"&lt;="&amp;'El og plugin hybrid'!U60),"")</f>
        <v>0</v>
      </c>
      <c r="V108" s="277"/>
      <c r="W108" s="277">
        <f>IF(W34="ja",SUMIFS('IB - E&amp;PH'!X$187:X$206,'IB - E&amp;PH'!$B187:$B206,"&lt;="&amp;'El og plugin hybrid'!W60),"")</f>
        <v>0</v>
      </c>
      <c r="X108" s="61"/>
      <c r="Y108" s="10"/>
      <c r="Z108" s="10"/>
      <c r="AA108" s="10"/>
      <c r="AB108" s="10"/>
      <c r="AC108" s="10"/>
      <c r="AD108" s="10"/>
      <c r="AE108" s="10"/>
      <c r="AF108" s="10"/>
      <c r="AG108" s="10"/>
      <c r="AH108" s="10"/>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row>
    <row r="109" spans="1:76" ht="15" customHeight="1">
      <c r="A109" s="12"/>
      <c r="B109" s="56"/>
      <c r="C109" s="133"/>
      <c r="D109" s="133"/>
      <c r="E109" s="133"/>
      <c r="F109" s="133"/>
      <c r="G109" s="133"/>
      <c r="H109" s="133"/>
      <c r="I109" s="133"/>
      <c r="J109" s="133"/>
      <c r="K109" s="133"/>
      <c r="L109" s="133"/>
      <c r="M109" s="133"/>
      <c r="N109" s="133"/>
      <c r="O109" s="133"/>
      <c r="P109" s="133"/>
      <c r="Q109" s="133"/>
      <c r="R109" s="133"/>
      <c r="S109" s="133"/>
      <c r="T109" s="133"/>
      <c r="U109" s="133"/>
      <c r="V109" s="133"/>
      <c r="W109" s="133"/>
      <c r="X109" s="61"/>
      <c r="Y109" s="10"/>
      <c r="Z109" s="10"/>
      <c r="AA109" s="10"/>
      <c r="AB109" s="10"/>
      <c r="AC109" s="10"/>
      <c r="AD109" s="10"/>
      <c r="AE109" s="10"/>
      <c r="AF109" s="10"/>
      <c r="AG109" s="10"/>
      <c r="AH109" s="10"/>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row>
    <row r="110" spans="1:76" ht="15" customHeight="1">
      <c r="A110" s="12"/>
      <c r="B110" s="56"/>
      <c r="C110" s="57"/>
      <c r="D110" s="53"/>
      <c r="E110" s="57"/>
      <c r="F110" s="57"/>
      <c r="G110" s="57"/>
      <c r="H110" s="57"/>
      <c r="I110" s="57"/>
      <c r="J110" s="57"/>
      <c r="K110" s="57"/>
      <c r="L110" s="57"/>
      <c r="M110" s="57"/>
      <c r="N110" s="57"/>
      <c r="O110" s="57"/>
      <c r="P110" s="57"/>
      <c r="Q110" s="57"/>
      <c r="R110" s="57"/>
      <c r="S110" s="57"/>
      <c r="T110" s="57"/>
      <c r="U110" s="57"/>
      <c r="V110" s="57"/>
      <c r="W110" s="57"/>
      <c r="X110" s="61"/>
      <c r="Y110" s="10"/>
      <c r="Z110" s="10"/>
      <c r="AA110" s="10"/>
      <c r="AB110" s="10"/>
      <c r="AC110" s="10"/>
      <c r="AD110" s="10"/>
      <c r="AE110" s="10"/>
      <c r="AF110" s="10"/>
      <c r="AG110" s="10"/>
      <c r="AH110" s="10"/>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row>
    <row r="111" spans="1:76" ht="15" customHeight="1">
      <c r="A111" s="12"/>
      <c r="B111" s="56"/>
      <c r="C111" s="57"/>
      <c r="D111" s="53"/>
      <c r="E111" s="57"/>
      <c r="F111" s="57"/>
      <c r="G111" s="57"/>
      <c r="H111" s="57"/>
      <c r="I111" s="57"/>
      <c r="J111" s="57"/>
      <c r="K111" s="57"/>
      <c r="L111" s="57"/>
      <c r="M111" s="57"/>
      <c r="N111" s="57"/>
      <c r="O111" s="57"/>
      <c r="P111" s="57"/>
      <c r="Q111" s="57"/>
      <c r="R111" s="57"/>
      <c r="S111" s="57"/>
      <c r="T111" s="57"/>
      <c r="U111" s="57"/>
      <c r="V111" s="57"/>
      <c r="W111" s="57"/>
      <c r="X111" s="61"/>
      <c r="Y111" s="10"/>
      <c r="Z111" s="10"/>
      <c r="AA111" s="10"/>
      <c r="AB111" s="10"/>
      <c r="AC111" s="10"/>
      <c r="AD111" s="10"/>
      <c r="AE111" s="10"/>
      <c r="AF111" s="10"/>
      <c r="AG111" s="10"/>
      <c r="AH111" s="10"/>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row>
    <row r="112" spans="1:76" ht="15" customHeight="1">
      <c r="A112" s="12"/>
      <c r="B112" s="56"/>
      <c r="C112" s="57"/>
      <c r="D112" s="53"/>
      <c r="E112" s="57"/>
      <c r="F112" s="57"/>
      <c r="G112" s="57"/>
      <c r="H112" s="57"/>
      <c r="I112" s="57"/>
      <c r="J112" s="57"/>
      <c r="K112" s="57"/>
      <c r="L112" s="57"/>
      <c r="M112" s="57"/>
      <c r="N112" s="57"/>
      <c r="O112" s="57"/>
      <c r="P112" s="57"/>
      <c r="Q112" s="57"/>
      <c r="R112" s="57"/>
      <c r="S112" s="57"/>
      <c r="T112" s="57"/>
      <c r="U112" s="57"/>
      <c r="V112" s="57"/>
      <c r="W112" s="57"/>
      <c r="X112" s="61"/>
      <c r="Y112" s="10"/>
      <c r="Z112" s="10"/>
      <c r="AA112" s="10"/>
      <c r="AB112" s="10"/>
      <c r="AC112" s="10"/>
      <c r="AD112" s="10"/>
      <c r="AE112" s="10"/>
      <c r="AF112" s="10"/>
      <c r="AG112" s="10"/>
      <c r="AH112" s="10"/>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row>
    <row r="113" spans="1:76" ht="15" customHeight="1">
      <c r="A113" s="12"/>
      <c r="B113" s="56"/>
      <c r="C113" s="57"/>
      <c r="D113" s="53"/>
      <c r="E113" s="57"/>
      <c r="F113" s="57"/>
      <c r="G113" s="57"/>
      <c r="H113" s="57"/>
      <c r="I113" s="57"/>
      <c r="J113" s="57"/>
      <c r="K113" s="57"/>
      <c r="L113" s="57"/>
      <c r="M113" s="57"/>
      <c r="N113" s="57"/>
      <c r="O113" s="57"/>
      <c r="P113" s="57"/>
      <c r="Q113" s="57"/>
      <c r="R113" s="57"/>
      <c r="S113" s="57"/>
      <c r="T113" s="57"/>
      <c r="U113" s="57"/>
      <c r="V113" s="57"/>
      <c r="W113" s="57"/>
      <c r="X113" s="61"/>
      <c r="Y113" s="10"/>
      <c r="Z113" s="10"/>
      <c r="AA113" s="10"/>
      <c r="AB113" s="10"/>
      <c r="AC113" s="10"/>
      <c r="AD113" s="10"/>
      <c r="AE113" s="10"/>
      <c r="AF113" s="10"/>
      <c r="AG113" s="10"/>
      <c r="AH113" s="10"/>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row>
    <row r="114" spans="1:76" ht="15" customHeight="1">
      <c r="A114" s="12"/>
      <c r="B114" s="56"/>
      <c r="C114" s="57"/>
      <c r="D114" s="53"/>
      <c r="E114" s="57"/>
      <c r="F114" s="57"/>
      <c r="G114" s="57"/>
      <c r="H114" s="57"/>
      <c r="I114" s="57"/>
      <c r="J114" s="57"/>
      <c r="K114" s="57"/>
      <c r="L114" s="57"/>
      <c r="M114" s="57"/>
      <c r="N114" s="57"/>
      <c r="O114" s="57"/>
      <c r="P114" s="57"/>
      <c r="Q114" s="57"/>
      <c r="R114" s="57"/>
      <c r="S114" s="57"/>
      <c r="T114" s="57"/>
      <c r="U114" s="57"/>
      <c r="V114" s="57"/>
      <c r="W114" s="57"/>
      <c r="X114" s="61"/>
      <c r="Y114" s="10"/>
      <c r="Z114" s="10"/>
      <c r="AA114" s="10"/>
      <c r="AB114" s="10"/>
      <c r="AC114" s="10"/>
      <c r="AD114" s="10"/>
      <c r="AE114" s="10"/>
      <c r="AF114" s="10"/>
      <c r="AG114" s="10"/>
      <c r="AH114" s="10"/>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row>
    <row r="115" spans="1:76" ht="15" customHeight="1">
      <c r="A115" s="12"/>
      <c r="B115" s="56"/>
      <c r="C115" s="57"/>
      <c r="D115" s="53"/>
      <c r="E115" s="57"/>
      <c r="F115" s="57"/>
      <c r="G115" s="57"/>
      <c r="H115" s="57"/>
      <c r="I115" s="57"/>
      <c r="J115" s="57"/>
      <c r="K115" s="57"/>
      <c r="L115" s="57"/>
      <c r="M115" s="57"/>
      <c r="N115" s="57"/>
      <c r="O115" s="57"/>
      <c r="P115" s="57"/>
      <c r="Q115" s="57"/>
      <c r="R115" s="57"/>
      <c r="S115" s="57"/>
      <c r="T115" s="57"/>
      <c r="U115" s="57"/>
      <c r="V115" s="57"/>
      <c r="W115" s="57"/>
      <c r="X115" s="61"/>
      <c r="Y115" s="10"/>
      <c r="Z115" s="10"/>
      <c r="AA115" s="10"/>
      <c r="AB115" s="10"/>
      <c r="AC115" s="10"/>
      <c r="AD115" s="10"/>
      <c r="AE115" s="10"/>
      <c r="AF115" s="10"/>
      <c r="AG115" s="10"/>
      <c r="AH115" s="10"/>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row>
    <row r="116" spans="1:76" ht="15" customHeight="1">
      <c r="A116" s="12"/>
      <c r="B116" s="56"/>
      <c r="C116" s="57"/>
      <c r="D116" s="53"/>
      <c r="E116" s="57"/>
      <c r="F116" s="57"/>
      <c r="G116" s="57"/>
      <c r="H116" s="57"/>
      <c r="I116" s="57"/>
      <c r="J116" s="57"/>
      <c r="K116" s="57"/>
      <c r="L116" s="57"/>
      <c r="M116" s="57"/>
      <c r="N116" s="57"/>
      <c r="O116" s="57"/>
      <c r="P116" s="57"/>
      <c r="Q116" s="57"/>
      <c r="R116" s="57"/>
      <c r="S116" s="57"/>
      <c r="T116" s="57"/>
      <c r="U116" s="57"/>
      <c r="V116" s="57"/>
      <c r="W116" s="57"/>
      <c r="X116" s="61"/>
      <c r="Y116" s="10"/>
      <c r="Z116" s="10"/>
      <c r="AA116" s="10"/>
      <c r="AB116" s="10"/>
      <c r="AC116" s="10"/>
      <c r="AD116" s="10"/>
      <c r="AE116" s="10"/>
      <c r="AF116" s="10"/>
      <c r="AG116" s="10"/>
      <c r="AH116" s="10"/>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row>
    <row r="117" spans="1:76" ht="15" customHeight="1">
      <c r="A117" s="12"/>
      <c r="B117" s="56"/>
      <c r="C117" s="57"/>
      <c r="D117" s="53"/>
      <c r="E117" s="57"/>
      <c r="F117" s="57"/>
      <c r="G117" s="57"/>
      <c r="H117" s="57"/>
      <c r="I117" s="57"/>
      <c r="J117" s="57"/>
      <c r="K117" s="57"/>
      <c r="L117" s="57"/>
      <c r="M117" s="57"/>
      <c r="N117" s="57"/>
      <c r="O117" s="57"/>
      <c r="P117" s="57"/>
      <c r="Q117" s="57"/>
      <c r="R117" s="57"/>
      <c r="S117" s="57"/>
      <c r="T117" s="57"/>
      <c r="U117" s="57"/>
      <c r="V117" s="57"/>
      <c r="W117" s="57"/>
      <c r="X117" s="61"/>
      <c r="Y117" s="10"/>
      <c r="Z117" s="10"/>
      <c r="AA117" s="10"/>
      <c r="AB117" s="10"/>
      <c r="AC117" s="10"/>
      <c r="AD117" s="10"/>
      <c r="AE117" s="10"/>
      <c r="AF117" s="10"/>
      <c r="AG117" s="10"/>
      <c r="AH117" s="10"/>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row>
    <row r="118" spans="1:76" ht="15" customHeight="1">
      <c r="A118" s="12"/>
      <c r="B118" s="56"/>
      <c r="C118" s="57"/>
      <c r="D118" s="53"/>
      <c r="E118" s="57"/>
      <c r="F118" s="57"/>
      <c r="G118" s="57"/>
      <c r="H118" s="57"/>
      <c r="I118" s="57"/>
      <c r="J118" s="57"/>
      <c r="K118" s="57"/>
      <c r="L118" s="57"/>
      <c r="M118" s="57"/>
      <c r="N118" s="57"/>
      <c r="O118" s="57"/>
      <c r="P118" s="57"/>
      <c r="Q118" s="57"/>
      <c r="R118" s="57"/>
      <c r="S118" s="57"/>
      <c r="T118" s="57"/>
      <c r="U118" s="57"/>
      <c r="V118" s="57"/>
      <c r="W118" s="57"/>
      <c r="X118" s="61"/>
      <c r="Y118" s="10"/>
      <c r="Z118" s="10"/>
      <c r="AA118" s="10"/>
      <c r="AB118" s="10"/>
      <c r="AC118" s="10"/>
      <c r="AD118" s="10"/>
      <c r="AE118" s="10"/>
      <c r="AF118" s="10"/>
      <c r="AG118" s="10"/>
      <c r="AH118" s="10"/>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row>
    <row r="119" spans="1:76" ht="15" customHeight="1">
      <c r="A119" s="12"/>
      <c r="B119" s="56"/>
      <c r="C119" s="57"/>
      <c r="D119" s="57"/>
      <c r="E119" s="57"/>
      <c r="F119" s="57"/>
      <c r="G119" s="57"/>
      <c r="H119" s="57"/>
      <c r="I119" s="57"/>
      <c r="J119" s="57"/>
      <c r="K119" s="57"/>
      <c r="L119" s="57"/>
      <c r="M119" s="57"/>
      <c r="N119" s="57"/>
      <c r="O119" s="57"/>
      <c r="P119" s="57"/>
      <c r="Q119" s="57"/>
      <c r="R119" s="57"/>
      <c r="S119" s="57"/>
      <c r="T119" s="57"/>
      <c r="U119" s="57"/>
      <c r="V119" s="57"/>
      <c r="W119" s="57"/>
      <c r="X119" s="61"/>
      <c r="Y119" s="8"/>
      <c r="Z119" s="8"/>
      <c r="AA119" s="8"/>
      <c r="AB119" s="8"/>
      <c r="AC119" s="8"/>
      <c r="AD119" s="8"/>
      <c r="AE119" s="8"/>
      <c r="AF119" s="8"/>
      <c r="AG119" s="8"/>
      <c r="AH119" s="8"/>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row>
    <row r="120" spans="1:76" s="64" customFormat="1" ht="15" customHeight="1">
      <c r="A120" s="12"/>
      <c r="B120" s="56"/>
      <c r="C120" s="57"/>
      <c r="D120" s="57"/>
      <c r="E120" s="57"/>
      <c r="F120" s="57"/>
      <c r="G120" s="57"/>
      <c r="H120" s="57"/>
      <c r="I120" s="57"/>
      <c r="J120" s="57"/>
      <c r="K120" s="57"/>
      <c r="L120" s="57"/>
      <c r="M120" s="57"/>
      <c r="N120" s="57"/>
      <c r="O120" s="57"/>
      <c r="P120" s="57"/>
      <c r="Q120" s="57"/>
      <c r="R120" s="57"/>
      <c r="S120" s="57"/>
      <c r="T120" s="57"/>
      <c r="U120" s="57"/>
      <c r="V120" s="57"/>
      <c r="W120" s="57"/>
      <c r="X120" s="61"/>
      <c r="Y120" s="12"/>
      <c r="Z120" s="143"/>
      <c r="AA120" s="8"/>
      <c r="AB120" s="8"/>
      <c r="AC120" s="8"/>
      <c r="AD120" s="8"/>
      <c r="AE120" s="8"/>
      <c r="AF120" s="8"/>
      <c r="AG120" s="8"/>
      <c r="AH120" s="8"/>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76" s="65" customFormat="1" ht="15" customHeight="1">
      <c r="A121" s="12"/>
      <c r="B121" s="56"/>
      <c r="C121" s="57"/>
      <c r="D121" s="57"/>
      <c r="E121" s="57"/>
      <c r="F121" s="57"/>
      <c r="G121" s="57"/>
      <c r="H121" s="57"/>
      <c r="I121" s="57"/>
      <c r="J121" s="57"/>
      <c r="K121" s="57"/>
      <c r="L121" s="57"/>
      <c r="M121" s="57"/>
      <c r="N121" s="57"/>
      <c r="O121" s="57"/>
      <c r="P121" s="57"/>
      <c r="Q121" s="57"/>
      <c r="R121" s="57"/>
      <c r="S121" s="57"/>
      <c r="T121" s="57"/>
      <c r="U121" s="57"/>
      <c r="V121" s="57"/>
      <c r="W121" s="57"/>
      <c r="X121" s="61"/>
      <c r="Y121" s="12"/>
      <c r="Z121" s="167"/>
      <c r="AA121" s="8"/>
      <c r="AB121" s="8"/>
      <c r="AC121" s="8"/>
      <c r="AD121" s="8"/>
      <c r="AE121" s="8"/>
      <c r="AF121" s="8"/>
      <c r="AG121" s="8"/>
      <c r="AH121" s="8"/>
      <c r="AI121" s="66"/>
      <c r="AJ121" s="66"/>
      <c r="AK121" s="66"/>
      <c r="AL121" s="66"/>
      <c r="AM121" s="66"/>
      <c r="AN121" s="66"/>
      <c r="AO121" s="66"/>
      <c r="AP121" s="66"/>
      <c r="AQ121" s="66"/>
      <c r="AR121" s="66"/>
      <c r="AS121" s="66"/>
      <c r="AT121" s="66"/>
      <c r="AU121" s="66"/>
      <c r="AV121" s="66"/>
      <c r="AW121" s="66"/>
      <c r="AX121" s="66"/>
      <c r="AY121" s="66"/>
      <c r="AZ121" s="66"/>
      <c r="BA121" s="66"/>
      <c r="BB121" s="66"/>
    </row>
    <row r="122" spans="1:76" s="64" customFormat="1" ht="15" customHeight="1">
      <c r="A122" s="12"/>
      <c r="B122" s="56"/>
      <c r="C122" s="57"/>
      <c r="D122" s="57"/>
      <c r="E122" s="57"/>
      <c r="F122" s="57"/>
      <c r="G122" s="57"/>
      <c r="H122" s="57"/>
      <c r="I122" s="57"/>
      <c r="J122" s="57"/>
      <c r="K122" s="57"/>
      <c r="L122" s="57"/>
      <c r="M122" s="57"/>
      <c r="N122" s="57"/>
      <c r="O122" s="57"/>
      <c r="P122" s="57"/>
      <c r="Q122" s="57"/>
      <c r="R122" s="57"/>
      <c r="S122" s="57"/>
      <c r="T122" s="57"/>
      <c r="U122" s="57"/>
      <c r="V122" s="57"/>
      <c r="W122" s="57"/>
      <c r="X122" s="61"/>
      <c r="Y122" s="12"/>
      <c r="Z122" s="143"/>
      <c r="AA122" s="8"/>
      <c r="AB122" s="8"/>
      <c r="AC122" s="8"/>
      <c r="AD122" s="8"/>
      <c r="AE122" s="8"/>
      <c r="AF122" s="8"/>
      <c r="AG122" s="8"/>
      <c r="AH122" s="8"/>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76" s="64" customFormat="1" ht="15" customHeight="1">
      <c r="A123" s="162"/>
      <c r="B123" s="57"/>
      <c r="C123" s="57"/>
      <c r="D123" s="57"/>
      <c r="E123" s="57"/>
      <c r="F123" s="57"/>
      <c r="G123" s="57"/>
      <c r="H123" s="57"/>
      <c r="I123" s="57"/>
      <c r="J123" s="57"/>
      <c r="K123" s="57"/>
      <c r="L123" s="57"/>
      <c r="M123" s="57"/>
      <c r="N123" s="57"/>
      <c r="O123" s="57"/>
      <c r="P123" s="57"/>
      <c r="Q123" s="57"/>
      <c r="R123" s="57"/>
      <c r="S123" s="57"/>
      <c r="T123" s="57"/>
      <c r="U123" s="57"/>
      <c r="V123" s="57"/>
      <c r="W123" s="57"/>
      <c r="X123" s="57"/>
      <c r="Y123" s="159"/>
      <c r="Z123" s="143"/>
      <c r="AA123" s="8"/>
      <c r="AB123" s="8"/>
      <c r="AC123" s="8"/>
      <c r="AD123" s="8"/>
      <c r="AE123" s="8"/>
      <c r="AF123" s="8"/>
      <c r="AG123" s="8"/>
      <c r="AH123" s="8"/>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76" s="64" customFormat="1" ht="15" customHeight="1">
      <c r="A124" s="162"/>
      <c r="B124" s="144"/>
      <c r="C124" s="144"/>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59"/>
      <c r="Z124" s="143"/>
      <c r="AA124" s="8"/>
      <c r="AB124" s="8"/>
      <c r="AC124" s="8"/>
      <c r="AD124" s="8"/>
      <c r="AE124" s="8"/>
      <c r="AF124" s="8"/>
      <c r="AG124" s="8"/>
      <c r="AH124" s="8"/>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76" s="64" customFormat="1" ht="15" customHeight="1">
      <c r="A125" s="163"/>
      <c r="B125" s="145"/>
      <c r="C125" s="145"/>
      <c r="D125" s="145"/>
      <c r="E125" s="145"/>
      <c r="F125" s="145"/>
      <c r="G125" s="145"/>
      <c r="H125" s="145"/>
      <c r="I125" s="145"/>
      <c r="J125" s="145"/>
      <c r="K125" s="145"/>
      <c r="L125" s="145"/>
      <c r="M125" s="145"/>
      <c r="N125" s="145"/>
      <c r="O125" s="145"/>
      <c r="P125" s="145"/>
      <c r="Q125" s="145"/>
      <c r="R125" s="145"/>
      <c r="S125" s="145"/>
      <c r="T125" s="145"/>
      <c r="U125" s="145"/>
      <c r="V125" s="145"/>
      <c r="W125" s="145"/>
      <c r="X125" s="145"/>
      <c r="Y125" s="160"/>
      <c r="Z125" s="143"/>
      <c r="AA125" s="143"/>
      <c r="AB125" s="143"/>
      <c r="AC125" s="143"/>
      <c r="AD125" s="143"/>
      <c r="AE125" s="143"/>
      <c r="AF125" s="143"/>
      <c r="AG125" s="143"/>
      <c r="AH125" s="14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76" s="64" customFormat="1" ht="15" customHeight="1">
      <c r="A126" s="163"/>
      <c r="B126" s="145"/>
      <c r="C126" s="145"/>
      <c r="D126" s="145"/>
      <c r="E126" s="145"/>
      <c r="F126" s="145"/>
      <c r="G126" s="145"/>
      <c r="H126" s="145"/>
      <c r="I126" s="145"/>
      <c r="J126" s="145"/>
      <c r="K126" s="145"/>
      <c r="L126" s="145"/>
      <c r="M126" s="145"/>
      <c r="N126" s="145"/>
      <c r="O126" s="145"/>
      <c r="P126" s="145"/>
      <c r="Q126" s="145"/>
      <c r="R126" s="145"/>
      <c r="S126" s="145"/>
      <c r="T126" s="145"/>
      <c r="U126" s="145"/>
      <c r="V126" s="145"/>
      <c r="W126" s="145"/>
      <c r="X126" s="146"/>
      <c r="Y126" s="161"/>
      <c r="Z126" s="143"/>
      <c r="AA126" s="143"/>
      <c r="AB126" s="143"/>
      <c r="AC126" s="143"/>
      <c r="AD126" s="143"/>
      <c r="AE126" s="143"/>
      <c r="AF126" s="143"/>
      <c r="AG126" s="143"/>
      <c r="AH126" s="14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76" s="64" customFormat="1" ht="15" customHeight="1">
      <c r="A127" s="163"/>
      <c r="B127" s="145"/>
      <c r="C127" s="145"/>
      <c r="D127" s="145"/>
      <c r="E127" s="145"/>
      <c r="F127" s="145"/>
      <c r="G127" s="145"/>
      <c r="H127" s="145"/>
      <c r="I127" s="145"/>
      <c r="J127" s="145"/>
      <c r="K127" s="145"/>
      <c r="L127" s="145"/>
      <c r="M127" s="145"/>
      <c r="N127" s="145"/>
      <c r="O127" s="145"/>
      <c r="P127" s="145"/>
      <c r="Q127" s="145"/>
      <c r="R127" s="145"/>
      <c r="S127" s="145"/>
      <c r="T127" s="145"/>
      <c r="U127" s="145"/>
      <c r="V127" s="145"/>
      <c r="W127" s="145"/>
      <c r="X127" s="146"/>
      <c r="Y127" s="161"/>
      <c r="Z127" s="143"/>
      <c r="AA127" s="143"/>
      <c r="AB127" s="143"/>
      <c r="AC127" s="143"/>
      <c r="AD127" s="143"/>
      <c r="AE127" s="143"/>
      <c r="AF127" s="143"/>
      <c r="AG127" s="143"/>
      <c r="AH127" s="14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76" s="64" customFormat="1" ht="15" customHeight="1">
      <c r="A128" s="163"/>
      <c r="B128" s="145"/>
      <c r="C128" s="145"/>
      <c r="D128" s="145"/>
      <c r="E128" s="145"/>
      <c r="F128" s="145"/>
      <c r="G128" s="145"/>
      <c r="H128" s="145"/>
      <c r="I128" s="145"/>
      <c r="J128" s="145"/>
      <c r="K128" s="145"/>
      <c r="L128" s="145"/>
      <c r="M128" s="145"/>
      <c r="N128" s="145"/>
      <c r="O128" s="145"/>
      <c r="P128" s="145"/>
      <c r="Q128" s="145"/>
      <c r="R128" s="145"/>
      <c r="S128" s="145"/>
      <c r="T128" s="145"/>
      <c r="U128" s="145"/>
      <c r="V128" s="145"/>
      <c r="W128" s="145"/>
      <c r="X128" s="146"/>
      <c r="Y128" s="161"/>
      <c r="Z128" s="143"/>
      <c r="AA128" s="143"/>
      <c r="AB128" s="143"/>
      <c r="AC128" s="143"/>
      <c r="AD128" s="143"/>
      <c r="AE128" s="143"/>
      <c r="AF128" s="143"/>
      <c r="AG128" s="143"/>
      <c r="AH128" s="14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54" s="64" customFormat="1" ht="15" customHeight="1">
      <c r="A129" s="163"/>
      <c r="B129" s="145"/>
      <c r="C129" s="145"/>
      <c r="D129" s="145"/>
      <c r="E129" s="145"/>
      <c r="F129" s="145"/>
      <c r="G129" s="145"/>
      <c r="H129" s="145"/>
      <c r="I129" s="145"/>
      <c r="J129" s="145"/>
      <c r="K129" s="145"/>
      <c r="L129" s="145"/>
      <c r="M129" s="145"/>
      <c r="N129" s="145"/>
      <c r="O129" s="145"/>
      <c r="P129" s="145"/>
      <c r="Q129" s="145"/>
      <c r="R129" s="145"/>
      <c r="S129" s="145"/>
      <c r="T129" s="145"/>
      <c r="U129" s="145"/>
      <c r="V129" s="145"/>
      <c r="W129" s="145"/>
      <c r="X129" s="146"/>
      <c r="Y129" s="161"/>
      <c r="Z129" s="143"/>
      <c r="AA129" s="143"/>
      <c r="AB129" s="143"/>
      <c r="AC129" s="143"/>
      <c r="AD129" s="143"/>
      <c r="AE129" s="143"/>
      <c r="AF129" s="143"/>
      <c r="AG129" s="143"/>
      <c r="AH129" s="14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54" s="64" customFormat="1" ht="15" customHeight="1">
      <c r="A130" s="163"/>
      <c r="B130" s="145"/>
      <c r="C130" s="145"/>
      <c r="D130" s="145"/>
      <c r="E130" s="145"/>
      <c r="F130" s="145"/>
      <c r="G130" s="145"/>
      <c r="H130" s="145"/>
      <c r="I130" s="145"/>
      <c r="J130" s="145"/>
      <c r="K130" s="145"/>
      <c r="L130" s="145"/>
      <c r="M130" s="145"/>
      <c r="N130" s="145"/>
      <c r="O130" s="145"/>
      <c r="P130" s="145"/>
      <c r="Q130" s="145"/>
      <c r="R130" s="145"/>
      <c r="S130" s="145"/>
      <c r="T130" s="145"/>
      <c r="U130" s="145"/>
      <c r="V130" s="145"/>
      <c r="W130" s="145"/>
      <c r="X130" s="146"/>
      <c r="Y130" s="161"/>
      <c r="Z130" s="143"/>
      <c r="AA130" s="143"/>
      <c r="AB130" s="143"/>
      <c r="AC130" s="143"/>
      <c r="AD130" s="143"/>
      <c r="AE130" s="143"/>
      <c r="AF130" s="143"/>
      <c r="AG130" s="143"/>
      <c r="AH130" s="14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54" s="64" customFormat="1" ht="15" customHeight="1">
      <c r="A131" s="163"/>
      <c r="B131" s="145"/>
      <c r="C131" s="145"/>
      <c r="D131" s="145"/>
      <c r="E131" s="145"/>
      <c r="F131" s="145"/>
      <c r="G131" s="145"/>
      <c r="H131" s="145"/>
      <c r="I131" s="145"/>
      <c r="J131" s="145"/>
      <c r="K131" s="145"/>
      <c r="L131" s="145"/>
      <c r="M131" s="145"/>
      <c r="N131" s="145"/>
      <c r="O131" s="145"/>
      <c r="P131" s="145"/>
      <c r="Q131" s="145"/>
      <c r="R131" s="145"/>
      <c r="S131" s="145"/>
      <c r="T131" s="145"/>
      <c r="U131" s="145"/>
      <c r="V131" s="145"/>
      <c r="W131" s="145"/>
      <c r="X131" s="146"/>
      <c r="Y131" s="161"/>
      <c r="Z131" s="143"/>
      <c r="AA131" s="143"/>
      <c r="AB131" s="143"/>
      <c r="AC131" s="143"/>
      <c r="AD131" s="143"/>
      <c r="AE131" s="143"/>
      <c r="AF131" s="143"/>
      <c r="AG131" s="143"/>
      <c r="AH131" s="14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54" s="64" customFormat="1" ht="15" customHeight="1">
      <c r="A132" s="163"/>
      <c r="B132" s="145"/>
      <c r="C132" s="145"/>
      <c r="D132" s="145"/>
      <c r="E132" s="145"/>
      <c r="F132" s="145"/>
      <c r="G132" s="145"/>
      <c r="H132" s="145"/>
      <c r="I132" s="145"/>
      <c r="J132" s="145"/>
      <c r="K132" s="145"/>
      <c r="L132" s="145"/>
      <c r="M132" s="145"/>
      <c r="N132" s="145"/>
      <c r="O132" s="145"/>
      <c r="P132" s="145"/>
      <c r="Q132" s="145"/>
      <c r="R132" s="145"/>
      <c r="S132" s="145"/>
      <c r="T132" s="145"/>
      <c r="U132" s="145"/>
      <c r="V132" s="145"/>
      <c r="W132" s="145"/>
      <c r="X132" s="146"/>
      <c r="Y132" s="161"/>
      <c r="Z132" s="143"/>
      <c r="AA132" s="143"/>
      <c r="AB132" s="143"/>
      <c r="AC132" s="143"/>
      <c r="AD132" s="143"/>
      <c r="AE132" s="143"/>
      <c r="AF132" s="143"/>
      <c r="AG132" s="143"/>
      <c r="AH132" s="14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54" s="64" customFormat="1" ht="15" customHeight="1">
      <c r="A133" s="163"/>
      <c r="B133" s="145"/>
      <c r="C133" s="145"/>
      <c r="D133" s="145"/>
      <c r="E133" s="145"/>
      <c r="F133" s="145"/>
      <c r="G133" s="145"/>
      <c r="H133" s="145"/>
      <c r="I133" s="145"/>
      <c r="J133" s="145"/>
      <c r="K133" s="145"/>
      <c r="L133" s="145"/>
      <c r="M133" s="145"/>
      <c r="N133" s="145"/>
      <c r="O133" s="145"/>
      <c r="P133" s="145"/>
      <c r="Q133" s="145"/>
      <c r="R133" s="145"/>
      <c r="S133" s="145"/>
      <c r="T133" s="145"/>
      <c r="U133" s="145"/>
      <c r="V133" s="145"/>
      <c r="W133" s="145"/>
      <c r="X133" s="146"/>
      <c r="Y133" s="161"/>
      <c r="Z133" s="143"/>
      <c r="AA133" s="143"/>
      <c r="AB133" s="143"/>
      <c r="AC133" s="143"/>
      <c r="AD133" s="143"/>
      <c r="AE133" s="143"/>
      <c r="AF133" s="143"/>
      <c r="AG133" s="143"/>
      <c r="AH133" s="14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54" s="64" customFormat="1" ht="15" customHeight="1">
      <c r="A134" s="163"/>
      <c r="B134" s="145"/>
      <c r="C134" s="145"/>
      <c r="D134" s="145"/>
      <c r="E134" s="145"/>
      <c r="F134" s="145"/>
      <c r="G134" s="145"/>
      <c r="H134" s="145"/>
      <c r="I134" s="145"/>
      <c r="J134" s="145"/>
      <c r="K134" s="145"/>
      <c r="L134" s="145"/>
      <c r="M134" s="145"/>
      <c r="N134" s="145"/>
      <c r="O134" s="145"/>
      <c r="P134" s="145"/>
      <c r="Q134" s="145"/>
      <c r="R134" s="145"/>
      <c r="S134" s="145"/>
      <c r="T134" s="145"/>
      <c r="U134" s="145"/>
      <c r="V134" s="145"/>
      <c r="W134" s="145"/>
      <c r="X134" s="146"/>
      <c r="Y134" s="161"/>
      <c r="Z134" s="143"/>
      <c r="AA134" s="143"/>
      <c r="AB134" s="143"/>
      <c r="AC134" s="143"/>
      <c r="AD134" s="143"/>
      <c r="AE134" s="143"/>
      <c r="AF134" s="143"/>
      <c r="AG134" s="143"/>
      <c r="AH134" s="14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54" s="64" customFormat="1" ht="15" customHeight="1">
      <c r="A135" s="163"/>
      <c r="B135" s="145"/>
      <c r="C135" s="145"/>
      <c r="D135" s="145"/>
      <c r="E135" s="145"/>
      <c r="F135" s="145"/>
      <c r="G135" s="145"/>
      <c r="H135" s="145"/>
      <c r="I135" s="145"/>
      <c r="J135" s="145"/>
      <c r="K135" s="145"/>
      <c r="L135" s="145"/>
      <c r="M135" s="145"/>
      <c r="N135" s="145"/>
      <c r="O135" s="145"/>
      <c r="P135" s="145"/>
      <c r="Q135" s="145"/>
      <c r="R135" s="145"/>
      <c r="S135" s="145"/>
      <c r="T135" s="145"/>
      <c r="U135" s="145"/>
      <c r="V135" s="145"/>
      <c r="W135" s="145"/>
      <c r="X135" s="146"/>
      <c r="Y135" s="161"/>
      <c r="Z135" s="143"/>
      <c r="AA135" s="143"/>
      <c r="AB135" s="143"/>
      <c r="AC135" s="143"/>
      <c r="AD135" s="143"/>
      <c r="AE135" s="143"/>
      <c r="AF135" s="143"/>
      <c r="AG135" s="143"/>
      <c r="AH135" s="14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54" s="64" customFormat="1" ht="15" customHeight="1">
      <c r="A136" s="163"/>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6"/>
      <c r="Y136" s="161"/>
      <c r="Z136" s="143"/>
      <c r="AA136" s="143"/>
      <c r="AB136" s="143"/>
      <c r="AC136" s="143"/>
      <c r="AD136" s="143"/>
      <c r="AE136" s="143"/>
      <c r="AF136" s="143"/>
      <c r="AG136" s="143"/>
      <c r="AH136" s="14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54" s="64" customFormat="1" ht="15" customHeight="1">
      <c r="A137" s="163"/>
      <c r="B137" s="145"/>
      <c r="C137" s="145"/>
      <c r="D137" s="145"/>
      <c r="E137" s="145"/>
      <c r="F137" s="145"/>
      <c r="G137" s="145"/>
      <c r="H137" s="145"/>
      <c r="I137" s="145"/>
      <c r="J137" s="145"/>
      <c r="K137" s="145"/>
      <c r="L137" s="145"/>
      <c r="M137" s="145"/>
      <c r="N137" s="145"/>
      <c r="O137" s="145"/>
      <c r="P137" s="145"/>
      <c r="Q137" s="145"/>
      <c r="R137" s="145"/>
      <c r="S137" s="145"/>
      <c r="T137" s="145"/>
      <c r="U137" s="145"/>
      <c r="V137" s="145"/>
      <c r="W137" s="145"/>
      <c r="X137" s="146"/>
      <c r="Y137" s="161"/>
      <c r="Z137" s="143"/>
      <c r="AA137" s="143"/>
      <c r="AB137" s="143"/>
      <c r="AC137" s="143"/>
      <c r="AD137" s="143"/>
      <c r="AE137" s="143"/>
      <c r="AF137" s="143"/>
      <c r="AG137" s="143"/>
      <c r="AH137" s="14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54" s="64" customFormat="1" ht="15" customHeight="1">
      <c r="A138" s="163"/>
      <c r="B138" s="145"/>
      <c r="C138" s="145"/>
      <c r="D138" s="145"/>
      <c r="E138" s="145"/>
      <c r="F138" s="145"/>
      <c r="G138" s="145"/>
      <c r="H138" s="145"/>
      <c r="I138" s="145"/>
      <c r="J138" s="145"/>
      <c r="K138" s="145"/>
      <c r="L138" s="145"/>
      <c r="M138" s="145"/>
      <c r="N138" s="145"/>
      <c r="O138" s="145"/>
      <c r="P138" s="145"/>
      <c r="Q138" s="145"/>
      <c r="R138" s="145"/>
      <c r="S138" s="145"/>
      <c r="T138" s="145"/>
      <c r="U138" s="145"/>
      <c r="V138" s="145"/>
      <c r="W138" s="145"/>
      <c r="X138" s="146"/>
      <c r="Y138" s="161"/>
      <c r="Z138" s="143"/>
      <c r="AA138" s="143"/>
      <c r="AB138" s="143"/>
      <c r="AC138" s="143"/>
      <c r="AD138" s="143"/>
      <c r="AE138" s="143"/>
      <c r="AF138" s="143"/>
      <c r="AG138" s="143"/>
      <c r="AH138" s="14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54" s="64" customFormat="1" ht="15" customHeight="1">
      <c r="A139" s="163"/>
      <c r="B139" s="145"/>
      <c r="C139" s="145"/>
      <c r="D139" s="145"/>
      <c r="E139" s="145"/>
      <c r="F139" s="145"/>
      <c r="G139" s="145"/>
      <c r="H139" s="145"/>
      <c r="I139" s="145"/>
      <c r="J139" s="145"/>
      <c r="K139" s="145"/>
      <c r="L139" s="145"/>
      <c r="M139" s="145"/>
      <c r="N139" s="145"/>
      <c r="O139" s="145"/>
      <c r="P139" s="145"/>
      <c r="Q139" s="145"/>
      <c r="R139" s="145"/>
      <c r="S139" s="145"/>
      <c r="T139" s="145"/>
      <c r="U139" s="145"/>
      <c r="V139" s="145"/>
      <c r="W139" s="145"/>
      <c r="X139" s="146"/>
      <c r="Y139" s="161"/>
      <c r="Z139" s="143"/>
      <c r="AA139" s="143"/>
      <c r="AB139" s="143"/>
      <c r="AC139" s="143"/>
      <c r="AD139" s="143"/>
      <c r="AE139" s="143"/>
      <c r="AF139" s="143"/>
      <c r="AG139" s="143"/>
      <c r="AH139" s="14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54" s="64" customFormat="1" ht="15" customHeight="1">
      <c r="A140" s="163"/>
      <c r="B140" s="145"/>
      <c r="C140" s="145"/>
      <c r="D140" s="145"/>
      <c r="E140" s="145"/>
      <c r="F140" s="145"/>
      <c r="G140" s="145"/>
      <c r="H140" s="145"/>
      <c r="I140" s="145"/>
      <c r="J140" s="145"/>
      <c r="K140" s="145"/>
      <c r="L140" s="145"/>
      <c r="M140" s="145"/>
      <c r="N140" s="145"/>
      <c r="O140" s="145"/>
      <c r="P140" s="145"/>
      <c r="Q140" s="145"/>
      <c r="R140" s="145"/>
      <c r="S140" s="145"/>
      <c r="T140" s="145"/>
      <c r="U140" s="145"/>
      <c r="V140" s="145"/>
      <c r="W140" s="145"/>
      <c r="X140" s="146"/>
      <c r="Y140" s="161"/>
      <c r="Z140" s="143"/>
      <c r="AA140" s="143"/>
      <c r="AB140" s="143"/>
      <c r="AC140" s="143"/>
      <c r="AD140" s="143"/>
      <c r="AE140" s="143"/>
      <c r="AF140" s="143"/>
      <c r="AG140" s="143"/>
      <c r="AH140" s="14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54" s="64" customFormat="1" ht="15" customHeight="1">
      <c r="A141" s="163"/>
      <c r="B141" s="145"/>
      <c r="C141" s="145"/>
      <c r="D141" s="145"/>
      <c r="E141" s="145"/>
      <c r="F141" s="145"/>
      <c r="G141" s="145"/>
      <c r="H141" s="145"/>
      <c r="I141" s="145"/>
      <c r="J141" s="145"/>
      <c r="K141" s="145"/>
      <c r="L141" s="145"/>
      <c r="M141" s="145"/>
      <c r="N141" s="145"/>
      <c r="O141" s="145"/>
      <c r="P141" s="145"/>
      <c r="Q141" s="145"/>
      <c r="R141" s="145"/>
      <c r="S141" s="145"/>
      <c r="T141" s="145"/>
      <c r="U141" s="145"/>
      <c r="V141" s="145"/>
      <c r="W141" s="145"/>
      <c r="X141" s="146"/>
      <c r="Y141" s="161"/>
      <c r="Z141" s="143"/>
      <c r="AA141" s="143"/>
      <c r="AB141" s="143"/>
      <c r="AC141" s="143"/>
      <c r="AD141" s="143"/>
      <c r="AE141" s="143"/>
      <c r="AF141" s="143"/>
      <c r="AG141" s="143"/>
      <c r="AH141" s="14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1:54" s="64" customFormat="1" ht="15" customHeight="1">
      <c r="A142" s="163"/>
      <c r="B142" s="145"/>
      <c r="C142" s="145"/>
      <c r="D142" s="145"/>
      <c r="E142" s="145"/>
      <c r="F142" s="145"/>
      <c r="G142" s="145"/>
      <c r="H142" s="145"/>
      <c r="I142" s="145"/>
      <c r="J142" s="145"/>
      <c r="K142" s="145"/>
      <c r="L142" s="145"/>
      <c r="M142" s="145"/>
      <c r="N142" s="145"/>
      <c r="O142" s="145"/>
      <c r="P142" s="145"/>
      <c r="Q142" s="145"/>
      <c r="R142" s="145"/>
      <c r="S142" s="145"/>
      <c r="T142" s="145"/>
      <c r="U142" s="145"/>
      <c r="V142" s="145"/>
      <c r="W142" s="145"/>
      <c r="X142" s="146"/>
      <c r="Y142" s="161"/>
      <c r="Z142" s="143"/>
      <c r="AA142" s="143"/>
      <c r="AB142" s="143"/>
      <c r="AC142" s="143"/>
      <c r="AD142" s="143"/>
      <c r="AE142" s="143"/>
      <c r="AF142" s="143"/>
      <c r="AG142" s="143"/>
      <c r="AH142" s="14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1:54" s="64" customFormat="1" ht="15" customHeight="1">
      <c r="A143" s="163"/>
      <c r="B143" s="145"/>
      <c r="C143" s="145"/>
      <c r="D143" s="145"/>
      <c r="E143" s="145"/>
      <c r="F143" s="145"/>
      <c r="G143" s="145"/>
      <c r="H143" s="145"/>
      <c r="I143" s="145"/>
      <c r="J143" s="145"/>
      <c r="K143" s="145"/>
      <c r="L143" s="145"/>
      <c r="M143" s="145"/>
      <c r="N143" s="145"/>
      <c r="O143" s="145"/>
      <c r="P143" s="145"/>
      <c r="Q143" s="145"/>
      <c r="R143" s="145"/>
      <c r="S143" s="145"/>
      <c r="T143" s="145"/>
      <c r="U143" s="145"/>
      <c r="V143" s="145"/>
      <c r="W143" s="145"/>
      <c r="X143" s="146"/>
      <c r="Y143" s="161"/>
      <c r="Z143" s="143"/>
      <c r="AA143" s="143"/>
      <c r="AB143" s="143"/>
      <c r="AC143" s="143"/>
      <c r="AD143" s="143"/>
      <c r="AE143" s="143"/>
      <c r="AF143" s="143"/>
      <c r="AG143" s="143"/>
      <c r="AH143" s="14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1:54" s="64" customFormat="1" ht="15" customHeight="1">
      <c r="A144" s="163"/>
      <c r="B144" s="145"/>
      <c r="C144" s="145"/>
      <c r="D144" s="145"/>
      <c r="E144" s="145"/>
      <c r="F144" s="145"/>
      <c r="G144" s="145"/>
      <c r="H144" s="145"/>
      <c r="I144" s="145"/>
      <c r="J144" s="145"/>
      <c r="K144" s="145"/>
      <c r="L144" s="145"/>
      <c r="M144" s="145"/>
      <c r="N144" s="145"/>
      <c r="O144" s="145"/>
      <c r="P144" s="145"/>
      <c r="Q144" s="145"/>
      <c r="R144" s="145"/>
      <c r="S144" s="145"/>
      <c r="T144" s="145"/>
      <c r="U144" s="145"/>
      <c r="V144" s="145"/>
      <c r="W144" s="145"/>
      <c r="X144" s="146"/>
      <c r="Y144" s="161"/>
      <c r="Z144" s="143"/>
      <c r="AA144" s="143"/>
      <c r="AB144" s="143"/>
      <c r="AC144" s="143"/>
      <c r="AD144" s="143"/>
      <c r="AE144" s="143"/>
      <c r="AF144" s="143"/>
      <c r="AG144" s="143"/>
      <c r="AH144" s="14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1:54" s="64" customFormat="1" ht="15" customHeight="1">
      <c r="A145" s="142"/>
      <c r="B145" s="164"/>
      <c r="C145" s="164"/>
      <c r="D145" s="164"/>
      <c r="E145" s="164"/>
      <c r="F145" s="164"/>
      <c r="G145" s="164"/>
      <c r="H145" s="164"/>
      <c r="I145" s="164"/>
      <c r="J145" s="164"/>
      <c r="K145" s="164"/>
      <c r="L145" s="164"/>
      <c r="M145" s="164"/>
      <c r="N145" s="164"/>
      <c r="O145" s="164"/>
      <c r="P145" s="164"/>
      <c r="Q145" s="164"/>
      <c r="R145" s="164"/>
      <c r="S145" s="164"/>
      <c r="T145" s="164"/>
      <c r="U145" s="164"/>
      <c r="V145" s="164"/>
      <c r="W145" s="164"/>
      <c r="X145" s="165"/>
      <c r="Y145" s="143"/>
      <c r="Z145" s="143"/>
      <c r="AA145" s="143"/>
      <c r="AB145" s="143"/>
      <c r="AC145" s="143"/>
      <c r="AD145" s="143"/>
      <c r="AE145" s="143"/>
      <c r="AF145" s="143"/>
      <c r="AG145" s="143"/>
      <c r="AH145" s="14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1:54" s="64" customFormat="1" ht="15" customHeight="1">
      <c r="X146" s="67"/>
      <c r="Y146" s="63"/>
      <c r="Z146" s="63"/>
      <c r="AA146" s="63"/>
      <c r="AB146" s="6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1:54" s="64" customFormat="1" ht="15" customHeight="1">
      <c r="X147" s="67"/>
      <c r="Y147" s="63"/>
      <c r="Z147" s="63"/>
      <c r="AA147" s="63"/>
      <c r="AB147" s="63"/>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1:54" s="64" customFormat="1" ht="15" customHeight="1">
      <c r="X148" s="68"/>
      <c r="Y148" s="69"/>
      <c r="Z148" s="69"/>
      <c r="AA148" s="69"/>
      <c r="AB148" s="63"/>
      <c r="AC148" s="63"/>
      <c r="AD148" s="63"/>
      <c r="AE148" s="63"/>
      <c r="AF148" s="63"/>
      <c r="AG148" s="63"/>
      <c r="AH148" s="63"/>
      <c r="AI148" s="63"/>
      <c r="AJ148" s="63"/>
      <c r="AK148" s="63"/>
      <c r="AL148" s="63"/>
      <c r="AM148" s="63"/>
      <c r="AN148" s="63"/>
      <c r="AO148" s="63"/>
      <c r="AP148" s="63"/>
      <c r="AQ148" s="63"/>
      <c r="AR148" s="63"/>
      <c r="AS148" s="63"/>
      <c r="AT148" s="63"/>
      <c r="AU148" s="63"/>
      <c r="AV148" s="63"/>
      <c r="AW148" s="63"/>
      <c r="AX148" s="63"/>
      <c r="AY148" s="63"/>
      <c r="AZ148" s="63"/>
      <c r="BA148" s="63"/>
      <c r="BB148" s="63"/>
    </row>
    <row r="149" spans="1:54" s="64" customFormat="1" ht="15" customHeight="1">
      <c r="X149" s="70"/>
      <c r="Y149" s="69"/>
      <c r="Z149" s="69"/>
      <c r="AA149" s="69"/>
      <c r="AB149" s="63"/>
      <c r="AC149" s="63"/>
      <c r="AD149" s="63"/>
      <c r="AE149" s="63"/>
      <c r="AF149" s="63"/>
      <c r="AG149" s="63"/>
      <c r="AH149" s="63"/>
      <c r="AI149" s="63"/>
      <c r="AJ149" s="63"/>
      <c r="AK149" s="63"/>
      <c r="AL149" s="63"/>
      <c r="AM149" s="63"/>
      <c r="AN149" s="63"/>
      <c r="AO149" s="63"/>
      <c r="AP149" s="63"/>
      <c r="AQ149" s="63"/>
      <c r="AR149" s="63"/>
      <c r="AS149" s="63"/>
      <c r="AT149" s="63"/>
      <c r="AU149" s="63"/>
      <c r="AV149" s="63"/>
      <c r="AW149" s="63"/>
      <c r="AX149" s="63"/>
      <c r="AY149" s="63"/>
      <c r="AZ149" s="63"/>
      <c r="BA149" s="63"/>
      <c r="BB149" s="63"/>
    </row>
    <row r="150" spans="1:54" s="64" customFormat="1" ht="15" customHeight="1">
      <c r="C150" s="151"/>
      <c r="D150" s="152"/>
      <c r="E150" s="152"/>
      <c r="F150" s="152"/>
      <c r="G150" s="152"/>
      <c r="H150" s="152"/>
      <c r="I150" s="152"/>
      <c r="J150" s="152"/>
      <c r="K150" s="152"/>
      <c r="L150" s="152"/>
      <c r="M150" s="152"/>
      <c r="N150" s="152"/>
      <c r="O150" s="152"/>
      <c r="P150" s="152"/>
      <c r="Q150" s="152"/>
      <c r="R150" s="152"/>
      <c r="S150" s="152"/>
      <c r="T150" s="152"/>
      <c r="U150" s="152"/>
      <c r="V150" s="152"/>
      <c r="W150" s="152"/>
      <c r="X150" s="70"/>
      <c r="Y150" s="69"/>
      <c r="Z150" s="69"/>
      <c r="AA150" s="69"/>
      <c r="AB150" s="63"/>
      <c r="AC150" s="63"/>
      <c r="AD150" s="63"/>
      <c r="AE150" s="63"/>
      <c r="AF150" s="63"/>
      <c r="AG150" s="63"/>
      <c r="AH150" s="63"/>
      <c r="AI150" s="63"/>
      <c r="AJ150" s="63"/>
      <c r="AK150" s="63"/>
      <c r="AL150" s="63"/>
      <c r="AM150" s="63"/>
      <c r="AN150" s="63"/>
      <c r="AO150" s="63"/>
      <c r="AP150" s="63"/>
      <c r="AQ150" s="63"/>
      <c r="AR150" s="63"/>
      <c r="AS150" s="63"/>
      <c r="AT150" s="63"/>
      <c r="AU150" s="63"/>
      <c r="AV150" s="63"/>
      <c r="AW150" s="63"/>
      <c r="AX150" s="63"/>
      <c r="AY150" s="63"/>
      <c r="AZ150" s="63"/>
      <c r="BA150" s="63"/>
      <c r="BB150" s="63"/>
    </row>
    <row r="151" spans="1:54" s="64" customFormat="1" ht="15" customHeight="1">
      <c r="C151" s="152" t="str">
        <f>'IB - E&amp;PH'!B25</f>
        <v>Samlede akkumulerede omkostninger</v>
      </c>
      <c r="D151" s="152"/>
      <c r="E151" s="151" t="str">
        <f>'IB - E&amp;PH'!E25</f>
        <v>PRODUKT 1 EL</v>
      </c>
      <c r="F151" s="151"/>
      <c r="G151" s="151" t="str">
        <f>'IB - E&amp;PH'!G25</f>
        <v>PRODUKT 2 EL</v>
      </c>
      <c r="H151" s="151"/>
      <c r="I151" s="151" t="str">
        <f>'IB - E&amp;PH'!I25</f>
        <v>PRODUKT 3 EL</v>
      </c>
      <c r="J151" s="151"/>
      <c r="K151" s="151" t="str">
        <f>'IB - E&amp;PH'!K25</f>
        <v>PRODUKT 4 EL</v>
      </c>
      <c r="L151" s="151"/>
      <c r="M151" s="151" t="str">
        <f>'IB - E&amp;PH'!M25</f>
        <v>PRODUKT 5 EL</v>
      </c>
      <c r="N151" s="151"/>
      <c r="O151" s="151" t="str">
        <f>'IB - E&amp;PH'!O25</f>
        <v>PRODUKT 6 EL</v>
      </c>
      <c r="P151" s="151"/>
      <c r="Q151" s="151" t="str">
        <f>'IB - E&amp;PH'!Q25</f>
        <v>PRODUKT 7 EL</v>
      </c>
      <c r="R151" s="151"/>
      <c r="S151" s="151" t="str">
        <f>'IB - E&amp;PH'!S25</f>
        <v>PRODUKT 8 EL</v>
      </c>
      <c r="T151" s="151"/>
      <c r="U151" s="151"/>
      <c r="V151" s="151"/>
      <c r="W151" s="495"/>
      <c r="X151" s="496"/>
      <c r="Y151" s="497"/>
      <c r="Z151" s="497"/>
      <c r="AA151" s="498"/>
      <c r="AB151" s="498"/>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row>
    <row r="152" spans="1:54" s="64" customFormat="1" ht="15" customHeight="1">
      <c r="C152" s="152"/>
      <c r="D152" s="152"/>
      <c r="E152" s="151">
        <f>'IB - E&amp;PH'!E26</f>
        <v>0</v>
      </c>
      <c r="F152" s="151"/>
      <c r="G152" s="151">
        <f>'IB - E&amp;PH'!G26</f>
        <v>0</v>
      </c>
      <c r="H152" s="151"/>
      <c r="I152" s="151">
        <f>'IB - E&amp;PH'!I26</f>
        <v>0</v>
      </c>
      <c r="J152" s="151"/>
      <c r="K152" s="151">
        <f>'IB - E&amp;PH'!K26</f>
        <v>0</v>
      </c>
      <c r="L152" s="151"/>
      <c r="M152" s="151">
        <f>'IB - E&amp;PH'!M26</f>
        <v>0</v>
      </c>
      <c r="N152" s="151"/>
      <c r="O152" s="151">
        <f>'IB - E&amp;PH'!O26</f>
        <v>0</v>
      </c>
      <c r="P152" s="151"/>
      <c r="Q152" s="151">
        <f>'IB - E&amp;PH'!Q26</f>
        <v>0</v>
      </c>
      <c r="R152" s="151"/>
      <c r="S152" s="151">
        <f>'IB - E&amp;PH'!S26</f>
        <v>0</v>
      </c>
      <c r="T152" s="151"/>
      <c r="U152" s="151"/>
      <c r="V152" s="151"/>
      <c r="W152" s="495"/>
      <c r="X152" s="496"/>
      <c r="Y152" s="497"/>
      <c r="Z152" s="497"/>
      <c r="AA152" s="497"/>
      <c r="AB152" s="498"/>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row>
    <row r="153" spans="1:54" s="64" customFormat="1" ht="15" customHeight="1">
      <c r="C153" s="152"/>
      <c r="D153" s="152"/>
      <c r="E153" s="151">
        <f>'IB - E&amp;PH'!E27</f>
        <v>0</v>
      </c>
      <c r="F153" s="151"/>
      <c r="G153" s="151">
        <f>'IB - E&amp;PH'!G27</f>
        <v>0</v>
      </c>
      <c r="H153" s="151"/>
      <c r="I153" s="151">
        <f>'IB - E&amp;PH'!I27</f>
        <v>0</v>
      </c>
      <c r="J153" s="151"/>
      <c r="K153" s="151">
        <f>'IB - E&amp;PH'!K27</f>
        <v>0</v>
      </c>
      <c r="L153" s="151"/>
      <c r="M153" s="151">
        <f>'IB - E&amp;PH'!M27</f>
        <v>0</v>
      </c>
      <c r="N153" s="151"/>
      <c r="O153" s="151">
        <f>'IB - E&amp;PH'!O27</f>
        <v>0</v>
      </c>
      <c r="P153" s="151"/>
      <c r="Q153" s="151">
        <f>'IB - E&amp;PH'!Q27</f>
        <v>0</v>
      </c>
      <c r="R153" s="151"/>
      <c r="S153" s="151">
        <f>'IB - E&amp;PH'!S27</f>
        <v>0</v>
      </c>
      <c r="T153" s="151"/>
      <c r="U153" s="151"/>
      <c r="V153" s="151"/>
      <c r="W153" s="495"/>
      <c r="X153" s="496"/>
      <c r="Y153" s="497"/>
      <c r="Z153" s="497"/>
      <c r="AA153" s="499"/>
      <c r="AB153" s="501"/>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row>
    <row r="154" spans="1:54" s="64" customFormat="1" ht="15" customHeight="1">
      <c r="C154" s="152"/>
      <c r="D154" s="152"/>
      <c r="E154" s="151">
        <f>'IB - E&amp;PH'!E28</f>
        <v>0</v>
      </c>
      <c r="F154" s="151"/>
      <c r="G154" s="151">
        <f>'IB - E&amp;PH'!G28</f>
        <v>0</v>
      </c>
      <c r="H154" s="151"/>
      <c r="I154" s="151">
        <f>'IB - E&amp;PH'!I28</f>
        <v>0</v>
      </c>
      <c r="J154" s="151"/>
      <c r="K154" s="151">
        <f>'IB - E&amp;PH'!K28</f>
        <v>0</v>
      </c>
      <c r="L154" s="151"/>
      <c r="M154" s="151">
        <f>'IB - E&amp;PH'!M28</f>
        <v>0</v>
      </c>
      <c r="N154" s="151"/>
      <c r="O154" s="151">
        <f>'IB - E&amp;PH'!O28</f>
        <v>0</v>
      </c>
      <c r="P154" s="151"/>
      <c r="Q154" s="151">
        <f>'IB - E&amp;PH'!Q28</f>
        <v>0</v>
      </c>
      <c r="R154" s="151"/>
      <c r="S154" s="151">
        <f>'IB - E&amp;PH'!S28</f>
        <v>0</v>
      </c>
      <c r="T154" s="151"/>
      <c r="U154" s="151"/>
      <c r="V154" s="151"/>
      <c r="W154" s="495"/>
      <c r="X154" s="496"/>
      <c r="Y154" s="497"/>
      <c r="Z154" s="497"/>
      <c r="AA154" s="499"/>
      <c r="AB154" s="501"/>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row>
    <row r="155" spans="1:54" s="64" customFormat="1" ht="15" customHeight="1">
      <c r="C155" s="152"/>
      <c r="D155" s="152"/>
      <c r="E155" s="151">
        <f>'IB - E&amp;PH'!E29</f>
        <v>0</v>
      </c>
      <c r="F155" s="151"/>
      <c r="G155" s="151">
        <f>'IB - E&amp;PH'!G29</f>
        <v>0</v>
      </c>
      <c r="H155" s="151"/>
      <c r="I155" s="151">
        <f>'IB - E&amp;PH'!I29</f>
        <v>0</v>
      </c>
      <c r="J155" s="151"/>
      <c r="K155" s="151">
        <f>'IB - E&amp;PH'!K29</f>
        <v>0</v>
      </c>
      <c r="L155" s="151"/>
      <c r="M155" s="151">
        <f>'IB - E&amp;PH'!M29</f>
        <v>0</v>
      </c>
      <c r="N155" s="151"/>
      <c r="O155" s="151">
        <f>'IB - E&amp;PH'!O29</f>
        <v>0</v>
      </c>
      <c r="P155" s="151"/>
      <c r="Q155" s="151">
        <f>'IB - E&amp;PH'!Q29</f>
        <v>0</v>
      </c>
      <c r="R155" s="151"/>
      <c r="S155" s="151">
        <f>'IB - E&amp;PH'!S29</f>
        <v>0</v>
      </c>
      <c r="T155" s="151"/>
      <c r="U155" s="151"/>
      <c r="V155" s="151"/>
      <c r="W155" s="495"/>
      <c r="X155" s="496"/>
      <c r="Y155" s="497"/>
      <c r="Z155" s="497"/>
      <c r="AA155" s="499"/>
      <c r="AB155" s="501"/>
      <c r="AC155" s="63"/>
      <c r="AD155" s="63"/>
      <c r="AE155" s="63"/>
      <c r="AF155" s="63"/>
      <c r="AG155" s="63"/>
      <c r="AH155" s="63"/>
      <c r="AI155" s="63"/>
      <c r="AJ155" s="63"/>
      <c r="AK155" s="63"/>
      <c r="AL155" s="63"/>
      <c r="AM155" s="63"/>
      <c r="AN155" s="63"/>
      <c r="AO155" s="63"/>
      <c r="AP155" s="63"/>
      <c r="AQ155" s="63"/>
      <c r="AR155" s="63"/>
      <c r="AS155" s="63"/>
      <c r="AT155" s="63"/>
      <c r="AU155" s="63"/>
      <c r="AV155" s="63"/>
      <c r="AW155" s="63"/>
      <c r="AX155" s="63"/>
      <c r="AY155" s="63"/>
      <c r="AZ155" s="63"/>
      <c r="BA155" s="63"/>
      <c r="BB155" s="63"/>
    </row>
    <row r="156" spans="1:54" s="64" customFormat="1" ht="15" customHeight="1">
      <c r="C156" s="152"/>
      <c r="D156" s="152"/>
      <c r="E156" s="151">
        <f>'IB - E&amp;PH'!E30</f>
        <v>0</v>
      </c>
      <c r="F156" s="151"/>
      <c r="G156" s="151">
        <f>'IB - E&amp;PH'!G30</f>
        <v>0</v>
      </c>
      <c r="H156" s="151"/>
      <c r="I156" s="151">
        <f>'IB - E&amp;PH'!I30</f>
        <v>0</v>
      </c>
      <c r="J156" s="151"/>
      <c r="K156" s="151">
        <f>'IB - E&amp;PH'!K30</f>
        <v>0</v>
      </c>
      <c r="L156" s="151"/>
      <c r="M156" s="151">
        <f>'IB - E&amp;PH'!M30</f>
        <v>0</v>
      </c>
      <c r="N156" s="151"/>
      <c r="O156" s="151">
        <f>'IB - E&amp;PH'!O30</f>
        <v>0</v>
      </c>
      <c r="P156" s="151"/>
      <c r="Q156" s="151">
        <f>'IB - E&amp;PH'!Q30</f>
        <v>0</v>
      </c>
      <c r="R156" s="151"/>
      <c r="S156" s="151">
        <f>'IB - E&amp;PH'!S30</f>
        <v>0</v>
      </c>
      <c r="T156" s="151"/>
      <c r="U156" s="151"/>
      <c r="V156" s="151"/>
      <c r="W156" s="495"/>
      <c r="X156" s="496"/>
      <c r="Y156" s="497"/>
      <c r="Z156" s="497"/>
      <c r="AA156" s="499"/>
      <c r="AB156" s="501"/>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A156" s="63"/>
      <c r="BB156" s="63"/>
    </row>
    <row r="157" spans="1:54" s="64" customFormat="1" ht="15" customHeight="1">
      <c r="C157" s="152"/>
      <c r="D157" s="152"/>
      <c r="E157" s="151">
        <f>'IB - E&amp;PH'!E31</f>
        <v>0</v>
      </c>
      <c r="F157" s="151"/>
      <c r="G157" s="151">
        <f>'IB - E&amp;PH'!G31</f>
        <v>0</v>
      </c>
      <c r="H157" s="151"/>
      <c r="I157" s="151">
        <f>'IB - E&amp;PH'!I31</f>
        <v>0</v>
      </c>
      <c r="J157" s="151"/>
      <c r="K157" s="151">
        <f>'IB - E&amp;PH'!K31</f>
        <v>0</v>
      </c>
      <c r="L157" s="151"/>
      <c r="M157" s="151">
        <f>'IB - E&amp;PH'!M31</f>
        <v>0</v>
      </c>
      <c r="N157" s="151"/>
      <c r="O157" s="151">
        <f>'IB - E&amp;PH'!O31</f>
        <v>0</v>
      </c>
      <c r="P157" s="151"/>
      <c r="Q157" s="151">
        <f>'IB - E&amp;PH'!Q31</f>
        <v>0</v>
      </c>
      <c r="R157" s="151"/>
      <c r="S157" s="151">
        <f>'IB - E&amp;PH'!S31</f>
        <v>0</v>
      </c>
      <c r="T157" s="151"/>
      <c r="U157" s="151"/>
      <c r="V157" s="151"/>
      <c r="W157" s="495"/>
      <c r="X157" s="496"/>
      <c r="Y157" s="497"/>
      <c r="Z157" s="497"/>
      <c r="AA157" s="499"/>
      <c r="AB157" s="501"/>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row>
    <row r="158" spans="1:54" s="64" customFormat="1" ht="15" customHeight="1">
      <c r="C158" s="152"/>
      <c r="D158" s="152"/>
      <c r="E158" s="151">
        <f>'IB - E&amp;PH'!E32</f>
        <v>0</v>
      </c>
      <c r="F158" s="151"/>
      <c r="G158" s="151">
        <f>'IB - E&amp;PH'!G32</f>
        <v>0</v>
      </c>
      <c r="H158" s="151"/>
      <c r="I158" s="151">
        <f>'IB - E&amp;PH'!I32</f>
        <v>0</v>
      </c>
      <c r="J158" s="151"/>
      <c r="K158" s="151">
        <f>'IB - E&amp;PH'!K32</f>
        <v>0</v>
      </c>
      <c r="L158" s="151"/>
      <c r="M158" s="151">
        <f>'IB - E&amp;PH'!M32</f>
        <v>0</v>
      </c>
      <c r="N158" s="151"/>
      <c r="O158" s="151">
        <f>'IB - E&amp;PH'!O32</f>
        <v>0</v>
      </c>
      <c r="P158" s="151"/>
      <c r="Q158" s="151">
        <f>'IB - E&amp;PH'!Q32</f>
        <v>0</v>
      </c>
      <c r="R158" s="151"/>
      <c r="S158" s="151">
        <f>'IB - E&amp;PH'!S32</f>
        <v>0</v>
      </c>
      <c r="T158" s="151"/>
      <c r="U158" s="151"/>
      <c r="V158" s="151"/>
      <c r="W158" s="495"/>
      <c r="X158" s="496"/>
      <c r="Y158" s="497"/>
      <c r="Z158" s="497"/>
      <c r="AA158" s="499"/>
      <c r="AB158" s="501"/>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row>
    <row r="159" spans="1:54" s="64" customFormat="1" ht="15" customHeight="1">
      <c r="C159" s="152"/>
      <c r="D159" s="152"/>
      <c r="E159" s="151">
        <f>'IB - E&amp;PH'!E33</f>
        <v>0</v>
      </c>
      <c r="F159" s="151"/>
      <c r="G159" s="151">
        <f>'IB - E&amp;PH'!G33</f>
        <v>0</v>
      </c>
      <c r="H159" s="151"/>
      <c r="I159" s="151">
        <f>'IB - E&amp;PH'!I33</f>
        <v>0</v>
      </c>
      <c r="J159" s="151"/>
      <c r="K159" s="151">
        <f>'IB - E&amp;PH'!K33</f>
        <v>0</v>
      </c>
      <c r="L159" s="151"/>
      <c r="M159" s="151">
        <f>'IB - E&amp;PH'!M33</f>
        <v>0</v>
      </c>
      <c r="N159" s="151"/>
      <c r="O159" s="151">
        <f>'IB - E&amp;PH'!O33</f>
        <v>0</v>
      </c>
      <c r="P159" s="151"/>
      <c r="Q159" s="151">
        <f>'IB - E&amp;PH'!Q33</f>
        <v>0</v>
      </c>
      <c r="R159" s="151"/>
      <c r="S159" s="151">
        <f>'IB - E&amp;PH'!S33</f>
        <v>0</v>
      </c>
      <c r="T159" s="151"/>
      <c r="U159" s="151"/>
      <c r="V159" s="151"/>
      <c r="W159" s="495"/>
      <c r="X159" s="496"/>
      <c r="Y159" s="497"/>
      <c r="Z159" s="497"/>
      <c r="AA159" s="499"/>
      <c r="AB159" s="501"/>
      <c r="AC159" s="63"/>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row>
    <row r="160" spans="1:54" s="64" customFormat="1" ht="15" customHeight="1">
      <c r="C160" s="152"/>
      <c r="D160" s="152"/>
      <c r="E160" s="151">
        <f>'IB - E&amp;PH'!E34</f>
        <v>0</v>
      </c>
      <c r="F160" s="151"/>
      <c r="G160" s="151">
        <f>'IB - E&amp;PH'!G34</f>
        <v>0</v>
      </c>
      <c r="H160" s="151"/>
      <c r="I160" s="151">
        <f>'IB - E&amp;PH'!I34</f>
        <v>0</v>
      </c>
      <c r="J160" s="151"/>
      <c r="K160" s="151">
        <f>'IB - E&amp;PH'!K34</f>
        <v>0</v>
      </c>
      <c r="L160" s="151"/>
      <c r="M160" s="151">
        <f>'IB - E&amp;PH'!M34</f>
        <v>0</v>
      </c>
      <c r="N160" s="151"/>
      <c r="O160" s="151">
        <f>'IB - E&amp;PH'!O34</f>
        <v>0</v>
      </c>
      <c r="P160" s="151"/>
      <c r="Q160" s="151">
        <f>'IB - E&amp;PH'!Q34</f>
        <v>0</v>
      </c>
      <c r="R160" s="151"/>
      <c r="S160" s="151">
        <f>'IB - E&amp;PH'!S34</f>
        <v>0</v>
      </c>
      <c r="T160" s="151"/>
      <c r="U160" s="151"/>
      <c r="V160" s="151"/>
      <c r="W160" s="151"/>
      <c r="X160" s="70"/>
      <c r="Y160" s="69"/>
      <c r="Z160" s="69"/>
      <c r="AA160" s="500"/>
      <c r="AB160" s="502"/>
      <c r="AC160" s="63"/>
      <c r="AD160" s="63"/>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row>
    <row r="161" spans="1:76" s="64" customFormat="1" ht="15" customHeight="1">
      <c r="C161" s="152"/>
      <c r="D161" s="152"/>
      <c r="E161" s="151">
        <f>'IB - E&amp;PH'!E35</f>
        <v>0</v>
      </c>
      <c r="F161" s="151"/>
      <c r="G161" s="151">
        <f>'IB - E&amp;PH'!G35</f>
        <v>0</v>
      </c>
      <c r="H161" s="151"/>
      <c r="I161" s="151">
        <f>'IB - E&amp;PH'!I35</f>
        <v>0</v>
      </c>
      <c r="J161" s="151"/>
      <c r="K161" s="151">
        <f>'IB - E&amp;PH'!K35</f>
        <v>0</v>
      </c>
      <c r="L161" s="151"/>
      <c r="M161" s="151">
        <f>'IB - E&amp;PH'!M35</f>
        <v>0</v>
      </c>
      <c r="N161" s="151"/>
      <c r="O161" s="151">
        <f>'IB - E&amp;PH'!O35</f>
        <v>0</v>
      </c>
      <c r="P161" s="151"/>
      <c r="Q161" s="151">
        <f>'IB - E&amp;PH'!Q35</f>
        <v>0</v>
      </c>
      <c r="R161" s="151"/>
      <c r="S161" s="151">
        <f>'IB - E&amp;PH'!S35</f>
        <v>0</v>
      </c>
      <c r="T161" s="151"/>
      <c r="U161" s="151"/>
      <c r="V161" s="151"/>
      <c r="W161" s="151"/>
      <c r="X161" s="70"/>
      <c r="Y161" s="69"/>
      <c r="Z161" s="69"/>
      <c r="AA161" s="500"/>
      <c r="AB161" s="502"/>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row>
    <row r="162" spans="1:76" s="64" customFormat="1" ht="15" customHeight="1">
      <c r="C162" s="152"/>
      <c r="D162" s="152"/>
      <c r="E162" s="151">
        <f>'IB - E&amp;PH'!E36</f>
        <v>0</v>
      </c>
      <c r="F162" s="151"/>
      <c r="G162" s="151">
        <f>'IB - E&amp;PH'!G36</f>
        <v>0</v>
      </c>
      <c r="H162" s="151"/>
      <c r="I162" s="151">
        <f>'IB - E&amp;PH'!I36</f>
        <v>0</v>
      </c>
      <c r="J162" s="151"/>
      <c r="K162" s="151">
        <f>'IB - E&amp;PH'!K36</f>
        <v>0</v>
      </c>
      <c r="L162" s="151"/>
      <c r="M162" s="151">
        <f>'IB - E&amp;PH'!M36</f>
        <v>0</v>
      </c>
      <c r="N162" s="151"/>
      <c r="O162" s="151">
        <f>'IB - E&amp;PH'!O36</f>
        <v>0</v>
      </c>
      <c r="P162" s="151"/>
      <c r="Q162" s="151">
        <f>'IB - E&amp;PH'!Q36</f>
        <v>0</v>
      </c>
      <c r="R162" s="151"/>
      <c r="S162" s="151">
        <f>'IB - E&amp;PH'!S36</f>
        <v>0</v>
      </c>
      <c r="T162" s="151"/>
      <c r="U162" s="151"/>
      <c r="V162" s="151"/>
      <c r="W162" s="151"/>
      <c r="X162" s="70"/>
      <c r="Y162" s="69"/>
      <c r="Z162" s="69"/>
      <c r="AA162" s="500"/>
      <c r="AB162" s="502"/>
      <c r="AC162" s="63"/>
      <c r="AD162" s="63"/>
      <c r="AE162" s="63"/>
      <c r="AF162" s="63"/>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row>
    <row r="163" spans="1:76" s="64" customFormat="1" ht="15" customHeight="1">
      <c r="C163" s="152"/>
      <c r="D163" s="152"/>
      <c r="E163" s="151">
        <f>'IB - E&amp;PH'!E37</f>
        <v>0</v>
      </c>
      <c r="F163" s="151"/>
      <c r="G163" s="151">
        <f>'IB - E&amp;PH'!G37</f>
        <v>0</v>
      </c>
      <c r="H163" s="151"/>
      <c r="I163" s="151">
        <f>'IB - E&amp;PH'!I37</f>
        <v>0</v>
      </c>
      <c r="J163" s="151"/>
      <c r="K163" s="151">
        <f>'IB - E&amp;PH'!K37</f>
        <v>0</v>
      </c>
      <c r="L163" s="151"/>
      <c r="M163" s="151">
        <f>'IB - E&amp;PH'!M37</f>
        <v>0</v>
      </c>
      <c r="N163" s="151"/>
      <c r="O163" s="151">
        <f>'IB - E&amp;PH'!O37</f>
        <v>0</v>
      </c>
      <c r="P163" s="151"/>
      <c r="Q163" s="151">
        <f>'IB - E&amp;PH'!Q37</f>
        <v>0</v>
      </c>
      <c r="R163" s="151"/>
      <c r="S163" s="151">
        <f>'IB - E&amp;PH'!S37</f>
        <v>0</v>
      </c>
      <c r="T163" s="151"/>
      <c r="U163" s="151"/>
      <c r="V163" s="151"/>
      <c r="W163" s="151"/>
      <c r="X163" s="70"/>
      <c r="Y163" s="69"/>
      <c r="Z163" s="69"/>
      <c r="AA163" s="69"/>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row>
    <row r="164" spans="1:76" s="64" customFormat="1" ht="15" customHeight="1">
      <c r="C164" s="152"/>
      <c r="D164" s="152"/>
      <c r="E164" s="151">
        <f>'IB - E&amp;PH'!E38</f>
        <v>0</v>
      </c>
      <c r="F164" s="151"/>
      <c r="G164" s="151">
        <f>'IB - E&amp;PH'!G38</f>
        <v>0</v>
      </c>
      <c r="H164" s="151"/>
      <c r="I164" s="151">
        <f>'IB - E&amp;PH'!I38</f>
        <v>0</v>
      </c>
      <c r="J164" s="151"/>
      <c r="K164" s="151">
        <f>'IB - E&amp;PH'!K38</f>
        <v>0</v>
      </c>
      <c r="L164" s="151"/>
      <c r="M164" s="151">
        <f>'IB - E&amp;PH'!M38</f>
        <v>0</v>
      </c>
      <c r="N164" s="151"/>
      <c r="O164" s="151">
        <f>'IB - E&amp;PH'!O38</f>
        <v>0</v>
      </c>
      <c r="P164" s="151"/>
      <c r="Q164" s="151">
        <f>'IB - E&amp;PH'!Q38</f>
        <v>0</v>
      </c>
      <c r="R164" s="151"/>
      <c r="S164" s="151">
        <f>'IB - E&amp;PH'!S38</f>
        <v>0</v>
      </c>
      <c r="T164" s="151"/>
      <c r="U164" s="151"/>
      <c r="V164" s="151"/>
      <c r="W164" s="151"/>
      <c r="X164" s="70"/>
      <c r="Y164" s="69"/>
      <c r="Z164" s="69"/>
      <c r="AA164" s="69"/>
      <c r="AB164" s="63"/>
      <c r="AC164" s="63"/>
      <c r="AD164" s="63"/>
      <c r="AE164" s="63"/>
      <c r="AF164" s="63"/>
      <c r="AG164" s="63"/>
      <c r="AH164" s="63"/>
      <c r="AI164" s="63"/>
      <c r="AJ164" s="63"/>
      <c r="AK164" s="63"/>
      <c r="AL164" s="63"/>
      <c r="AM164" s="63"/>
      <c r="AN164" s="63"/>
      <c r="AO164" s="63"/>
      <c r="AP164" s="63"/>
      <c r="AQ164" s="63"/>
      <c r="AR164" s="63"/>
      <c r="AS164" s="63"/>
      <c r="AT164" s="63"/>
      <c r="AU164" s="63"/>
      <c r="AV164" s="63"/>
      <c r="AW164" s="63"/>
      <c r="AX164" s="63"/>
      <c r="AY164" s="63"/>
      <c r="AZ164" s="63"/>
      <c r="BA164" s="63"/>
      <c r="BB164" s="63"/>
    </row>
    <row r="165" spans="1:76" s="64" customFormat="1" ht="15" customHeight="1">
      <c r="C165" s="152"/>
      <c r="D165" s="152"/>
      <c r="E165" s="151">
        <f>'IB - E&amp;PH'!E39</f>
        <v>0</v>
      </c>
      <c r="F165" s="151"/>
      <c r="G165" s="151">
        <f>'IB - E&amp;PH'!G39</f>
        <v>0</v>
      </c>
      <c r="H165" s="151"/>
      <c r="I165" s="151">
        <f>'IB - E&amp;PH'!I39</f>
        <v>0</v>
      </c>
      <c r="J165" s="151"/>
      <c r="K165" s="151">
        <f>'IB - E&amp;PH'!K39</f>
        <v>0</v>
      </c>
      <c r="L165" s="151"/>
      <c r="M165" s="151">
        <f>'IB - E&amp;PH'!M39</f>
        <v>0</v>
      </c>
      <c r="N165" s="151"/>
      <c r="O165" s="151">
        <f>'IB - E&amp;PH'!O39</f>
        <v>0</v>
      </c>
      <c r="P165" s="151"/>
      <c r="Q165" s="151">
        <f>'IB - E&amp;PH'!Q39</f>
        <v>0</v>
      </c>
      <c r="R165" s="151"/>
      <c r="S165" s="151">
        <f>'IB - E&amp;PH'!S39</f>
        <v>0</v>
      </c>
      <c r="T165" s="151"/>
      <c r="U165" s="151"/>
      <c r="V165" s="151"/>
      <c r="W165" s="151"/>
      <c r="X165" s="70"/>
      <c r="Y165" s="69"/>
      <c r="Z165" s="69"/>
      <c r="AA165" s="69"/>
      <c r="AB165" s="63"/>
      <c r="AC165" s="63"/>
      <c r="AD165" s="63"/>
      <c r="AE165" s="63"/>
      <c r="AF165" s="63"/>
      <c r="AG165" s="63"/>
      <c r="AH165" s="63"/>
      <c r="AI165" s="63"/>
      <c r="AJ165" s="63"/>
      <c r="AK165" s="63"/>
      <c r="AL165" s="63"/>
      <c r="AM165" s="63"/>
      <c r="AN165" s="63"/>
      <c r="AO165" s="63"/>
      <c r="AP165" s="63"/>
      <c r="AQ165" s="63"/>
      <c r="AR165" s="63"/>
      <c r="AS165" s="63"/>
      <c r="AT165" s="63"/>
      <c r="AU165" s="63"/>
      <c r="AV165" s="63"/>
      <c r="AW165" s="63"/>
      <c r="AX165" s="63"/>
      <c r="AY165" s="63"/>
      <c r="AZ165" s="63"/>
      <c r="BA165" s="63"/>
      <c r="BB165" s="63"/>
    </row>
    <row r="166" spans="1:76" s="64" customFormat="1" ht="15" customHeight="1">
      <c r="C166" s="152"/>
      <c r="D166" s="152"/>
      <c r="E166" s="151">
        <f>'IB - E&amp;PH'!E40</f>
        <v>0</v>
      </c>
      <c r="F166" s="151"/>
      <c r="G166" s="151">
        <f>'IB - E&amp;PH'!G40</f>
        <v>0</v>
      </c>
      <c r="H166" s="151"/>
      <c r="I166" s="151">
        <f>'IB - E&amp;PH'!I40</f>
        <v>0</v>
      </c>
      <c r="J166" s="151"/>
      <c r="K166" s="151">
        <f>'IB - E&amp;PH'!K40</f>
        <v>0</v>
      </c>
      <c r="L166" s="151"/>
      <c r="M166" s="151">
        <f>'IB - E&amp;PH'!M40</f>
        <v>0</v>
      </c>
      <c r="N166" s="151"/>
      <c r="O166" s="151">
        <f>'IB - E&amp;PH'!O40</f>
        <v>0</v>
      </c>
      <c r="P166" s="151"/>
      <c r="Q166" s="151">
        <f>'IB - E&amp;PH'!Q40</f>
        <v>0</v>
      </c>
      <c r="R166" s="151"/>
      <c r="S166" s="151">
        <f>'IB - E&amp;PH'!S40</f>
        <v>0</v>
      </c>
      <c r="T166" s="151"/>
      <c r="U166" s="151"/>
      <c r="V166" s="151"/>
      <c r="W166" s="151"/>
      <c r="X166" s="70"/>
      <c r="Y166" s="69"/>
      <c r="Z166" s="69"/>
      <c r="AA166" s="69"/>
      <c r="AB166" s="63"/>
      <c r="AC166" s="63"/>
      <c r="AD166" s="63"/>
      <c r="AE166" s="63"/>
      <c r="AF166" s="63"/>
      <c r="AG166" s="63"/>
      <c r="AH166" s="63"/>
      <c r="AI166" s="63"/>
      <c r="AJ166" s="63"/>
      <c r="AK166" s="63"/>
      <c r="AL166" s="63"/>
      <c r="AM166" s="63"/>
      <c r="AN166" s="63"/>
      <c r="AO166" s="63"/>
      <c r="AP166" s="63"/>
      <c r="AQ166" s="63"/>
      <c r="AR166" s="63"/>
      <c r="AS166" s="63"/>
      <c r="AT166" s="63"/>
      <c r="AU166" s="63"/>
      <c r="AV166" s="63"/>
      <c r="AW166" s="63"/>
      <c r="AX166" s="63"/>
      <c r="AY166" s="63"/>
      <c r="AZ166" s="63"/>
      <c r="BA166" s="63"/>
      <c r="BB166" s="63"/>
    </row>
    <row r="167" spans="1:76" s="64" customFormat="1" ht="15" customHeight="1">
      <c r="C167" s="152"/>
      <c r="D167" s="152"/>
      <c r="E167" s="151">
        <f>'IB - E&amp;PH'!E41</f>
        <v>0</v>
      </c>
      <c r="F167" s="151"/>
      <c r="G167" s="151">
        <f>'IB - E&amp;PH'!G41</f>
        <v>0</v>
      </c>
      <c r="H167" s="151"/>
      <c r="I167" s="151">
        <f>'IB - E&amp;PH'!I41</f>
        <v>0</v>
      </c>
      <c r="J167" s="151"/>
      <c r="K167" s="151">
        <f>'IB - E&amp;PH'!K41</f>
        <v>0</v>
      </c>
      <c r="L167" s="151"/>
      <c r="M167" s="151">
        <f>'IB - E&amp;PH'!M41</f>
        <v>0</v>
      </c>
      <c r="N167" s="151"/>
      <c r="O167" s="151">
        <f>'IB - E&amp;PH'!O41</f>
        <v>0</v>
      </c>
      <c r="P167" s="151"/>
      <c r="Q167" s="151">
        <f>'IB - E&amp;PH'!Q41</f>
        <v>0</v>
      </c>
      <c r="R167" s="151"/>
      <c r="S167" s="151">
        <f>'IB - E&amp;PH'!S41</f>
        <v>0</v>
      </c>
      <c r="T167" s="151"/>
      <c r="U167" s="151"/>
      <c r="V167" s="151"/>
      <c r="W167" s="151"/>
      <c r="X167" s="70"/>
      <c r="Y167" s="69"/>
      <c r="Z167" s="69"/>
      <c r="AA167" s="69"/>
      <c r="AB167" s="63"/>
      <c r="AC167" s="63"/>
      <c r="AD167" s="63"/>
      <c r="AE167" s="63"/>
      <c r="AF167" s="63"/>
      <c r="AG167" s="63"/>
      <c r="AH167" s="63"/>
      <c r="AI167" s="63"/>
      <c r="AJ167" s="63"/>
      <c r="AK167" s="63"/>
      <c r="AL167" s="63"/>
      <c r="AM167" s="63"/>
      <c r="AN167" s="63"/>
      <c r="AO167" s="63"/>
      <c r="AP167" s="63"/>
      <c r="AQ167" s="63"/>
      <c r="AR167" s="63"/>
      <c r="AS167" s="63"/>
      <c r="AT167" s="63"/>
      <c r="AU167" s="63"/>
      <c r="AV167" s="63"/>
      <c r="AW167" s="63"/>
      <c r="AX167" s="63"/>
      <c r="AY167" s="63"/>
      <c r="AZ167" s="63"/>
      <c r="BA167" s="63"/>
      <c r="BB167" s="63"/>
    </row>
    <row r="168" spans="1:76" s="64" customFormat="1" ht="15" customHeight="1">
      <c r="A168" s="62"/>
      <c r="B168" s="62"/>
      <c r="C168" s="153"/>
      <c r="D168" s="153"/>
      <c r="E168" s="151">
        <f>'IB - E&amp;PH'!E42</f>
        <v>0</v>
      </c>
      <c r="F168" s="151"/>
      <c r="G168" s="151">
        <f>'IB - E&amp;PH'!G42</f>
        <v>0</v>
      </c>
      <c r="H168" s="151"/>
      <c r="I168" s="151">
        <f>'IB - E&amp;PH'!I42</f>
        <v>0</v>
      </c>
      <c r="J168" s="151"/>
      <c r="K168" s="151">
        <f>'IB - E&amp;PH'!K42</f>
        <v>0</v>
      </c>
      <c r="L168" s="151"/>
      <c r="M168" s="151">
        <f>'IB - E&amp;PH'!M42</f>
        <v>0</v>
      </c>
      <c r="N168" s="151"/>
      <c r="O168" s="151">
        <f>'IB - E&amp;PH'!O42</f>
        <v>0</v>
      </c>
      <c r="P168" s="151"/>
      <c r="Q168" s="151">
        <f>'IB - E&amp;PH'!Q42</f>
        <v>0</v>
      </c>
      <c r="R168" s="151"/>
      <c r="S168" s="151">
        <f>'IB - E&amp;PH'!S42</f>
        <v>0</v>
      </c>
      <c r="T168" s="151"/>
      <c r="U168" s="151"/>
      <c r="V168" s="151"/>
      <c r="W168" s="151"/>
      <c r="X168" s="62"/>
      <c r="Y168" s="69"/>
      <c r="Z168" s="69"/>
      <c r="AA168" s="69"/>
      <c r="AB168" s="63"/>
      <c r="AC168" s="63"/>
      <c r="AD168" s="63"/>
      <c r="AE168" s="63"/>
      <c r="AF168" s="63"/>
      <c r="AG168" s="63"/>
      <c r="AH168" s="63"/>
      <c r="AI168" s="63"/>
      <c r="AJ168" s="63"/>
      <c r="AK168" s="63"/>
      <c r="AL168" s="63"/>
      <c r="AM168" s="63"/>
      <c r="AN168" s="63"/>
      <c r="AO168" s="63"/>
      <c r="AP168" s="63"/>
      <c r="AQ168" s="63"/>
      <c r="AR168" s="63"/>
      <c r="AS168" s="63"/>
      <c r="AT168" s="63"/>
      <c r="AU168" s="63"/>
      <c r="AV168" s="63"/>
      <c r="AW168" s="63"/>
      <c r="AX168" s="63"/>
      <c r="AY168" s="63"/>
      <c r="AZ168" s="63"/>
      <c r="BA168" s="63"/>
      <c r="BB168" s="63"/>
    </row>
    <row r="169" spans="1:76" s="64" customFormat="1" ht="15" customHeight="1">
      <c r="A169" s="62"/>
      <c r="B169" s="62"/>
      <c r="C169" s="153"/>
      <c r="D169" s="153"/>
      <c r="E169" s="151">
        <f>'IB - E&amp;PH'!E43</f>
        <v>0</v>
      </c>
      <c r="F169" s="151"/>
      <c r="G169" s="151">
        <f>'IB - E&amp;PH'!G43</f>
        <v>0</v>
      </c>
      <c r="H169" s="151"/>
      <c r="I169" s="151">
        <f>'IB - E&amp;PH'!I43</f>
        <v>0</v>
      </c>
      <c r="J169" s="151"/>
      <c r="K169" s="151">
        <f>'IB - E&amp;PH'!K43</f>
        <v>0</v>
      </c>
      <c r="L169" s="151"/>
      <c r="M169" s="151">
        <f>'IB - E&amp;PH'!M43</f>
        <v>0</v>
      </c>
      <c r="N169" s="151"/>
      <c r="O169" s="151">
        <f>'IB - E&amp;PH'!O43</f>
        <v>0</v>
      </c>
      <c r="P169" s="151"/>
      <c r="Q169" s="151">
        <f>'IB - E&amp;PH'!Q43</f>
        <v>0</v>
      </c>
      <c r="R169" s="151"/>
      <c r="S169" s="151">
        <f>'IB - E&amp;PH'!S43</f>
        <v>0</v>
      </c>
      <c r="T169" s="151"/>
      <c r="U169" s="151"/>
      <c r="V169" s="151"/>
      <c r="W169" s="151"/>
      <c r="X169" s="62"/>
      <c r="Y169" s="69"/>
      <c r="Z169" s="69"/>
      <c r="AA169" s="69"/>
      <c r="AB169" s="63"/>
      <c r="AC169" s="63"/>
      <c r="AD169" s="63"/>
      <c r="AE169" s="63"/>
      <c r="AF169" s="63"/>
      <c r="AG169" s="63"/>
      <c r="AH169" s="63"/>
      <c r="AI169" s="63"/>
      <c r="AJ169" s="63"/>
      <c r="AK169" s="63"/>
      <c r="AL169" s="63"/>
      <c r="AM169" s="63"/>
      <c r="AN169" s="63"/>
      <c r="AO169" s="63"/>
      <c r="AP169" s="63"/>
      <c r="AQ169" s="63"/>
      <c r="AR169" s="63"/>
      <c r="AS169" s="63"/>
      <c r="AT169" s="63"/>
      <c r="AU169" s="63"/>
      <c r="AV169" s="63"/>
      <c r="AW169" s="63"/>
      <c r="AX169" s="63"/>
      <c r="AY169" s="63"/>
      <c r="AZ169" s="63"/>
      <c r="BA169" s="63"/>
      <c r="BB169" s="63"/>
    </row>
    <row r="170" spans="1:76" s="75" customFormat="1" ht="15" customHeight="1">
      <c r="A170" s="71"/>
      <c r="B170" s="71"/>
      <c r="C170" s="154"/>
      <c r="D170" s="154"/>
      <c r="E170" s="151">
        <f>'IB - E&amp;PH'!E44</f>
        <v>0</v>
      </c>
      <c r="F170" s="151"/>
      <c r="G170" s="151">
        <f>'IB - E&amp;PH'!G44</f>
        <v>0</v>
      </c>
      <c r="H170" s="151"/>
      <c r="I170" s="151">
        <f>'IB - E&amp;PH'!I44</f>
        <v>0</v>
      </c>
      <c r="J170" s="151"/>
      <c r="K170" s="151">
        <f>'IB - E&amp;PH'!K44</f>
        <v>0</v>
      </c>
      <c r="L170" s="151"/>
      <c r="M170" s="151">
        <f>'IB - E&amp;PH'!M44</f>
        <v>0</v>
      </c>
      <c r="N170" s="151"/>
      <c r="O170" s="151">
        <f>'IB - E&amp;PH'!O44</f>
        <v>0</v>
      </c>
      <c r="P170" s="151"/>
      <c r="Q170" s="151">
        <f>'IB - E&amp;PH'!Q44</f>
        <v>0</v>
      </c>
      <c r="R170" s="151"/>
      <c r="S170" s="151">
        <f>'IB - E&amp;PH'!S44</f>
        <v>0</v>
      </c>
      <c r="T170" s="151"/>
      <c r="U170" s="151"/>
      <c r="V170" s="151"/>
      <c r="W170" s="151"/>
      <c r="X170" s="62"/>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1"/>
      <c r="B171" s="71"/>
      <c r="C171" s="154"/>
      <c r="D171" s="154"/>
      <c r="E171" s="151">
        <f>'IB - E&amp;PH'!E45</f>
        <v>0</v>
      </c>
      <c r="F171" s="151"/>
      <c r="G171" s="151">
        <f>'IB - E&amp;PH'!G45</f>
        <v>0</v>
      </c>
      <c r="H171" s="151"/>
      <c r="I171" s="151">
        <f>'IB - E&amp;PH'!I45</f>
        <v>0</v>
      </c>
      <c r="J171" s="151"/>
      <c r="K171" s="151">
        <f>'IB - E&amp;PH'!K45</f>
        <v>0</v>
      </c>
      <c r="L171" s="151"/>
      <c r="M171" s="151">
        <f>'IB - E&amp;PH'!M45</f>
        <v>0</v>
      </c>
      <c r="N171" s="151"/>
      <c r="O171" s="151">
        <f>'IB - E&amp;PH'!O45</f>
        <v>0</v>
      </c>
      <c r="P171" s="151"/>
      <c r="Q171" s="151">
        <f>'IB - E&amp;PH'!Q45</f>
        <v>0</v>
      </c>
      <c r="R171" s="151"/>
      <c r="S171" s="151">
        <f>'IB - E&amp;PH'!S45</f>
        <v>0</v>
      </c>
      <c r="T171" s="151"/>
      <c r="U171" s="151"/>
      <c r="V171" s="151"/>
      <c r="W171" s="151"/>
      <c r="X171" s="62"/>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1"/>
      <c r="B172" s="71"/>
      <c r="C172" s="154"/>
      <c r="D172" s="154"/>
      <c r="E172" s="151"/>
      <c r="F172" s="151"/>
      <c r="G172" s="151"/>
      <c r="H172" s="151"/>
      <c r="I172" s="151"/>
      <c r="J172" s="151"/>
      <c r="K172" s="151"/>
      <c r="L172" s="151"/>
      <c r="M172" s="151"/>
      <c r="N172" s="151"/>
      <c r="O172" s="151"/>
      <c r="P172" s="151"/>
      <c r="Q172" s="151"/>
      <c r="R172" s="151"/>
      <c r="S172" s="151"/>
      <c r="T172" s="151"/>
      <c r="U172" s="151"/>
      <c r="V172" s="151"/>
      <c r="W172" s="151"/>
      <c r="X172" s="62"/>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1"/>
      <c r="B173" s="71"/>
      <c r="C173" s="154" t="str">
        <f>'IB - E&amp;PH'!A94</f>
        <v>Gennemsnitlige årlige omkostninger</v>
      </c>
      <c r="D173" s="154"/>
      <c r="E173" s="151" t="str">
        <f>'IB - E&amp;PH'!E95</f>
        <v>PRODUKT 1 EL</v>
      </c>
      <c r="F173" s="151"/>
      <c r="G173" s="151" t="str">
        <f>'IB - E&amp;PH'!G95</f>
        <v>PRODUKT 2 EL</v>
      </c>
      <c r="H173" s="151"/>
      <c r="I173" s="151" t="str">
        <f>'IB - E&amp;PH'!I95</f>
        <v>PRODUKT 3 EL</v>
      </c>
      <c r="J173" s="151"/>
      <c r="K173" s="151" t="str">
        <f>'IB - E&amp;PH'!K95</f>
        <v>PRODUKT 4 EL</v>
      </c>
      <c r="L173" s="151"/>
      <c r="M173" s="151" t="str">
        <f>'IB - E&amp;PH'!M95</f>
        <v>PRODUKT 5 EL</v>
      </c>
      <c r="N173" s="151"/>
      <c r="O173" s="151" t="str">
        <f>'IB - E&amp;PH'!O95</f>
        <v>PRODUKT 6 EL</v>
      </c>
      <c r="P173" s="151"/>
      <c r="Q173" s="151" t="str">
        <f>'IB - E&amp;PH'!Q95</f>
        <v>PRODUKT 7 EL</v>
      </c>
      <c r="R173" s="151"/>
      <c r="S173" s="151" t="str">
        <f>'IB - E&amp;PH'!S95</f>
        <v>PRODUKT 8 EL</v>
      </c>
      <c r="T173" s="151"/>
      <c r="U173" s="151" t="str">
        <f>'IB - E&amp;PH'!U95</f>
        <v>PRODUKT 9 EL</v>
      </c>
      <c r="V173" s="151"/>
      <c r="W173" s="151" t="str">
        <f>'IB - E&amp;PH'!W95</f>
        <v>PRODUKT 10 EL</v>
      </c>
      <c r="X173" s="62"/>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5"/>
      <c r="D174" s="155"/>
      <c r="E174" s="151">
        <f>'IB - E&amp;PH'!E96</f>
        <v>0</v>
      </c>
      <c r="F174" s="151"/>
      <c r="G174" s="151">
        <f>'IB - E&amp;PH'!G96</f>
        <v>0</v>
      </c>
      <c r="H174" s="151"/>
      <c r="I174" s="151">
        <f>'IB - E&amp;PH'!I96</f>
        <v>0</v>
      </c>
      <c r="J174" s="151"/>
      <c r="K174" s="151">
        <f>'IB - E&amp;PH'!K96</f>
        <v>0</v>
      </c>
      <c r="L174" s="151"/>
      <c r="M174" s="151">
        <f>'IB - E&amp;PH'!M96</f>
        <v>0</v>
      </c>
      <c r="N174" s="151"/>
      <c r="O174" s="151">
        <f>'IB - E&amp;PH'!O96</f>
        <v>0</v>
      </c>
      <c r="P174" s="151"/>
      <c r="Q174" s="151">
        <f>'IB - E&amp;PH'!Q96</f>
        <v>0</v>
      </c>
      <c r="R174" s="151"/>
      <c r="S174" s="151">
        <f>'IB - E&amp;PH'!S96</f>
        <v>0</v>
      </c>
      <c r="T174" s="151"/>
      <c r="U174" s="151">
        <f>'IB - E&amp;PH'!U96</f>
        <v>0</v>
      </c>
      <c r="V174" s="151"/>
      <c r="W174" s="151">
        <f>'IB - E&amp;PH'!W96</f>
        <v>0</v>
      </c>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5"/>
      <c r="D175" s="155"/>
      <c r="E175" s="151">
        <f>'IB - E&amp;PH'!E97</f>
        <v>0</v>
      </c>
      <c r="F175" s="151"/>
      <c r="G175" s="151">
        <f>'IB - E&amp;PH'!G97</f>
        <v>0</v>
      </c>
      <c r="H175" s="151"/>
      <c r="I175" s="151">
        <f>'IB - E&amp;PH'!I97</f>
        <v>0</v>
      </c>
      <c r="J175" s="151"/>
      <c r="K175" s="151">
        <f>'IB - E&amp;PH'!K97</f>
        <v>0</v>
      </c>
      <c r="L175" s="151"/>
      <c r="M175" s="151">
        <f>'IB - E&amp;PH'!M97</f>
        <v>0</v>
      </c>
      <c r="N175" s="151"/>
      <c r="O175" s="151">
        <f>'IB - E&amp;PH'!O97</f>
        <v>0</v>
      </c>
      <c r="P175" s="151"/>
      <c r="Q175" s="151">
        <f>'IB - E&amp;PH'!Q97</f>
        <v>0</v>
      </c>
      <c r="R175" s="151"/>
      <c r="S175" s="151">
        <f>'IB - E&amp;PH'!S97</f>
        <v>0</v>
      </c>
      <c r="T175" s="151"/>
      <c r="U175" s="151">
        <f>'IB - E&amp;PH'!U97</f>
        <v>0</v>
      </c>
      <c r="V175" s="151"/>
      <c r="W175" s="151">
        <f>'IB - E&amp;PH'!W97</f>
        <v>0</v>
      </c>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5"/>
      <c r="D176" s="155"/>
      <c r="E176" s="151">
        <f>'IB - E&amp;PH'!E98</f>
        <v>0</v>
      </c>
      <c r="F176" s="151"/>
      <c r="G176" s="151">
        <f>'IB - E&amp;PH'!G98</f>
        <v>0</v>
      </c>
      <c r="H176" s="151"/>
      <c r="I176" s="151">
        <f>'IB - E&amp;PH'!I98</f>
        <v>0</v>
      </c>
      <c r="J176" s="151"/>
      <c r="K176" s="151">
        <f>'IB - E&amp;PH'!K98</f>
        <v>0</v>
      </c>
      <c r="L176" s="151"/>
      <c r="M176" s="151">
        <f>'IB - E&amp;PH'!M98</f>
        <v>0</v>
      </c>
      <c r="N176" s="151"/>
      <c r="O176" s="151">
        <f>'IB - E&amp;PH'!O98</f>
        <v>0</v>
      </c>
      <c r="P176" s="151"/>
      <c r="Q176" s="151">
        <f>'IB - E&amp;PH'!Q98</f>
        <v>0</v>
      </c>
      <c r="R176" s="151"/>
      <c r="S176" s="151">
        <f>'IB - E&amp;PH'!S98</f>
        <v>0</v>
      </c>
      <c r="T176" s="151"/>
      <c r="U176" s="151">
        <f>'IB - E&amp;PH'!U98</f>
        <v>0</v>
      </c>
      <c r="V176" s="151"/>
      <c r="W176" s="151">
        <f>'IB - E&amp;PH'!W98</f>
        <v>0</v>
      </c>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5"/>
      <c r="D177" s="155"/>
      <c r="E177" s="151">
        <f>'IB - E&amp;PH'!E99</f>
        <v>0</v>
      </c>
      <c r="F177" s="151"/>
      <c r="G177" s="151">
        <f>'IB - E&amp;PH'!G99</f>
        <v>0</v>
      </c>
      <c r="H177" s="151"/>
      <c r="I177" s="151">
        <f>'IB - E&amp;PH'!I99</f>
        <v>0</v>
      </c>
      <c r="J177" s="151"/>
      <c r="K177" s="151">
        <f>'IB - E&amp;PH'!K99</f>
        <v>0</v>
      </c>
      <c r="L177" s="151"/>
      <c r="M177" s="151">
        <f>'IB - E&amp;PH'!M99</f>
        <v>0</v>
      </c>
      <c r="N177" s="151"/>
      <c r="O177" s="151">
        <f>'IB - E&amp;PH'!O99</f>
        <v>0</v>
      </c>
      <c r="P177" s="151"/>
      <c r="Q177" s="151">
        <f>'IB - E&amp;PH'!Q99</f>
        <v>0</v>
      </c>
      <c r="R177" s="151"/>
      <c r="S177" s="151">
        <f>'IB - E&amp;PH'!S99</f>
        <v>0</v>
      </c>
      <c r="T177" s="151"/>
      <c r="U177" s="151">
        <f>'IB - E&amp;PH'!U99</f>
        <v>0</v>
      </c>
      <c r="V177" s="151"/>
      <c r="W177" s="151">
        <f>'IB - E&amp;PH'!W99</f>
        <v>0</v>
      </c>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5"/>
      <c r="D178" s="155"/>
      <c r="E178" s="151">
        <f>'IB - E&amp;PH'!E100</f>
        <v>0</v>
      </c>
      <c r="F178" s="151"/>
      <c r="G178" s="151">
        <f>'IB - E&amp;PH'!G100</f>
        <v>0</v>
      </c>
      <c r="H178" s="151"/>
      <c r="I178" s="151">
        <f>'IB - E&amp;PH'!I100</f>
        <v>0</v>
      </c>
      <c r="J178" s="151"/>
      <c r="K178" s="151">
        <f>'IB - E&amp;PH'!K100</f>
        <v>0</v>
      </c>
      <c r="L178" s="151"/>
      <c r="M178" s="151">
        <f>'IB - E&amp;PH'!M100</f>
        <v>0</v>
      </c>
      <c r="N178" s="151"/>
      <c r="O178" s="151">
        <f>'IB - E&amp;PH'!O100</f>
        <v>0</v>
      </c>
      <c r="P178" s="151"/>
      <c r="Q178" s="151">
        <f>'IB - E&amp;PH'!Q100</f>
        <v>0</v>
      </c>
      <c r="R178" s="151"/>
      <c r="S178" s="151">
        <f>'IB - E&amp;PH'!S100</f>
        <v>0</v>
      </c>
      <c r="T178" s="151"/>
      <c r="U178" s="151">
        <f>'IB - E&amp;PH'!U100</f>
        <v>0</v>
      </c>
      <c r="V178" s="151"/>
      <c r="W178" s="151">
        <f>'IB - E&amp;PH'!W100</f>
        <v>0</v>
      </c>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5"/>
      <c r="D179" s="156"/>
      <c r="E179" s="151">
        <f>'IB - E&amp;PH'!E101</f>
        <v>0</v>
      </c>
      <c r="F179" s="151"/>
      <c r="G179" s="151">
        <f>'IB - E&amp;PH'!G101</f>
        <v>0</v>
      </c>
      <c r="H179" s="151"/>
      <c r="I179" s="151">
        <f>'IB - E&amp;PH'!I101</f>
        <v>0</v>
      </c>
      <c r="J179" s="151"/>
      <c r="K179" s="151">
        <f>'IB - E&amp;PH'!K101</f>
        <v>0</v>
      </c>
      <c r="L179" s="151"/>
      <c r="M179" s="151">
        <f>'IB - E&amp;PH'!M101</f>
        <v>0</v>
      </c>
      <c r="N179" s="151"/>
      <c r="O179" s="151">
        <f>'IB - E&amp;PH'!O101</f>
        <v>0</v>
      </c>
      <c r="P179" s="151"/>
      <c r="Q179" s="151">
        <f>'IB - E&amp;PH'!Q101</f>
        <v>0</v>
      </c>
      <c r="R179" s="151"/>
      <c r="S179" s="151">
        <f>'IB - E&amp;PH'!S101</f>
        <v>0</v>
      </c>
      <c r="T179" s="151"/>
      <c r="U179" s="151">
        <f>'IB - E&amp;PH'!U101</f>
        <v>0</v>
      </c>
      <c r="V179" s="151"/>
      <c r="W179" s="151">
        <f>'IB - E&amp;PH'!W101</f>
        <v>0</v>
      </c>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t="15" customHeight="1">
      <c r="A180" s="72"/>
      <c r="B180" s="72"/>
      <c r="C180" s="155"/>
      <c r="D180" s="156"/>
      <c r="E180" s="151">
        <f>'IB - E&amp;PH'!E102</f>
        <v>0</v>
      </c>
      <c r="F180" s="151"/>
      <c r="G180" s="151">
        <f>'IB - E&amp;PH'!G102</f>
        <v>0</v>
      </c>
      <c r="H180" s="151"/>
      <c r="I180" s="151">
        <f>'IB - E&amp;PH'!I102</f>
        <v>0</v>
      </c>
      <c r="J180" s="151"/>
      <c r="K180" s="151">
        <f>'IB - E&amp;PH'!K102</f>
        <v>0</v>
      </c>
      <c r="L180" s="151"/>
      <c r="M180" s="151">
        <f>'IB - E&amp;PH'!M102</f>
        <v>0</v>
      </c>
      <c r="N180" s="151"/>
      <c r="O180" s="151">
        <f>'IB - E&amp;PH'!O102</f>
        <v>0</v>
      </c>
      <c r="P180" s="151"/>
      <c r="Q180" s="151">
        <f>'IB - E&amp;PH'!Q102</f>
        <v>0</v>
      </c>
      <c r="R180" s="151"/>
      <c r="S180" s="151">
        <f>'IB - E&amp;PH'!S102</f>
        <v>0</v>
      </c>
      <c r="T180" s="151"/>
      <c r="U180" s="151">
        <f>'IB - E&amp;PH'!U102</f>
        <v>0</v>
      </c>
      <c r="V180" s="151"/>
      <c r="W180" s="151">
        <f>'IB - E&amp;PH'!W102</f>
        <v>0</v>
      </c>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t="15" customHeight="1">
      <c r="A181" s="72"/>
      <c r="B181" s="72"/>
      <c r="C181" s="155"/>
      <c r="D181" s="156"/>
      <c r="E181" s="151">
        <f>'IB - E&amp;PH'!E103</f>
        <v>0</v>
      </c>
      <c r="F181" s="151"/>
      <c r="G181" s="151">
        <f>'IB - E&amp;PH'!G103</f>
        <v>0</v>
      </c>
      <c r="H181" s="151"/>
      <c r="I181" s="151">
        <f>'IB - E&amp;PH'!I103</f>
        <v>0</v>
      </c>
      <c r="J181" s="151"/>
      <c r="K181" s="151">
        <f>'IB - E&amp;PH'!K103</f>
        <v>0</v>
      </c>
      <c r="L181" s="151"/>
      <c r="M181" s="151">
        <f>'IB - E&amp;PH'!M103</f>
        <v>0</v>
      </c>
      <c r="N181" s="151"/>
      <c r="O181" s="151">
        <f>'IB - E&amp;PH'!O103</f>
        <v>0</v>
      </c>
      <c r="P181" s="151"/>
      <c r="Q181" s="151">
        <f>'IB - E&amp;PH'!Q103</f>
        <v>0</v>
      </c>
      <c r="R181" s="151"/>
      <c r="S181" s="151">
        <f>'IB - E&amp;PH'!S103</f>
        <v>0</v>
      </c>
      <c r="T181" s="151"/>
      <c r="U181" s="151">
        <f>'IB - E&amp;PH'!U103</f>
        <v>0</v>
      </c>
      <c r="V181" s="151"/>
      <c r="W181" s="151">
        <f>'IB - E&amp;PH'!W103</f>
        <v>0</v>
      </c>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t="15" customHeight="1">
      <c r="A182" s="72"/>
      <c r="B182" s="72"/>
      <c r="C182" s="155"/>
      <c r="D182" s="156"/>
      <c r="E182" s="151">
        <f>'IB - E&amp;PH'!E104</f>
        <v>0</v>
      </c>
      <c r="F182" s="151"/>
      <c r="G182" s="151">
        <f>'IB - E&amp;PH'!G104</f>
        <v>0</v>
      </c>
      <c r="H182" s="151"/>
      <c r="I182" s="151">
        <f>'IB - E&amp;PH'!I104</f>
        <v>0</v>
      </c>
      <c r="J182" s="151"/>
      <c r="K182" s="151">
        <f>'IB - E&amp;PH'!K104</f>
        <v>0</v>
      </c>
      <c r="L182" s="151"/>
      <c r="M182" s="151">
        <f>'IB - E&amp;PH'!M104</f>
        <v>0</v>
      </c>
      <c r="N182" s="151"/>
      <c r="O182" s="151">
        <f>'IB - E&amp;PH'!O104</f>
        <v>0</v>
      </c>
      <c r="P182" s="151"/>
      <c r="Q182" s="151">
        <f>'IB - E&amp;PH'!Q104</f>
        <v>0</v>
      </c>
      <c r="R182" s="151"/>
      <c r="S182" s="151">
        <f>'IB - E&amp;PH'!S104</f>
        <v>0</v>
      </c>
      <c r="T182" s="151"/>
      <c r="U182" s="151">
        <f>'IB - E&amp;PH'!U104</f>
        <v>0</v>
      </c>
      <c r="V182" s="151"/>
      <c r="W182" s="151">
        <f>'IB - E&amp;PH'!W104</f>
        <v>0</v>
      </c>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t="15" customHeight="1">
      <c r="A183" s="72"/>
      <c r="B183" s="72"/>
      <c r="C183" s="155"/>
      <c r="D183" s="156"/>
      <c r="E183" s="151">
        <f>'IB - E&amp;PH'!E105</f>
        <v>0</v>
      </c>
      <c r="F183" s="151"/>
      <c r="G183" s="151">
        <f>'IB - E&amp;PH'!G105</f>
        <v>0</v>
      </c>
      <c r="H183" s="151"/>
      <c r="I183" s="151">
        <f>'IB - E&amp;PH'!I105</f>
        <v>0</v>
      </c>
      <c r="J183" s="151"/>
      <c r="K183" s="151">
        <f>'IB - E&amp;PH'!K105</f>
        <v>0</v>
      </c>
      <c r="L183" s="151"/>
      <c r="M183" s="151">
        <f>'IB - E&amp;PH'!M105</f>
        <v>0</v>
      </c>
      <c r="N183" s="151"/>
      <c r="O183" s="151">
        <f>'IB - E&amp;PH'!O105</f>
        <v>0</v>
      </c>
      <c r="P183" s="151"/>
      <c r="Q183" s="151">
        <f>'IB - E&amp;PH'!Q105</f>
        <v>0</v>
      </c>
      <c r="R183" s="151"/>
      <c r="S183" s="151">
        <f>'IB - E&amp;PH'!S105</f>
        <v>0</v>
      </c>
      <c r="T183" s="151"/>
      <c r="U183" s="151">
        <f>'IB - E&amp;PH'!U105</f>
        <v>0</v>
      </c>
      <c r="V183" s="151"/>
      <c r="W183" s="151">
        <f>'IB - E&amp;PH'!W105</f>
        <v>0</v>
      </c>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t="15" customHeight="1">
      <c r="A184" s="72"/>
      <c r="B184" s="72"/>
      <c r="C184" s="155"/>
      <c r="D184" s="156"/>
      <c r="E184" s="151">
        <f>'IB - E&amp;PH'!E106</f>
        <v>0</v>
      </c>
      <c r="F184" s="151"/>
      <c r="G184" s="151">
        <f>'IB - E&amp;PH'!G106</f>
        <v>0</v>
      </c>
      <c r="H184" s="151"/>
      <c r="I184" s="151">
        <f>'IB - E&amp;PH'!I106</f>
        <v>0</v>
      </c>
      <c r="J184" s="151"/>
      <c r="K184" s="151">
        <f>'IB - E&amp;PH'!K106</f>
        <v>0</v>
      </c>
      <c r="L184" s="151"/>
      <c r="M184" s="151">
        <f>'IB - E&amp;PH'!M106</f>
        <v>0</v>
      </c>
      <c r="N184" s="151"/>
      <c r="O184" s="151">
        <f>'IB - E&amp;PH'!O106</f>
        <v>0</v>
      </c>
      <c r="P184" s="151"/>
      <c r="Q184" s="151">
        <f>'IB - E&amp;PH'!Q106</f>
        <v>0</v>
      </c>
      <c r="R184" s="151"/>
      <c r="S184" s="151">
        <f>'IB - E&amp;PH'!S106</f>
        <v>0</v>
      </c>
      <c r="T184" s="151"/>
      <c r="U184" s="151">
        <f>'IB - E&amp;PH'!U106</f>
        <v>0</v>
      </c>
      <c r="V184" s="151"/>
      <c r="W184" s="151">
        <f>'IB - E&amp;PH'!W106</f>
        <v>0</v>
      </c>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t="15" customHeight="1">
      <c r="A185" s="72"/>
      <c r="B185" s="72"/>
      <c r="C185" s="155"/>
      <c r="D185" s="156"/>
      <c r="E185" s="151">
        <f>'IB - E&amp;PH'!E107</f>
        <v>0</v>
      </c>
      <c r="F185" s="151"/>
      <c r="G185" s="151">
        <f>'IB - E&amp;PH'!G107</f>
        <v>0</v>
      </c>
      <c r="H185" s="151"/>
      <c r="I185" s="151">
        <f>'IB - E&amp;PH'!I107</f>
        <v>0</v>
      </c>
      <c r="J185" s="151"/>
      <c r="K185" s="151">
        <f>'IB - E&amp;PH'!K107</f>
        <v>0</v>
      </c>
      <c r="L185" s="151"/>
      <c r="M185" s="151">
        <f>'IB - E&amp;PH'!M107</f>
        <v>0</v>
      </c>
      <c r="N185" s="151"/>
      <c r="O185" s="151">
        <f>'IB - E&amp;PH'!O107</f>
        <v>0</v>
      </c>
      <c r="P185" s="151"/>
      <c r="Q185" s="151">
        <f>'IB - E&amp;PH'!Q107</f>
        <v>0</v>
      </c>
      <c r="R185" s="151"/>
      <c r="S185" s="151">
        <f>'IB - E&amp;PH'!S107</f>
        <v>0</v>
      </c>
      <c r="T185" s="151"/>
      <c r="U185" s="151">
        <f>'IB - E&amp;PH'!U107</f>
        <v>0</v>
      </c>
      <c r="V185" s="151"/>
      <c r="W185" s="151">
        <f>'IB - E&amp;PH'!W107</f>
        <v>0</v>
      </c>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t="15" customHeight="1">
      <c r="A186" s="72"/>
      <c r="B186" s="72"/>
      <c r="C186" s="155"/>
      <c r="D186" s="156"/>
      <c r="E186" s="151">
        <f>'IB - E&amp;PH'!E108</f>
        <v>0</v>
      </c>
      <c r="F186" s="151"/>
      <c r="G186" s="151">
        <f>'IB - E&amp;PH'!G108</f>
        <v>0</v>
      </c>
      <c r="H186" s="151"/>
      <c r="I186" s="151">
        <f>'IB - E&amp;PH'!I108</f>
        <v>0</v>
      </c>
      <c r="J186" s="151"/>
      <c r="K186" s="151">
        <f>'IB - E&amp;PH'!K108</f>
        <v>0</v>
      </c>
      <c r="L186" s="151"/>
      <c r="M186" s="151">
        <f>'IB - E&amp;PH'!M108</f>
        <v>0</v>
      </c>
      <c r="N186" s="151"/>
      <c r="O186" s="151">
        <f>'IB - E&amp;PH'!O108</f>
        <v>0</v>
      </c>
      <c r="P186" s="151"/>
      <c r="Q186" s="151">
        <f>'IB - E&amp;PH'!Q108</f>
        <v>0</v>
      </c>
      <c r="R186" s="151"/>
      <c r="S186" s="151">
        <f>'IB - E&amp;PH'!S108</f>
        <v>0</v>
      </c>
      <c r="T186" s="151"/>
      <c r="U186" s="151">
        <f>'IB - E&amp;PH'!U108</f>
        <v>0</v>
      </c>
      <c r="V186" s="151"/>
      <c r="W186" s="151">
        <f>'IB - E&amp;PH'!W108</f>
        <v>0</v>
      </c>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t="15" customHeight="1">
      <c r="A187" s="72"/>
      <c r="B187" s="72"/>
      <c r="C187" s="155"/>
      <c r="D187" s="156"/>
      <c r="E187" s="151">
        <f>'IB - E&amp;PH'!E109</f>
        <v>0</v>
      </c>
      <c r="F187" s="151"/>
      <c r="G187" s="151">
        <f>'IB - E&amp;PH'!G109</f>
        <v>0</v>
      </c>
      <c r="H187" s="151"/>
      <c r="I187" s="151">
        <f>'IB - E&amp;PH'!I109</f>
        <v>0</v>
      </c>
      <c r="J187" s="151"/>
      <c r="K187" s="151">
        <f>'IB - E&amp;PH'!K109</f>
        <v>0</v>
      </c>
      <c r="L187" s="151"/>
      <c r="M187" s="151">
        <f>'IB - E&amp;PH'!M109</f>
        <v>0</v>
      </c>
      <c r="N187" s="151"/>
      <c r="O187" s="151">
        <f>'IB - E&amp;PH'!O109</f>
        <v>0</v>
      </c>
      <c r="P187" s="151"/>
      <c r="Q187" s="151">
        <f>'IB - E&amp;PH'!Q109</f>
        <v>0</v>
      </c>
      <c r="R187" s="151"/>
      <c r="S187" s="151">
        <f>'IB - E&amp;PH'!S109</f>
        <v>0</v>
      </c>
      <c r="T187" s="151"/>
      <c r="U187" s="151">
        <f>'IB - E&amp;PH'!U109</f>
        <v>0</v>
      </c>
      <c r="V187" s="151"/>
      <c r="W187" s="151">
        <f>'IB - E&amp;PH'!W109</f>
        <v>0</v>
      </c>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t="15" customHeight="1">
      <c r="A188" s="72"/>
      <c r="B188" s="72"/>
      <c r="C188" s="155"/>
      <c r="D188" s="156"/>
      <c r="E188" s="151">
        <f>'IB - E&amp;PH'!E110</f>
        <v>0</v>
      </c>
      <c r="F188" s="151"/>
      <c r="G188" s="151">
        <f>'IB - E&amp;PH'!G110</f>
        <v>0</v>
      </c>
      <c r="H188" s="151"/>
      <c r="I188" s="151">
        <f>'IB - E&amp;PH'!I110</f>
        <v>0</v>
      </c>
      <c r="J188" s="151"/>
      <c r="K188" s="151">
        <f>'IB - E&amp;PH'!K110</f>
        <v>0</v>
      </c>
      <c r="L188" s="151"/>
      <c r="M188" s="151">
        <f>'IB - E&amp;PH'!M110</f>
        <v>0</v>
      </c>
      <c r="N188" s="151"/>
      <c r="O188" s="151">
        <f>'IB - E&amp;PH'!O110</f>
        <v>0</v>
      </c>
      <c r="P188" s="151"/>
      <c r="Q188" s="151">
        <f>'IB - E&amp;PH'!Q110</f>
        <v>0</v>
      </c>
      <c r="R188" s="151"/>
      <c r="S188" s="151">
        <f>'IB - E&amp;PH'!S110</f>
        <v>0</v>
      </c>
      <c r="T188" s="151"/>
      <c r="U188" s="151">
        <f>'IB - E&amp;PH'!U110</f>
        <v>0</v>
      </c>
      <c r="V188" s="151"/>
      <c r="W188" s="151">
        <f>'IB - E&amp;PH'!W110</f>
        <v>0</v>
      </c>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t="15" customHeight="1">
      <c r="A189" s="72"/>
      <c r="B189" s="72"/>
      <c r="C189" s="155"/>
      <c r="D189" s="156"/>
      <c r="E189" s="151">
        <f>'IB - E&amp;PH'!E111</f>
        <v>0</v>
      </c>
      <c r="F189" s="151"/>
      <c r="G189" s="151">
        <f>'IB - E&amp;PH'!G111</f>
        <v>0</v>
      </c>
      <c r="H189" s="151"/>
      <c r="I189" s="151">
        <f>'IB - E&amp;PH'!I111</f>
        <v>0</v>
      </c>
      <c r="J189" s="151"/>
      <c r="K189" s="151">
        <f>'IB - E&amp;PH'!K111</f>
        <v>0</v>
      </c>
      <c r="L189" s="151"/>
      <c r="M189" s="151">
        <f>'IB - E&amp;PH'!M111</f>
        <v>0</v>
      </c>
      <c r="N189" s="151"/>
      <c r="O189" s="151">
        <f>'IB - E&amp;PH'!O111</f>
        <v>0</v>
      </c>
      <c r="P189" s="151"/>
      <c r="Q189" s="151">
        <f>'IB - E&amp;PH'!Q111</f>
        <v>0</v>
      </c>
      <c r="R189" s="151"/>
      <c r="S189" s="151">
        <f>'IB - E&amp;PH'!S111</f>
        <v>0</v>
      </c>
      <c r="T189" s="151"/>
      <c r="U189" s="151">
        <f>'IB - E&amp;PH'!U111</f>
        <v>0</v>
      </c>
      <c r="V189" s="151"/>
      <c r="W189" s="151">
        <f>'IB - E&amp;PH'!W111</f>
        <v>0</v>
      </c>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t="15" customHeight="1">
      <c r="A190" s="72"/>
      <c r="B190" s="72"/>
      <c r="C190" s="155"/>
      <c r="D190" s="156"/>
      <c r="E190" s="151">
        <f>'IB - E&amp;PH'!E112</f>
        <v>0</v>
      </c>
      <c r="F190" s="151"/>
      <c r="G190" s="151">
        <f>'IB - E&amp;PH'!G112</f>
        <v>0</v>
      </c>
      <c r="H190" s="151"/>
      <c r="I190" s="151">
        <f>'IB - E&amp;PH'!I112</f>
        <v>0</v>
      </c>
      <c r="J190" s="151"/>
      <c r="K190" s="151">
        <f>'IB - E&amp;PH'!K112</f>
        <v>0</v>
      </c>
      <c r="L190" s="151"/>
      <c r="M190" s="151">
        <f>'IB - E&amp;PH'!M112</f>
        <v>0</v>
      </c>
      <c r="N190" s="151"/>
      <c r="O190" s="151">
        <f>'IB - E&amp;PH'!O112</f>
        <v>0</v>
      </c>
      <c r="P190" s="151"/>
      <c r="Q190" s="151">
        <f>'IB - E&amp;PH'!Q112</f>
        <v>0</v>
      </c>
      <c r="R190" s="151"/>
      <c r="S190" s="151">
        <f>'IB - E&amp;PH'!S112</f>
        <v>0</v>
      </c>
      <c r="T190" s="151"/>
      <c r="U190" s="151">
        <f>'IB - E&amp;PH'!U112</f>
        <v>0</v>
      </c>
      <c r="V190" s="151"/>
      <c r="W190" s="151">
        <f>'IB - E&amp;PH'!W112</f>
        <v>0</v>
      </c>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t="15" customHeight="1">
      <c r="A191" s="72"/>
      <c r="B191" s="72"/>
      <c r="C191" s="155"/>
      <c r="D191" s="156"/>
      <c r="E191" s="151">
        <f>'IB - E&amp;PH'!E113</f>
        <v>0</v>
      </c>
      <c r="F191" s="151"/>
      <c r="G191" s="151">
        <f>'IB - E&amp;PH'!G113</f>
        <v>0</v>
      </c>
      <c r="H191" s="151"/>
      <c r="I191" s="151">
        <f>'IB - E&amp;PH'!I113</f>
        <v>0</v>
      </c>
      <c r="J191" s="151"/>
      <c r="K191" s="151">
        <f>'IB - E&amp;PH'!K113</f>
        <v>0</v>
      </c>
      <c r="L191" s="151"/>
      <c r="M191" s="151">
        <f>'IB - E&amp;PH'!M113</f>
        <v>0</v>
      </c>
      <c r="N191" s="151"/>
      <c r="O191" s="151">
        <f>'IB - E&amp;PH'!O113</f>
        <v>0</v>
      </c>
      <c r="P191" s="151"/>
      <c r="Q191" s="151">
        <f>'IB - E&amp;PH'!Q113</f>
        <v>0</v>
      </c>
      <c r="R191" s="151"/>
      <c r="S191" s="151">
        <f>'IB - E&amp;PH'!S113</f>
        <v>0</v>
      </c>
      <c r="T191" s="151"/>
      <c r="U191" s="151">
        <f>'IB - E&amp;PH'!U113</f>
        <v>0</v>
      </c>
      <c r="V191" s="151"/>
      <c r="W191" s="151">
        <f>'IB - E&amp;PH'!W113</f>
        <v>0</v>
      </c>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t="15" customHeight="1">
      <c r="A192" s="72"/>
      <c r="B192" s="72"/>
      <c r="C192" s="155"/>
      <c r="D192" s="156"/>
      <c r="E192" s="151">
        <f>'IB - E&amp;PH'!E114</f>
        <v>0</v>
      </c>
      <c r="F192" s="151"/>
      <c r="G192" s="151">
        <f>'IB - E&amp;PH'!G114</f>
        <v>0</v>
      </c>
      <c r="H192" s="151"/>
      <c r="I192" s="151">
        <f>'IB - E&amp;PH'!I114</f>
        <v>0</v>
      </c>
      <c r="J192" s="151"/>
      <c r="K192" s="151">
        <f>'IB - E&amp;PH'!K114</f>
        <v>0</v>
      </c>
      <c r="L192" s="151"/>
      <c r="M192" s="151">
        <f>'IB - E&amp;PH'!M114</f>
        <v>0</v>
      </c>
      <c r="N192" s="151"/>
      <c r="O192" s="151">
        <f>'IB - E&amp;PH'!O114</f>
        <v>0</v>
      </c>
      <c r="P192" s="151"/>
      <c r="Q192" s="151">
        <f>'IB - E&amp;PH'!Q114</f>
        <v>0</v>
      </c>
      <c r="R192" s="151"/>
      <c r="S192" s="151">
        <f>'IB - E&amp;PH'!S114</f>
        <v>0</v>
      </c>
      <c r="T192" s="151"/>
      <c r="U192" s="151">
        <f>'IB - E&amp;PH'!U114</f>
        <v>0</v>
      </c>
      <c r="V192" s="151"/>
      <c r="W192" s="151">
        <f>'IB - E&amp;PH'!W114</f>
        <v>0</v>
      </c>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t="15" customHeight="1">
      <c r="A193" s="72"/>
      <c r="B193" s="72"/>
      <c r="C193" s="155"/>
      <c r="D193" s="156"/>
      <c r="E193" s="151">
        <f>'IB - E&amp;PH'!E115</f>
        <v>0</v>
      </c>
      <c r="F193" s="151"/>
      <c r="G193" s="151">
        <f>'IB - E&amp;PH'!G115</f>
        <v>0</v>
      </c>
      <c r="H193" s="151"/>
      <c r="I193" s="151">
        <f>'IB - E&amp;PH'!I115</f>
        <v>0</v>
      </c>
      <c r="J193" s="151"/>
      <c r="K193" s="151">
        <f>'IB - E&amp;PH'!K115</f>
        <v>0</v>
      </c>
      <c r="L193" s="151"/>
      <c r="M193" s="151">
        <f>'IB - E&amp;PH'!M115</f>
        <v>0</v>
      </c>
      <c r="N193" s="151"/>
      <c r="O193" s="151">
        <f>'IB - E&amp;PH'!O115</f>
        <v>0</v>
      </c>
      <c r="P193" s="151"/>
      <c r="Q193" s="151">
        <f>'IB - E&amp;PH'!Q115</f>
        <v>0</v>
      </c>
      <c r="R193" s="151"/>
      <c r="S193" s="151">
        <f>'IB - E&amp;PH'!S115</f>
        <v>0</v>
      </c>
      <c r="T193" s="151"/>
      <c r="U193" s="151">
        <f>'IB - E&amp;PH'!U115</f>
        <v>0</v>
      </c>
      <c r="V193" s="151"/>
      <c r="W193" s="151">
        <f>'IB - E&amp;PH'!W115</f>
        <v>0</v>
      </c>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t="15" customHeight="1">
      <c r="A194" s="72"/>
      <c r="B194" s="72"/>
      <c r="C194" s="155"/>
      <c r="D194" s="156"/>
      <c r="E194" s="497"/>
      <c r="F194" s="497"/>
      <c r="G194" s="497"/>
      <c r="H194" s="497"/>
      <c r="I194" s="497"/>
      <c r="J194" s="497"/>
      <c r="K194" s="497"/>
      <c r="L194" s="497"/>
      <c r="M194" s="497"/>
      <c r="N194" s="497"/>
      <c r="O194" s="497"/>
      <c r="P194" s="497"/>
      <c r="Q194" s="497"/>
      <c r="R194" s="497"/>
      <c r="S194" s="497"/>
      <c r="T194" s="497"/>
      <c r="U194" s="497"/>
      <c r="V194" s="497"/>
      <c r="W194" s="497"/>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t="15" customHeight="1">
      <c r="A195" s="72"/>
      <c r="B195" s="72"/>
      <c r="C195" s="155"/>
      <c r="D195" s="156"/>
      <c r="E195" s="497"/>
      <c r="F195" s="497"/>
      <c r="G195" s="497"/>
      <c r="H195" s="497"/>
      <c r="I195" s="497"/>
      <c r="J195" s="497"/>
      <c r="K195" s="497"/>
      <c r="L195" s="497"/>
      <c r="M195" s="497"/>
      <c r="N195" s="497"/>
      <c r="O195" s="497"/>
      <c r="P195" s="497"/>
      <c r="Q195" s="497"/>
      <c r="R195" s="497"/>
      <c r="S195" s="497"/>
      <c r="T195" s="497"/>
      <c r="U195" s="497"/>
      <c r="V195" s="497"/>
      <c r="W195" s="497"/>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t="15" customHeight="1">
      <c r="A196" s="72"/>
      <c r="B196" s="72"/>
      <c r="C196" s="155"/>
      <c r="D196" s="156"/>
      <c r="E196" s="497"/>
      <c r="F196" s="497"/>
      <c r="G196" s="497"/>
      <c r="H196" s="497"/>
      <c r="I196" s="497"/>
      <c r="J196" s="497"/>
      <c r="K196" s="497"/>
      <c r="L196" s="497"/>
      <c r="M196" s="497"/>
      <c r="N196" s="497"/>
      <c r="O196" s="497"/>
      <c r="P196" s="497"/>
      <c r="Q196" s="497"/>
      <c r="R196" s="497"/>
      <c r="S196" s="497"/>
      <c r="T196" s="497"/>
      <c r="U196" s="497"/>
      <c r="V196" s="497"/>
      <c r="W196" s="497"/>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t="15" customHeight="1">
      <c r="A197" s="72"/>
      <c r="B197" s="72"/>
      <c r="C197" s="155"/>
      <c r="D197" s="156"/>
      <c r="E197" s="157"/>
      <c r="F197" s="157"/>
      <c r="G197" s="157"/>
      <c r="H197" s="157"/>
      <c r="I197" s="157"/>
      <c r="J197" s="157"/>
      <c r="K197" s="157"/>
      <c r="L197" s="157"/>
      <c r="M197" s="157"/>
      <c r="N197" s="157"/>
      <c r="O197" s="157"/>
      <c r="P197" s="157"/>
      <c r="Q197" s="157"/>
      <c r="R197" s="157"/>
      <c r="S197" s="157"/>
      <c r="T197" s="157"/>
      <c r="U197" s="157"/>
      <c r="V197" s="157"/>
      <c r="W197" s="157"/>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t="15" customHeight="1">
      <c r="A198" s="72"/>
      <c r="B198" s="72"/>
      <c r="C198" s="155"/>
      <c r="D198" s="156"/>
      <c r="E198" s="157"/>
      <c r="F198" s="157"/>
      <c r="G198" s="157"/>
      <c r="H198" s="157"/>
      <c r="I198" s="157"/>
      <c r="J198" s="157"/>
      <c r="K198" s="157"/>
      <c r="L198" s="157"/>
      <c r="M198" s="157"/>
      <c r="N198" s="157"/>
      <c r="O198" s="157"/>
      <c r="P198" s="157"/>
      <c r="Q198" s="157"/>
      <c r="R198" s="157"/>
      <c r="S198" s="157"/>
      <c r="T198" s="157"/>
      <c r="U198" s="157"/>
      <c r="V198" s="157"/>
      <c r="W198" s="157"/>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t="15" customHeight="1">
      <c r="A199" s="72"/>
      <c r="B199" s="72"/>
      <c r="C199" s="155"/>
      <c r="D199" s="156"/>
      <c r="E199" s="157"/>
      <c r="F199" s="157"/>
      <c r="G199" s="157"/>
      <c r="H199" s="157"/>
      <c r="I199" s="157"/>
      <c r="J199" s="157"/>
      <c r="K199" s="157"/>
      <c r="L199" s="157"/>
      <c r="M199" s="157"/>
      <c r="N199" s="157"/>
      <c r="O199" s="157"/>
      <c r="P199" s="157"/>
      <c r="Q199" s="157"/>
      <c r="R199" s="157"/>
      <c r="S199" s="157"/>
      <c r="T199" s="157"/>
      <c r="U199" s="157"/>
      <c r="V199" s="157"/>
      <c r="W199" s="157"/>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t="15" hidden="1" customHeight="1">
      <c r="A200" s="72"/>
      <c r="B200" s="72"/>
      <c r="C200" s="155"/>
      <c r="D200" s="156"/>
      <c r="E200" s="157"/>
      <c r="F200" s="157"/>
      <c r="G200" s="157"/>
      <c r="H200" s="157"/>
      <c r="I200" s="157"/>
      <c r="J200" s="157"/>
      <c r="K200" s="157"/>
      <c r="L200" s="157"/>
      <c r="M200" s="157"/>
      <c r="N200" s="157"/>
      <c r="O200" s="157"/>
      <c r="P200" s="157"/>
      <c r="Q200" s="157"/>
      <c r="R200" s="157"/>
      <c r="S200" s="157"/>
      <c r="T200" s="157"/>
      <c r="U200" s="157"/>
      <c r="V200" s="157"/>
      <c r="W200" s="157"/>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t="15" hidden="1" customHeight="1">
      <c r="A201" s="72"/>
      <c r="B201" s="72"/>
      <c r="C201" s="155"/>
      <c r="D201" s="156"/>
      <c r="E201" s="157"/>
      <c r="F201" s="157"/>
      <c r="G201" s="157"/>
      <c r="H201" s="157"/>
      <c r="I201" s="157"/>
      <c r="J201" s="157"/>
      <c r="K201" s="157"/>
      <c r="L201" s="157"/>
      <c r="M201" s="157"/>
      <c r="N201" s="157"/>
      <c r="O201" s="157"/>
      <c r="P201" s="157"/>
      <c r="Q201" s="157"/>
      <c r="R201" s="157"/>
      <c r="S201" s="157"/>
      <c r="T201" s="157"/>
      <c r="U201" s="157"/>
      <c r="V201" s="157"/>
      <c r="W201" s="157"/>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t="15" hidden="1" customHeight="1">
      <c r="A202" s="72"/>
      <c r="B202" s="72"/>
      <c r="C202" s="155"/>
      <c r="D202" s="156"/>
      <c r="E202" s="157"/>
      <c r="F202" s="157"/>
      <c r="G202" s="157"/>
      <c r="H202" s="157"/>
      <c r="I202" s="157"/>
      <c r="J202" s="157"/>
      <c r="K202" s="157"/>
      <c r="L202" s="157"/>
      <c r="M202" s="157"/>
      <c r="N202" s="157"/>
      <c r="O202" s="157"/>
      <c r="P202" s="157"/>
      <c r="Q202" s="157"/>
      <c r="R202" s="157"/>
      <c r="S202" s="157"/>
      <c r="T202" s="157"/>
      <c r="U202" s="157"/>
      <c r="V202" s="157"/>
      <c r="W202" s="157"/>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t="15" hidden="1" customHeight="1">
      <c r="A203" s="72"/>
      <c r="B203" s="72"/>
      <c r="C203" s="155"/>
      <c r="D203" s="156"/>
      <c r="E203" s="157"/>
      <c r="F203" s="157"/>
      <c r="G203" s="157"/>
      <c r="H203" s="157"/>
      <c r="I203" s="157"/>
      <c r="J203" s="157"/>
      <c r="K203" s="157"/>
      <c r="L203" s="157"/>
      <c r="M203" s="157"/>
      <c r="N203" s="157"/>
      <c r="O203" s="157"/>
      <c r="P203" s="157"/>
      <c r="Q203" s="157"/>
      <c r="R203" s="157"/>
      <c r="S203" s="157"/>
      <c r="T203" s="157"/>
      <c r="U203" s="157"/>
      <c r="V203" s="157"/>
      <c r="W203" s="157"/>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t="15" hidden="1" customHeight="1">
      <c r="A204" s="72"/>
      <c r="B204" s="72"/>
      <c r="C204" s="155"/>
      <c r="D204" s="156"/>
      <c r="E204" s="157"/>
      <c r="F204" s="157"/>
      <c r="G204" s="157"/>
      <c r="H204" s="157"/>
      <c r="I204" s="157"/>
      <c r="J204" s="157"/>
      <c r="K204" s="157"/>
      <c r="L204" s="157"/>
      <c r="M204" s="157"/>
      <c r="N204" s="157"/>
      <c r="O204" s="157"/>
      <c r="P204" s="157"/>
      <c r="Q204" s="157"/>
      <c r="R204" s="157"/>
      <c r="S204" s="157"/>
      <c r="T204" s="157"/>
      <c r="U204" s="157"/>
      <c r="V204" s="157"/>
      <c r="W204" s="157"/>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t="15" hidden="1" customHeight="1">
      <c r="A205" s="72"/>
      <c r="B205" s="72"/>
      <c r="C205" s="155"/>
      <c r="D205" s="156"/>
      <c r="E205" s="157"/>
      <c r="F205" s="157"/>
      <c r="G205" s="157"/>
      <c r="H205" s="157"/>
      <c r="I205" s="157"/>
      <c r="J205" s="157"/>
      <c r="K205" s="157"/>
      <c r="L205" s="157"/>
      <c r="M205" s="157"/>
      <c r="N205" s="157"/>
      <c r="O205" s="157"/>
      <c r="P205" s="157"/>
      <c r="Q205" s="157"/>
      <c r="R205" s="157"/>
      <c r="S205" s="157"/>
      <c r="T205" s="157"/>
      <c r="U205" s="157"/>
      <c r="V205" s="157"/>
      <c r="W205" s="157"/>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t="15" hidden="1" customHeight="1">
      <c r="A206" s="72"/>
      <c r="B206" s="72"/>
      <c r="C206" s="155"/>
      <c r="D206" s="156"/>
      <c r="E206" s="157"/>
      <c r="F206" s="157"/>
      <c r="G206" s="157"/>
      <c r="H206" s="157"/>
      <c r="I206" s="157"/>
      <c r="J206" s="157"/>
      <c r="K206" s="157"/>
      <c r="L206" s="157"/>
      <c r="M206" s="157"/>
      <c r="N206" s="157"/>
      <c r="O206" s="157"/>
      <c r="P206" s="157"/>
      <c r="Q206" s="157"/>
      <c r="R206" s="157"/>
      <c r="S206" s="157"/>
      <c r="T206" s="157"/>
      <c r="U206" s="157"/>
      <c r="V206" s="157"/>
      <c r="W206" s="157"/>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t="15" hidden="1" customHeight="1">
      <c r="A207" s="72"/>
      <c r="B207" s="72"/>
      <c r="C207" s="155"/>
      <c r="D207" s="156"/>
      <c r="E207" s="157"/>
      <c r="F207" s="157"/>
      <c r="G207" s="157"/>
      <c r="H207" s="157"/>
      <c r="I207" s="157"/>
      <c r="J207" s="157"/>
      <c r="K207" s="157"/>
      <c r="L207" s="157"/>
      <c r="M207" s="157"/>
      <c r="N207" s="157"/>
      <c r="O207" s="157"/>
      <c r="P207" s="157"/>
      <c r="Q207" s="157"/>
      <c r="R207" s="157"/>
      <c r="S207" s="157"/>
      <c r="T207" s="157"/>
      <c r="U207" s="157"/>
      <c r="V207" s="157"/>
      <c r="W207" s="157"/>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t="15" hidden="1" customHeight="1">
      <c r="A208" s="72"/>
      <c r="B208" s="72"/>
      <c r="C208" s="155"/>
      <c r="D208" s="156"/>
      <c r="E208" s="157"/>
      <c r="F208" s="157"/>
      <c r="G208" s="157"/>
      <c r="H208" s="157"/>
      <c r="I208" s="157"/>
      <c r="J208" s="157"/>
      <c r="K208" s="157"/>
      <c r="L208" s="157"/>
      <c r="M208" s="157"/>
      <c r="N208" s="157"/>
      <c r="O208" s="157"/>
      <c r="P208" s="157"/>
      <c r="Q208" s="157"/>
      <c r="R208" s="157"/>
      <c r="S208" s="157"/>
      <c r="T208" s="157"/>
      <c r="U208" s="157"/>
      <c r="V208" s="157"/>
      <c r="W208" s="157"/>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t="15" hidden="1" customHeight="1">
      <c r="A209" s="72"/>
      <c r="B209" s="72"/>
      <c r="C209" s="155"/>
      <c r="D209" s="156"/>
      <c r="E209" s="157"/>
      <c r="F209" s="157"/>
      <c r="G209" s="157"/>
      <c r="H209" s="157"/>
      <c r="I209" s="157"/>
      <c r="J209" s="157"/>
      <c r="K209" s="157"/>
      <c r="L209" s="157"/>
      <c r="M209" s="157"/>
      <c r="N209" s="157"/>
      <c r="O209" s="157"/>
      <c r="P209" s="157"/>
      <c r="Q209" s="157"/>
      <c r="R209" s="157"/>
      <c r="S209" s="157"/>
      <c r="T209" s="157"/>
      <c r="U209" s="157"/>
      <c r="V209" s="157"/>
      <c r="W209" s="157"/>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t="15" hidden="1" customHeight="1">
      <c r="A210" s="72"/>
      <c r="B210" s="72"/>
      <c r="C210" s="155"/>
      <c r="D210" s="156"/>
      <c r="E210" s="157"/>
      <c r="F210" s="157"/>
      <c r="G210" s="157"/>
      <c r="H210" s="157"/>
      <c r="I210" s="157"/>
      <c r="J210" s="157"/>
      <c r="K210" s="157"/>
      <c r="L210" s="157"/>
      <c r="M210" s="157"/>
      <c r="N210" s="157"/>
      <c r="O210" s="157"/>
      <c r="P210" s="157"/>
      <c r="Q210" s="157"/>
      <c r="R210" s="157"/>
      <c r="S210" s="157"/>
      <c r="T210" s="157"/>
      <c r="U210" s="157"/>
      <c r="V210" s="157"/>
      <c r="W210" s="157"/>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t="15" hidden="1" customHeight="1">
      <c r="A211" s="72"/>
      <c r="B211" s="72"/>
      <c r="C211" s="155"/>
      <c r="D211" s="156"/>
      <c r="E211" s="157"/>
      <c r="F211" s="157"/>
      <c r="G211" s="157"/>
      <c r="H211" s="157"/>
      <c r="I211" s="157"/>
      <c r="J211" s="157"/>
      <c r="K211" s="157"/>
      <c r="L211" s="157"/>
      <c r="M211" s="157"/>
      <c r="N211" s="157"/>
      <c r="O211" s="157"/>
      <c r="P211" s="157"/>
      <c r="Q211" s="157"/>
      <c r="R211" s="157"/>
      <c r="S211" s="157"/>
      <c r="T211" s="157"/>
      <c r="U211" s="157"/>
      <c r="V211" s="157"/>
      <c r="W211" s="157"/>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t="15" hidden="1" customHeight="1">
      <c r="A212" s="72"/>
      <c r="B212" s="72"/>
      <c r="C212" s="155"/>
      <c r="D212" s="156"/>
      <c r="E212" s="157"/>
      <c r="F212" s="157"/>
      <c r="G212" s="157"/>
      <c r="H212" s="157"/>
      <c r="I212" s="157"/>
      <c r="J212" s="157"/>
      <c r="K212" s="157"/>
      <c r="L212" s="157"/>
      <c r="M212" s="157"/>
      <c r="N212" s="157"/>
      <c r="O212" s="157"/>
      <c r="P212" s="157"/>
      <c r="Q212" s="157"/>
      <c r="R212" s="157"/>
      <c r="S212" s="157"/>
      <c r="T212" s="157"/>
      <c r="U212" s="157"/>
      <c r="V212" s="157"/>
      <c r="W212" s="157"/>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t="15" hidden="1" customHeight="1">
      <c r="A213" s="72"/>
      <c r="B213" s="72"/>
      <c r="C213" s="155"/>
      <c r="D213" s="156"/>
      <c r="E213" s="157"/>
      <c r="F213" s="157"/>
      <c r="G213" s="157"/>
      <c r="H213" s="157"/>
      <c r="I213" s="157"/>
      <c r="J213" s="157"/>
      <c r="K213" s="157"/>
      <c r="L213" s="157"/>
      <c r="M213" s="157"/>
      <c r="N213" s="157"/>
      <c r="O213" s="157"/>
      <c r="P213" s="157"/>
      <c r="Q213" s="157"/>
      <c r="R213" s="157"/>
      <c r="S213" s="157"/>
      <c r="T213" s="157"/>
      <c r="U213" s="157"/>
      <c r="V213" s="157"/>
      <c r="W213" s="157"/>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t="15" hidden="1" customHeight="1">
      <c r="A214" s="72"/>
      <c r="B214" s="72"/>
      <c r="C214" s="155"/>
      <c r="D214" s="156"/>
      <c r="E214" s="157"/>
      <c r="F214" s="157"/>
      <c r="G214" s="157"/>
      <c r="H214" s="157"/>
      <c r="I214" s="157"/>
      <c r="J214" s="157"/>
      <c r="K214" s="157"/>
      <c r="L214" s="157"/>
      <c r="M214" s="157"/>
      <c r="N214" s="157"/>
      <c r="O214" s="157"/>
      <c r="P214" s="157"/>
      <c r="Q214" s="157"/>
      <c r="R214" s="157"/>
      <c r="S214" s="157"/>
      <c r="T214" s="157"/>
      <c r="U214" s="157"/>
      <c r="V214" s="157"/>
      <c r="W214" s="157"/>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t="15" hidden="1" customHeight="1">
      <c r="A215" s="72"/>
      <c r="B215" s="72"/>
      <c r="C215" s="155"/>
      <c r="D215" s="156"/>
      <c r="E215" s="157"/>
      <c r="F215" s="157"/>
      <c r="G215" s="157"/>
      <c r="H215" s="157"/>
      <c r="I215" s="157"/>
      <c r="J215" s="157"/>
      <c r="K215" s="157"/>
      <c r="L215" s="157"/>
      <c r="M215" s="157"/>
      <c r="N215" s="157"/>
      <c r="O215" s="157"/>
      <c r="P215" s="157"/>
      <c r="Q215" s="157"/>
      <c r="R215" s="157"/>
      <c r="S215" s="157"/>
      <c r="T215" s="157"/>
      <c r="U215" s="157"/>
      <c r="V215" s="157"/>
      <c r="W215" s="157"/>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t="15" hidden="1" customHeight="1">
      <c r="A216" s="72"/>
      <c r="B216" s="72"/>
      <c r="C216" s="155"/>
      <c r="D216" s="156"/>
      <c r="E216" s="157"/>
      <c r="F216" s="157"/>
      <c r="G216" s="157"/>
      <c r="H216" s="157"/>
      <c r="I216" s="157"/>
      <c r="J216" s="157"/>
      <c r="K216" s="157"/>
      <c r="L216" s="157"/>
      <c r="M216" s="157"/>
      <c r="N216" s="157"/>
      <c r="O216" s="157"/>
      <c r="P216" s="157"/>
      <c r="Q216" s="157"/>
      <c r="R216" s="157"/>
      <c r="S216" s="157"/>
      <c r="T216" s="157"/>
      <c r="U216" s="157"/>
      <c r="V216" s="157"/>
      <c r="W216" s="157"/>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t="15" hidden="1" customHeight="1">
      <c r="A217" s="72"/>
      <c r="B217" s="72"/>
      <c r="C217" s="155"/>
      <c r="D217" s="156"/>
      <c r="E217" s="157"/>
      <c r="F217" s="157"/>
      <c r="G217" s="157"/>
      <c r="H217" s="157"/>
      <c r="I217" s="157"/>
      <c r="J217" s="157"/>
      <c r="K217" s="157"/>
      <c r="L217" s="157"/>
      <c r="M217" s="157"/>
      <c r="N217" s="157"/>
      <c r="O217" s="157"/>
      <c r="P217" s="157"/>
      <c r="Q217" s="157"/>
      <c r="R217" s="157"/>
      <c r="S217" s="157"/>
      <c r="T217" s="157"/>
      <c r="U217" s="157"/>
      <c r="V217" s="157"/>
      <c r="W217" s="157"/>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t="15" hidden="1" customHeight="1">
      <c r="A218" s="72"/>
      <c r="B218" s="72"/>
      <c r="C218" s="155"/>
      <c r="D218" s="156"/>
      <c r="E218" s="157"/>
      <c r="F218" s="157"/>
      <c r="G218" s="157"/>
      <c r="H218" s="157"/>
      <c r="I218" s="157"/>
      <c r="J218" s="157"/>
      <c r="K218" s="157"/>
      <c r="L218" s="157"/>
      <c r="M218" s="157"/>
      <c r="N218" s="157"/>
      <c r="O218" s="157"/>
      <c r="P218" s="157"/>
      <c r="Q218" s="157"/>
      <c r="R218" s="157"/>
      <c r="S218" s="157"/>
      <c r="T218" s="157"/>
      <c r="U218" s="157"/>
      <c r="V218" s="157"/>
      <c r="W218" s="157"/>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t="15" hidden="1" customHeight="1">
      <c r="A219" s="72"/>
      <c r="B219" s="72"/>
      <c r="C219" s="155"/>
      <c r="D219" s="156"/>
      <c r="E219" s="157"/>
      <c r="F219" s="157"/>
      <c r="G219" s="157"/>
      <c r="H219" s="157"/>
      <c r="I219" s="157"/>
      <c r="J219" s="157"/>
      <c r="K219" s="157"/>
      <c r="L219" s="157"/>
      <c r="M219" s="157"/>
      <c r="N219" s="157"/>
      <c r="O219" s="157"/>
      <c r="P219" s="157"/>
      <c r="Q219" s="157"/>
      <c r="R219" s="157"/>
      <c r="S219" s="157"/>
      <c r="T219" s="157"/>
      <c r="U219" s="157"/>
      <c r="V219" s="157"/>
      <c r="W219" s="157"/>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t="15" hidden="1" customHeight="1">
      <c r="A220" s="72"/>
      <c r="B220" s="72"/>
      <c r="C220" s="155"/>
      <c r="D220" s="156"/>
      <c r="E220" s="157"/>
      <c r="F220" s="157"/>
      <c r="G220" s="157"/>
      <c r="H220" s="157"/>
      <c r="I220" s="157"/>
      <c r="J220" s="157"/>
      <c r="K220" s="157"/>
      <c r="L220" s="157"/>
      <c r="M220" s="157"/>
      <c r="N220" s="157"/>
      <c r="O220" s="157"/>
      <c r="P220" s="157"/>
      <c r="Q220" s="157"/>
      <c r="R220" s="157"/>
      <c r="S220" s="157"/>
      <c r="T220" s="157"/>
      <c r="U220" s="157"/>
      <c r="V220" s="157"/>
      <c r="W220" s="157"/>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t="15" hidden="1" customHeight="1">
      <c r="A221" s="72"/>
      <c r="B221" s="72"/>
      <c r="C221" s="155"/>
      <c r="D221" s="156"/>
      <c r="E221" s="157"/>
      <c r="F221" s="157"/>
      <c r="G221" s="157"/>
      <c r="H221" s="157"/>
      <c r="I221" s="157"/>
      <c r="J221" s="157"/>
      <c r="K221" s="157"/>
      <c r="L221" s="157"/>
      <c r="M221" s="157"/>
      <c r="N221" s="157"/>
      <c r="O221" s="157"/>
      <c r="P221" s="157"/>
      <c r="Q221" s="157"/>
      <c r="R221" s="157"/>
      <c r="S221" s="157"/>
      <c r="T221" s="157"/>
      <c r="U221" s="157"/>
      <c r="V221" s="157"/>
      <c r="W221" s="157"/>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t="15" hidden="1" customHeight="1">
      <c r="A222" s="72"/>
      <c r="B222" s="72"/>
      <c r="C222" s="155"/>
      <c r="D222" s="156"/>
      <c r="E222" s="157"/>
      <c r="F222" s="157"/>
      <c r="G222" s="157"/>
      <c r="H222" s="157"/>
      <c r="I222" s="157"/>
      <c r="J222" s="157"/>
      <c r="K222" s="157"/>
      <c r="L222" s="157"/>
      <c r="M222" s="157"/>
      <c r="N222" s="157"/>
      <c r="O222" s="157"/>
      <c r="P222" s="157"/>
      <c r="Q222" s="157"/>
      <c r="R222" s="157"/>
      <c r="S222" s="157"/>
      <c r="T222" s="157"/>
      <c r="U222" s="157"/>
      <c r="V222" s="157"/>
      <c r="W222" s="157"/>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t="15" hidden="1" customHeight="1">
      <c r="A223" s="72"/>
      <c r="B223" s="72"/>
      <c r="C223" s="155"/>
      <c r="D223" s="156"/>
      <c r="E223" s="157"/>
      <c r="F223" s="157"/>
      <c r="G223" s="157"/>
      <c r="H223" s="157"/>
      <c r="I223" s="157"/>
      <c r="J223" s="157"/>
      <c r="K223" s="157"/>
      <c r="L223" s="157"/>
      <c r="M223" s="157"/>
      <c r="N223" s="157"/>
      <c r="O223" s="157"/>
      <c r="P223" s="157"/>
      <c r="Q223" s="157"/>
      <c r="R223" s="157"/>
      <c r="S223" s="157"/>
      <c r="T223" s="157"/>
      <c r="U223" s="157"/>
      <c r="V223" s="157"/>
      <c r="W223" s="157"/>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t="15" hidden="1" customHeight="1">
      <c r="A224" s="72"/>
      <c r="B224" s="72"/>
      <c r="C224" s="155"/>
      <c r="D224" s="156"/>
      <c r="E224" s="157"/>
      <c r="F224" s="157"/>
      <c r="G224" s="157"/>
      <c r="H224" s="157"/>
      <c r="I224" s="157"/>
      <c r="J224" s="157"/>
      <c r="K224" s="157"/>
      <c r="L224" s="157"/>
      <c r="M224" s="157"/>
      <c r="N224" s="157"/>
      <c r="O224" s="157"/>
      <c r="P224" s="157"/>
      <c r="Q224" s="157"/>
      <c r="R224" s="157"/>
      <c r="S224" s="157"/>
      <c r="T224" s="157"/>
      <c r="U224" s="157"/>
      <c r="V224" s="157"/>
      <c r="W224" s="157"/>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t="15" hidden="1" customHeight="1">
      <c r="A225" s="72"/>
      <c r="B225" s="72"/>
      <c r="C225" s="155"/>
      <c r="D225" s="156"/>
      <c r="E225" s="157"/>
      <c r="F225" s="157"/>
      <c r="G225" s="157"/>
      <c r="H225" s="157"/>
      <c r="I225" s="157"/>
      <c r="J225" s="157"/>
      <c r="K225" s="157"/>
      <c r="L225" s="157"/>
      <c r="M225" s="157"/>
      <c r="N225" s="157"/>
      <c r="O225" s="157"/>
      <c r="P225" s="157"/>
      <c r="Q225" s="157"/>
      <c r="R225" s="157"/>
      <c r="S225" s="157"/>
      <c r="T225" s="157"/>
      <c r="U225" s="157"/>
      <c r="V225" s="157"/>
      <c r="W225" s="157"/>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t="15" hidden="1" customHeight="1">
      <c r="A226" s="72"/>
      <c r="B226" s="72"/>
      <c r="C226" s="155"/>
      <c r="D226" s="156"/>
      <c r="E226" s="157"/>
      <c r="F226" s="157"/>
      <c r="G226" s="157"/>
      <c r="H226" s="157"/>
      <c r="I226" s="157"/>
      <c r="J226" s="157"/>
      <c r="K226" s="157"/>
      <c r="L226" s="157"/>
      <c r="M226" s="157"/>
      <c r="N226" s="157"/>
      <c r="O226" s="157"/>
      <c r="P226" s="157"/>
      <c r="Q226" s="157"/>
      <c r="R226" s="157"/>
      <c r="S226" s="157"/>
      <c r="T226" s="157"/>
      <c r="U226" s="157"/>
      <c r="V226" s="157"/>
      <c r="W226" s="157"/>
      <c r="X226" s="69"/>
      <c r="Y226" s="72"/>
      <c r="Z226" s="72"/>
      <c r="AA226" s="72"/>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t="15" hidden="1" customHeight="1">
      <c r="A227" s="72"/>
      <c r="B227" s="72"/>
      <c r="C227" s="155"/>
      <c r="D227" s="156"/>
      <c r="E227" s="157"/>
      <c r="F227" s="157"/>
      <c r="G227" s="157"/>
      <c r="H227" s="157"/>
      <c r="I227" s="157"/>
      <c r="J227" s="157"/>
      <c r="K227" s="157"/>
      <c r="L227" s="157"/>
      <c r="M227" s="157"/>
      <c r="N227" s="157"/>
      <c r="O227" s="157"/>
      <c r="P227" s="157"/>
      <c r="Q227" s="157"/>
      <c r="R227" s="157"/>
      <c r="S227" s="157"/>
      <c r="T227" s="157"/>
      <c r="U227" s="157"/>
      <c r="V227" s="157"/>
      <c r="W227" s="157"/>
      <c r="X227" s="69"/>
      <c r="Y227" s="72"/>
      <c r="Z227" s="72"/>
      <c r="AA227" s="72"/>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t="15" hidden="1" customHeight="1">
      <c r="A228" s="72"/>
      <c r="B228" s="72"/>
      <c r="C228" s="155"/>
      <c r="D228" s="156"/>
      <c r="E228" s="157"/>
      <c r="F228" s="157"/>
      <c r="G228" s="157"/>
      <c r="H228" s="157"/>
      <c r="I228" s="157"/>
      <c r="J228" s="157"/>
      <c r="K228" s="157"/>
      <c r="L228" s="157"/>
      <c r="M228" s="157"/>
      <c r="N228" s="157"/>
      <c r="O228" s="157"/>
      <c r="P228" s="157"/>
      <c r="Q228" s="157"/>
      <c r="R228" s="157"/>
      <c r="S228" s="157"/>
      <c r="T228" s="157"/>
      <c r="U228" s="157"/>
      <c r="V228" s="157"/>
      <c r="W228" s="157"/>
      <c r="X228" s="69"/>
      <c r="Y228" s="72"/>
      <c r="Z228" s="72"/>
      <c r="AA228" s="72"/>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t="15" hidden="1" customHeight="1">
      <c r="A229" s="72"/>
      <c r="B229" s="72"/>
      <c r="C229" s="155"/>
      <c r="D229" s="156"/>
      <c r="E229" s="157"/>
      <c r="F229" s="157"/>
      <c r="G229" s="157"/>
      <c r="H229" s="157"/>
      <c r="I229" s="157"/>
      <c r="J229" s="157"/>
      <c r="K229" s="157"/>
      <c r="L229" s="157"/>
      <c r="M229" s="157"/>
      <c r="N229" s="157"/>
      <c r="O229" s="157"/>
      <c r="P229" s="157"/>
      <c r="Q229" s="157"/>
      <c r="R229" s="157"/>
      <c r="S229" s="157"/>
      <c r="T229" s="157"/>
      <c r="U229" s="157"/>
      <c r="V229" s="157"/>
      <c r="W229" s="157"/>
      <c r="X229" s="69"/>
      <c r="Y229" s="72"/>
      <c r="Z229" s="72"/>
      <c r="AA229" s="72"/>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t="15" hidden="1" customHeight="1">
      <c r="A230" s="72"/>
      <c r="B230" s="72"/>
      <c r="C230" s="155"/>
      <c r="D230" s="156"/>
      <c r="E230" s="157"/>
      <c r="F230" s="157"/>
      <c r="G230" s="157"/>
      <c r="H230" s="157"/>
      <c r="I230" s="157"/>
      <c r="J230" s="157"/>
      <c r="K230" s="157"/>
      <c r="L230" s="157"/>
      <c r="M230" s="157"/>
      <c r="N230" s="157"/>
      <c r="O230" s="157"/>
      <c r="P230" s="157"/>
      <c r="Q230" s="157"/>
      <c r="R230" s="157"/>
      <c r="S230" s="157"/>
      <c r="T230" s="157"/>
      <c r="U230" s="157"/>
      <c r="V230" s="157"/>
      <c r="W230" s="157"/>
      <c r="X230" s="69"/>
      <c r="Y230" s="72"/>
      <c r="Z230" s="72"/>
      <c r="AA230" s="72"/>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t="15" hidden="1" customHeight="1">
      <c r="A231" s="72"/>
      <c r="B231" s="72"/>
      <c r="C231" s="155"/>
      <c r="D231" s="156"/>
      <c r="E231" s="157"/>
      <c r="F231" s="157"/>
      <c r="G231" s="157"/>
      <c r="H231" s="157"/>
      <c r="I231" s="157"/>
      <c r="J231" s="157"/>
      <c r="K231" s="157"/>
      <c r="L231" s="157"/>
      <c r="M231" s="157"/>
      <c r="N231" s="157"/>
      <c r="O231" s="157"/>
      <c r="P231" s="157"/>
      <c r="Q231" s="157"/>
      <c r="R231" s="157"/>
      <c r="S231" s="157"/>
      <c r="T231" s="157"/>
      <c r="U231" s="157"/>
      <c r="V231" s="157"/>
      <c r="W231" s="157"/>
      <c r="X231" s="69"/>
      <c r="Y231" s="72"/>
      <c r="Z231" s="72"/>
      <c r="AA231" s="72"/>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t="15" hidden="1" customHeight="1">
      <c r="A232" s="72"/>
      <c r="B232" s="72"/>
      <c r="C232" s="155"/>
      <c r="D232" s="156"/>
      <c r="E232" s="157"/>
      <c r="F232" s="157"/>
      <c r="G232" s="157"/>
      <c r="H232" s="157"/>
      <c r="I232" s="157"/>
      <c r="J232" s="157"/>
      <c r="K232" s="157"/>
      <c r="L232" s="157"/>
      <c r="M232" s="157"/>
      <c r="N232" s="157"/>
      <c r="O232" s="157"/>
      <c r="P232" s="157"/>
      <c r="Q232" s="157"/>
      <c r="R232" s="157"/>
      <c r="S232" s="157"/>
      <c r="T232" s="157"/>
      <c r="U232" s="157"/>
      <c r="V232" s="157"/>
      <c r="W232" s="157"/>
      <c r="X232" s="69"/>
      <c r="Y232" s="72"/>
      <c r="Z232" s="72"/>
      <c r="AA232" s="72"/>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t="15" hidden="1" customHeight="1">
      <c r="A233" s="72"/>
      <c r="B233" s="72"/>
      <c r="C233" s="155"/>
      <c r="D233" s="156"/>
      <c r="E233" s="157"/>
      <c r="F233" s="157"/>
      <c r="G233" s="157"/>
      <c r="H233" s="157"/>
      <c r="I233" s="157"/>
      <c r="J233" s="157"/>
      <c r="K233" s="157"/>
      <c r="L233" s="157"/>
      <c r="M233" s="157"/>
      <c r="N233" s="157"/>
      <c r="O233" s="157"/>
      <c r="P233" s="157"/>
      <c r="Q233" s="157"/>
      <c r="R233" s="157"/>
      <c r="S233" s="157"/>
      <c r="T233" s="157"/>
      <c r="U233" s="157"/>
      <c r="V233" s="157"/>
      <c r="W233" s="157"/>
      <c r="X233" s="69"/>
      <c r="Y233" s="72"/>
      <c r="Z233" s="72"/>
      <c r="AA233" s="72"/>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t="15" hidden="1" customHeight="1">
      <c r="A234" s="72"/>
      <c r="B234" s="72"/>
      <c r="C234" s="155"/>
      <c r="D234" s="156"/>
      <c r="E234" s="157"/>
      <c r="F234" s="157"/>
      <c r="G234" s="157"/>
      <c r="H234" s="157"/>
      <c r="I234" s="157"/>
      <c r="J234" s="157"/>
      <c r="K234" s="157"/>
      <c r="L234" s="157"/>
      <c r="M234" s="157"/>
      <c r="N234" s="157"/>
      <c r="O234" s="157"/>
      <c r="P234" s="157"/>
      <c r="Q234" s="157"/>
      <c r="R234" s="157"/>
      <c r="S234" s="157"/>
      <c r="T234" s="157"/>
      <c r="U234" s="157"/>
      <c r="V234" s="157"/>
      <c r="W234" s="157"/>
      <c r="X234" s="69"/>
      <c r="Y234" s="72"/>
      <c r="Z234" s="72"/>
      <c r="AA234" s="72"/>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t="15" hidden="1" customHeight="1">
      <c r="A235" s="72"/>
      <c r="B235" s="72"/>
      <c r="C235" s="155"/>
      <c r="D235" s="156"/>
      <c r="E235" s="157"/>
      <c r="F235" s="157"/>
      <c r="G235" s="157"/>
      <c r="H235" s="157"/>
      <c r="I235" s="157"/>
      <c r="J235" s="157"/>
      <c r="K235" s="157"/>
      <c r="L235" s="157"/>
      <c r="M235" s="157"/>
      <c r="N235" s="157"/>
      <c r="O235" s="157"/>
      <c r="P235" s="157"/>
      <c r="Q235" s="157"/>
      <c r="R235" s="157"/>
      <c r="S235" s="157"/>
      <c r="T235" s="157"/>
      <c r="U235" s="157"/>
      <c r="V235" s="157"/>
      <c r="W235" s="157"/>
      <c r="X235" s="69"/>
      <c r="Y235" s="72"/>
      <c r="Z235" s="72"/>
      <c r="AA235" s="72"/>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t="15" hidden="1" customHeight="1">
      <c r="A236" s="72"/>
      <c r="B236" s="72"/>
      <c r="C236" s="155"/>
      <c r="D236" s="156"/>
      <c r="E236" s="157"/>
      <c r="F236" s="157"/>
      <c r="G236" s="157"/>
      <c r="H236" s="157"/>
      <c r="I236" s="157"/>
      <c r="J236" s="157"/>
      <c r="K236" s="157"/>
      <c r="L236" s="157"/>
      <c r="M236" s="157"/>
      <c r="N236" s="157"/>
      <c r="O236" s="157"/>
      <c r="P236" s="157"/>
      <c r="Q236" s="157"/>
      <c r="R236" s="157"/>
      <c r="S236" s="157"/>
      <c r="T236" s="157"/>
      <c r="U236" s="157"/>
      <c r="V236" s="157"/>
      <c r="W236" s="157"/>
      <c r="X236" s="69"/>
      <c r="Y236" s="72"/>
      <c r="Z236" s="72"/>
      <c r="AA236" s="72"/>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t="15" hidden="1" customHeight="1">
      <c r="A237" s="72"/>
      <c r="B237" s="72"/>
      <c r="C237" s="155"/>
      <c r="D237" s="156"/>
      <c r="E237" s="157"/>
      <c r="F237" s="157"/>
      <c r="G237" s="157"/>
      <c r="H237" s="157"/>
      <c r="I237" s="157"/>
      <c r="J237" s="157"/>
      <c r="K237" s="157"/>
      <c r="L237" s="157"/>
      <c r="M237" s="157"/>
      <c r="N237" s="157"/>
      <c r="O237" s="157"/>
      <c r="P237" s="157"/>
      <c r="Q237" s="157"/>
      <c r="R237" s="157"/>
      <c r="S237" s="157"/>
      <c r="T237" s="157"/>
      <c r="U237" s="157"/>
      <c r="V237" s="157"/>
      <c r="W237" s="157"/>
      <c r="X237" s="69"/>
      <c r="Y237" s="72"/>
      <c r="Z237" s="72"/>
      <c r="AA237" s="72"/>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t="15" hidden="1" customHeight="1">
      <c r="A238" s="72"/>
      <c r="B238" s="72"/>
      <c r="C238" s="155"/>
      <c r="D238" s="156"/>
      <c r="E238" s="157"/>
      <c r="F238" s="157"/>
      <c r="G238" s="157"/>
      <c r="H238" s="157"/>
      <c r="I238" s="157"/>
      <c r="J238" s="157"/>
      <c r="K238" s="157"/>
      <c r="L238" s="157"/>
      <c r="M238" s="157"/>
      <c r="N238" s="157"/>
      <c r="O238" s="157"/>
      <c r="P238" s="157"/>
      <c r="Q238" s="157"/>
      <c r="R238" s="157"/>
      <c r="S238" s="157"/>
      <c r="T238" s="157"/>
      <c r="U238" s="157"/>
      <c r="V238" s="157"/>
      <c r="W238" s="157"/>
      <c r="X238" s="69"/>
      <c r="Y238" s="72"/>
      <c r="Z238" s="72"/>
      <c r="AA238" s="72"/>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t="15" hidden="1" customHeight="1">
      <c r="A239" s="72"/>
      <c r="B239" s="72"/>
      <c r="C239" s="155"/>
      <c r="D239" s="156"/>
      <c r="E239" s="157"/>
      <c r="F239" s="157"/>
      <c r="G239" s="157"/>
      <c r="H239" s="157"/>
      <c r="I239" s="157"/>
      <c r="J239" s="157"/>
      <c r="K239" s="157"/>
      <c r="L239" s="157"/>
      <c r="M239" s="157"/>
      <c r="N239" s="157"/>
      <c r="O239" s="157"/>
      <c r="P239" s="157"/>
      <c r="Q239" s="157"/>
      <c r="R239" s="157"/>
      <c r="S239" s="157"/>
      <c r="T239" s="157"/>
      <c r="U239" s="157"/>
      <c r="V239" s="157"/>
      <c r="W239" s="157"/>
      <c r="X239" s="69"/>
      <c r="Y239" s="72"/>
      <c r="Z239" s="72"/>
      <c r="AA239" s="72"/>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t="15" hidden="1" customHeight="1">
      <c r="A240" s="72"/>
      <c r="B240" s="72"/>
      <c r="C240" s="155"/>
      <c r="D240" s="156"/>
      <c r="E240" s="157"/>
      <c r="F240" s="157"/>
      <c r="G240" s="157"/>
      <c r="H240" s="157"/>
      <c r="I240" s="157"/>
      <c r="J240" s="157"/>
      <c r="K240" s="157"/>
      <c r="L240" s="157"/>
      <c r="M240" s="157"/>
      <c r="N240" s="157"/>
      <c r="O240" s="157"/>
      <c r="P240" s="157"/>
      <c r="Q240" s="157"/>
      <c r="R240" s="157"/>
      <c r="S240" s="157"/>
      <c r="T240" s="157"/>
      <c r="U240" s="157"/>
      <c r="V240" s="157"/>
      <c r="W240" s="157"/>
      <c r="X240" s="69"/>
      <c r="Y240" s="72"/>
      <c r="Z240" s="72"/>
      <c r="AA240" s="72"/>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t="15" hidden="1" customHeight="1">
      <c r="A241" s="72"/>
      <c r="B241" s="72"/>
      <c r="C241" s="155"/>
      <c r="D241" s="156"/>
      <c r="E241" s="157"/>
      <c r="F241" s="157"/>
      <c r="G241" s="157"/>
      <c r="H241" s="157"/>
      <c r="I241" s="157"/>
      <c r="J241" s="157"/>
      <c r="K241" s="157"/>
      <c r="L241" s="157"/>
      <c r="M241" s="157"/>
      <c r="N241" s="157"/>
      <c r="O241" s="157"/>
      <c r="P241" s="157"/>
      <c r="Q241" s="157"/>
      <c r="R241" s="157"/>
      <c r="S241" s="157"/>
      <c r="T241" s="157"/>
      <c r="U241" s="157"/>
      <c r="V241" s="157"/>
      <c r="W241" s="157"/>
      <c r="X241" s="69"/>
      <c r="Y241" s="72"/>
      <c r="Z241" s="72"/>
      <c r="AA241" s="72"/>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t="15" hidden="1" customHeight="1">
      <c r="A242" s="72"/>
      <c r="B242" s="72"/>
      <c r="C242" s="155"/>
      <c r="D242" s="156"/>
      <c r="E242" s="157"/>
      <c r="F242" s="157"/>
      <c r="G242" s="157"/>
      <c r="H242" s="157"/>
      <c r="I242" s="157"/>
      <c r="J242" s="157"/>
      <c r="K242" s="157"/>
      <c r="L242" s="157"/>
      <c r="M242" s="157"/>
      <c r="N242" s="157"/>
      <c r="O242" s="157"/>
      <c r="P242" s="157"/>
      <c r="Q242" s="157"/>
      <c r="R242" s="157"/>
      <c r="S242" s="157"/>
      <c r="T242" s="157"/>
      <c r="U242" s="157"/>
      <c r="V242" s="157"/>
      <c r="W242" s="157"/>
      <c r="X242" s="69"/>
      <c r="Y242" s="72"/>
      <c r="Z242" s="72"/>
      <c r="AA242" s="72"/>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t="15" hidden="1" customHeight="1">
      <c r="A243" s="72"/>
      <c r="B243" s="72"/>
      <c r="C243" s="155"/>
      <c r="D243" s="156"/>
      <c r="E243" s="157"/>
      <c r="F243" s="157"/>
      <c r="G243" s="157"/>
      <c r="H243" s="157"/>
      <c r="I243" s="157"/>
      <c r="J243" s="157"/>
      <c r="K243" s="157"/>
      <c r="L243" s="157"/>
      <c r="M243" s="157"/>
      <c r="N243" s="157"/>
      <c r="O243" s="157"/>
      <c r="P243" s="157"/>
      <c r="Q243" s="157"/>
      <c r="R243" s="157"/>
      <c r="S243" s="157"/>
      <c r="T243" s="157"/>
      <c r="U243" s="157"/>
      <c r="V243" s="157"/>
      <c r="W243" s="157"/>
      <c r="X243" s="69"/>
      <c r="Y243" s="72"/>
      <c r="Z243" s="72"/>
      <c r="AA243" s="72"/>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t="15" hidden="1" customHeight="1">
      <c r="A244" s="72"/>
      <c r="B244" s="72"/>
      <c r="C244" s="155"/>
      <c r="D244" s="156"/>
      <c r="E244" s="157"/>
      <c r="F244" s="157"/>
      <c r="G244" s="157"/>
      <c r="H244" s="157"/>
      <c r="I244" s="157"/>
      <c r="J244" s="157"/>
      <c r="K244" s="157"/>
      <c r="L244" s="157"/>
      <c r="M244" s="157"/>
      <c r="N244" s="157"/>
      <c r="O244" s="157"/>
      <c r="P244" s="157"/>
      <c r="Q244" s="157"/>
      <c r="R244" s="157"/>
      <c r="S244" s="157"/>
      <c r="T244" s="157"/>
      <c r="U244" s="157"/>
      <c r="V244" s="157"/>
      <c r="W244" s="157"/>
      <c r="X244" s="69"/>
      <c r="Y244" s="72"/>
      <c r="Z244" s="72"/>
      <c r="AA244" s="72"/>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t="15" hidden="1" customHeight="1">
      <c r="A245" s="72"/>
      <c r="B245" s="72"/>
      <c r="C245" s="155"/>
      <c r="D245" s="156"/>
      <c r="E245" s="157"/>
      <c r="F245" s="157"/>
      <c r="G245" s="157"/>
      <c r="H245" s="157"/>
      <c r="I245" s="157"/>
      <c r="J245" s="157"/>
      <c r="K245" s="157"/>
      <c r="L245" s="157"/>
      <c r="M245" s="157"/>
      <c r="N245" s="157"/>
      <c r="O245" s="157"/>
      <c r="P245" s="157"/>
      <c r="Q245" s="157"/>
      <c r="R245" s="157"/>
      <c r="S245" s="157"/>
      <c r="T245" s="157"/>
      <c r="U245" s="157"/>
      <c r="V245" s="157"/>
      <c r="W245" s="157"/>
      <c r="X245" s="69"/>
      <c r="Y245" s="72"/>
      <c r="Z245" s="72"/>
      <c r="AA245" s="72"/>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t="15" hidden="1" customHeight="1">
      <c r="A246" s="72"/>
      <c r="B246" s="72"/>
      <c r="C246" s="155"/>
      <c r="D246" s="156"/>
      <c r="E246" s="157"/>
      <c r="F246" s="157"/>
      <c r="G246" s="157"/>
      <c r="H246" s="157"/>
      <c r="I246" s="157"/>
      <c r="J246" s="157"/>
      <c r="K246" s="157"/>
      <c r="L246" s="157"/>
      <c r="M246" s="157"/>
      <c r="N246" s="157"/>
      <c r="O246" s="157"/>
      <c r="P246" s="157"/>
      <c r="Q246" s="157"/>
      <c r="R246" s="157"/>
      <c r="S246" s="157"/>
      <c r="T246" s="157"/>
      <c r="U246" s="157"/>
      <c r="V246" s="157"/>
      <c r="W246" s="157"/>
      <c r="X246" s="69"/>
      <c r="Y246" s="72"/>
      <c r="Z246" s="72"/>
      <c r="AA246" s="72"/>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t="15" hidden="1" customHeight="1">
      <c r="A247" s="72"/>
      <c r="B247" s="72"/>
      <c r="C247" s="155"/>
      <c r="D247" s="156"/>
      <c r="E247" s="157"/>
      <c r="F247" s="157"/>
      <c r="G247" s="157"/>
      <c r="H247" s="157"/>
      <c r="I247" s="157"/>
      <c r="J247" s="157"/>
      <c r="K247" s="157"/>
      <c r="L247" s="157"/>
      <c r="M247" s="157"/>
      <c r="N247" s="157"/>
      <c r="O247" s="157"/>
      <c r="P247" s="157"/>
      <c r="Q247" s="157"/>
      <c r="R247" s="157"/>
      <c r="S247" s="157"/>
      <c r="T247" s="157"/>
      <c r="U247" s="157"/>
      <c r="V247" s="157"/>
      <c r="W247" s="157"/>
      <c r="X247" s="69"/>
      <c r="Y247" s="72"/>
      <c r="Z247" s="72"/>
      <c r="AA247" s="72"/>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t="15" hidden="1" customHeight="1">
      <c r="A248" s="73"/>
      <c r="B248" s="73"/>
      <c r="C248" s="158"/>
      <c r="D248" s="156"/>
      <c r="E248" s="152"/>
      <c r="F248" s="152"/>
      <c r="G248" s="152"/>
      <c r="H248" s="152"/>
      <c r="I248" s="152"/>
      <c r="J248" s="152"/>
      <c r="K248" s="152"/>
      <c r="L248" s="152"/>
      <c r="M248" s="152"/>
      <c r="N248" s="152"/>
      <c r="O248" s="152"/>
      <c r="P248" s="152"/>
      <c r="Q248" s="152"/>
      <c r="R248" s="152"/>
      <c r="S248" s="152"/>
      <c r="T248" s="152"/>
      <c r="U248" s="152"/>
      <c r="V248" s="152"/>
      <c r="W248" s="152"/>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t="15" hidden="1" customHeight="1">
      <c r="A249" s="73"/>
      <c r="B249" s="73"/>
      <c r="C249" s="158"/>
      <c r="D249" s="156"/>
      <c r="E249" s="152"/>
      <c r="F249" s="152"/>
      <c r="G249" s="152"/>
      <c r="H249" s="152"/>
      <c r="I249" s="152"/>
      <c r="J249" s="152"/>
      <c r="K249" s="152"/>
      <c r="L249" s="152"/>
      <c r="M249" s="152"/>
      <c r="N249" s="152"/>
      <c r="O249" s="152"/>
      <c r="P249" s="152"/>
      <c r="Q249" s="152"/>
      <c r="R249" s="152"/>
      <c r="S249" s="152"/>
      <c r="T249" s="152"/>
      <c r="U249" s="152"/>
      <c r="V249" s="152"/>
      <c r="W249" s="152"/>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t="15" hidden="1" customHeight="1">
      <c r="A250" s="73"/>
      <c r="B250" s="73"/>
      <c r="C250" s="158"/>
      <c r="D250" s="156"/>
      <c r="E250" s="152"/>
      <c r="F250" s="152"/>
      <c r="G250" s="152"/>
      <c r="H250" s="152"/>
      <c r="I250" s="152"/>
      <c r="J250" s="152"/>
      <c r="K250" s="152"/>
      <c r="L250" s="152"/>
      <c r="M250" s="152"/>
      <c r="N250" s="152"/>
      <c r="O250" s="152"/>
      <c r="P250" s="152"/>
      <c r="Q250" s="152"/>
      <c r="R250" s="152"/>
      <c r="S250" s="152"/>
      <c r="T250" s="152"/>
      <c r="U250" s="152"/>
      <c r="V250" s="152"/>
      <c r="W250" s="152"/>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t="15" hidden="1" customHeight="1">
      <c r="A251" s="73"/>
      <c r="B251" s="73"/>
      <c r="C251" s="158"/>
      <c r="D251" s="156"/>
      <c r="E251" s="152"/>
      <c r="F251" s="152"/>
      <c r="G251" s="152"/>
      <c r="H251" s="152"/>
      <c r="I251" s="152"/>
      <c r="J251" s="152"/>
      <c r="K251" s="152"/>
      <c r="L251" s="152"/>
      <c r="M251" s="152"/>
      <c r="N251" s="152"/>
      <c r="O251" s="152"/>
      <c r="P251" s="152"/>
      <c r="Q251" s="152"/>
      <c r="R251" s="152"/>
      <c r="S251" s="152"/>
      <c r="T251" s="152"/>
      <c r="U251" s="152"/>
      <c r="V251" s="152"/>
      <c r="W251" s="152"/>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t="15" hidden="1" customHeight="1">
      <c r="A252" s="73"/>
      <c r="B252" s="73"/>
      <c r="C252" s="158"/>
      <c r="D252" s="156"/>
      <c r="E252" s="152"/>
      <c r="F252" s="152"/>
      <c r="G252" s="152"/>
      <c r="H252" s="152"/>
      <c r="I252" s="152"/>
      <c r="J252" s="152"/>
      <c r="K252" s="152"/>
      <c r="L252" s="152"/>
      <c r="M252" s="152"/>
      <c r="N252" s="152"/>
      <c r="O252" s="152"/>
      <c r="P252" s="152"/>
      <c r="Q252" s="152"/>
      <c r="R252" s="152"/>
      <c r="S252" s="152"/>
      <c r="T252" s="152"/>
      <c r="U252" s="152"/>
      <c r="V252" s="152"/>
      <c r="W252" s="152"/>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t="15" hidden="1" customHeight="1">
      <c r="A253" s="73"/>
      <c r="B253" s="73"/>
      <c r="C253" s="158"/>
      <c r="D253" s="156"/>
      <c r="E253" s="152"/>
      <c r="F253" s="152"/>
      <c r="G253" s="152"/>
      <c r="H253" s="152"/>
      <c r="I253" s="152"/>
      <c r="J253" s="152"/>
      <c r="K253" s="152"/>
      <c r="L253" s="152"/>
      <c r="M253" s="152"/>
      <c r="N253" s="152"/>
      <c r="O253" s="152"/>
      <c r="P253" s="152"/>
      <c r="Q253" s="152"/>
      <c r="R253" s="152"/>
      <c r="S253" s="152"/>
      <c r="T253" s="152"/>
      <c r="U253" s="152"/>
      <c r="V253" s="152"/>
      <c r="W253" s="152"/>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t="15" hidden="1" customHeight="1">
      <c r="A254" s="73"/>
      <c r="B254" s="73"/>
      <c r="C254" s="158"/>
      <c r="D254" s="156"/>
      <c r="E254" s="152"/>
      <c r="F254" s="152"/>
      <c r="G254" s="152"/>
      <c r="H254" s="152"/>
      <c r="I254" s="152"/>
      <c r="J254" s="152"/>
      <c r="K254" s="152"/>
      <c r="L254" s="152"/>
      <c r="M254" s="152"/>
      <c r="N254" s="152"/>
      <c r="O254" s="152"/>
      <c r="P254" s="152"/>
      <c r="Q254" s="152"/>
      <c r="R254" s="152"/>
      <c r="S254" s="152"/>
      <c r="T254" s="152"/>
      <c r="U254" s="152"/>
      <c r="V254" s="152"/>
      <c r="W254" s="152"/>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t="15" hidden="1" customHeight="1">
      <c r="A255" s="73"/>
      <c r="B255" s="73"/>
      <c r="C255" s="158"/>
      <c r="D255" s="156"/>
      <c r="E255" s="152"/>
      <c r="F255" s="152"/>
      <c r="G255" s="152"/>
      <c r="H255" s="152"/>
      <c r="I255" s="152"/>
      <c r="J255" s="152"/>
      <c r="K255" s="152"/>
      <c r="L255" s="152"/>
      <c r="M255" s="152"/>
      <c r="N255" s="152"/>
      <c r="O255" s="152"/>
      <c r="P255" s="152"/>
      <c r="Q255" s="152"/>
      <c r="R255" s="152"/>
      <c r="S255" s="152"/>
      <c r="T255" s="152"/>
      <c r="U255" s="152"/>
      <c r="V255" s="152"/>
      <c r="W255" s="152"/>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t="15" hidden="1" customHeight="1">
      <c r="A256" s="73"/>
      <c r="B256" s="73"/>
      <c r="C256" s="158"/>
      <c r="D256" s="156"/>
      <c r="E256" s="152"/>
      <c r="F256" s="152"/>
      <c r="G256" s="152"/>
      <c r="H256" s="152"/>
      <c r="I256" s="152"/>
      <c r="J256" s="152"/>
      <c r="K256" s="152"/>
      <c r="L256" s="152"/>
      <c r="M256" s="152"/>
      <c r="N256" s="152"/>
      <c r="O256" s="152"/>
      <c r="P256" s="152"/>
      <c r="Q256" s="152"/>
      <c r="R256" s="152"/>
      <c r="S256" s="152"/>
      <c r="T256" s="152"/>
      <c r="U256" s="152"/>
      <c r="V256" s="152"/>
      <c r="W256" s="152"/>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t="15" hidden="1" customHeight="1">
      <c r="A257" s="73"/>
      <c r="B257" s="73"/>
      <c r="C257" s="158"/>
      <c r="D257" s="156"/>
      <c r="E257" s="152"/>
      <c r="F257" s="152"/>
      <c r="G257" s="152"/>
      <c r="H257" s="152"/>
      <c r="I257" s="152"/>
      <c r="J257" s="152"/>
      <c r="K257" s="152"/>
      <c r="L257" s="152"/>
      <c r="M257" s="152"/>
      <c r="N257" s="152"/>
      <c r="O257" s="152"/>
      <c r="P257" s="152"/>
      <c r="Q257" s="152"/>
      <c r="R257" s="152"/>
      <c r="S257" s="152"/>
      <c r="T257" s="152"/>
      <c r="U257" s="152"/>
      <c r="V257" s="152"/>
      <c r="W257" s="152"/>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t="15" hidden="1" customHeight="1">
      <c r="A258" s="73"/>
      <c r="B258" s="73"/>
      <c r="C258" s="158"/>
      <c r="D258" s="156"/>
      <c r="E258" s="152"/>
      <c r="F258" s="152"/>
      <c r="G258" s="152"/>
      <c r="H258" s="152"/>
      <c r="I258" s="152"/>
      <c r="J258" s="152"/>
      <c r="K258" s="152"/>
      <c r="L258" s="152"/>
      <c r="M258" s="152"/>
      <c r="N258" s="152"/>
      <c r="O258" s="152"/>
      <c r="P258" s="152"/>
      <c r="Q258" s="152"/>
      <c r="R258" s="152"/>
      <c r="S258" s="152"/>
      <c r="T258" s="152"/>
      <c r="U258" s="152"/>
      <c r="V258" s="152"/>
      <c r="W258" s="152"/>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t="15" hidden="1" customHeight="1">
      <c r="A259" s="73"/>
      <c r="B259" s="73"/>
      <c r="C259" s="158"/>
      <c r="D259" s="156"/>
      <c r="E259" s="152"/>
      <c r="F259" s="152"/>
      <c r="G259" s="152"/>
      <c r="H259" s="152"/>
      <c r="I259" s="152"/>
      <c r="J259" s="152"/>
      <c r="K259" s="152"/>
      <c r="L259" s="152"/>
      <c r="M259" s="152"/>
      <c r="N259" s="152"/>
      <c r="O259" s="152"/>
      <c r="P259" s="152"/>
      <c r="Q259" s="152"/>
      <c r="R259" s="152"/>
      <c r="S259" s="152"/>
      <c r="T259" s="152"/>
      <c r="U259" s="152"/>
      <c r="V259" s="152"/>
      <c r="W259" s="152"/>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t="15" hidden="1" customHeight="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t="15" hidden="1" customHeight="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t="15" hidden="1" customHeight="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t="15" hidden="1" customHeight="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t="15" hidden="1" customHeight="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t="15" hidden="1" customHeight="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t="15" hidden="1" customHeight="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t="15" hidden="1" customHeight="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t="15" hidden="1" customHeight="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t="15" hidden="1" customHeight="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t="15" hidden="1" customHeight="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t="15" hidden="1" customHeight="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t="15" hidden="1" customHeight="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t="15" hidden="1" customHeight="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t="15" hidden="1" customHeight="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t="15" hidden="1" customHeight="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t="15" hidden="1" customHeight="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t="15" hidden="1" customHeight="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t="15" hidden="1" customHeight="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t="15" hidden="1" customHeight="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t="15" hidden="1" customHeight="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t="15" hidden="1" customHeight="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t="15" hidden="1" customHeight="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t="15" hidden="1" customHeight="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t="15" hidden="1" customHeight="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t="15" hidden="1" customHeight="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t="15" hidden="1" customHeight="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t="15" hidden="1" customHeight="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t="15" hidden="1" customHeight="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75" customFormat="1" ht="15" hidden="1" customHeight="1">
      <c r="A289" s="73"/>
      <c r="B289" s="73"/>
      <c r="C289" s="73"/>
      <c r="D289" s="76"/>
      <c r="E289" s="63"/>
      <c r="F289" s="63"/>
      <c r="G289" s="63"/>
      <c r="H289" s="63"/>
      <c r="I289" s="63"/>
      <c r="J289" s="63"/>
      <c r="K289" s="63"/>
      <c r="L289" s="63"/>
      <c r="M289" s="63"/>
      <c r="N289" s="63"/>
      <c r="O289" s="63"/>
      <c r="P289" s="63"/>
      <c r="Q289" s="63"/>
      <c r="R289" s="63"/>
      <c r="S289" s="63"/>
      <c r="T289" s="63"/>
      <c r="U289" s="63"/>
      <c r="V289" s="63"/>
      <c r="W289" s="63"/>
      <c r="X289" s="63"/>
      <c r="Y289" s="73"/>
      <c r="Z289" s="73"/>
      <c r="AA289" s="73"/>
      <c r="AB289" s="73"/>
      <c r="AC289" s="73"/>
      <c r="AD289" s="73"/>
      <c r="AE289" s="73"/>
      <c r="AF289" s="73"/>
      <c r="AG289" s="73"/>
      <c r="AH289" s="73"/>
      <c r="AI289" s="73"/>
      <c r="AJ289" s="73"/>
      <c r="AK289" s="73"/>
      <c r="AL289" s="73"/>
      <c r="AM289" s="73"/>
      <c r="AN289" s="73"/>
      <c r="AO289" s="73"/>
      <c r="AP289" s="73"/>
      <c r="AQ289" s="73"/>
      <c r="AR289" s="73"/>
      <c r="AS289" s="73"/>
      <c r="AT289" s="73"/>
      <c r="AU289" s="73"/>
      <c r="AV289" s="73"/>
      <c r="AW289" s="73"/>
      <c r="AX289" s="73"/>
      <c r="AY289" s="73"/>
      <c r="AZ289" s="73"/>
      <c r="BA289" s="73"/>
      <c r="BB289" s="73"/>
      <c r="BC289" s="74"/>
      <c r="BD289" s="74"/>
      <c r="BE289" s="74"/>
      <c r="BF289" s="74"/>
      <c r="BG289" s="74"/>
      <c r="BH289" s="74"/>
      <c r="BI289" s="74"/>
      <c r="BJ289" s="74"/>
      <c r="BK289" s="74"/>
      <c r="BL289" s="74"/>
      <c r="BM289" s="74"/>
      <c r="BN289" s="74"/>
      <c r="BO289" s="74"/>
      <c r="BP289" s="74"/>
      <c r="BQ289" s="74"/>
      <c r="BR289" s="74"/>
      <c r="BS289" s="74"/>
      <c r="BT289" s="74"/>
      <c r="BU289" s="74"/>
      <c r="BV289" s="74"/>
      <c r="BW289" s="74"/>
      <c r="BX289" s="74"/>
    </row>
    <row r="290" spans="1:76" s="75" customFormat="1" ht="15" hidden="1" customHeight="1">
      <c r="A290" s="73"/>
      <c r="B290" s="73"/>
      <c r="C290" s="73"/>
      <c r="D290" s="76"/>
      <c r="E290" s="63"/>
      <c r="F290" s="63"/>
      <c r="G290" s="63"/>
      <c r="H290" s="63"/>
      <c r="I290" s="63"/>
      <c r="J290" s="63"/>
      <c r="K290" s="63"/>
      <c r="L290" s="63"/>
      <c r="M290" s="63"/>
      <c r="N290" s="63"/>
      <c r="O290" s="63"/>
      <c r="P290" s="63"/>
      <c r="Q290" s="63"/>
      <c r="R290" s="63"/>
      <c r="S290" s="63"/>
      <c r="T290" s="63"/>
      <c r="U290" s="63"/>
      <c r="V290" s="63"/>
      <c r="W290" s="63"/>
      <c r="X290" s="63"/>
      <c r="Y290" s="73"/>
      <c r="Z290" s="73"/>
      <c r="AA290" s="73"/>
      <c r="AB290" s="73"/>
      <c r="AC290" s="73"/>
      <c r="AD290" s="73"/>
      <c r="AE290" s="73"/>
      <c r="AF290" s="73"/>
      <c r="AG290" s="73"/>
      <c r="AH290" s="73"/>
      <c r="AI290" s="73"/>
      <c r="AJ290" s="73"/>
      <c r="AK290" s="73"/>
      <c r="AL290" s="73"/>
      <c r="AM290" s="73"/>
      <c r="AN290" s="73"/>
      <c r="AO290" s="73"/>
      <c r="AP290" s="73"/>
      <c r="AQ290" s="73"/>
      <c r="AR290" s="73"/>
      <c r="AS290" s="73"/>
      <c r="AT290" s="73"/>
      <c r="AU290" s="73"/>
      <c r="AV290" s="73"/>
      <c r="AW290" s="73"/>
      <c r="AX290" s="73"/>
      <c r="AY290" s="73"/>
      <c r="AZ290" s="73"/>
      <c r="BA290" s="73"/>
      <c r="BB290" s="73"/>
      <c r="BC290" s="74"/>
      <c r="BD290" s="74"/>
      <c r="BE290" s="74"/>
      <c r="BF290" s="74"/>
      <c r="BG290" s="74"/>
      <c r="BH290" s="74"/>
      <c r="BI290" s="74"/>
      <c r="BJ290" s="74"/>
      <c r="BK290" s="74"/>
      <c r="BL290" s="74"/>
      <c r="BM290" s="74"/>
      <c r="BN290" s="74"/>
      <c r="BO290" s="74"/>
      <c r="BP290" s="74"/>
      <c r="BQ290" s="74"/>
      <c r="BR290" s="74"/>
      <c r="BS290" s="74"/>
      <c r="BT290" s="74"/>
      <c r="BU290" s="74"/>
      <c r="BV290" s="74"/>
      <c r="BW290" s="74"/>
      <c r="BX290" s="74"/>
    </row>
    <row r="291" spans="1:76" s="75" customFormat="1" ht="15" hidden="1" customHeight="1">
      <c r="A291" s="73"/>
      <c r="B291" s="73"/>
      <c r="C291" s="73"/>
      <c r="D291" s="76"/>
      <c r="E291" s="63"/>
      <c r="F291" s="63"/>
      <c r="G291" s="63"/>
      <c r="H291" s="63"/>
      <c r="I291" s="63"/>
      <c r="J291" s="63"/>
      <c r="K291" s="63"/>
      <c r="L291" s="63"/>
      <c r="M291" s="63"/>
      <c r="N291" s="63"/>
      <c r="O291" s="63"/>
      <c r="P291" s="63"/>
      <c r="Q291" s="63"/>
      <c r="R291" s="63"/>
      <c r="S291" s="63"/>
      <c r="T291" s="63"/>
      <c r="U291" s="63"/>
      <c r="V291" s="63"/>
      <c r="W291" s="63"/>
      <c r="X291" s="63"/>
      <c r="Y291" s="73"/>
      <c r="Z291" s="73"/>
      <c r="AA291" s="73"/>
      <c r="AB291" s="73"/>
      <c r="AC291" s="73"/>
      <c r="AD291" s="73"/>
      <c r="AE291" s="73"/>
      <c r="AF291" s="73"/>
      <c r="AG291" s="73"/>
      <c r="AH291" s="73"/>
      <c r="AI291" s="73"/>
      <c r="AJ291" s="73"/>
      <c r="AK291" s="73"/>
      <c r="AL291" s="73"/>
      <c r="AM291" s="73"/>
      <c r="AN291" s="73"/>
      <c r="AO291" s="73"/>
      <c r="AP291" s="73"/>
      <c r="AQ291" s="73"/>
      <c r="AR291" s="73"/>
      <c r="AS291" s="73"/>
      <c r="AT291" s="73"/>
      <c r="AU291" s="73"/>
      <c r="AV291" s="73"/>
      <c r="AW291" s="73"/>
      <c r="AX291" s="73"/>
      <c r="AY291" s="73"/>
      <c r="AZ291" s="73"/>
      <c r="BA291" s="73"/>
      <c r="BB291" s="73"/>
      <c r="BC291" s="74"/>
      <c r="BD291" s="74"/>
      <c r="BE291" s="74"/>
      <c r="BF291" s="74"/>
      <c r="BG291" s="74"/>
      <c r="BH291" s="74"/>
      <c r="BI291" s="74"/>
      <c r="BJ291" s="74"/>
      <c r="BK291" s="74"/>
      <c r="BL291" s="74"/>
      <c r="BM291" s="74"/>
      <c r="BN291" s="74"/>
      <c r="BO291" s="74"/>
      <c r="BP291" s="74"/>
      <c r="BQ291" s="74"/>
      <c r="BR291" s="74"/>
      <c r="BS291" s="74"/>
      <c r="BT291" s="74"/>
      <c r="BU291" s="74"/>
      <c r="BV291" s="74"/>
      <c r="BW291" s="74"/>
      <c r="BX291" s="74"/>
    </row>
    <row r="292" spans="1:76" s="75" customFormat="1" ht="15" hidden="1" customHeight="1">
      <c r="A292" s="73"/>
      <c r="B292" s="73"/>
      <c r="C292" s="73"/>
      <c r="D292" s="76"/>
      <c r="E292" s="63"/>
      <c r="F292" s="63"/>
      <c r="G292" s="63"/>
      <c r="H292" s="63"/>
      <c r="I292" s="63"/>
      <c r="J292" s="63"/>
      <c r="K292" s="63"/>
      <c r="L292" s="63"/>
      <c r="M292" s="63"/>
      <c r="N292" s="63"/>
      <c r="O292" s="63"/>
      <c r="P292" s="63"/>
      <c r="Q292" s="63"/>
      <c r="R292" s="63"/>
      <c r="S292" s="63"/>
      <c r="T292" s="63"/>
      <c r="U292" s="63"/>
      <c r="V292" s="63"/>
      <c r="W292" s="63"/>
      <c r="X292" s="63"/>
      <c r="Y292" s="73"/>
      <c r="Z292" s="73"/>
      <c r="AA292" s="73"/>
      <c r="AB292" s="73"/>
      <c r="AC292" s="73"/>
      <c r="AD292" s="73"/>
      <c r="AE292" s="73"/>
      <c r="AF292" s="73"/>
      <c r="AG292" s="73"/>
      <c r="AH292" s="73"/>
      <c r="AI292" s="73"/>
      <c r="AJ292" s="73"/>
      <c r="AK292" s="73"/>
      <c r="AL292" s="73"/>
      <c r="AM292" s="73"/>
      <c r="AN292" s="73"/>
      <c r="AO292" s="73"/>
      <c r="AP292" s="73"/>
      <c r="AQ292" s="73"/>
      <c r="AR292" s="73"/>
      <c r="AS292" s="73"/>
      <c r="AT292" s="73"/>
      <c r="AU292" s="73"/>
      <c r="AV292" s="73"/>
      <c r="AW292" s="73"/>
      <c r="AX292" s="73"/>
      <c r="AY292" s="73"/>
      <c r="AZ292" s="73"/>
      <c r="BA292" s="73"/>
      <c r="BB292" s="73"/>
      <c r="BC292" s="74"/>
      <c r="BD292" s="74"/>
      <c r="BE292" s="74"/>
      <c r="BF292" s="74"/>
      <c r="BG292" s="74"/>
      <c r="BH292" s="74"/>
      <c r="BI292" s="74"/>
      <c r="BJ292" s="74"/>
      <c r="BK292" s="74"/>
      <c r="BL292" s="74"/>
      <c r="BM292" s="74"/>
      <c r="BN292" s="74"/>
      <c r="BO292" s="74"/>
      <c r="BP292" s="74"/>
      <c r="BQ292" s="74"/>
      <c r="BR292" s="74"/>
      <c r="BS292" s="74"/>
      <c r="BT292" s="74"/>
      <c r="BU292" s="74"/>
      <c r="BV292" s="74"/>
      <c r="BW292" s="74"/>
      <c r="BX292" s="74"/>
    </row>
    <row r="293" spans="1:76" s="75" customFormat="1" ht="15" hidden="1" customHeight="1">
      <c r="A293" s="73"/>
      <c r="B293" s="73"/>
      <c r="C293" s="73"/>
      <c r="D293" s="76"/>
      <c r="E293" s="63"/>
      <c r="F293" s="63"/>
      <c r="G293" s="63"/>
      <c r="H293" s="63"/>
      <c r="I293" s="63"/>
      <c r="J293" s="63"/>
      <c r="K293" s="63"/>
      <c r="L293" s="63"/>
      <c r="M293" s="63"/>
      <c r="N293" s="63"/>
      <c r="O293" s="63"/>
      <c r="P293" s="63"/>
      <c r="Q293" s="63"/>
      <c r="R293" s="63"/>
      <c r="S293" s="63"/>
      <c r="T293" s="63"/>
      <c r="U293" s="63"/>
      <c r="V293" s="63"/>
      <c r="W293" s="63"/>
      <c r="X293" s="63"/>
      <c r="Y293" s="73"/>
      <c r="Z293" s="73"/>
      <c r="AA293" s="73"/>
      <c r="AB293" s="73"/>
      <c r="AC293" s="73"/>
      <c r="AD293" s="73"/>
      <c r="AE293" s="73"/>
      <c r="AF293" s="73"/>
      <c r="AG293" s="73"/>
      <c r="AH293" s="73"/>
      <c r="AI293" s="73"/>
      <c r="AJ293" s="73"/>
      <c r="AK293" s="73"/>
      <c r="AL293" s="73"/>
      <c r="AM293" s="73"/>
      <c r="AN293" s="73"/>
      <c r="AO293" s="73"/>
      <c r="AP293" s="73"/>
      <c r="AQ293" s="73"/>
      <c r="AR293" s="73"/>
      <c r="AS293" s="73"/>
      <c r="AT293" s="73"/>
      <c r="AU293" s="73"/>
      <c r="AV293" s="73"/>
      <c r="AW293" s="73"/>
      <c r="AX293" s="73"/>
      <c r="AY293" s="73"/>
      <c r="AZ293" s="73"/>
      <c r="BA293" s="73"/>
      <c r="BB293" s="73"/>
      <c r="BC293" s="74"/>
      <c r="BD293" s="74"/>
      <c r="BE293" s="74"/>
      <c r="BF293" s="74"/>
      <c r="BG293" s="74"/>
      <c r="BH293" s="74"/>
      <c r="BI293" s="74"/>
      <c r="BJ293" s="74"/>
      <c r="BK293" s="74"/>
      <c r="BL293" s="74"/>
      <c r="BM293" s="74"/>
      <c r="BN293" s="74"/>
      <c r="BO293" s="74"/>
      <c r="BP293" s="74"/>
      <c r="BQ293" s="74"/>
      <c r="BR293" s="74"/>
      <c r="BS293" s="74"/>
      <c r="BT293" s="74"/>
      <c r="BU293" s="74"/>
      <c r="BV293" s="74"/>
      <c r="BW293" s="74"/>
      <c r="BX293" s="74"/>
    </row>
    <row r="294" spans="1:76" s="75" customFormat="1" ht="15" hidden="1" customHeight="1">
      <c r="A294" s="73"/>
      <c r="B294" s="73"/>
      <c r="C294" s="73"/>
      <c r="D294" s="76"/>
      <c r="E294" s="63"/>
      <c r="F294" s="63"/>
      <c r="G294" s="63"/>
      <c r="H294" s="63"/>
      <c r="I294" s="63"/>
      <c r="J294" s="63"/>
      <c r="K294" s="63"/>
      <c r="L294" s="63"/>
      <c r="M294" s="63"/>
      <c r="N294" s="63"/>
      <c r="O294" s="63"/>
      <c r="P294" s="63"/>
      <c r="Q294" s="63"/>
      <c r="R294" s="63"/>
      <c r="S294" s="63"/>
      <c r="T294" s="63"/>
      <c r="U294" s="63"/>
      <c r="V294" s="63"/>
      <c r="W294" s="63"/>
      <c r="X294" s="63"/>
      <c r="Y294" s="73"/>
      <c r="Z294" s="73"/>
      <c r="AA294" s="73"/>
      <c r="AB294" s="73"/>
      <c r="AC294" s="73"/>
      <c r="AD294" s="73"/>
      <c r="AE294" s="73"/>
      <c r="AF294" s="73"/>
      <c r="AG294" s="73"/>
      <c r="AH294" s="73"/>
      <c r="AI294" s="73"/>
      <c r="AJ294" s="73"/>
      <c r="AK294" s="73"/>
      <c r="AL294" s="73"/>
      <c r="AM294" s="73"/>
      <c r="AN294" s="73"/>
      <c r="AO294" s="73"/>
      <c r="AP294" s="73"/>
      <c r="AQ294" s="73"/>
      <c r="AR294" s="73"/>
      <c r="AS294" s="73"/>
      <c r="AT294" s="73"/>
      <c r="AU294" s="73"/>
      <c r="AV294" s="73"/>
      <c r="AW294" s="73"/>
      <c r="AX294" s="73"/>
      <c r="AY294" s="73"/>
      <c r="AZ294" s="73"/>
      <c r="BA294" s="73"/>
      <c r="BB294" s="73"/>
      <c r="BC294" s="74"/>
      <c r="BD294" s="74"/>
      <c r="BE294" s="74"/>
      <c r="BF294" s="74"/>
      <c r="BG294" s="74"/>
      <c r="BH294" s="74"/>
      <c r="BI294" s="74"/>
      <c r="BJ294" s="74"/>
      <c r="BK294" s="74"/>
      <c r="BL294" s="74"/>
      <c r="BM294" s="74"/>
      <c r="BN294" s="74"/>
      <c r="BO294" s="74"/>
      <c r="BP294" s="74"/>
      <c r="BQ294" s="74"/>
      <c r="BR294" s="74"/>
      <c r="BS294" s="74"/>
      <c r="BT294" s="74"/>
      <c r="BU294" s="74"/>
      <c r="BV294" s="74"/>
      <c r="BW294" s="74"/>
      <c r="BX294" s="74"/>
    </row>
    <row r="295" spans="1:76" s="75" customFormat="1" ht="15" hidden="1" customHeight="1">
      <c r="A295" s="73"/>
      <c r="B295" s="73"/>
      <c r="C295" s="73"/>
      <c r="D295" s="76"/>
      <c r="E295" s="63"/>
      <c r="F295" s="63"/>
      <c r="G295" s="63"/>
      <c r="H295" s="63"/>
      <c r="I295" s="63"/>
      <c r="J295" s="63"/>
      <c r="K295" s="63"/>
      <c r="L295" s="63"/>
      <c r="M295" s="63"/>
      <c r="N295" s="63"/>
      <c r="O295" s="63"/>
      <c r="P295" s="63"/>
      <c r="Q295" s="63"/>
      <c r="R295" s="63"/>
      <c r="S295" s="63"/>
      <c r="T295" s="63"/>
      <c r="U295" s="63"/>
      <c r="V295" s="63"/>
      <c r="W295" s="63"/>
      <c r="X295" s="63"/>
      <c r="Y295" s="73"/>
      <c r="Z295" s="73"/>
      <c r="AA295" s="73"/>
      <c r="AB295" s="73"/>
      <c r="AC295" s="73"/>
      <c r="AD295" s="73"/>
      <c r="AE295" s="73"/>
      <c r="AF295" s="73"/>
      <c r="AG295" s="73"/>
      <c r="AH295" s="73"/>
      <c r="AI295" s="73"/>
      <c r="AJ295" s="73"/>
      <c r="AK295" s="73"/>
      <c r="AL295" s="73"/>
      <c r="AM295" s="73"/>
      <c r="AN295" s="73"/>
      <c r="AO295" s="73"/>
      <c r="AP295" s="73"/>
      <c r="AQ295" s="73"/>
      <c r="AR295" s="73"/>
      <c r="AS295" s="73"/>
      <c r="AT295" s="73"/>
      <c r="AU295" s="73"/>
      <c r="AV295" s="73"/>
      <c r="AW295" s="73"/>
      <c r="AX295" s="73"/>
      <c r="AY295" s="73"/>
      <c r="AZ295" s="73"/>
      <c r="BA295" s="73"/>
      <c r="BB295" s="73"/>
      <c r="BC295" s="74"/>
      <c r="BD295" s="74"/>
      <c r="BE295" s="74"/>
      <c r="BF295" s="74"/>
      <c r="BG295" s="74"/>
      <c r="BH295" s="74"/>
      <c r="BI295" s="74"/>
      <c r="BJ295" s="74"/>
      <c r="BK295" s="74"/>
      <c r="BL295" s="74"/>
      <c r="BM295" s="74"/>
      <c r="BN295" s="74"/>
      <c r="BO295" s="74"/>
      <c r="BP295" s="74"/>
      <c r="BQ295" s="74"/>
      <c r="BR295" s="74"/>
      <c r="BS295" s="74"/>
      <c r="BT295" s="74"/>
      <c r="BU295" s="74"/>
      <c r="BV295" s="74"/>
      <c r="BW295" s="74"/>
      <c r="BX295" s="74"/>
    </row>
    <row r="296" spans="1:76" s="75" customFormat="1" ht="15" hidden="1" customHeight="1">
      <c r="A296" s="73"/>
      <c r="B296" s="73"/>
      <c r="C296" s="73"/>
      <c r="D296" s="76"/>
      <c r="E296" s="63"/>
      <c r="F296" s="63"/>
      <c r="G296" s="63"/>
      <c r="H296" s="63"/>
      <c r="I296" s="63"/>
      <c r="J296" s="63"/>
      <c r="K296" s="63"/>
      <c r="L296" s="63"/>
      <c r="M296" s="63"/>
      <c r="N296" s="63"/>
      <c r="O296" s="63"/>
      <c r="P296" s="63"/>
      <c r="Q296" s="63"/>
      <c r="R296" s="63"/>
      <c r="S296" s="63"/>
      <c r="T296" s="63"/>
      <c r="U296" s="63"/>
      <c r="V296" s="63"/>
      <c r="W296" s="63"/>
      <c r="X296" s="63"/>
      <c r="Y296" s="73"/>
      <c r="Z296" s="73"/>
      <c r="AA296" s="73"/>
      <c r="AB296" s="73"/>
      <c r="AC296" s="73"/>
      <c r="AD296" s="73"/>
      <c r="AE296" s="73"/>
      <c r="AF296" s="73"/>
      <c r="AG296" s="73"/>
      <c r="AH296" s="73"/>
      <c r="AI296" s="73"/>
      <c r="AJ296" s="73"/>
      <c r="AK296" s="73"/>
      <c r="AL296" s="73"/>
      <c r="AM296" s="73"/>
      <c r="AN296" s="73"/>
      <c r="AO296" s="73"/>
      <c r="AP296" s="73"/>
      <c r="AQ296" s="73"/>
      <c r="AR296" s="73"/>
      <c r="AS296" s="73"/>
      <c r="AT296" s="73"/>
      <c r="AU296" s="73"/>
      <c r="AV296" s="73"/>
      <c r="AW296" s="73"/>
      <c r="AX296" s="73"/>
      <c r="AY296" s="73"/>
      <c r="AZ296" s="73"/>
      <c r="BA296" s="73"/>
      <c r="BB296" s="73"/>
      <c r="BC296" s="74"/>
      <c r="BD296" s="74"/>
      <c r="BE296" s="74"/>
      <c r="BF296" s="74"/>
      <c r="BG296" s="74"/>
      <c r="BH296" s="74"/>
      <c r="BI296" s="74"/>
      <c r="BJ296" s="74"/>
      <c r="BK296" s="74"/>
      <c r="BL296" s="74"/>
      <c r="BM296" s="74"/>
      <c r="BN296" s="74"/>
      <c r="BO296" s="74"/>
      <c r="BP296" s="74"/>
      <c r="BQ296" s="74"/>
      <c r="BR296" s="74"/>
      <c r="BS296" s="74"/>
      <c r="BT296" s="74"/>
      <c r="BU296" s="74"/>
      <c r="BV296" s="74"/>
      <c r="BW296" s="74"/>
      <c r="BX296" s="74"/>
    </row>
    <row r="297" spans="1:76" s="75" customFormat="1" ht="15" hidden="1" customHeight="1">
      <c r="A297" s="73"/>
      <c r="B297" s="73"/>
      <c r="C297" s="73"/>
      <c r="D297" s="76"/>
      <c r="E297" s="63"/>
      <c r="F297" s="63"/>
      <c r="G297" s="63"/>
      <c r="H297" s="63"/>
      <c r="I297" s="63"/>
      <c r="J297" s="63"/>
      <c r="K297" s="63"/>
      <c r="L297" s="63"/>
      <c r="M297" s="63"/>
      <c r="N297" s="63"/>
      <c r="O297" s="63"/>
      <c r="P297" s="63"/>
      <c r="Q297" s="63"/>
      <c r="R297" s="63"/>
      <c r="S297" s="63"/>
      <c r="T297" s="63"/>
      <c r="U297" s="63"/>
      <c r="V297" s="63"/>
      <c r="W297" s="63"/>
      <c r="X297" s="63"/>
      <c r="Y297" s="73"/>
      <c r="Z297" s="73"/>
      <c r="AA297" s="73"/>
      <c r="AB297" s="73"/>
      <c r="AC297" s="73"/>
      <c r="AD297" s="73"/>
      <c r="AE297" s="73"/>
      <c r="AF297" s="73"/>
      <c r="AG297" s="73"/>
      <c r="AH297" s="73"/>
      <c r="AI297" s="73"/>
      <c r="AJ297" s="73"/>
      <c r="AK297" s="73"/>
      <c r="AL297" s="73"/>
      <c r="AM297" s="73"/>
      <c r="AN297" s="73"/>
      <c r="AO297" s="73"/>
      <c r="AP297" s="73"/>
      <c r="AQ297" s="73"/>
      <c r="AR297" s="73"/>
      <c r="AS297" s="73"/>
      <c r="AT297" s="73"/>
      <c r="AU297" s="73"/>
      <c r="AV297" s="73"/>
      <c r="AW297" s="73"/>
      <c r="AX297" s="73"/>
      <c r="AY297" s="73"/>
      <c r="AZ297" s="73"/>
      <c r="BA297" s="73"/>
      <c r="BB297" s="73"/>
      <c r="BC297" s="74"/>
      <c r="BD297" s="74"/>
      <c r="BE297" s="74"/>
      <c r="BF297" s="74"/>
      <c r="BG297" s="74"/>
      <c r="BH297" s="74"/>
      <c r="BI297" s="74"/>
      <c r="BJ297" s="74"/>
      <c r="BK297" s="74"/>
      <c r="BL297" s="74"/>
      <c r="BM297" s="74"/>
      <c r="BN297" s="74"/>
      <c r="BO297" s="74"/>
      <c r="BP297" s="74"/>
      <c r="BQ297" s="74"/>
      <c r="BR297" s="74"/>
      <c r="BS297" s="74"/>
      <c r="BT297" s="74"/>
      <c r="BU297" s="74"/>
      <c r="BV297" s="74"/>
      <c r="BW297" s="74"/>
      <c r="BX297" s="74"/>
    </row>
    <row r="298" spans="1:76" s="75" customFormat="1" ht="15" hidden="1" customHeight="1">
      <c r="A298" s="73"/>
      <c r="B298" s="73"/>
      <c r="C298" s="73"/>
      <c r="D298" s="76"/>
      <c r="E298" s="63"/>
      <c r="F298" s="63"/>
      <c r="G298" s="63"/>
      <c r="H298" s="63"/>
      <c r="I298" s="63"/>
      <c r="J298" s="63"/>
      <c r="K298" s="63"/>
      <c r="L298" s="63"/>
      <c r="M298" s="63"/>
      <c r="N298" s="63"/>
      <c r="O298" s="63"/>
      <c r="P298" s="63"/>
      <c r="Q298" s="63"/>
      <c r="R298" s="63"/>
      <c r="S298" s="63"/>
      <c r="T298" s="63"/>
      <c r="U298" s="63"/>
      <c r="V298" s="63"/>
      <c r="W298" s="63"/>
      <c r="X298" s="63"/>
      <c r="Y298" s="73"/>
      <c r="Z298" s="73"/>
      <c r="AA298" s="73"/>
      <c r="AB298" s="73"/>
      <c r="AC298" s="73"/>
      <c r="AD298" s="73"/>
      <c r="AE298" s="73"/>
      <c r="AF298" s="73"/>
      <c r="AG298" s="73"/>
      <c r="AH298" s="73"/>
      <c r="AI298" s="73"/>
      <c r="AJ298" s="73"/>
      <c r="AK298" s="73"/>
      <c r="AL298" s="73"/>
      <c r="AM298" s="73"/>
      <c r="AN298" s="73"/>
      <c r="AO298" s="73"/>
      <c r="AP298" s="73"/>
      <c r="AQ298" s="73"/>
      <c r="AR298" s="73"/>
      <c r="AS298" s="73"/>
      <c r="AT298" s="73"/>
      <c r="AU298" s="73"/>
      <c r="AV298" s="73"/>
      <c r="AW298" s="73"/>
      <c r="AX298" s="73"/>
      <c r="AY298" s="73"/>
      <c r="AZ298" s="73"/>
      <c r="BA298" s="73"/>
      <c r="BB298" s="73"/>
      <c r="BC298" s="74"/>
      <c r="BD298" s="74"/>
      <c r="BE298" s="74"/>
      <c r="BF298" s="74"/>
      <c r="BG298" s="74"/>
      <c r="BH298" s="74"/>
      <c r="BI298" s="74"/>
      <c r="BJ298" s="74"/>
      <c r="BK298" s="74"/>
      <c r="BL298" s="74"/>
      <c r="BM298" s="74"/>
      <c r="BN298" s="74"/>
      <c r="BO298" s="74"/>
      <c r="BP298" s="74"/>
      <c r="BQ298" s="74"/>
      <c r="BR298" s="74"/>
      <c r="BS298" s="74"/>
      <c r="BT298" s="74"/>
      <c r="BU298" s="74"/>
      <c r="BV298" s="74"/>
      <c r="BW298" s="74"/>
      <c r="BX298" s="74"/>
    </row>
    <row r="299" spans="1:76" s="75" customFormat="1" ht="15" hidden="1" customHeight="1">
      <c r="A299" s="73"/>
      <c r="B299" s="73"/>
      <c r="C299" s="73"/>
      <c r="D299" s="76"/>
      <c r="E299" s="63"/>
      <c r="F299" s="63"/>
      <c r="G299" s="63"/>
      <c r="H299" s="63"/>
      <c r="I299" s="63"/>
      <c r="J299" s="63"/>
      <c r="K299" s="63"/>
      <c r="L299" s="63"/>
      <c r="M299" s="63"/>
      <c r="N299" s="63"/>
      <c r="O299" s="63"/>
      <c r="P299" s="63"/>
      <c r="Q299" s="63"/>
      <c r="R299" s="63"/>
      <c r="S299" s="63"/>
      <c r="T299" s="63"/>
      <c r="U299" s="63"/>
      <c r="V299" s="63"/>
      <c r="W299" s="63"/>
      <c r="X299" s="6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4"/>
      <c r="BD299" s="74"/>
      <c r="BE299" s="74"/>
      <c r="BF299" s="74"/>
      <c r="BG299" s="74"/>
      <c r="BH299" s="74"/>
      <c r="BI299" s="74"/>
      <c r="BJ299" s="74"/>
      <c r="BK299" s="74"/>
      <c r="BL299" s="74"/>
      <c r="BM299" s="74"/>
      <c r="BN299" s="74"/>
      <c r="BO299" s="74"/>
      <c r="BP299" s="74"/>
      <c r="BQ299" s="74"/>
      <c r="BR299" s="74"/>
      <c r="BS299" s="74"/>
      <c r="BT299" s="74"/>
      <c r="BU299" s="74"/>
      <c r="BV299" s="74"/>
      <c r="BW299" s="74"/>
      <c r="BX299" s="74"/>
    </row>
    <row r="300" spans="1:76" s="75" customFormat="1" ht="15" hidden="1" customHeight="1">
      <c r="A300" s="73"/>
      <c r="B300" s="73"/>
      <c r="C300" s="73"/>
      <c r="D300" s="76"/>
      <c r="E300" s="63"/>
      <c r="F300" s="63"/>
      <c r="G300" s="63"/>
      <c r="H300" s="63"/>
      <c r="I300" s="63"/>
      <c r="J300" s="63"/>
      <c r="K300" s="63"/>
      <c r="L300" s="63"/>
      <c r="M300" s="63"/>
      <c r="N300" s="63"/>
      <c r="O300" s="63"/>
      <c r="P300" s="63"/>
      <c r="Q300" s="63"/>
      <c r="R300" s="63"/>
      <c r="S300" s="63"/>
      <c r="T300" s="63"/>
      <c r="U300" s="63"/>
      <c r="V300" s="63"/>
      <c r="W300" s="63"/>
      <c r="X300" s="6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4"/>
      <c r="BD300" s="74"/>
      <c r="BE300" s="74"/>
      <c r="BF300" s="74"/>
      <c r="BG300" s="74"/>
      <c r="BH300" s="74"/>
      <c r="BI300" s="74"/>
      <c r="BJ300" s="74"/>
      <c r="BK300" s="74"/>
      <c r="BL300" s="74"/>
      <c r="BM300" s="74"/>
      <c r="BN300" s="74"/>
      <c r="BO300" s="74"/>
      <c r="BP300" s="74"/>
      <c r="BQ300" s="74"/>
      <c r="BR300" s="74"/>
      <c r="BS300" s="74"/>
      <c r="BT300" s="74"/>
      <c r="BU300" s="74"/>
      <c r="BV300" s="74"/>
      <c r="BW300" s="74"/>
      <c r="BX300" s="74"/>
    </row>
    <row r="301" spans="1:76" s="75" customFormat="1" ht="15" hidden="1" customHeight="1">
      <c r="A301" s="73"/>
      <c r="B301" s="73"/>
      <c r="C301" s="73"/>
      <c r="D301" s="76"/>
      <c r="E301" s="63"/>
      <c r="F301" s="63"/>
      <c r="G301" s="63"/>
      <c r="H301" s="63"/>
      <c r="I301" s="63"/>
      <c r="J301" s="63"/>
      <c r="K301" s="63"/>
      <c r="L301" s="63"/>
      <c r="M301" s="63"/>
      <c r="N301" s="63"/>
      <c r="O301" s="63"/>
      <c r="P301" s="63"/>
      <c r="Q301" s="63"/>
      <c r="R301" s="63"/>
      <c r="S301" s="63"/>
      <c r="T301" s="63"/>
      <c r="U301" s="63"/>
      <c r="V301" s="63"/>
      <c r="W301" s="63"/>
      <c r="X301" s="6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4"/>
      <c r="BD301" s="74"/>
      <c r="BE301" s="74"/>
      <c r="BF301" s="74"/>
      <c r="BG301" s="74"/>
      <c r="BH301" s="74"/>
      <c r="BI301" s="74"/>
      <c r="BJ301" s="74"/>
      <c r="BK301" s="74"/>
      <c r="BL301" s="74"/>
      <c r="BM301" s="74"/>
      <c r="BN301" s="74"/>
      <c r="BO301" s="74"/>
      <c r="BP301" s="74"/>
      <c r="BQ301" s="74"/>
      <c r="BR301" s="74"/>
      <c r="BS301" s="74"/>
      <c r="BT301" s="74"/>
      <c r="BU301" s="74"/>
      <c r="BV301" s="74"/>
      <c r="BW301" s="74"/>
      <c r="BX301" s="74"/>
    </row>
    <row r="302" spans="1:76" s="75" customFormat="1" ht="15" hidden="1" customHeight="1">
      <c r="A302" s="73"/>
      <c r="B302" s="73"/>
      <c r="C302" s="73"/>
      <c r="D302" s="76"/>
      <c r="E302" s="63"/>
      <c r="F302" s="63"/>
      <c r="G302" s="63"/>
      <c r="H302" s="63"/>
      <c r="I302" s="63"/>
      <c r="J302" s="63"/>
      <c r="K302" s="63"/>
      <c r="L302" s="63"/>
      <c r="M302" s="63"/>
      <c r="N302" s="63"/>
      <c r="O302" s="63"/>
      <c r="P302" s="63"/>
      <c r="Q302" s="63"/>
      <c r="R302" s="63"/>
      <c r="S302" s="63"/>
      <c r="T302" s="63"/>
      <c r="U302" s="63"/>
      <c r="V302" s="63"/>
      <c r="W302" s="63"/>
      <c r="X302" s="6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4"/>
      <c r="BD302" s="74"/>
      <c r="BE302" s="74"/>
      <c r="BF302" s="74"/>
      <c r="BG302" s="74"/>
      <c r="BH302" s="74"/>
      <c r="BI302" s="74"/>
      <c r="BJ302" s="74"/>
      <c r="BK302" s="74"/>
      <c r="BL302" s="74"/>
      <c r="BM302" s="74"/>
      <c r="BN302" s="74"/>
      <c r="BO302" s="74"/>
      <c r="BP302" s="74"/>
      <c r="BQ302" s="74"/>
      <c r="BR302" s="74"/>
      <c r="BS302" s="74"/>
      <c r="BT302" s="74"/>
      <c r="BU302" s="74"/>
      <c r="BV302" s="74"/>
      <c r="BW302" s="74"/>
      <c r="BX302" s="74"/>
    </row>
    <row r="303" spans="1:76" s="75" customFormat="1" ht="15" hidden="1" customHeight="1">
      <c r="A303" s="73"/>
      <c r="B303" s="73"/>
      <c r="C303" s="73"/>
      <c r="D303" s="76"/>
      <c r="E303" s="63"/>
      <c r="F303" s="63"/>
      <c r="G303" s="63"/>
      <c r="H303" s="63"/>
      <c r="I303" s="63"/>
      <c r="J303" s="63"/>
      <c r="K303" s="63"/>
      <c r="L303" s="63"/>
      <c r="M303" s="63"/>
      <c r="N303" s="63"/>
      <c r="O303" s="63"/>
      <c r="P303" s="63"/>
      <c r="Q303" s="63"/>
      <c r="R303" s="63"/>
      <c r="S303" s="63"/>
      <c r="T303" s="63"/>
      <c r="U303" s="63"/>
      <c r="V303" s="63"/>
      <c r="W303" s="63"/>
      <c r="X303" s="63"/>
      <c r="Y303" s="73"/>
      <c r="Z303" s="73"/>
      <c r="AA303" s="73"/>
      <c r="AB303" s="73"/>
      <c r="AC303" s="73"/>
      <c r="AD303" s="73"/>
      <c r="AE303" s="73"/>
      <c r="AF303" s="73"/>
      <c r="AG303" s="73"/>
      <c r="AH303" s="73"/>
      <c r="AI303" s="73"/>
      <c r="AJ303" s="73"/>
      <c r="AK303" s="73"/>
      <c r="AL303" s="73"/>
      <c r="AM303" s="73"/>
      <c r="AN303" s="73"/>
      <c r="AO303" s="73"/>
      <c r="AP303" s="73"/>
      <c r="AQ303" s="73"/>
      <c r="AR303" s="73"/>
      <c r="AS303" s="73"/>
      <c r="AT303" s="73"/>
      <c r="AU303" s="73"/>
      <c r="AV303" s="73"/>
      <c r="AW303" s="73"/>
      <c r="AX303" s="73"/>
      <c r="AY303" s="73"/>
      <c r="AZ303" s="73"/>
      <c r="BA303" s="73"/>
      <c r="BB303" s="73"/>
      <c r="BC303" s="74"/>
      <c r="BD303" s="74"/>
      <c r="BE303" s="74"/>
      <c r="BF303" s="74"/>
      <c r="BG303" s="74"/>
      <c r="BH303" s="74"/>
      <c r="BI303" s="74"/>
      <c r="BJ303" s="74"/>
      <c r="BK303" s="74"/>
      <c r="BL303" s="74"/>
      <c r="BM303" s="74"/>
      <c r="BN303" s="74"/>
      <c r="BO303" s="74"/>
      <c r="BP303" s="74"/>
      <c r="BQ303" s="74"/>
      <c r="BR303" s="74"/>
      <c r="BS303" s="74"/>
      <c r="BT303" s="74"/>
      <c r="BU303" s="74"/>
      <c r="BV303" s="74"/>
      <c r="BW303" s="74"/>
      <c r="BX303" s="74"/>
    </row>
    <row r="304" spans="1:76" s="75" customFormat="1" ht="15" hidden="1" customHeight="1">
      <c r="A304" s="73"/>
      <c r="B304" s="73"/>
      <c r="C304" s="73"/>
      <c r="D304" s="76"/>
      <c r="E304" s="63"/>
      <c r="F304" s="63"/>
      <c r="G304" s="63"/>
      <c r="H304" s="63"/>
      <c r="I304" s="63"/>
      <c r="J304" s="63"/>
      <c r="K304" s="63"/>
      <c r="L304" s="63"/>
      <c r="M304" s="63"/>
      <c r="N304" s="63"/>
      <c r="O304" s="63"/>
      <c r="P304" s="63"/>
      <c r="Q304" s="63"/>
      <c r="R304" s="63"/>
      <c r="S304" s="63"/>
      <c r="T304" s="63"/>
      <c r="U304" s="63"/>
      <c r="V304" s="63"/>
      <c r="W304" s="63"/>
      <c r="X304" s="63"/>
      <c r="Y304" s="73"/>
      <c r="Z304" s="73"/>
      <c r="AA304" s="73"/>
      <c r="AB304" s="73"/>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4"/>
      <c r="BD304" s="74"/>
      <c r="BE304" s="74"/>
      <c r="BF304" s="74"/>
      <c r="BG304" s="74"/>
      <c r="BH304" s="74"/>
      <c r="BI304" s="74"/>
      <c r="BJ304" s="74"/>
      <c r="BK304" s="74"/>
      <c r="BL304" s="74"/>
      <c r="BM304" s="74"/>
      <c r="BN304" s="74"/>
      <c r="BO304" s="74"/>
      <c r="BP304" s="74"/>
      <c r="BQ304" s="74"/>
      <c r="BR304" s="74"/>
      <c r="BS304" s="74"/>
      <c r="BT304" s="74"/>
      <c r="BU304" s="74"/>
      <c r="BV304" s="74"/>
      <c r="BW304" s="74"/>
      <c r="BX304" s="74"/>
    </row>
    <row r="305" spans="1:76" s="75" customFormat="1" ht="15" hidden="1" customHeight="1">
      <c r="A305" s="73"/>
      <c r="B305" s="73"/>
      <c r="C305" s="73"/>
      <c r="D305" s="76"/>
      <c r="E305" s="63"/>
      <c r="F305" s="63"/>
      <c r="G305" s="63"/>
      <c r="H305" s="63"/>
      <c r="I305" s="63"/>
      <c r="J305" s="63"/>
      <c r="K305" s="63"/>
      <c r="L305" s="63"/>
      <c r="M305" s="63"/>
      <c r="N305" s="63"/>
      <c r="O305" s="63"/>
      <c r="P305" s="63"/>
      <c r="Q305" s="63"/>
      <c r="R305" s="63"/>
      <c r="S305" s="63"/>
      <c r="T305" s="63"/>
      <c r="U305" s="63"/>
      <c r="V305" s="63"/>
      <c r="W305" s="63"/>
      <c r="X305" s="63"/>
      <c r="Y305" s="73"/>
      <c r="Z305" s="73"/>
      <c r="AA305" s="73"/>
      <c r="AB305" s="73"/>
      <c r="AC305" s="73"/>
      <c r="AD305" s="73"/>
      <c r="AE305" s="73"/>
      <c r="AF305" s="73"/>
      <c r="AG305" s="73"/>
      <c r="AH305" s="73"/>
      <c r="AI305" s="73"/>
      <c r="AJ305" s="73"/>
      <c r="AK305" s="73"/>
      <c r="AL305" s="73"/>
      <c r="AM305" s="73"/>
      <c r="AN305" s="73"/>
      <c r="AO305" s="73"/>
      <c r="AP305" s="73"/>
      <c r="AQ305" s="73"/>
      <c r="AR305" s="73"/>
      <c r="AS305" s="73"/>
      <c r="AT305" s="73"/>
      <c r="AU305" s="73"/>
      <c r="AV305" s="73"/>
      <c r="AW305" s="73"/>
      <c r="AX305" s="73"/>
      <c r="AY305" s="73"/>
      <c r="AZ305" s="73"/>
      <c r="BA305" s="73"/>
      <c r="BB305" s="73"/>
      <c r="BC305" s="74"/>
      <c r="BD305" s="74"/>
      <c r="BE305" s="74"/>
      <c r="BF305" s="74"/>
      <c r="BG305" s="74"/>
      <c r="BH305" s="74"/>
      <c r="BI305" s="74"/>
      <c r="BJ305" s="74"/>
      <c r="BK305" s="74"/>
      <c r="BL305" s="74"/>
      <c r="BM305" s="74"/>
      <c r="BN305" s="74"/>
      <c r="BO305" s="74"/>
      <c r="BP305" s="74"/>
      <c r="BQ305" s="74"/>
      <c r="BR305" s="74"/>
      <c r="BS305" s="74"/>
      <c r="BT305" s="74"/>
      <c r="BU305" s="74"/>
      <c r="BV305" s="74"/>
      <c r="BW305" s="74"/>
      <c r="BX305" s="74"/>
    </row>
    <row r="306" spans="1:76" s="75" customFormat="1" ht="15" hidden="1" customHeight="1">
      <c r="A306" s="73"/>
      <c r="B306" s="73"/>
      <c r="C306" s="73"/>
      <c r="D306" s="76"/>
      <c r="E306" s="63"/>
      <c r="F306" s="63"/>
      <c r="G306" s="63"/>
      <c r="H306" s="63"/>
      <c r="I306" s="63"/>
      <c r="J306" s="63"/>
      <c r="K306" s="63"/>
      <c r="L306" s="63"/>
      <c r="M306" s="63"/>
      <c r="N306" s="63"/>
      <c r="O306" s="63"/>
      <c r="P306" s="63"/>
      <c r="Q306" s="63"/>
      <c r="R306" s="63"/>
      <c r="S306" s="63"/>
      <c r="T306" s="63"/>
      <c r="U306" s="63"/>
      <c r="V306" s="63"/>
      <c r="W306" s="63"/>
      <c r="X306" s="63"/>
      <c r="Y306" s="73"/>
      <c r="Z306" s="73"/>
      <c r="AA306" s="73"/>
      <c r="AB306" s="73"/>
      <c r="AC306" s="73"/>
      <c r="AD306" s="73"/>
      <c r="AE306" s="73"/>
      <c r="AF306" s="73"/>
      <c r="AG306" s="73"/>
      <c r="AH306" s="73"/>
      <c r="AI306" s="73"/>
      <c r="AJ306" s="73"/>
      <c r="AK306" s="73"/>
      <c r="AL306" s="73"/>
      <c r="AM306" s="73"/>
      <c r="AN306" s="73"/>
      <c r="AO306" s="73"/>
      <c r="AP306" s="73"/>
      <c r="AQ306" s="73"/>
      <c r="AR306" s="73"/>
      <c r="AS306" s="73"/>
      <c r="AT306" s="73"/>
      <c r="AU306" s="73"/>
      <c r="AV306" s="73"/>
      <c r="AW306" s="73"/>
      <c r="AX306" s="73"/>
      <c r="AY306" s="73"/>
      <c r="AZ306" s="73"/>
      <c r="BA306" s="73"/>
      <c r="BB306" s="73"/>
      <c r="BC306" s="74"/>
      <c r="BD306" s="74"/>
      <c r="BE306" s="74"/>
      <c r="BF306" s="74"/>
      <c r="BG306" s="74"/>
      <c r="BH306" s="74"/>
      <c r="BI306" s="74"/>
      <c r="BJ306" s="74"/>
      <c r="BK306" s="74"/>
      <c r="BL306" s="74"/>
      <c r="BM306" s="74"/>
      <c r="BN306" s="74"/>
      <c r="BO306" s="74"/>
      <c r="BP306" s="74"/>
      <c r="BQ306" s="74"/>
      <c r="BR306" s="74"/>
      <c r="BS306" s="74"/>
      <c r="BT306" s="74"/>
      <c r="BU306" s="74"/>
      <c r="BV306" s="74"/>
      <c r="BW306" s="74"/>
      <c r="BX306" s="74"/>
    </row>
    <row r="307" spans="1:76" s="75" customFormat="1" ht="15" hidden="1" customHeight="1">
      <c r="A307" s="73"/>
      <c r="B307" s="73"/>
      <c r="C307" s="73"/>
      <c r="D307" s="76"/>
      <c r="E307" s="63"/>
      <c r="F307" s="63"/>
      <c r="G307" s="63"/>
      <c r="H307" s="63"/>
      <c r="I307" s="63"/>
      <c r="J307" s="63"/>
      <c r="K307" s="63"/>
      <c r="L307" s="63"/>
      <c r="M307" s="63"/>
      <c r="N307" s="63"/>
      <c r="O307" s="63"/>
      <c r="P307" s="63"/>
      <c r="Q307" s="63"/>
      <c r="R307" s="63"/>
      <c r="S307" s="63"/>
      <c r="T307" s="63"/>
      <c r="U307" s="63"/>
      <c r="V307" s="63"/>
      <c r="W307" s="63"/>
      <c r="X307" s="63"/>
      <c r="Y307" s="73"/>
      <c r="Z307" s="73"/>
      <c r="AA307" s="73"/>
      <c r="AB307" s="73"/>
      <c r="AC307" s="73"/>
      <c r="AD307" s="73"/>
      <c r="AE307" s="73"/>
      <c r="AF307" s="73"/>
      <c r="AG307" s="73"/>
      <c r="AH307" s="73"/>
      <c r="AI307" s="73"/>
      <c r="AJ307" s="73"/>
      <c r="AK307" s="73"/>
      <c r="AL307" s="73"/>
      <c r="AM307" s="73"/>
      <c r="AN307" s="73"/>
      <c r="AO307" s="73"/>
      <c r="AP307" s="73"/>
      <c r="AQ307" s="73"/>
      <c r="AR307" s="73"/>
      <c r="AS307" s="73"/>
      <c r="AT307" s="73"/>
      <c r="AU307" s="73"/>
      <c r="AV307" s="73"/>
      <c r="AW307" s="73"/>
      <c r="AX307" s="73"/>
      <c r="AY307" s="73"/>
      <c r="AZ307" s="73"/>
      <c r="BA307" s="73"/>
      <c r="BB307" s="73"/>
      <c r="BC307" s="74"/>
      <c r="BD307" s="74"/>
      <c r="BE307" s="74"/>
      <c r="BF307" s="74"/>
      <c r="BG307" s="74"/>
      <c r="BH307" s="74"/>
      <c r="BI307" s="74"/>
      <c r="BJ307" s="74"/>
      <c r="BK307" s="74"/>
      <c r="BL307" s="74"/>
      <c r="BM307" s="74"/>
      <c r="BN307" s="74"/>
      <c r="BO307" s="74"/>
      <c r="BP307" s="74"/>
      <c r="BQ307" s="74"/>
      <c r="BR307" s="74"/>
      <c r="BS307" s="74"/>
      <c r="BT307" s="74"/>
      <c r="BU307" s="74"/>
      <c r="BV307" s="74"/>
      <c r="BW307" s="74"/>
      <c r="BX307" s="74"/>
    </row>
    <row r="308" spans="1:76" s="75" customFormat="1" ht="15" hidden="1" customHeight="1">
      <c r="A308" s="73"/>
      <c r="B308" s="73"/>
      <c r="C308" s="73"/>
      <c r="D308" s="76"/>
      <c r="E308" s="63"/>
      <c r="F308" s="63"/>
      <c r="G308" s="63"/>
      <c r="H308" s="63"/>
      <c r="I308" s="63"/>
      <c r="J308" s="63"/>
      <c r="K308" s="63"/>
      <c r="L308" s="63"/>
      <c r="M308" s="63"/>
      <c r="N308" s="63"/>
      <c r="O308" s="63"/>
      <c r="P308" s="63"/>
      <c r="Q308" s="63"/>
      <c r="R308" s="63"/>
      <c r="S308" s="63"/>
      <c r="T308" s="63"/>
      <c r="U308" s="63"/>
      <c r="V308" s="63"/>
      <c r="W308" s="63"/>
      <c r="X308" s="63"/>
      <c r="Y308" s="73"/>
      <c r="Z308" s="73"/>
      <c r="AA308" s="73"/>
      <c r="AB308" s="73"/>
      <c r="AC308" s="73"/>
      <c r="AD308" s="73"/>
      <c r="AE308" s="73"/>
      <c r="AF308" s="73"/>
      <c r="AG308" s="73"/>
      <c r="AH308" s="73"/>
      <c r="AI308" s="73"/>
      <c r="AJ308" s="73"/>
      <c r="AK308" s="73"/>
      <c r="AL308" s="73"/>
      <c r="AM308" s="73"/>
      <c r="AN308" s="73"/>
      <c r="AO308" s="73"/>
      <c r="AP308" s="73"/>
      <c r="AQ308" s="73"/>
      <c r="AR308" s="73"/>
      <c r="AS308" s="73"/>
      <c r="AT308" s="73"/>
      <c r="AU308" s="73"/>
      <c r="AV308" s="73"/>
      <c r="AW308" s="73"/>
      <c r="AX308" s="73"/>
      <c r="AY308" s="73"/>
      <c r="AZ308" s="73"/>
      <c r="BA308" s="73"/>
      <c r="BB308" s="73"/>
      <c r="BC308" s="74"/>
      <c r="BD308" s="74"/>
      <c r="BE308" s="74"/>
      <c r="BF308" s="74"/>
      <c r="BG308" s="74"/>
      <c r="BH308" s="74"/>
      <c r="BI308" s="74"/>
      <c r="BJ308" s="74"/>
      <c r="BK308" s="74"/>
      <c r="BL308" s="74"/>
      <c r="BM308" s="74"/>
      <c r="BN308" s="74"/>
      <c r="BO308" s="74"/>
      <c r="BP308" s="74"/>
      <c r="BQ308" s="74"/>
      <c r="BR308" s="74"/>
      <c r="BS308" s="74"/>
      <c r="BT308" s="74"/>
      <c r="BU308" s="74"/>
      <c r="BV308" s="74"/>
      <c r="BW308" s="74"/>
      <c r="BX308" s="74"/>
    </row>
    <row r="309" spans="1:76" s="75" customFormat="1" ht="15" hidden="1" customHeight="1">
      <c r="A309" s="73"/>
      <c r="B309" s="73"/>
      <c r="C309" s="73"/>
      <c r="D309" s="76"/>
      <c r="E309" s="63"/>
      <c r="F309" s="63"/>
      <c r="G309" s="63"/>
      <c r="H309" s="63"/>
      <c r="I309" s="63"/>
      <c r="J309" s="63"/>
      <c r="K309" s="63"/>
      <c r="L309" s="63"/>
      <c r="M309" s="63"/>
      <c r="N309" s="63"/>
      <c r="O309" s="63"/>
      <c r="P309" s="63"/>
      <c r="Q309" s="63"/>
      <c r="R309" s="63"/>
      <c r="S309" s="63"/>
      <c r="T309" s="63"/>
      <c r="U309" s="63"/>
      <c r="V309" s="63"/>
      <c r="W309" s="63"/>
      <c r="X309" s="63"/>
      <c r="Y309" s="73"/>
      <c r="Z309" s="73"/>
      <c r="AA309" s="73"/>
      <c r="AB309" s="73"/>
      <c r="AC309" s="73"/>
      <c r="AD309" s="73"/>
      <c r="AE309" s="73"/>
      <c r="AF309" s="73"/>
      <c r="AG309" s="73"/>
      <c r="AH309" s="73"/>
      <c r="AI309" s="73"/>
      <c r="AJ309" s="73"/>
      <c r="AK309" s="73"/>
      <c r="AL309" s="73"/>
      <c r="AM309" s="73"/>
      <c r="AN309" s="73"/>
      <c r="AO309" s="73"/>
      <c r="AP309" s="73"/>
      <c r="AQ309" s="73"/>
      <c r="AR309" s="73"/>
      <c r="AS309" s="73"/>
      <c r="AT309" s="73"/>
      <c r="AU309" s="73"/>
      <c r="AV309" s="73"/>
      <c r="AW309" s="73"/>
      <c r="AX309" s="73"/>
      <c r="AY309" s="73"/>
      <c r="AZ309" s="73"/>
      <c r="BA309" s="73"/>
      <c r="BB309" s="73"/>
      <c r="BC309" s="74"/>
      <c r="BD309" s="74"/>
      <c r="BE309" s="74"/>
      <c r="BF309" s="74"/>
      <c r="BG309" s="74"/>
      <c r="BH309" s="74"/>
      <c r="BI309" s="74"/>
      <c r="BJ309" s="74"/>
      <c r="BK309" s="74"/>
      <c r="BL309" s="74"/>
      <c r="BM309" s="74"/>
      <c r="BN309" s="74"/>
      <c r="BO309" s="74"/>
      <c r="BP309" s="74"/>
      <c r="BQ309" s="74"/>
      <c r="BR309" s="74"/>
      <c r="BS309" s="74"/>
      <c r="BT309" s="74"/>
      <c r="BU309" s="74"/>
      <c r="BV309" s="74"/>
      <c r="BW309" s="74"/>
      <c r="BX309" s="74"/>
    </row>
    <row r="310" spans="1:76" s="75" customFormat="1" ht="15" hidden="1" customHeight="1">
      <c r="A310" s="73"/>
      <c r="B310" s="73"/>
      <c r="C310" s="73"/>
      <c r="D310" s="76"/>
      <c r="E310" s="63"/>
      <c r="F310" s="63"/>
      <c r="G310" s="63"/>
      <c r="H310" s="63"/>
      <c r="I310" s="63"/>
      <c r="J310" s="63"/>
      <c r="K310" s="63"/>
      <c r="L310" s="63"/>
      <c r="M310" s="63"/>
      <c r="N310" s="63"/>
      <c r="O310" s="63"/>
      <c r="P310" s="63"/>
      <c r="Q310" s="63"/>
      <c r="R310" s="63"/>
      <c r="S310" s="63"/>
      <c r="T310" s="63"/>
      <c r="U310" s="63"/>
      <c r="V310" s="63"/>
      <c r="W310" s="63"/>
      <c r="X310" s="63"/>
      <c r="Y310" s="73"/>
      <c r="Z310" s="73"/>
      <c r="AA310" s="73"/>
      <c r="AB310" s="73"/>
      <c r="AC310" s="73"/>
      <c r="AD310" s="73"/>
      <c r="AE310" s="73"/>
      <c r="AF310" s="73"/>
      <c r="AG310" s="73"/>
      <c r="AH310" s="73"/>
      <c r="AI310" s="73"/>
      <c r="AJ310" s="73"/>
      <c r="AK310" s="73"/>
      <c r="AL310" s="73"/>
      <c r="AM310" s="73"/>
      <c r="AN310" s="73"/>
      <c r="AO310" s="73"/>
      <c r="AP310" s="73"/>
      <c r="AQ310" s="73"/>
      <c r="AR310" s="73"/>
      <c r="AS310" s="73"/>
      <c r="AT310" s="73"/>
      <c r="AU310" s="73"/>
      <c r="AV310" s="73"/>
      <c r="AW310" s="73"/>
      <c r="AX310" s="73"/>
      <c r="AY310" s="73"/>
      <c r="AZ310" s="73"/>
      <c r="BA310" s="73"/>
      <c r="BB310" s="73"/>
      <c r="BC310" s="74"/>
      <c r="BD310" s="74"/>
      <c r="BE310" s="74"/>
      <c r="BF310" s="74"/>
      <c r="BG310" s="74"/>
      <c r="BH310" s="74"/>
      <c r="BI310" s="74"/>
      <c r="BJ310" s="74"/>
      <c r="BK310" s="74"/>
      <c r="BL310" s="74"/>
      <c r="BM310" s="74"/>
      <c r="BN310" s="74"/>
      <c r="BO310" s="74"/>
      <c r="BP310" s="74"/>
      <c r="BQ310" s="74"/>
      <c r="BR310" s="74"/>
      <c r="BS310" s="74"/>
      <c r="BT310" s="74"/>
      <c r="BU310" s="74"/>
      <c r="BV310" s="74"/>
      <c r="BW310" s="74"/>
      <c r="BX310" s="74"/>
    </row>
    <row r="311" spans="1:76" s="81" customFormat="1" ht="15" hidden="1" customHeight="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t="15" hidden="1" customHeight="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t="15" hidden="1" customHeight="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t="15" hidden="1" customHeight="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t="15" hidden="1" customHeight="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t="15" hidden="1" customHeight="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t="15" hidden="1" customHeight="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t="15" hidden="1" customHeight="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t="15" hidden="1" customHeight="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t="15" hidden="1" customHeight="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t="15" hidden="1" customHeight="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t="15" hidden="1" customHeight="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t="15" hidden="1" customHeight="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t="15" hidden="1" customHeight="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t="15" hidden="1" customHeight="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t="15" hidden="1" customHeight="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t="15" hidden="1" customHeight="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t="15" hidden="1" customHeight="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t="15" hidden="1" customHeight="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t="15" hidden="1" customHeight="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t="15" hidden="1" customHeight="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t="15" hidden="1" customHeight="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t="15" hidden="1" customHeight="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t="15" hidden="1" customHeight="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t="15" hidden="1" customHeight="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t="15" hidden="1" customHeight="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t="15" hidden="1" customHeight="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t="15" hidden="1" customHeight="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t="15" hidden="1" customHeight="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t="15" hidden="1" customHeight="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t="15" hidden="1" customHeight="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t="15" hidden="1" customHeight="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t="15" hidden="1" customHeight="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t="15" hidden="1" customHeight="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t="15" hidden="1" customHeight="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t="15" hidden="1" customHeight="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t="15" hidden="1" customHeight="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t="15" hidden="1" customHeight="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t="15" hidden="1" customHeight="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t="15" hidden="1" customHeight="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t="15" hidden="1" customHeight="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t="15" hidden="1" customHeight="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t="15" hidden="1" customHeight="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t="15" hidden="1" customHeight="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t="15" hidden="1" customHeight="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t="15" hidden="1" customHeight="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80"/>
      <c r="BD356" s="80"/>
      <c r="BE356" s="80"/>
      <c r="BF356" s="80"/>
      <c r="BG356" s="80"/>
      <c r="BH356" s="80"/>
      <c r="BI356" s="80"/>
      <c r="BJ356" s="80"/>
      <c r="BK356" s="80"/>
      <c r="BL356" s="80"/>
      <c r="BM356" s="80"/>
      <c r="BN356" s="80"/>
      <c r="BO356" s="80"/>
      <c r="BP356" s="80"/>
      <c r="BQ356" s="80"/>
      <c r="BR356" s="80"/>
      <c r="BS356" s="80"/>
      <c r="BT356" s="80"/>
      <c r="BU356" s="80"/>
      <c r="BV356" s="80"/>
      <c r="BW356" s="80"/>
      <c r="BX356" s="80"/>
    </row>
    <row r="357" spans="1:76" s="81" customFormat="1" ht="15" hidden="1" customHeight="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80"/>
      <c r="BD357" s="80"/>
      <c r="BE357" s="80"/>
      <c r="BF357" s="80"/>
      <c r="BG357" s="80"/>
      <c r="BH357" s="80"/>
      <c r="BI357" s="80"/>
      <c r="BJ357" s="80"/>
      <c r="BK357" s="80"/>
      <c r="BL357" s="80"/>
      <c r="BM357" s="80"/>
      <c r="BN357" s="80"/>
      <c r="BO357" s="80"/>
      <c r="BP357" s="80"/>
      <c r="BQ357" s="80"/>
      <c r="BR357" s="80"/>
      <c r="BS357" s="80"/>
      <c r="BT357" s="80"/>
      <c r="BU357" s="80"/>
      <c r="BV357" s="80"/>
      <c r="BW357" s="80"/>
      <c r="BX357" s="80"/>
    </row>
    <row r="358" spans="1:76" s="81" customFormat="1" ht="15" hidden="1" customHeight="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80"/>
      <c r="BD358" s="80"/>
      <c r="BE358" s="80"/>
      <c r="BF358" s="80"/>
      <c r="BG358" s="80"/>
      <c r="BH358" s="80"/>
      <c r="BI358" s="80"/>
      <c r="BJ358" s="80"/>
      <c r="BK358" s="80"/>
      <c r="BL358" s="80"/>
      <c r="BM358" s="80"/>
      <c r="BN358" s="80"/>
      <c r="BO358" s="80"/>
      <c r="BP358" s="80"/>
      <c r="BQ358" s="80"/>
      <c r="BR358" s="80"/>
      <c r="BS358" s="80"/>
      <c r="BT358" s="80"/>
      <c r="BU358" s="80"/>
      <c r="BV358" s="80"/>
      <c r="BW358" s="80"/>
      <c r="BX358" s="80"/>
    </row>
    <row r="359" spans="1:76" s="81" customFormat="1" ht="15" hidden="1" customHeight="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80"/>
      <c r="BD359" s="80"/>
      <c r="BE359" s="80"/>
      <c r="BF359" s="80"/>
      <c r="BG359" s="80"/>
      <c r="BH359" s="80"/>
      <c r="BI359" s="80"/>
      <c r="BJ359" s="80"/>
      <c r="BK359" s="80"/>
      <c r="BL359" s="80"/>
      <c r="BM359" s="80"/>
      <c r="BN359" s="80"/>
      <c r="BO359" s="80"/>
      <c r="BP359" s="80"/>
      <c r="BQ359" s="80"/>
      <c r="BR359" s="80"/>
      <c r="BS359" s="80"/>
      <c r="BT359" s="80"/>
      <c r="BU359" s="80"/>
      <c r="BV359" s="80"/>
      <c r="BW359" s="80"/>
      <c r="BX359" s="80"/>
    </row>
    <row r="360" spans="1:76" s="81" customFormat="1" ht="15" hidden="1" customHeight="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80"/>
      <c r="BD360" s="80"/>
      <c r="BE360" s="80"/>
      <c r="BF360" s="80"/>
      <c r="BG360" s="80"/>
      <c r="BH360" s="80"/>
      <c r="BI360" s="80"/>
      <c r="BJ360" s="80"/>
      <c r="BK360" s="80"/>
      <c r="BL360" s="80"/>
      <c r="BM360" s="80"/>
      <c r="BN360" s="80"/>
      <c r="BO360" s="80"/>
      <c r="BP360" s="80"/>
      <c r="BQ360" s="80"/>
      <c r="BR360" s="80"/>
      <c r="BS360" s="80"/>
      <c r="BT360" s="80"/>
      <c r="BU360" s="80"/>
      <c r="BV360" s="80"/>
      <c r="BW360" s="80"/>
      <c r="BX360" s="80"/>
    </row>
    <row r="361" spans="1:76" s="81" customFormat="1" ht="15" hidden="1" customHeight="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80"/>
      <c r="BD361" s="80"/>
      <c r="BE361" s="80"/>
      <c r="BF361" s="80"/>
      <c r="BG361" s="80"/>
      <c r="BH361" s="80"/>
      <c r="BI361" s="80"/>
      <c r="BJ361" s="80"/>
      <c r="BK361" s="80"/>
      <c r="BL361" s="80"/>
      <c r="BM361" s="80"/>
      <c r="BN361" s="80"/>
      <c r="BO361" s="80"/>
      <c r="BP361" s="80"/>
      <c r="BQ361" s="80"/>
      <c r="BR361" s="80"/>
      <c r="BS361" s="80"/>
      <c r="BT361" s="80"/>
      <c r="BU361" s="80"/>
      <c r="BV361" s="80"/>
      <c r="BW361" s="80"/>
      <c r="BX361" s="80"/>
    </row>
    <row r="362" spans="1:76" s="81" customFormat="1" ht="15" hidden="1" customHeight="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80"/>
      <c r="BD362" s="80"/>
      <c r="BE362" s="80"/>
      <c r="BF362" s="80"/>
      <c r="BG362" s="80"/>
      <c r="BH362" s="80"/>
      <c r="BI362" s="80"/>
      <c r="BJ362" s="80"/>
      <c r="BK362" s="80"/>
      <c r="BL362" s="80"/>
      <c r="BM362" s="80"/>
      <c r="BN362" s="80"/>
      <c r="BO362" s="80"/>
      <c r="BP362" s="80"/>
      <c r="BQ362" s="80"/>
      <c r="BR362" s="80"/>
      <c r="BS362" s="80"/>
      <c r="BT362" s="80"/>
      <c r="BU362" s="80"/>
      <c r="BV362" s="80"/>
      <c r="BW362" s="80"/>
      <c r="BX362" s="80"/>
    </row>
    <row r="363" spans="1:76" s="81" customFormat="1" ht="15" hidden="1" customHeight="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80"/>
      <c r="BD363" s="80"/>
      <c r="BE363" s="80"/>
      <c r="BF363" s="80"/>
      <c r="BG363" s="80"/>
      <c r="BH363" s="80"/>
      <c r="BI363" s="80"/>
      <c r="BJ363" s="80"/>
      <c r="BK363" s="80"/>
      <c r="BL363" s="80"/>
      <c r="BM363" s="80"/>
      <c r="BN363" s="80"/>
      <c r="BO363" s="80"/>
      <c r="BP363" s="80"/>
      <c r="BQ363" s="80"/>
      <c r="BR363" s="80"/>
      <c r="BS363" s="80"/>
      <c r="BT363" s="80"/>
      <c r="BU363" s="80"/>
      <c r="BV363" s="80"/>
      <c r="BW363" s="80"/>
      <c r="BX363" s="80"/>
    </row>
    <row r="364" spans="1:76" s="81" customFormat="1" ht="15" hidden="1" customHeight="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80"/>
      <c r="BD364" s="80"/>
      <c r="BE364" s="80"/>
      <c r="BF364" s="80"/>
      <c r="BG364" s="80"/>
      <c r="BH364" s="80"/>
      <c r="BI364" s="80"/>
      <c r="BJ364" s="80"/>
      <c r="BK364" s="80"/>
      <c r="BL364" s="80"/>
      <c r="BM364" s="80"/>
      <c r="BN364" s="80"/>
      <c r="BO364" s="80"/>
      <c r="BP364" s="80"/>
      <c r="BQ364" s="80"/>
      <c r="BR364" s="80"/>
      <c r="BS364" s="80"/>
      <c r="BT364" s="80"/>
      <c r="BU364" s="80"/>
      <c r="BV364" s="80"/>
      <c r="BW364" s="80"/>
      <c r="BX364" s="80"/>
    </row>
    <row r="365" spans="1:76" s="81" customFormat="1" ht="15" hidden="1" customHeight="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80"/>
      <c r="BD365" s="80"/>
      <c r="BE365" s="80"/>
      <c r="BF365" s="80"/>
      <c r="BG365" s="80"/>
      <c r="BH365" s="80"/>
      <c r="BI365" s="80"/>
      <c r="BJ365" s="80"/>
      <c r="BK365" s="80"/>
      <c r="BL365" s="80"/>
      <c r="BM365" s="80"/>
      <c r="BN365" s="80"/>
      <c r="BO365" s="80"/>
      <c r="BP365" s="80"/>
      <c r="BQ365" s="80"/>
      <c r="BR365" s="80"/>
      <c r="BS365" s="80"/>
      <c r="BT365" s="80"/>
      <c r="BU365" s="80"/>
      <c r="BV365" s="80"/>
      <c r="BW365" s="80"/>
      <c r="BX365" s="80"/>
    </row>
    <row r="366" spans="1:76" s="81" customFormat="1" ht="15" hidden="1" customHeight="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80"/>
      <c r="BD366" s="80"/>
      <c r="BE366" s="80"/>
      <c r="BF366" s="80"/>
      <c r="BG366" s="80"/>
      <c r="BH366" s="80"/>
      <c r="BI366" s="80"/>
      <c r="BJ366" s="80"/>
      <c r="BK366" s="80"/>
      <c r="BL366" s="80"/>
      <c r="BM366" s="80"/>
      <c r="BN366" s="80"/>
      <c r="BO366" s="80"/>
      <c r="BP366" s="80"/>
      <c r="BQ366" s="80"/>
      <c r="BR366" s="80"/>
      <c r="BS366" s="80"/>
      <c r="BT366" s="80"/>
      <c r="BU366" s="80"/>
      <c r="BV366" s="80"/>
      <c r="BW366" s="80"/>
      <c r="BX366" s="80"/>
    </row>
    <row r="367" spans="1:76" s="81" customFormat="1" ht="15" hidden="1" customHeight="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80"/>
      <c r="BD367" s="80"/>
      <c r="BE367" s="80"/>
      <c r="BF367" s="80"/>
      <c r="BG367" s="80"/>
      <c r="BH367" s="80"/>
      <c r="BI367" s="80"/>
      <c r="BJ367" s="80"/>
      <c r="BK367" s="80"/>
      <c r="BL367" s="80"/>
      <c r="BM367" s="80"/>
      <c r="BN367" s="80"/>
      <c r="BO367" s="80"/>
      <c r="BP367" s="80"/>
      <c r="BQ367" s="80"/>
      <c r="BR367" s="80"/>
      <c r="BS367" s="80"/>
      <c r="BT367" s="80"/>
      <c r="BU367" s="80"/>
      <c r="BV367" s="80"/>
      <c r="BW367" s="80"/>
      <c r="BX367" s="80"/>
    </row>
    <row r="368" spans="1:76" s="81" customFormat="1" ht="15" hidden="1" customHeight="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80"/>
      <c r="BD368" s="80"/>
      <c r="BE368" s="80"/>
      <c r="BF368" s="80"/>
      <c r="BG368" s="80"/>
      <c r="BH368" s="80"/>
      <c r="BI368" s="80"/>
      <c r="BJ368" s="80"/>
      <c r="BK368" s="80"/>
      <c r="BL368" s="80"/>
      <c r="BM368" s="80"/>
      <c r="BN368" s="80"/>
      <c r="BO368" s="80"/>
      <c r="BP368" s="80"/>
      <c r="BQ368" s="80"/>
      <c r="BR368" s="80"/>
      <c r="BS368" s="80"/>
      <c r="BT368" s="80"/>
      <c r="BU368" s="80"/>
      <c r="BV368" s="80"/>
      <c r="BW368" s="80"/>
      <c r="BX368" s="80"/>
    </row>
    <row r="369" spans="1:76" s="81" customFormat="1" ht="15" hidden="1" customHeight="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80"/>
      <c r="BD369" s="80"/>
      <c r="BE369" s="80"/>
      <c r="BF369" s="80"/>
      <c r="BG369" s="80"/>
      <c r="BH369" s="80"/>
      <c r="BI369" s="80"/>
      <c r="BJ369" s="80"/>
      <c r="BK369" s="80"/>
      <c r="BL369" s="80"/>
      <c r="BM369" s="80"/>
      <c r="BN369" s="80"/>
      <c r="BO369" s="80"/>
      <c r="BP369" s="80"/>
      <c r="BQ369" s="80"/>
      <c r="BR369" s="80"/>
      <c r="BS369" s="80"/>
      <c r="BT369" s="80"/>
      <c r="BU369" s="80"/>
      <c r="BV369" s="80"/>
      <c r="BW369" s="80"/>
      <c r="BX369" s="80"/>
    </row>
    <row r="370" spans="1:76" s="81" customFormat="1" ht="15" hidden="1" customHeight="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80"/>
      <c r="BD370" s="80"/>
      <c r="BE370" s="80"/>
      <c r="BF370" s="80"/>
      <c r="BG370" s="80"/>
      <c r="BH370" s="80"/>
      <c r="BI370" s="80"/>
      <c r="BJ370" s="80"/>
      <c r="BK370" s="80"/>
      <c r="BL370" s="80"/>
      <c r="BM370" s="80"/>
      <c r="BN370" s="80"/>
      <c r="BO370" s="80"/>
      <c r="BP370" s="80"/>
      <c r="BQ370" s="80"/>
      <c r="BR370" s="80"/>
      <c r="BS370" s="80"/>
      <c r="BT370" s="80"/>
      <c r="BU370" s="80"/>
      <c r="BV370" s="80"/>
      <c r="BW370" s="80"/>
      <c r="BX370" s="80"/>
    </row>
    <row r="371" spans="1:76" s="81" customFormat="1" ht="15" hidden="1" customHeight="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80"/>
      <c r="BD371" s="80"/>
      <c r="BE371" s="80"/>
      <c r="BF371" s="80"/>
      <c r="BG371" s="80"/>
      <c r="BH371" s="80"/>
      <c r="BI371" s="80"/>
      <c r="BJ371" s="80"/>
      <c r="BK371" s="80"/>
      <c r="BL371" s="80"/>
      <c r="BM371" s="80"/>
      <c r="BN371" s="80"/>
      <c r="BO371" s="80"/>
      <c r="BP371" s="80"/>
      <c r="BQ371" s="80"/>
      <c r="BR371" s="80"/>
      <c r="BS371" s="80"/>
      <c r="BT371" s="80"/>
      <c r="BU371" s="80"/>
      <c r="BV371" s="80"/>
      <c r="BW371" s="80"/>
      <c r="BX371" s="80"/>
    </row>
    <row r="372" spans="1:76" s="81" customFormat="1" ht="15" hidden="1" customHeight="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77"/>
      <c r="AV372" s="77"/>
      <c r="AW372" s="77"/>
      <c r="AX372" s="77"/>
      <c r="AY372" s="77"/>
      <c r="AZ372" s="77"/>
      <c r="BA372" s="77"/>
      <c r="BB372" s="77"/>
      <c r="BC372" s="80"/>
      <c r="BD372" s="80"/>
      <c r="BE372" s="80"/>
      <c r="BF372" s="80"/>
      <c r="BG372" s="80"/>
      <c r="BH372" s="80"/>
      <c r="BI372" s="80"/>
      <c r="BJ372" s="80"/>
      <c r="BK372" s="80"/>
      <c r="BL372" s="80"/>
      <c r="BM372" s="80"/>
      <c r="BN372" s="80"/>
      <c r="BO372" s="80"/>
      <c r="BP372" s="80"/>
      <c r="BQ372" s="80"/>
      <c r="BR372" s="80"/>
      <c r="BS372" s="80"/>
      <c r="BT372" s="80"/>
      <c r="BU372" s="80"/>
      <c r="BV372" s="80"/>
      <c r="BW372" s="80"/>
      <c r="BX372" s="80"/>
    </row>
    <row r="373" spans="1:76" s="81" customFormat="1" ht="15" hidden="1" customHeight="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c r="AZ373" s="77"/>
      <c r="BA373" s="77"/>
      <c r="BB373" s="77"/>
      <c r="BC373" s="80"/>
      <c r="BD373" s="80"/>
      <c r="BE373" s="80"/>
      <c r="BF373" s="80"/>
      <c r="BG373" s="80"/>
      <c r="BH373" s="80"/>
      <c r="BI373" s="80"/>
      <c r="BJ373" s="80"/>
      <c r="BK373" s="80"/>
      <c r="BL373" s="80"/>
      <c r="BM373" s="80"/>
      <c r="BN373" s="80"/>
      <c r="BO373" s="80"/>
      <c r="BP373" s="80"/>
      <c r="BQ373" s="80"/>
      <c r="BR373" s="80"/>
      <c r="BS373" s="80"/>
      <c r="BT373" s="80"/>
      <c r="BU373" s="80"/>
      <c r="BV373" s="80"/>
      <c r="BW373" s="80"/>
      <c r="BX373" s="80"/>
    </row>
    <row r="374" spans="1:76" s="81" customFormat="1" ht="15" hidden="1" customHeight="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77"/>
      <c r="AV374" s="77"/>
      <c r="AW374" s="77"/>
      <c r="AX374" s="77"/>
      <c r="AY374" s="77"/>
      <c r="AZ374" s="77"/>
      <c r="BA374" s="77"/>
      <c r="BB374" s="77"/>
      <c r="BC374" s="80"/>
      <c r="BD374" s="80"/>
      <c r="BE374" s="80"/>
      <c r="BF374" s="80"/>
      <c r="BG374" s="80"/>
      <c r="BH374" s="80"/>
      <c r="BI374" s="80"/>
      <c r="BJ374" s="80"/>
      <c r="BK374" s="80"/>
      <c r="BL374" s="80"/>
      <c r="BM374" s="80"/>
      <c r="BN374" s="80"/>
      <c r="BO374" s="80"/>
      <c r="BP374" s="80"/>
      <c r="BQ374" s="80"/>
      <c r="BR374" s="80"/>
      <c r="BS374" s="80"/>
      <c r="BT374" s="80"/>
      <c r="BU374" s="80"/>
      <c r="BV374" s="80"/>
      <c r="BW374" s="80"/>
      <c r="BX374" s="80"/>
    </row>
    <row r="375" spans="1:76" s="81" customFormat="1" ht="15" hidden="1" customHeight="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77"/>
      <c r="AV375" s="77"/>
      <c r="AW375" s="77"/>
      <c r="AX375" s="77"/>
      <c r="AY375" s="77"/>
      <c r="AZ375" s="77"/>
      <c r="BA375" s="77"/>
      <c r="BB375" s="77"/>
      <c r="BC375" s="80"/>
      <c r="BD375" s="80"/>
      <c r="BE375" s="80"/>
      <c r="BF375" s="80"/>
      <c r="BG375" s="80"/>
      <c r="BH375" s="80"/>
      <c r="BI375" s="80"/>
      <c r="BJ375" s="80"/>
      <c r="BK375" s="80"/>
      <c r="BL375" s="80"/>
      <c r="BM375" s="80"/>
      <c r="BN375" s="80"/>
      <c r="BO375" s="80"/>
      <c r="BP375" s="80"/>
      <c r="BQ375" s="80"/>
      <c r="BR375" s="80"/>
      <c r="BS375" s="80"/>
      <c r="BT375" s="80"/>
      <c r="BU375" s="80"/>
      <c r="BV375" s="80"/>
      <c r="BW375" s="80"/>
      <c r="BX375" s="80"/>
    </row>
    <row r="376" spans="1:76" s="81" customFormat="1" ht="15" hidden="1" customHeight="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77"/>
      <c r="AV376" s="77"/>
      <c r="AW376" s="77"/>
      <c r="AX376" s="77"/>
      <c r="AY376" s="77"/>
      <c r="AZ376" s="77"/>
      <c r="BA376" s="77"/>
      <c r="BB376" s="77"/>
      <c r="BC376" s="80"/>
      <c r="BD376" s="80"/>
      <c r="BE376" s="80"/>
      <c r="BF376" s="80"/>
      <c r="BG376" s="80"/>
      <c r="BH376" s="80"/>
      <c r="BI376" s="80"/>
      <c r="BJ376" s="80"/>
      <c r="BK376" s="80"/>
      <c r="BL376" s="80"/>
      <c r="BM376" s="80"/>
      <c r="BN376" s="80"/>
      <c r="BO376" s="80"/>
      <c r="BP376" s="80"/>
      <c r="BQ376" s="80"/>
      <c r="BR376" s="80"/>
      <c r="BS376" s="80"/>
      <c r="BT376" s="80"/>
      <c r="BU376" s="80"/>
      <c r="BV376" s="80"/>
      <c r="BW376" s="80"/>
      <c r="BX376" s="80"/>
    </row>
    <row r="377" spans="1:76" s="81" customFormat="1" ht="15" hidden="1" customHeight="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77"/>
      <c r="AV377" s="77"/>
      <c r="AW377" s="77"/>
      <c r="AX377" s="77"/>
      <c r="AY377" s="77"/>
      <c r="AZ377" s="77"/>
      <c r="BA377" s="77"/>
      <c r="BB377" s="77"/>
      <c r="BC377" s="80"/>
      <c r="BD377" s="80"/>
      <c r="BE377" s="80"/>
      <c r="BF377" s="80"/>
      <c r="BG377" s="80"/>
      <c r="BH377" s="80"/>
      <c r="BI377" s="80"/>
      <c r="BJ377" s="80"/>
      <c r="BK377" s="80"/>
      <c r="BL377" s="80"/>
      <c r="BM377" s="80"/>
      <c r="BN377" s="80"/>
      <c r="BO377" s="80"/>
      <c r="BP377" s="80"/>
      <c r="BQ377" s="80"/>
      <c r="BR377" s="80"/>
      <c r="BS377" s="80"/>
      <c r="BT377" s="80"/>
      <c r="BU377" s="80"/>
      <c r="BV377" s="80"/>
      <c r="BW377" s="80"/>
      <c r="BX377" s="80"/>
    </row>
    <row r="378" spans="1:76" s="81" customFormat="1" ht="15" hidden="1" customHeight="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76" s="81" customFormat="1" ht="15" hidden="1" customHeight="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76" s="81" customFormat="1" ht="15" hidden="1" customHeight="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76" s="81" customFormat="1" ht="15" hidden="1" customHeight="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76" s="81" customFormat="1" ht="15" hidden="1" customHeight="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76" s="81" customFormat="1" ht="15" hidden="1" customHeight="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76" s="81" customFormat="1" ht="15" hidden="1" customHeight="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54" s="81" customFormat="1" ht="15" hidden="1" customHeight="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54" s="81" customFormat="1" ht="15" hidden="1" customHeight="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54" s="81" customFormat="1" ht="15" hidden="1" customHeight="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54" s="81" customFormat="1" ht="15" hidden="1" customHeight="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54" s="81" customFormat="1" ht="15" hidden="1" customHeight="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54" s="81" customFormat="1" ht="15" hidden="1" customHeight="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54" s="81" customFormat="1" ht="15" hidden="1" customHeight="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54" s="81" customFormat="1" ht="15" hidden="1" customHeight="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54" s="81" customFormat="1" ht="15" hidden="1" customHeight="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54" s="81" customFormat="1" ht="15" hidden="1" customHeight="1">
      <c r="A394" s="77"/>
      <c r="B394" s="77"/>
      <c r="C394" s="77"/>
      <c r="D394" s="78"/>
      <c r="E394" s="79"/>
      <c r="F394" s="79"/>
      <c r="G394" s="79"/>
      <c r="H394" s="79"/>
      <c r="I394" s="79"/>
      <c r="J394" s="79"/>
      <c r="K394" s="79"/>
      <c r="L394" s="79"/>
      <c r="M394" s="79"/>
      <c r="N394" s="79"/>
      <c r="O394" s="79"/>
      <c r="P394" s="79"/>
      <c r="Q394" s="79"/>
      <c r="R394" s="79"/>
      <c r="S394" s="79"/>
      <c r="T394" s="79"/>
      <c r="U394" s="79"/>
      <c r="V394" s="79"/>
      <c r="W394" s="79"/>
      <c r="X394" s="79"/>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82"/>
      <c r="AV394" s="82"/>
      <c r="AW394" s="82"/>
      <c r="AX394" s="82"/>
      <c r="AY394" s="82"/>
      <c r="AZ394" s="82"/>
      <c r="BA394" s="82"/>
      <c r="BB394" s="82"/>
    </row>
    <row r="395" spans="1:54" s="81" customFormat="1" ht="15" hidden="1" customHeight="1">
      <c r="A395" s="77"/>
      <c r="B395" s="77"/>
      <c r="C395" s="77"/>
      <c r="D395" s="78"/>
      <c r="E395" s="79"/>
      <c r="F395" s="79"/>
      <c r="G395" s="79"/>
      <c r="H395" s="79"/>
      <c r="I395" s="79"/>
      <c r="J395" s="79"/>
      <c r="K395" s="79"/>
      <c r="L395" s="79"/>
      <c r="M395" s="79"/>
      <c r="N395" s="79"/>
      <c r="O395" s="79"/>
      <c r="P395" s="79"/>
      <c r="Q395" s="79"/>
      <c r="R395" s="79"/>
      <c r="S395" s="79"/>
      <c r="T395" s="79"/>
      <c r="U395" s="79"/>
      <c r="V395" s="79"/>
      <c r="W395" s="79"/>
      <c r="X395" s="79"/>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82"/>
      <c r="AV395" s="82"/>
      <c r="AW395" s="82"/>
      <c r="AX395" s="82"/>
      <c r="AY395" s="82"/>
      <c r="AZ395" s="82"/>
      <c r="BA395" s="82"/>
      <c r="BB395" s="82"/>
    </row>
    <row r="396" spans="1:54" s="81" customFormat="1" ht="15" hidden="1" customHeight="1">
      <c r="A396" s="77"/>
      <c r="B396" s="77"/>
      <c r="C396" s="77"/>
      <c r="D396" s="78"/>
      <c r="E396" s="79"/>
      <c r="F396" s="79"/>
      <c r="G396" s="79"/>
      <c r="H396" s="79"/>
      <c r="I396" s="79"/>
      <c r="J396" s="79"/>
      <c r="K396" s="79"/>
      <c r="L396" s="79"/>
      <c r="M396" s="79"/>
      <c r="N396" s="79"/>
      <c r="O396" s="79"/>
      <c r="P396" s="79"/>
      <c r="Q396" s="79"/>
      <c r="R396" s="79"/>
      <c r="S396" s="79"/>
      <c r="T396" s="79"/>
      <c r="U396" s="79"/>
      <c r="V396" s="79"/>
      <c r="W396" s="79"/>
      <c r="X396" s="79"/>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82"/>
      <c r="AV396" s="82"/>
      <c r="AW396" s="82"/>
      <c r="AX396" s="82"/>
      <c r="AY396" s="82"/>
      <c r="AZ396" s="82"/>
      <c r="BA396" s="82"/>
      <c r="BB396" s="82"/>
    </row>
    <row r="397" spans="1:54" s="81" customFormat="1" ht="15" hidden="1" customHeight="1">
      <c r="A397" s="77"/>
      <c r="B397" s="77"/>
      <c r="C397" s="77"/>
      <c r="D397" s="78"/>
      <c r="E397" s="79"/>
      <c r="F397" s="79"/>
      <c r="G397" s="79"/>
      <c r="H397" s="79"/>
      <c r="I397" s="79"/>
      <c r="J397" s="79"/>
      <c r="K397" s="79"/>
      <c r="L397" s="79"/>
      <c r="M397" s="79"/>
      <c r="N397" s="79"/>
      <c r="O397" s="79"/>
      <c r="P397" s="79"/>
      <c r="Q397" s="79"/>
      <c r="R397" s="79"/>
      <c r="S397" s="79"/>
      <c r="T397" s="79"/>
      <c r="U397" s="79"/>
      <c r="V397" s="79"/>
      <c r="W397" s="79"/>
      <c r="X397" s="79"/>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82"/>
      <c r="AV397" s="82"/>
      <c r="AW397" s="82"/>
      <c r="AX397" s="82"/>
      <c r="AY397" s="82"/>
      <c r="AZ397" s="82"/>
      <c r="BA397" s="82"/>
      <c r="BB397" s="82"/>
    </row>
    <row r="398" spans="1:54" s="81" customFormat="1" ht="15" hidden="1" customHeight="1">
      <c r="A398" s="77"/>
      <c r="B398" s="77"/>
      <c r="C398" s="77"/>
      <c r="D398" s="78"/>
      <c r="E398" s="79"/>
      <c r="F398" s="79"/>
      <c r="G398" s="79"/>
      <c r="H398" s="79"/>
      <c r="I398" s="79"/>
      <c r="J398" s="79"/>
      <c r="K398" s="79"/>
      <c r="L398" s="79"/>
      <c r="M398" s="79"/>
      <c r="N398" s="79"/>
      <c r="O398" s="79"/>
      <c r="P398" s="79"/>
      <c r="Q398" s="79"/>
      <c r="R398" s="79"/>
      <c r="S398" s="79"/>
      <c r="T398" s="79"/>
      <c r="U398" s="79"/>
      <c r="V398" s="79"/>
      <c r="W398" s="79"/>
      <c r="X398" s="79"/>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82"/>
      <c r="AV398" s="82"/>
      <c r="AW398" s="82"/>
      <c r="AX398" s="82"/>
      <c r="AY398" s="82"/>
      <c r="AZ398" s="82"/>
      <c r="BA398" s="82"/>
      <c r="BB398" s="82"/>
    </row>
    <row r="399" spans="1:54" s="81" customFormat="1" ht="15" hidden="1" customHeight="1">
      <c r="A399" s="77"/>
      <c r="B399" s="77"/>
      <c r="C399" s="77"/>
      <c r="D399" s="78"/>
      <c r="E399" s="79"/>
      <c r="F399" s="79"/>
      <c r="G399" s="79"/>
      <c r="H399" s="79"/>
      <c r="I399" s="79"/>
      <c r="J399" s="79"/>
      <c r="K399" s="79"/>
      <c r="L399" s="79"/>
      <c r="M399" s="79"/>
      <c r="N399" s="79"/>
      <c r="O399" s="79"/>
      <c r="P399" s="79"/>
      <c r="Q399" s="79"/>
      <c r="R399" s="79"/>
      <c r="S399" s="79"/>
      <c r="T399" s="79"/>
      <c r="U399" s="79"/>
      <c r="V399" s="79"/>
      <c r="W399" s="79"/>
      <c r="X399" s="79"/>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82"/>
      <c r="AV399" s="82"/>
      <c r="AW399" s="82"/>
      <c r="AX399" s="82"/>
      <c r="AY399" s="82"/>
      <c r="AZ399" s="82"/>
      <c r="BA399" s="82"/>
      <c r="BB399" s="82"/>
    </row>
    <row r="400" spans="1:54" s="81" customFormat="1" ht="15" hidden="1" customHeight="1">
      <c r="A400" s="77"/>
      <c r="B400" s="77"/>
      <c r="C400" s="77"/>
      <c r="D400" s="78"/>
      <c r="E400" s="79"/>
      <c r="F400" s="79"/>
      <c r="G400" s="79"/>
      <c r="H400" s="79"/>
      <c r="I400" s="79"/>
      <c r="J400" s="79"/>
      <c r="K400" s="79"/>
      <c r="L400" s="79"/>
      <c r="M400" s="79"/>
      <c r="N400" s="79"/>
      <c r="O400" s="79"/>
      <c r="P400" s="79"/>
      <c r="Q400" s="79"/>
      <c r="R400" s="79"/>
      <c r="S400" s="79"/>
      <c r="T400" s="79"/>
      <c r="U400" s="79"/>
      <c r="V400" s="79"/>
      <c r="W400" s="79"/>
      <c r="X400" s="79"/>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82"/>
      <c r="AV400" s="82"/>
      <c r="AW400" s="82"/>
      <c r="AX400" s="82"/>
      <c r="AY400" s="82"/>
      <c r="AZ400" s="82"/>
      <c r="BA400" s="82"/>
      <c r="BB400" s="82"/>
    </row>
    <row r="401" spans="1:54" s="81" customFormat="1" ht="15" hidden="1" customHeight="1">
      <c r="A401" s="77"/>
      <c r="B401" s="77"/>
      <c r="C401" s="77"/>
      <c r="D401" s="78"/>
      <c r="E401" s="79"/>
      <c r="F401" s="79"/>
      <c r="G401" s="79"/>
      <c r="H401" s="79"/>
      <c r="I401" s="79"/>
      <c r="J401" s="79"/>
      <c r="K401" s="79"/>
      <c r="L401" s="79"/>
      <c r="M401" s="79"/>
      <c r="N401" s="79"/>
      <c r="O401" s="79"/>
      <c r="P401" s="79"/>
      <c r="Q401" s="79"/>
      <c r="R401" s="79"/>
      <c r="S401" s="79"/>
      <c r="T401" s="79"/>
      <c r="U401" s="79"/>
      <c r="V401" s="79"/>
      <c r="W401" s="79"/>
      <c r="X401" s="79"/>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82"/>
      <c r="AV401" s="82"/>
      <c r="AW401" s="82"/>
      <c r="AX401" s="82"/>
      <c r="AY401" s="82"/>
      <c r="AZ401" s="82"/>
      <c r="BA401" s="82"/>
      <c r="BB401" s="82"/>
    </row>
    <row r="402" spans="1:54" s="81" customFormat="1" ht="15" hidden="1" customHeight="1">
      <c r="A402" s="77"/>
      <c r="B402" s="77"/>
      <c r="C402" s="77"/>
      <c r="D402" s="78"/>
      <c r="E402" s="79"/>
      <c r="F402" s="79"/>
      <c r="G402" s="79"/>
      <c r="H402" s="79"/>
      <c r="I402" s="79"/>
      <c r="J402" s="79"/>
      <c r="K402" s="79"/>
      <c r="L402" s="79"/>
      <c r="M402" s="79"/>
      <c r="N402" s="79"/>
      <c r="O402" s="79"/>
      <c r="P402" s="79"/>
      <c r="Q402" s="79"/>
      <c r="R402" s="79"/>
      <c r="S402" s="79"/>
      <c r="T402" s="79"/>
      <c r="U402" s="79"/>
      <c r="V402" s="79"/>
      <c r="W402" s="79"/>
      <c r="X402" s="79"/>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82"/>
      <c r="AV402" s="82"/>
      <c r="AW402" s="82"/>
      <c r="AX402" s="82"/>
      <c r="AY402" s="82"/>
      <c r="AZ402" s="82"/>
      <c r="BA402" s="82"/>
      <c r="BB402" s="82"/>
    </row>
    <row r="403" spans="1:54" s="81" customFormat="1" ht="15" hidden="1" customHeight="1">
      <c r="A403" s="77"/>
      <c r="B403" s="77"/>
      <c r="C403" s="77"/>
      <c r="D403" s="78"/>
      <c r="E403" s="79"/>
      <c r="F403" s="79"/>
      <c r="G403" s="79"/>
      <c r="H403" s="79"/>
      <c r="I403" s="79"/>
      <c r="J403" s="79"/>
      <c r="K403" s="79"/>
      <c r="L403" s="79"/>
      <c r="M403" s="79"/>
      <c r="N403" s="79"/>
      <c r="O403" s="79"/>
      <c r="P403" s="79"/>
      <c r="Q403" s="79"/>
      <c r="R403" s="79"/>
      <c r="S403" s="79"/>
      <c r="T403" s="79"/>
      <c r="U403" s="79"/>
      <c r="V403" s="79"/>
      <c r="W403" s="79"/>
      <c r="X403" s="79"/>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82"/>
      <c r="AV403" s="82"/>
      <c r="AW403" s="82"/>
      <c r="AX403" s="82"/>
      <c r="AY403" s="82"/>
      <c r="AZ403" s="82"/>
      <c r="BA403" s="82"/>
      <c r="BB403" s="82"/>
    </row>
    <row r="404" spans="1:54" s="81" customFormat="1" ht="15" hidden="1" customHeight="1">
      <c r="A404" s="77"/>
      <c r="B404" s="77"/>
      <c r="C404" s="77"/>
      <c r="D404" s="78"/>
      <c r="E404" s="79"/>
      <c r="F404" s="79"/>
      <c r="G404" s="79"/>
      <c r="H404" s="79"/>
      <c r="I404" s="79"/>
      <c r="J404" s="79"/>
      <c r="K404" s="79"/>
      <c r="L404" s="79"/>
      <c r="M404" s="79"/>
      <c r="N404" s="79"/>
      <c r="O404" s="79"/>
      <c r="P404" s="79"/>
      <c r="Q404" s="79"/>
      <c r="R404" s="79"/>
      <c r="S404" s="79"/>
      <c r="T404" s="79"/>
      <c r="U404" s="79"/>
      <c r="V404" s="79"/>
      <c r="W404" s="79"/>
      <c r="X404" s="79"/>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82"/>
      <c r="AV404" s="82"/>
      <c r="AW404" s="82"/>
      <c r="AX404" s="82"/>
      <c r="AY404" s="82"/>
      <c r="AZ404" s="82"/>
      <c r="BA404" s="82"/>
      <c r="BB404" s="82"/>
    </row>
    <row r="405" spans="1:54" s="81" customFormat="1" ht="15" hidden="1" customHeight="1">
      <c r="A405" s="77"/>
      <c r="B405" s="77"/>
      <c r="C405" s="77"/>
      <c r="D405" s="78"/>
      <c r="E405" s="79"/>
      <c r="F405" s="79"/>
      <c r="G405" s="79"/>
      <c r="H405" s="79"/>
      <c r="I405" s="79"/>
      <c r="J405" s="79"/>
      <c r="K405" s="79"/>
      <c r="L405" s="79"/>
      <c r="M405" s="79"/>
      <c r="N405" s="79"/>
      <c r="O405" s="79"/>
      <c r="P405" s="79"/>
      <c r="Q405" s="79"/>
      <c r="R405" s="79"/>
      <c r="S405" s="79"/>
      <c r="T405" s="79"/>
      <c r="U405" s="79"/>
      <c r="V405" s="79"/>
      <c r="W405" s="79"/>
      <c r="X405" s="79"/>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82"/>
      <c r="AV405" s="82"/>
      <c r="AW405" s="82"/>
      <c r="AX405" s="82"/>
      <c r="AY405" s="82"/>
      <c r="AZ405" s="82"/>
      <c r="BA405" s="82"/>
      <c r="BB405" s="82"/>
    </row>
    <row r="406" spans="1:54" s="81" customFormat="1" ht="15" hidden="1" customHeight="1">
      <c r="A406" s="77"/>
      <c r="B406" s="77"/>
      <c r="C406" s="77"/>
      <c r="D406" s="78"/>
      <c r="E406" s="79"/>
      <c r="F406" s="79"/>
      <c r="G406" s="79"/>
      <c r="H406" s="79"/>
      <c r="I406" s="79"/>
      <c r="J406" s="79"/>
      <c r="K406" s="79"/>
      <c r="L406" s="79"/>
      <c r="M406" s="79"/>
      <c r="N406" s="79"/>
      <c r="O406" s="79"/>
      <c r="P406" s="79"/>
      <c r="Q406" s="79"/>
      <c r="R406" s="79"/>
      <c r="S406" s="79"/>
      <c r="T406" s="79"/>
      <c r="U406" s="79"/>
      <c r="V406" s="79"/>
      <c r="W406" s="79"/>
      <c r="X406" s="79"/>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82"/>
      <c r="AV406" s="82"/>
      <c r="AW406" s="82"/>
      <c r="AX406" s="82"/>
      <c r="AY406" s="82"/>
      <c r="AZ406" s="82"/>
      <c r="BA406" s="82"/>
      <c r="BB406" s="82"/>
    </row>
    <row r="407" spans="1:54" s="81" customFormat="1" ht="15" hidden="1" customHeight="1">
      <c r="A407" s="77"/>
      <c r="B407" s="77"/>
      <c r="C407" s="77"/>
      <c r="D407" s="78"/>
      <c r="E407" s="79"/>
      <c r="F407" s="79"/>
      <c r="G407" s="79"/>
      <c r="H407" s="79"/>
      <c r="I407" s="79"/>
      <c r="J407" s="79"/>
      <c r="K407" s="79"/>
      <c r="L407" s="79"/>
      <c r="M407" s="79"/>
      <c r="N407" s="79"/>
      <c r="O407" s="79"/>
      <c r="P407" s="79"/>
      <c r="Q407" s="79"/>
      <c r="R407" s="79"/>
      <c r="S407" s="79"/>
      <c r="T407" s="79"/>
      <c r="U407" s="79"/>
      <c r="V407" s="79"/>
      <c r="W407" s="79"/>
      <c r="X407" s="79"/>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82"/>
      <c r="AV407" s="82"/>
      <c r="AW407" s="82"/>
      <c r="AX407" s="82"/>
      <c r="AY407" s="82"/>
      <c r="AZ407" s="82"/>
      <c r="BA407" s="82"/>
      <c r="BB407" s="82"/>
    </row>
    <row r="408" spans="1:54" s="81" customFormat="1" ht="15" hidden="1" customHeight="1">
      <c r="A408" s="77"/>
      <c r="B408" s="77"/>
      <c r="C408" s="77"/>
      <c r="D408" s="78"/>
      <c r="E408" s="79"/>
      <c r="F408" s="79"/>
      <c r="G408" s="79"/>
      <c r="H408" s="79"/>
      <c r="I408" s="79"/>
      <c r="J408" s="79"/>
      <c r="K408" s="79"/>
      <c r="L408" s="79"/>
      <c r="M408" s="79"/>
      <c r="N408" s="79"/>
      <c r="O408" s="79"/>
      <c r="P408" s="79"/>
      <c r="Q408" s="79"/>
      <c r="R408" s="79"/>
      <c r="S408" s="79"/>
      <c r="T408" s="79"/>
      <c r="U408" s="79"/>
      <c r="V408" s="79"/>
      <c r="W408" s="79"/>
      <c r="X408" s="79"/>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82"/>
      <c r="AV408" s="82"/>
      <c r="AW408" s="82"/>
      <c r="AX408" s="82"/>
      <c r="AY408" s="82"/>
      <c r="AZ408" s="82"/>
      <c r="BA408" s="82"/>
      <c r="BB408" s="82"/>
    </row>
    <row r="409" spans="1:54" s="81" customFormat="1" ht="15" hidden="1" customHeight="1">
      <c r="A409" s="77"/>
      <c r="B409" s="77"/>
      <c r="C409" s="77"/>
      <c r="D409" s="78"/>
      <c r="E409" s="79"/>
      <c r="F409" s="79"/>
      <c r="G409" s="79"/>
      <c r="H409" s="79"/>
      <c r="I409" s="79"/>
      <c r="J409" s="79"/>
      <c r="K409" s="79"/>
      <c r="L409" s="79"/>
      <c r="M409" s="79"/>
      <c r="N409" s="79"/>
      <c r="O409" s="79"/>
      <c r="P409" s="79"/>
      <c r="Q409" s="79"/>
      <c r="R409" s="79"/>
      <c r="S409" s="79"/>
      <c r="T409" s="79"/>
      <c r="U409" s="79"/>
      <c r="V409" s="79"/>
      <c r="W409" s="79"/>
      <c r="X409" s="79"/>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82"/>
      <c r="AV409" s="82"/>
      <c r="AW409" s="82"/>
      <c r="AX409" s="82"/>
      <c r="AY409" s="82"/>
      <c r="AZ409" s="82"/>
      <c r="BA409" s="82"/>
      <c r="BB409" s="82"/>
    </row>
    <row r="410" spans="1:54" s="81" customFormat="1" ht="15" hidden="1" customHeight="1">
      <c r="A410" s="77"/>
      <c r="B410" s="77"/>
      <c r="C410" s="77"/>
      <c r="D410" s="78"/>
      <c r="E410" s="79"/>
      <c r="F410" s="79"/>
      <c r="G410" s="79"/>
      <c r="H410" s="79"/>
      <c r="I410" s="79"/>
      <c r="J410" s="79"/>
      <c r="K410" s="79"/>
      <c r="L410" s="79"/>
      <c r="M410" s="79"/>
      <c r="N410" s="79"/>
      <c r="O410" s="79"/>
      <c r="P410" s="79"/>
      <c r="Q410" s="79"/>
      <c r="R410" s="79"/>
      <c r="S410" s="79"/>
      <c r="T410" s="79"/>
      <c r="U410" s="79"/>
      <c r="V410" s="79"/>
      <c r="W410" s="79"/>
      <c r="X410" s="79"/>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82"/>
      <c r="AV410" s="82"/>
      <c r="AW410" s="82"/>
      <c r="AX410" s="82"/>
      <c r="AY410" s="82"/>
      <c r="AZ410" s="82"/>
      <c r="BA410" s="82"/>
      <c r="BB410" s="82"/>
    </row>
    <row r="411" spans="1:54" s="81" customFormat="1" ht="15" hidden="1" customHeight="1">
      <c r="A411" s="77"/>
      <c r="B411" s="77"/>
      <c r="C411" s="77"/>
      <c r="D411" s="78"/>
      <c r="E411" s="79"/>
      <c r="F411" s="79"/>
      <c r="G411" s="79"/>
      <c r="H411" s="79"/>
      <c r="I411" s="79"/>
      <c r="J411" s="79"/>
      <c r="K411" s="79"/>
      <c r="L411" s="79"/>
      <c r="M411" s="79"/>
      <c r="N411" s="79"/>
      <c r="O411" s="79"/>
      <c r="P411" s="79"/>
      <c r="Q411" s="79"/>
      <c r="R411" s="79"/>
      <c r="S411" s="79"/>
      <c r="T411" s="79"/>
      <c r="U411" s="79"/>
      <c r="V411" s="79"/>
      <c r="W411" s="79"/>
      <c r="X411" s="79"/>
      <c r="Y411" s="77"/>
      <c r="Z411" s="77"/>
      <c r="AA411" s="77"/>
      <c r="AB411" s="77"/>
      <c r="AC411" s="77"/>
      <c r="AD411" s="77"/>
      <c r="AE411" s="77"/>
      <c r="AF411" s="77"/>
      <c r="AG411" s="77"/>
      <c r="AH411" s="77"/>
      <c r="AI411" s="77"/>
      <c r="AJ411" s="77"/>
      <c r="AK411" s="77"/>
      <c r="AL411" s="77"/>
      <c r="AM411" s="77"/>
      <c r="AN411" s="77"/>
      <c r="AO411" s="77"/>
      <c r="AP411" s="77"/>
      <c r="AQ411" s="77"/>
      <c r="AR411" s="77"/>
      <c r="AS411" s="77"/>
      <c r="AT411" s="77"/>
      <c r="AU411" s="82"/>
      <c r="AV411" s="82"/>
      <c r="AW411" s="82"/>
      <c r="AX411" s="82"/>
      <c r="AY411" s="82"/>
      <c r="AZ411" s="82"/>
      <c r="BA411" s="82"/>
      <c r="BB411" s="82"/>
    </row>
    <row r="412" spans="1:54" s="81" customFormat="1" ht="15" hidden="1" customHeight="1">
      <c r="A412" s="77"/>
      <c r="B412" s="77"/>
      <c r="C412" s="77"/>
      <c r="D412" s="78"/>
      <c r="E412" s="79"/>
      <c r="F412" s="79"/>
      <c r="G412" s="79"/>
      <c r="H412" s="79"/>
      <c r="I412" s="79"/>
      <c r="J412" s="79"/>
      <c r="K412" s="79"/>
      <c r="L412" s="79"/>
      <c r="M412" s="79"/>
      <c r="N412" s="79"/>
      <c r="O412" s="79"/>
      <c r="P412" s="79"/>
      <c r="Q412" s="79"/>
      <c r="R412" s="79"/>
      <c r="S412" s="79"/>
      <c r="T412" s="79"/>
      <c r="U412" s="79"/>
      <c r="V412" s="79"/>
      <c r="W412" s="79"/>
      <c r="X412" s="79"/>
      <c r="Y412" s="77"/>
      <c r="Z412" s="77"/>
      <c r="AA412" s="77"/>
      <c r="AB412" s="77"/>
      <c r="AC412" s="77"/>
      <c r="AD412" s="77"/>
      <c r="AE412" s="77"/>
      <c r="AF412" s="77"/>
      <c r="AG412" s="77"/>
      <c r="AH412" s="77"/>
      <c r="AI412" s="77"/>
      <c r="AJ412" s="77"/>
      <c r="AK412" s="77"/>
      <c r="AL412" s="77"/>
      <c r="AM412" s="77"/>
      <c r="AN412" s="77"/>
      <c r="AO412" s="77"/>
      <c r="AP412" s="77"/>
      <c r="AQ412" s="77"/>
      <c r="AR412" s="77"/>
      <c r="AS412" s="77"/>
      <c r="AT412" s="77"/>
      <c r="AU412" s="82"/>
      <c r="AV412" s="82"/>
      <c r="AW412" s="82"/>
      <c r="AX412" s="82"/>
      <c r="AY412" s="82"/>
      <c r="AZ412" s="82"/>
      <c r="BA412" s="82"/>
      <c r="BB412" s="82"/>
    </row>
    <row r="413" spans="1:54" s="81" customFormat="1" ht="15" hidden="1" customHeight="1">
      <c r="A413" s="77"/>
      <c r="B413" s="77"/>
      <c r="C413" s="77"/>
      <c r="D413" s="78"/>
      <c r="E413" s="79"/>
      <c r="F413" s="79"/>
      <c r="G413" s="79"/>
      <c r="H413" s="79"/>
      <c r="I413" s="79"/>
      <c r="J413" s="79"/>
      <c r="K413" s="79"/>
      <c r="L413" s="79"/>
      <c r="M413" s="79"/>
      <c r="N413" s="79"/>
      <c r="O413" s="79"/>
      <c r="P413" s="79"/>
      <c r="Q413" s="79"/>
      <c r="R413" s="79"/>
      <c r="S413" s="79"/>
      <c r="T413" s="79"/>
      <c r="U413" s="79"/>
      <c r="V413" s="79"/>
      <c r="W413" s="79"/>
      <c r="X413" s="79"/>
      <c r="Y413" s="77"/>
      <c r="Z413" s="77"/>
      <c r="AA413" s="77"/>
      <c r="AB413" s="77"/>
      <c r="AC413" s="77"/>
      <c r="AD413" s="77"/>
      <c r="AE413" s="77"/>
      <c r="AF413" s="77"/>
      <c r="AG413" s="77"/>
      <c r="AH413" s="77"/>
      <c r="AI413" s="77"/>
      <c r="AJ413" s="77"/>
      <c r="AK413" s="77"/>
      <c r="AL413" s="77"/>
      <c r="AM413" s="77"/>
      <c r="AN413" s="77"/>
      <c r="AO413" s="77"/>
      <c r="AP413" s="77"/>
      <c r="AQ413" s="77"/>
      <c r="AR413" s="77"/>
      <c r="AS413" s="77"/>
      <c r="AT413" s="77"/>
      <c r="AU413" s="82"/>
      <c r="AV413" s="82"/>
      <c r="AW413" s="82"/>
      <c r="AX413" s="82"/>
      <c r="AY413" s="82"/>
      <c r="AZ413" s="82"/>
      <c r="BA413" s="82"/>
      <c r="BB413" s="82"/>
    </row>
    <row r="414" spans="1:54" s="81" customFormat="1" ht="15" hidden="1" customHeight="1">
      <c r="A414" s="77"/>
      <c r="B414" s="77"/>
      <c r="C414" s="77"/>
      <c r="D414" s="78"/>
      <c r="E414" s="79"/>
      <c r="F414" s="79"/>
      <c r="G414" s="79"/>
      <c r="H414" s="79"/>
      <c r="I414" s="79"/>
      <c r="J414" s="79"/>
      <c r="K414" s="79"/>
      <c r="L414" s="79"/>
      <c r="M414" s="79"/>
      <c r="N414" s="79"/>
      <c r="O414" s="79"/>
      <c r="P414" s="79"/>
      <c r="Q414" s="79"/>
      <c r="R414" s="79"/>
      <c r="S414" s="79"/>
      <c r="T414" s="79"/>
      <c r="U414" s="79"/>
      <c r="V414" s="79"/>
      <c r="W414" s="79"/>
      <c r="X414" s="79"/>
      <c r="Y414" s="77"/>
      <c r="Z414" s="77"/>
      <c r="AA414" s="77"/>
      <c r="AB414" s="77"/>
      <c r="AC414" s="77"/>
      <c r="AD414" s="77"/>
      <c r="AE414" s="77"/>
      <c r="AF414" s="77"/>
      <c r="AG414" s="77"/>
      <c r="AH414" s="77"/>
      <c r="AI414" s="77"/>
      <c r="AJ414" s="77"/>
      <c r="AK414" s="77"/>
      <c r="AL414" s="77"/>
      <c r="AM414" s="77"/>
      <c r="AN414" s="77"/>
      <c r="AO414" s="77"/>
      <c r="AP414" s="77"/>
      <c r="AQ414" s="77"/>
      <c r="AR414" s="77"/>
      <c r="AS414" s="77"/>
      <c r="AT414" s="77"/>
      <c r="AU414" s="82"/>
      <c r="AV414" s="82"/>
      <c r="AW414" s="82"/>
      <c r="AX414" s="82"/>
      <c r="AY414" s="82"/>
      <c r="AZ414" s="82"/>
      <c r="BA414" s="82"/>
      <c r="BB414" s="82"/>
    </row>
    <row r="415" spans="1:54" s="81" customFormat="1" ht="15" hidden="1" customHeight="1">
      <c r="A415" s="77"/>
      <c r="B415" s="77"/>
      <c r="C415" s="77"/>
      <c r="D415" s="78"/>
      <c r="E415" s="79"/>
      <c r="F415" s="79"/>
      <c r="G415" s="79"/>
      <c r="H415" s="79"/>
      <c r="I415" s="79"/>
      <c r="J415" s="79"/>
      <c r="K415" s="79"/>
      <c r="L415" s="79"/>
      <c r="M415" s="79"/>
      <c r="N415" s="79"/>
      <c r="O415" s="79"/>
      <c r="P415" s="79"/>
      <c r="Q415" s="79"/>
      <c r="R415" s="79"/>
      <c r="S415" s="79"/>
      <c r="T415" s="79"/>
      <c r="U415" s="79"/>
      <c r="V415" s="79"/>
      <c r="W415" s="79"/>
      <c r="X415" s="79"/>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82"/>
      <c r="AV415" s="82"/>
      <c r="AW415" s="82"/>
      <c r="AX415" s="82"/>
      <c r="AY415" s="82"/>
      <c r="AZ415" s="82"/>
      <c r="BA415" s="82"/>
      <c r="BB415" s="82"/>
    </row>
    <row r="416" spans="1:54" s="81" customFormat="1" ht="15" hidden="1" customHeight="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row>
    <row r="417" spans="1:71" s="81" customFormat="1" ht="15" hidden="1" customHeight="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row>
    <row r="418" spans="1:71" s="81" customFormat="1" ht="15" hidden="1" customHeight="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row>
    <row r="419" spans="1:71" ht="15" hidden="1" customHeight="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t="15" hidden="1" customHeight="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t="15" hidden="1" customHeight="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t="15" hidden="1" customHeight="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t="15" hidden="1" customHeight="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t="15" hidden="1" customHeight="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t="15" hidden="1" customHeight="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t="15" hidden="1" customHeight="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t="15" hidden="1" customHeight="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t="15" hidden="1" customHeight="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t="15" hidden="1" customHeight="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t="15" hidden="1" customHeight="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t="15" hidden="1" customHeight="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t="15" hidden="1" customHeight="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t="15" hidden="1" customHeight="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t="15" hidden="1" customHeight="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t="15" hidden="1" customHeight="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t="15" hidden="1" customHeight="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t="15" hidden="1" customHeight="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t="15" hidden="1" customHeight="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t="15" hidden="1" customHeight="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t="15" hidden="1" customHeight="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t="15" hidden="1" customHeight="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t="15" hidden="1" customHeight="1">
      <c r="A442" s="80"/>
      <c r="B442" s="80"/>
      <c r="C442" s="80"/>
      <c r="D442" s="83"/>
      <c r="E442" s="84"/>
      <c r="F442" s="84"/>
      <c r="G442" s="84"/>
      <c r="H442" s="84"/>
      <c r="I442" s="84"/>
      <c r="J442" s="84"/>
      <c r="K442" s="84"/>
      <c r="L442" s="84"/>
      <c r="M442" s="84"/>
      <c r="N442" s="84"/>
      <c r="O442" s="84"/>
      <c r="P442" s="84"/>
      <c r="Q442" s="84"/>
      <c r="R442" s="84"/>
      <c r="S442" s="84"/>
      <c r="T442" s="84"/>
      <c r="U442" s="84"/>
      <c r="V442" s="84"/>
      <c r="W442" s="84"/>
      <c r="X442" s="84"/>
      <c r="Y442" s="80"/>
      <c r="Z442" s="80"/>
      <c r="AA442" s="80"/>
      <c r="AB442" s="80"/>
      <c r="AC442" s="80"/>
      <c r="AD442" s="80"/>
      <c r="AE442" s="80"/>
      <c r="AF442" s="80"/>
      <c r="AG442" s="80"/>
      <c r="AH442" s="80"/>
      <c r="AI442" s="80"/>
      <c r="AJ442" s="80"/>
      <c r="AK442" s="80"/>
      <c r="AL442" s="80"/>
      <c r="AM442" s="80"/>
      <c r="AN442" s="80"/>
      <c r="AO442" s="80"/>
      <c r="AP442" s="80"/>
      <c r="AQ442" s="80"/>
      <c r="AR442" s="80"/>
      <c r="AS442" s="80"/>
      <c r="AT442" s="80"/>
      <c r="AU442" s="81"/>
      <c r="AV442" s="81"/>
      <c r="AW442" s="81"/>
      <c r="AX442" s="81"/>
      <c r="AY442" s="81"/>
      <c r="AZ442" s="81"/>
      <c r="BA442" s="81"/>
      <c r="BB442" s="81"/>
      <c r="BC442" s="81"/>
      <c r="BD442" s="81"/>
      <c r="BE442" s="81"/>
      <c r="BF442" s="81"/>
      <c r="BG442" s="81"/>
      <c r="BH442" s="81"/>
      <c r="BI442" s="81"/>
      <c r="BJ442" s="81"/>
      <c r="BK442" s="81"/>
      <c r="BL442" s="81"/>
      <c r="BM442" s="81"/>
      <c r="BN442" s="81"/>
      <c r="BO442" s="81"/>
      <c r="BP442" s="81"/>
      <c r="BQ442" s="81"/>
      <c r="BR442" s="81"/>
      <c r="BS442" s="81"/>
    </row>
    <row r="443" spans="1:71" ht="15" hidden="1" customHeight="1">
      <c r="A443" s="80"/>
      <c r="B443" s="80"/>
      <c r="C443" s="80"/>
      <c r="D443" s="83"/>
      <c r="E443" s="84"/>
      <c r="F443" s="84"/>
      <c r="G443" s="84"/>
      <c r="H443" s="84"/>
      <c r="I443" s="84"/>
      <c r="J443" s="84"/>
      <c r="K443" s="84"/>
      <c r="L443" s="84"/>
      <c r="M443" s="84"/>
      <c r="N443" s="84"/>
      <c r="O443" s="84"/>
      <c r="P443" s="84"/>
      <c r="Q443" s="84"/>
      <c r="R443" s="84"/>
      <c r="S443" s="84"/>
      <c r="T443" s="84"/>
      <c r="U443" s="84"/>
      <c r="V443" s="84"/>
      <c r="W443" s="84"/>
      <c r="X443" s="84"/>
      <c r="Y443" s="80"/>
      <c r="Z443" s="80"/>
      <c r="AA443" s="80"/>
      <c r="AB443" s="80"/>
      <c r="AC443" s="80"/>
      <c r="AD443" s="80"/>
      <c r="AE443" s="80"/>
      <c r="AF443" s="80"/>
      <c r="AG443" s="80"/>
      <c r="AH443" s="80"/>
      <c r="AI443" s="80"/>
      <c r="AJ443" s="80"/>
      <c r="AK443" s="80"/>
      <c r="AL443" s="80"/>
      <c r="AM443" s="80"/>
      <c r="AN443" s="80"/>
      <c r="AO443" s="80"/>
      <c r="AP443" s="80"/>
      <c r="AQ443" s="80"/>
      <c r="AR443" s="80"/>
      <c r="AS443" s="80"/>
      <c r="AT443" s="80"/>
      <c r="AU443" s="81"/>
      <c r="AV443" s="81"/>
      <c r="AW443" s="81"/>
      <c r="AX443" s="81"/>
      <c r="AY443" s="81"/>
      <c r="AZ443" s="81"/>
      <c r="BA443" s="81"/>
      <c r="BB443" s="81"/>
      <c r="BC443" s="81"/>
      <c r="BD443" s="81"/>
      <c r="BE443" s="81"/>
      <c r="BF443" s="81"/>
      <c r="BG443" s="81"/>
      <c r="BH443" s="81"/>
      <c r="BI443" s="81"/>
      <c r="BJ443" s="81"/>
      <c r="BK443" s="81"/>
      <c r="BL443" s="81"/>
      <c r="BM443" s="81"/>
      <c r="BN443" s="81"/>
      <c r="BO443" s="81"/>
      <c r="BP443" s="81"/>
      <c r="BQ443" s="81"/>
      <c r="BR443" s="81"/>
      <c r="BS443" s="81"/>
    </row>
    <row r="444" spans="1:71" ht="15" hidden="1" customHeight="1">
      <c r="A444" s="80"/>
      <c r="B444" s="80"/>
      <c r="C444" s="80"/>
      <c r="D444" s="83"/>
      <c r="E444" s="84"/>
      <c r="F444" s="84"/>
      <c r="G444" s="84"/>
      <c r="H444" s="84"/>
      <c r="I444" s="84"/>
      <c r="J444" s="84"/>
      <c r="K444" s="84"/>
      <c r="L444" s="84"/>
      <c r="M444" s="84"/>
      <c r="N444" s="84"/>
      <c r="O444" s="84"/>
      <c r="P444" s="84"/>
      <c r="Q444" s="84"/>
      <c r="R444" s="84"/>
      <c r="S444" s="84"/>
      <c r="T444" s="84"/>
      <c r="U444" s="84"/>
      <c r="V444" s="84"/>
      <c r="W444" s="84"/>
      <c r="X444" s="84"/>
      <c r="Y444" s="80"/>
      <c r="Z444" s="80"/>
      <c r="AA444" s="80"/>
      <c r="AB444" s="80"/>
      <c r="AC444" s="80"/>
      <c r="AD444" s="80"/>
      <c r="AE444" s="80"/>
      <c r="AF444" s="80"/>
      <c r="AG444" s="80"/>
      <c r="AH444" s="80"/>
      <c r="AI444" s="80"/>
      <c r="AJ444" s="80"/>
      <c r="AK444" s="80"/>
      <c r="AL444" s="80"/>
      <c r="AM444" s="80"/>
      <c r="AN444" s="80"/>
      <c r="AO444" s="80"/>
      <c r="AP444" s="80"/>
      <c r="AQ444" s="80"/>
      <c r="AR444" s="80"/>
      <c r="AS444" s="80"/>
      <c r="AT444" s="80"/>
      <c r="AU444" s="81"/>
      <c r="AV444" s="81"/>
      <c r="AW444" s="81"/>
      <c r="AX444" s="81"/>
      <c r="AY444" s="81"/>
      <c r="AZ444" s="81"/>
      <c r="BA444" s="81"/>
      <c r="BB444" s="81"/>
      <c r="BC444" s="81"/>
      <c r="BD444" s="81"/>
      <c r="BE444" s="81"/>
      <c r="BF444" s="81"/>
      <c r="BG444" s="81"/>
      <c r="BH444" s="81"/>
      <c r="BI444" s="81"/>
      <c r="BJ444" s="81"/>
      <c r="BK444" s="81"/>
      <c r="BL444" s="81"/>
      <c r="BM444" s="81"/>
      <c r="BN444" s="81"/>
      <c r="BO444" s="81"/>
      <c r="BP444" s="81"/>
      <c r="BQ444" s="81"/>
      <c r="BR444" s="81"/>
      <c r="BS444" s="81"/>
    </row>
    <row r="445" spans="1:71" ht="15" hidden="1" customHeight="1">
      <c r="A445" s="80"/>
      <c r="B445" s="80"/>
      <c r="C445" s="80"/>
      <c r="D445" s="83"/>
      <c r="E445" s="84"/>
      <c r="F445" s="84"/>
      <c r="G445" s="84"/>
      <c r="H445" s="84"/>
      <c r="I445" s="84"/>
      <c r="J445" s="84"/>
      <c r="K445" s="84"/>
      <c r="L445" s="84"/>
      <c r="M445" s="84"/>
      <c r="N445" s="84"/>
      <c r="O445" s="84"/>
      <c r="P445" s="84"/>
      <c r="Q445" s="84"/>
      <c r="R445" s="84"/>
      <c r="S445" s="84"/>
      <c r="T445" s="84"/>
      <c r="U445" s="84"/>
      <c r="V445" s="84"/>
      <c r="W445" s="84"/>
      <c r="X445" s="84"/>
      <c r="Y445" s="80"/>
      <c r="Z445" s="80"/>
      <c r="AA445" s="80"/>
      <c r="AB445" s="80"/>
      <c r="AC445" s="80"/>
      <c r="AD445" s="80"/>
      <c r="AE445" s="80"/>
      <c r="AF445" s="80"/>
      <c r="AG445" s="80"/>
      <c r="AH445" s="80"/>
      <c r="AI445" s="80"/>
      <c r="AJ445" s="80"/>
      <c r="AK445" s="80"/>
      <c r="AL445" s="80"/>
      <c r="AM445" s="80"/>
      <c r="AN445" s="80"/>
      <c r="AO445" s="80"/>
      <c r="AP445" s="80"/>
      <c r="AQ445" s="80"/>
      <c r="AR445" s="80"/>
      <c r="AS445" s="80"/>
      <c r="AT445" s="80"/>
      <c r="AU445" s="81"/>
      <c r="AV445" s="81"/>
      <c r="AW445" s="81"/>
      <c r="AX445" s="81"/>
      <c r="AY445" s="81"/>
      <c r="AZ445" s="81"/>
      <c r="BA445" s="81"/>
      <c r="BB445" s="81"/>
      <c r="BC445" s="81"/>
      <c r="BD445" s="81"/>
      <c r="BE445" s="81"/>
      <c r="BF445" s="81"/>
      <c r="BG445" s="81"/>
      <c r="BH445" s="81"/>
      <c r="BI445" s="81"/>
      <c r="BJ445" s="81"/>
      <c r="BK445" s="81"/>
      <c r="BL445" s="81"/>
      <c r="BM445" s="81"/>
      <c r="BN445" s="81"/>
      <c r="BO445" s="81"/>
      <c r="BP445" s="81"/>
      <c r="BQ445" s="81"/>
      <c r="BR445" s="81"/>
      <c r="BS445" s="81"/>
    </row>
    <row r="446" spans="1:71" ht="15" hidden="1" customHeight="1">
      <c r="A446" s="80"/>
      <c r="B446" s="80"/>
      <c r="C446" s="80"/>
      <c r="D446" s="83"/>
      <c r="E446" s="84"/>
      <c r="F446" s="84"/>
      <c r="G446" s="84"/>
      <c r="H446" s="84"/>
      <c r="I446" s="84"/>
      <c r="J446" s="84"/>
      <c r="K446" s="84"/>
      <c r="L446" s="84"/>
      <c r="M446" s="84"/>
      <c r="N446" s="84"/>
      <c r="O446" s="84"/>
      <c r="P446" s="84"/>
      <c r="Q446" s="84"/>
      <c r="R446" s="84"/>
      <c r="S446" s="84"/>
      <c r="T446" s="84"/>
      <c r="U446" s="84"/>
      <c r="V446" s="84"/>
      <c r="W446" s="84"/>
      <c r="X446" s="84"/>
      <c r="Y446" s="80"/>
      <c r="Z446" s="80"/>
      <c r="AA446" s="80"/>
      <c r="AB446" s="80"/>
      <c r="AC446" s="80"/>
      <c r="AD446" s="80"/>
      <c r="AE446" s="80"/>
      <c r="AF446" s="80"/>
      <c r="AG446" s="80"/>
      <c r="AH446" s="80"/>
      <c r="AI446" s="80"/>
      <c r="AJ446" s="80"/>
      <c r="AK446" s="80"/>
      <c r="AL446" s="80"/>
      <c r="AM446" s="80"/>
      <c r="AN446" s="80"/>
      <c r="AO446" s="80"/>
      <c r="AP446" s="80"/>
      <c r="AQ446" s="80"/>
      <c r="AR446" s="80"/>
      <c r="AS446" s="80"/>
      <c r="AT446" s="80"/>
      <c r="AU446" s="81"/>
      <c r="AV446" s="81"/>
      <c r="AW446" s="81"/>
      <c r="AX446" s="81"/>
      <c r="AY446" s="81"/>
      <c r="AZ446" s="81"/>
      <c r="BA446" s="81"/>
      <c r="BB446" s="81"/>
      <c r="BC446" s="81"/>
      <c r="BD446" s="81"/>
      <c r="BE446" s="81"/>
      <c r="BF446" s="81"/>
      <c r="BG446" s="81"/>
      <c r="BH446" s="81"/>
      <c r="BI446" s="81"/>
      <c r="BJ446" s="81"/>
      <c r="BK446" s="81"/>
      <c r="BL446" s="81"/>
      <c r="BM446" s="81"/>
      <c r="BN446" s="81"/>
      <c r="BO446" s="81"/>
      <c r="BP446" s="81"/>
      <c r="BQ446" s="81"/>
      <c r="BR446" s="81"/>
      <c r="BS446" s="81"/>
    </row>
    <row r="447" spans="1:71" ht="15" hidden="1" customHeight="1">
      <c r="A447" s="80"/>
      <c r="B447" s="80"/>
      <c r="C447" s="80"/>
      <c r="D447" s="83"/>
      <c r="E447" s="84"/>
      <c r="F447" s="84"/>
      <c r="G447" s="84"/>
      <c r="H447" s="84"/>
      <c r="I447" s="84"/>
      <c r="J447" s="84"/>
      <c r="K447" s="84"/>
      <c r="L447" s="84"/>
      <c r="M447" s="84"/>
      <c r="N447" s="84"/>
      <c r="O447" s="84"/>
      <c r="P447" s="84"/>
      <c r="Q447" s="84"/>
      <c r="R447" s="84"/>
      <c r="S447" s="84"/>
      <c r="T447" s="84"/>
      <c r="U447" s="84"/>
      <c r="V447" s="84"/>
      <c r="W447" s="84"/>
      <c r="X447" s="84"/>
      <c r="Y447" s="80"/>
      <c r="Z447" s="80"/>
      <c r="AA447" s="80"/>
      <c r="AB447" s="80"/>
      <c r="AC447" s="80"/>
      <c r="AD447" s="80"/>
      <c r="AE447" s="80"/>
      <c r="AF447" s="80"/>
      <c r="AG447" s="80"/>
      <c r="AH447" s="80"/>
      <c r="AI447" s="80"/>
      <c r="AJ447" s="80"/>
      <c r="AK447" s="80"/>
      <c r="AL447" s="80"/>
      <c r="AM447" s="80"/>
      <c r="AN447" s="80"/>
      <c r="AO447" s="80"/>
      <c r="AP447" s="80"/>
      <c r="AQ447" s="80"/>
      <c r="AR447" s="80"/>
      <c r="AS447" s="80"/>
      <c r="AT447" s="80"/>
      <c r="AU447" s="81"/>
      <c r="AV447" s="81"/>
      <c r="AW447" s="81"/>
      <c r="AX447" s="81"/>
      <c r="AY447" s="81"/>
      <c r="AZ447" s="81"/>
      <c r="BA447" s="81"/>
      <c r="BB447" s="81"/>
      <c r="BC447" s="81"/>
      <c r="BD447" s="81"/>
      <c r="BE447" s="81"/>
      <c r="BF447" s="81"/>
      <c r="BG447" s="81"/>
      <c r="BH447" s="81"/>
      <c r="BI447" s="81"/>
      <c r="BJ447" s="81"/>
      <c r="BK447" s="81"/>
      <c r="BL447" s="81"/>
      <c r="BM447" s="81"/>
      <c r="BN447" s="81"/>
      <c r="BO447" s="81"/>
      <c r="BP447" s="81"/>
      <c r="BQ447" s="81"/>
      <c r="BR447" s="81"/>
      <c r="BS447" s="81"/>
    </row>
    <row r="448" spans="1:71" ht="15" hidden="1" customHeight="1">
      <c r="A448" s="80"/>
      <c r="B448" s="80"/>
      <c r="C448" s="80"/>
      <c r="D448" s="83"/>
      <c r="E448" s="84"/>
      <c r="F448" s="84"/>
      <c r="G448" s="84"/>
      <c r="H448" s="84"/>
      <c r="I448" s="84"/>
      <c r="J448" s="84"/>
      <c r="K448" s="84"/>
      <c r="L448" s="84"/>
      <c r="M448" s="84"/>
      <c r="N448" s="84"/>
      <c r="O448" s="84"/>
      <c r="P448" s="84"/>
      <c r="Q448" s="84"/>
      <c r="R448" s="84"/>
      <c r="S448" s="84"/>
      <c r="T448" s="84"/>
      <c r="U448" s="84"/>
      <c r="V448" s="84"/>
      <c r="W448" s="84"/>
      <c r="X448" s="84"/>
      <c r="Y448" s="80"/>
      <c r="Z448" s="80"/>
      <c r="AA448" s="80"/>
      <c r="AB448" s="80"/>
      <c r="AC448" s="80"/>
      <c r="AD448" s="80"/>
      <c r="AE448" s="80"/>
      <c r="AF448" s="80"/>
      <c r="AG448" s="80"/>
      <c r="AH448" s="80"/>
      <c r="AI448" s="80"/>
      <c r="AJ448" s="80"/>
      <c r="AK448" s="80"/>
      <c r="AL448" s="80"/>
      <c r="AM448" s="80"/>
      <c r="AN448" s="80"/>
      <c r="AO448" s="80"/>
      <c r="AP448" s="80"/>
      <c r="AQ448" s="80"/>
      <c r="AR448" s="80"/>
      <c r="AS448" s="80"/>
      <c r="AT448" s="80"/>
      <c r="AU448" s="81"/>
      <c r="AV448" s="81"/>
      <c r="AW448" s="81"/>
      <c r="AX448" s="81"/>
      <c r="AY448" s="81"/>
      <c r="AZ448" s="81"/>
      <c r="BA448" s="81"/>
      <c r="BB448" s="81"/>
      <c r="BC448" s="81"/>
      <c r="BD448" s="81"/>
      <c r="BE448" s="81"/>
      <c r="BF448" s="81"/>
      <c r="BG448" s="81"/>
      <c r="BH448" s="81"/>
      <c r="BI448" s="81"/>
      <c r="BJ448" s="81"/>
      <c r="BK448" s="81"/>
      <c r="BL448" s="81"/>
      <c r="BM448" s="81"/>
      <c r="BN448" s="81"/>
      <c r="BO448" s="81"/>
      <c r="BP448" s="81"/>
      <c r="BQ448" s="81"/>
      <c r="BR448" s="81"/>
      <c r="BS448" s="81"/>
    </row>
    <row r="449" spans="1:71" ht="15" hidden="1" customHeight="1">
      <c r="A449" s="80"/>
      <c r="B449" s="80"/>
      <c r="C449" s="80"/>
      <c r="D449" s="83"/>
      <c r="E449" s="84"/>
      <c r="F449" s="84"/>
      <c r="G449" s="84"/>
      <c r="H449" s="84"/>
      <c r="I449" s="84"/>
      <c r="J449" s="84"/>
      <c r="K449" s="84"/>
      <c r="L449" s="84"/>
      <c r="M449" s="84"/>
      <c r="N449" s="84"/>
      <c r="O449" s="84"/>
      <c r="P449" s="84"/>
      <c r="Q449" s="84"/>
      <c r="R449" s="84"/>
      <c r="S449" s="84"/>
      <c r="T449" s="84"/>
      <c r="U449" s="84"/>
      <c r="V449" s="84"/>
      <c r="W449" s="84"/>
      <c r="X449" s="84"/>
      <c r="Y449" s="80"/>
      <c r="Z449" s="80"/>
      <c r="AA449" s="80"/>
      <c r="AB449" s="80"/>
      <c r="AC449" s="80"/>
      <c r="AD449" s="80"/>
      <c r="AE449" s="80"/>
      <c r="AF449" s="80"/>
      <c r="AG449" s="80"/>
      <c r="AH449" s="80"/>
      <c r="AI449" s="80"/>
      <c r="AJ449" s="80"/>
      <c r="AK449" s="80"/>
      <c r="AL449" s="80"/>
      <c r="AM449" s="80"/>
      <c r="AN449" s="80"/>
      <c r="AO449" s="80"/>
      <c r="AP449" s="80"/>
      <c r="AQ449" s="80"/>
      <c r="AR449" s="80"/>
      <c r="AS449" s="80"/>
      <c r="AT449" s="80"/>
      <c r="AU449" s="81"/>
      <c r="AV449" s="81"/>
      <c r="AW449" s="81"/>
      <c r="AX449" s="81"/>
      <c r="AY449" s="81"/>
      <c r="AZ449" s="81"/>
      <c r="BA449" s="81"/>
      <c r="BB449" s="81"/>
      <c r="BC449" s="81"/>
      <c r="BD449" s="81"/>
      <c r="BE449" s="81"/>
      <c r="BF449" s="81"/>
      <c r="BG449" s="81"/>
      <c r="BH449" s="81"/>
      <c r="BI449" s="81"/>
      <c r="BJ449" s="81"/>
      <c r="BK449" s="81"/>
      <c r="BL449" s="81"/>
      <c r="BM449" s="81"/>
      <c r="BN449" s="81"/>
      <c r="BO449" s="81"/>
      <c r="BP449" s="81"/>
      <c r="BQ449" s="81"/>
      <c r="BR449" s="81"/>
      <c r="BS449" s="81"/>
    </row>
    <row r="450" spans="1:71" ht="15" hidden="1" customHeight="1">
      <c r="A450" s="80"/>
      <c r="B450" s="80"/>
      <c r="C450" s="80"/>
      <c r="D450" s="83"/>
      <c r="E450" s="84"/>
      <c r="F450" s="84"/>
      <c r="G450" s="84"/>
      <c r="H450" s="84"/>
      <c r="I450" s="84"/>
      <c r="J450" s="84"/>
      <c r="K450" s="84"/>
      <c r="L450" s="84"/>
      <c r="M450" s="84"/>
      <c r="N450" s="84"/>
      <c r="O450" s="84"/>
      <c r="P450" s="84"/>
      <c r="Q450" s="84"/>
      <c r="R450" s="84"/>
      <c r="S450" s="84"/>
      <c r="T450" s="84"/>
      <c r="U450" s="84"/>
      <c r="V450" s="84"/>
      <c r="W450" s="84"/>
      <c r="X450" s="84"/>
      <c r="Y450" s="80"/>
      <c r="Z450" s="80"/>
      <c r="AA450" s="80"/>
      <c r="AB450" s="80"/>
      <c r="AC450" s="80"/>
      <c r="AD450" s="80"/>
      <c r="AE450" s="80"/>
      <c r="AF450" s="80"/>
      <c r="AG450" s="80"/>
      <c r="AH450" s="80"/>
      <c r="AI450" s="80"/>
      <c r="AJ450" s="80"/>
      <c r="AK450" s="80"/>
      <c r="AL450" s="80"/>
      <c r="AM450" s="80"/>
      <c r="AN450" s="80"/>
      <c r="AO450" s="80"/>
      <c r="AP450" s="80"/>
      <c r="AQ450" s="80"/>
      <c r="AR450" s="80"/>
      <c r="AS450" s="80"/>
      <c r="AT450" s="80"/>
      <c r="AU450" s="81"/>
      <c r="AV450" s="81"/>
      <c r="AW450" s="81"/>
      <c r="AX450" s="81"/>
      <c r="AY450" s="81"/>
      <c r="AZ450" s="81"/>
      <c r="BA450" s="81"/>
      <c r="BB450" s="81"/>
      <c r="BC450" s="81"/>
      <c r="BD450" s="81"/>
      <c r="BE450" s="81"/>
      <c r="BF450" s="81"/>
      <c r="BG450" s="81"/>
      <c r="BH450" s="81"/>
      <c r="BI450" s="81"/>
      <c r="BJ450" s="81"/>
      <c r="BK450" s="81"/>
      <c r="BL450" s="81"/>
      <c r="BM450" s="81"/>
      <c r="BN450" s="81"/>
      <c r="BO450" s="81"/>
      <c r="BP450" s="81"/>
      <c r="BQ450" s="81"/>
      <c r="BR450" s="81"/>
      <c r="BS450" s="81"/>
    </row>
    <row r="451" spans="1:71" ht="15" hidden="1" customHeight="1">
      <c r="A451" s="80"/>
      <c r="B451" s="80"/>
      <c r="C451" s="80"/>
      <c r="D451" s="83"/>
      <c r="E451" s="84"/>
      <c r="F451" s="84"/>
      <c r="G451" s="84"/>
      <c r="H451" s="84"/>
      <c r="I451" s="84"/>
      <c r="J451" s="84"/>
      <c r="K451" s="84"/>
      <c r="L451" s="84"/>
      <c r="M451" s="84"/>
      <c r="N451" s="84"/>
      <c r="O451" s="84"/>
      <c r="P451" s="84"/>
      <c r="Q451" s="84"/>
      <c r="R451" s="84"/>
      <c r="S451" s="84"/>
      <c r="T451" s="84"/>
      <c r="U451" s="84"/>
      <c r="V451" s="84"/>
      <c r="W451" s="84"/>
      <c r="X451" s="84"/>
      <c r="Y451" s="80"/>
      <c r="Z451" s="80"/>
      <c r="AA451" s="80"/>
      <c r="AB451" s="80"/>
      <c r="AC451" s="80"/>
      <c r="AD451" s="80"/>
      <c r="AE451" s="80"/>
      <c r="AF451" s="80"/>
      <c r="AG451" s="80"/>
      <c r="AH451" s="80"/>
      <c r="AI451" s="80"/>
      <c r="AJ451" s="80"/>
      <c r="AK451" s="80"/>
      <c r="AL451" s="80"/>
      <c r="AM451" s="80"/>
      <c r="AN451" s="80"/>
      <c r="AO451" s="80"/>
      <c r="AP451" s="80"/>
      <c r="AQ451" s="80"/>
      <c r="AR451" s="80"/>
      <c r="AS451" s="80"/>
      <c r="AT451" s="80"/>
      <c r="AU451" s="81"/>
      <c r="AV451" s="81"/>
      <c r="AW451" s="81"/>
      <c r="AX451" s="81"/>
      <c r="AY451" s="81"/>
      <c r="AZ451" s="81"/>
      <c r="BA451" s="81"/>
      <c r="BB451" s="81"/>
      <c r="BC451" s="81"/>
      <c r="BD451" s="81"/>
      <c r="BE451" s="81"/>
      <c r="BF451" s="81"/>
      <c r="BG451" s="81"/>
      <c r="BH451" s="81"/>
      <c r="BI451" s="81"/>
      <c r="BJ451" s="81"/>
      <c r="BK451" s="81"/>
      <c r="BL451" s="81"/>
      <c r="BM451" s="81"/>
      <c r="BN451" s="81"/>
      <c r="BO451" s="81"/>
      <c r="BP451" s="81"/>
      <c r="BQ451" s="81"/>
      <c r="BR451" s="81"/>
      <c r="BS451" s="81"/>
    </row>
    <row r="452" spans="1:71" ht="15" hidden="1" customHeight="1">
      <c r="A452" s="80"/>
      <c r="B452" s="80"/>
      <c r="C452" s="80"/>
      <c r="D452" s="83"/>
      <c r="E452" s="84"/>
      <c r="F452" s="84"/>
      <c r="G452" s="84"/>
      <c r="H452" s="84"/>
      <c r="I452" s="84"/>
      <c r="J452" s="84"/>
      <c r="K452" s="84"/>
      <c r="L452" s="84"/>
      <c r="M452" s="84"/>
      <c r="N452" s="84"/>
      <c r="O452" s="84"/>
      <c r="P452" s="84"/>
      <c r="Q452" s="84"/>
      <c r="R452" s="84"/>
      <c r="S452" s="84"/>
      <c r="T452" s="84"/>
      <c r="U452" s="84"/>
      <c r="V452" s="84"/>
      <c r="W452" s="84"/>
      <c r="X452" s="84"/>
      <c r="Y452" s="80"/>
      <c r="Z452" s="80"/>
      <c r="AA452" s="80"/>
      <c r="AB452" s="80"/>
      <c r="AC452" s="80"/>
      <c r="AD452" s="80"/>
      <c r="AE452" s="80"/>
      <c r="AF452" s="80"/>
      <c r="AG452" s="80"/>
      <c r="AH452" s="80"/>
      <c r="AI452" s="80"/>
      <c r="AJ452" s="80"/>
      <c r="AK452" s="80"/>
      <c r="AL452" s="80"/>
      <c r="AM452" s="80"/>
      <c r="AN452" s="80"/>
      <c r="AO452" s="80"/>
      <c r="AP452" s="80"/>
      <c r="AQ452" s="80"/>
      <c r="AR452" s="80"/>
      <c r="AS452" s="80"/>
      <c r="AT452" s="80"/>
      <c r="AU452" s="81"/>
      <c r="AV452" s="81"/>
      <c r="AW452" s="81"/>
      <c r="AX452" s="81"/>
      <c r="AY452" s="81"/>
      <c r="AZ452" s="81"/>
      <c r="BA452" s="81"/>
      <c r="BB452" s="81"/>
      <c r="BC452" s="81"/>
      <c r="BD452" s="81"/>
      <c r="BE452" s="81"/>
      <c r="BF452" s="81"/>
      <c r="BG452" s="81"/>
      <c r="BH452" s="81"/>
      <c r="BI452" s="81"/>
      <c r="BJ452" s="81"/>
      <c r="BK452" s="81"/>
      <c r="BL452" s="81"/>
      <c r="BM452" s="81"/>
      <c r="BN452" s="81"/>
      <c r="BO452" s="81"/>
      <c r="BP452" s="81"/>
      <c r="BQ452" s="81"/>
      <c r="BR452" s="81"/>
      <c r="BS452" s="81"/>
    </row>
    <row r="453" spans="1:71" ht="15" hidden="1" customHeight="1">
      <c r="A453" s="80"/>
      <c r="B453" s="80"/>
      <c r="C453" s="80"/>
      <c r="D453" s="83"/>
      <c r="E453" s="84"/>
      <c r="F453" s="84"/>
      <c r="G453" s="84"/>
      <c r="H453" s="84"/>
      <c r="I453" s="84"/>
      <c r="J453" s="84"/>
      <c r="K453" s="84"/>
      <c r="L453" s="84"/>
      <c r="M453" s="84"/>
      <c r="N453" s="84"/>
      <c r="O453" s="84"/>
      <c r="P453" s="84"/>
      <c r="Q453" s="84"/>
      <c r="R453" s="84"/>
      <c r="S453" s="84"/>
      <c r="T453" s="84"/>
      <c r="U453" s="84"/>
      <c r="V453" s="84"/>
      <c r="W453" s="84"/>
      <c r="X453" s="84"/>
      <c r="Y453" s="80"/>
      <c r="Z453" s="80"/>
      <c r="AA453" s="80"/>
      <c r="AB453" s="80"/>
      <c r="AC453" s="80"/>
      <c r="AD453" s="80"/>
      <c r="AE453" s="80"/>
      <c r="AF453" s="80"/>
      <c r="AG453" s="80"/>
      <c r="AH453" s="80"/>
      <c r="AI453" s="80"/>
      <c r="AJ453" s="80"/>
      <c r="AK453" s="80"/>
      <c r="AL453" s="80"/>
      <c r="AM453" s="80"/>
      <c r="AN453" s="80"/>
      <c r="AO453" s="80"/>
      <c r="AP453" s="80"/>
      <c r="AQ453" s="80"/>
      <c r="AR453" s="80"/>
      <c r="AS453" s="80"/>
      <c r="AT453" s="80"/>
      <c r="AU453" s="81"/>
      <c r="AV453" s="81"/>
      <c r="AW453" s="81"/>
      <c r="AX453" s="81"/>
      <c r="AY453" s="81"/>
      <c r="AZ453" s="81"/>
      <c r="BA453" s="81"/>
      <c r="BB453" s="81"/>
      <c r="BC453" s="81"/>
      <c r="BD453" s="81"/>
      <c r="BE453" s="81"/>
      <c r="BF453" s="81"/>
      <c r="BG453" s="81"/>
      <c r="BH453" s="81"/>
      <c r="BI453" s="81"/>
      <c r="BJ453" s="81"/>
      <c r="BK453" s="81"/>
      <c r="BL453" s="81"/>
      <c r="BM453" s="81"/>
      <c r="BN453" s="81"/>
      <c r="BO453" s="81"/>
      <c r="BP453" s="81"/>
      <c r="BQ453" s="81"/>
      <c r="BR453" s="81"/>
      <c r="BS453" s="81"/>
    </row>
    <row r="454" spans="1:71" ht="15" hidden="1" customHeight="1">
      <c r="A454" s="80"/>
      <c r="B454" s="80"/>
      <c r="C454" s="80"/>
      <c r="D454" s="83"/>
      <c r="E454" s="84"/>
      <c r="F454" s="84"/>
      <c r="G454" s="84"/>
      <c r="H454" s="84"/>
      <c r="I454" s="84"/>
      <c r="J454" s="84"/>
      <c r="K454" s="84"/>
      <c r="L454" s="84"/>
      <c r="M454" s="84"/>
      <c r="N454" s="84"/>
      <c r="O454" s="84"/>
      <c r="P454" s="84"/>
      <c r="Q454" s="84"/>
      <c r="R454" s="84"/>
      <c r="S454" s="84"/>
      <c r="T454" s="84"/>
      <c r="U454" s="84"/>
      <c r="V454" s="84"/>
      <c r="W454" s="84"/>
      <c r="X454" s="84"/>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1"/>
      <c r="AV454" s="81"/>
      <c r="AW454" s="81"/>
      <c r="AX454" s="81"/>
      <c r="AY454" s="81"/>
      <c r="AZ454" s="81"/>
      <c r="BA454" s="81"/>
      <c r="BB454" s="81"/>
      <c r="BC454" s="81"/>
      <c r="BD454" s="81"/>
      <c r="BE454" s="81"/>
      <c r="BF454" s="81"/>
      <c r="BG454" s="81"/>
      <c r="BH454" s="81"/>
      <c r="BI454" s="81"/>
      <c r="BJ454" s="81"/>
      <c r="BK454" s="81"/>
      <c r="BL454" s="81"/>
      <c r="BM454" s="81"/>
      <c r="BN454" s="81"/>
      <c r="BO454" s="81"/>
      <c r="BP454" s="81"/>
      <c r="BQ454" s="81"/>
      <c r="BR454" s="81"/>
      <c r="BS454" s="81"/>
    </row>
    <row r="455" spans="1:71" ht="15" hidden="1" customHeight="1">
      <c r="A455" s="80"/>
      <c r="B455" s="80"/>
      <c r="C455" s="80"/>
      <c r="D455" s="83"/>
      <c r="E455" s="84"/>
      <c r="F455" s="84"/>
      <c r="G455" s="84"/>
      <c r="H455" s="84"/>
      <c r="I455" s="84"/>
      <c r="J455" s="84"/>
      <c r="K455" s="84"/>
      <c r="L455" s="84"/>
      <c r="M455" s="84"/>
      <c r="N455" s="84"/>
      <c r="O455" s="84"/>
      <c r="P455" s="84"/>
      <c r="Q455" s="84"/>
      <c r="R455" s="84"/>
      <c r="S455" s="84"/>
      <c r="T455" s="84"/>
      <c r="U455" s="84"/>
      <c r="V455" s="84"/>
      <c r="W455" s="84"/>
      <c r="X455" s="84"/>
      <c r="Y455" s="80"/>
      <c r="Z455" s="80"/>
      <c r="AA455" s="80"/>
      <c r="AB455" s="80"/>
      <c r="AC455" s="80"/>
      <c r="AD455" s="80"/>
      <c r="AE455" s="80"/>
      <c r="AF455" s="80"/>
      <c r="AG455" s="80"/>
      <c r="AH455" s="80"/>
      <c r="AI455" s="80"/>
      <c r="AJ455" s="80"/>
      <c r="AK455" s="80"/>
      <c r="AL455" s="80"/>
      <c r="AM455" s="80"/>
      <c r="AN455" s="80"/>
      <c r="AO455" s="80"/>
      <c r="AP455" s="80"/>
      <c r="AQ455" s="80"/>
      <c r="AR455" s="80"/>
      <c r="AS455" s="80"/>
      <c r="AT455" s="80"/>
      <c r="AU455" s="81"/>
      <c r="AV455" s="81"/>
      <c r="AW455" s="81"/>
      <c r="AX455" s="81"/>
      <c r="AY455" s="81"/>
      <c r="AZ455" s="81"/>
      <c r="BA455" s="81"/>
      <c r="BB455" s="81"/>
      <c r="BC455" s="81"/>
      <c r="BD455" s="81"/>
      <c r="BE455" s="81"/>
      <c r="BF455" s="81"/>
      <c r="BG455" s="81"/>
      <c r="BH455" s="81"/>
      <c r="BI455" s="81"/>
      <c r="BJ455" s="81"/>
      <c r="BK455" s="81"/>
      <c r="BL455" s="81"/>
      <c r="BM455" s="81"/>
      <c r="BN455" s="81"/>
      <c r="BO455" s="81"/>
      <c r="BP455" s="81"/>
      <c r="BQ455" s="81"/>
      <c r="BR455" s="81"/>
      <c r="BS455" s="81"/>
    </row>
    <row r="456" spans="1:71" ht="15" hidden="1" customHeight="1">
      <c r="A456" s="80"/>
      <c r="B456" s="80"/>
      <c r="C456" s="80"/>
      <c r="D456" s="83"/>
      <c r="E456" s="84"/>
      <c r="F456" s="84"/>
      <c r="G456" s="84"/>
      <c r="H456" s="84"/>
      <c r="I456" s="84"/>
      <c r="J456" s="84"/>
      <c r="K456" s="84"/>
      <c r="L456" s="84"/>
      <c r="M456" s="84"/>
      <c r="N456" s="84"/>
      <c r="O456" s="84"/>
      <c r="P456" s="84"/>
      <c r="Q456" s="84"/>
      <c r="R456" s="84"/>
      <c r="S456" s="84"/>
      <c r="T456" s="84"/>
      <c r="U456" s="84"/>
      <c r="V456" s="84"/>
      <c r="W456" s="84"/>
      <c r="X456" s="84"/>
      <c r="Y456" s="80"/>
      <c r="Z456" s="80"/>
      <c r="AA456" s="80"/>
      <c r="AB456" s="80"/>
      <c r="AC456" s="80"/>
      <c r="AD456" s="80"/>
      <c r="AE456" s="80"/>
      <c r="AF456" s="80"/>
      <c r="AG456" s="80"/>
      <c r="AH456" s="80"/>
      <c r="AI456" s="80"/>
      <c r="AJ456" s="80"/>
      <c r="AK456" s="80"/>
      <c r="AL456" s="80"/>
      <c r="AM456" s="80"/>
      <c r="AN456" s="80"/>
      <c r="AO456" s="80"/>
      <c r="AP456" s="80"/>
      <c r="AQ456" s="80"/>
      <c r="AR456" s="80"/>
      <c r="AS456" s="80"/>
      <c r="AT456" s="80"/>
      <c r="AU456" s="81"/>
      <c r="AV456" s="81"/>
      <c r="AW456" s="81"/>
      <c r="AX456" s="81"/>
      <c r="AY456" s="81"/>
      <c r="AZ456" s="81"/>
      <c r="BA456" s="81"/>
      <c r="BB456" s="81"/>
      <c r="BC456" s="81"/>
      <c r="BD456" s="81"/>
      <c r="BE456" s="81"/>
      <c r="BF456" s="81"/>
      <c r="BG456" s="81"/>
      <c r="BH456" s="81"/>
      <c r="BI456" s="81"/>
      <c r="BJ456" s="81"/>
      <c r="BK456" s="81"/>
      <c r="BL456" s="81"/>
      <c r="BM456" s="81"/>
      <c r="BN456" s="81"/>
      <c r="BO456" s="81"/>
      <c r="BP456" s="81"/>
      <c r="BQ456" s="81"/>
      <c r="BR456" s="81"/>
      <c r="BS456" s="81"/>
    </row>
    <row r="457" spans="1:71" ht="15" hidden="1" customHeight="1">
      <c r="A457" s="80"/>
      <c r="B457" s="80"/>
      <c r="C457" s="80"/>
      <c r="D457" s="83"/>
      <c r="E457" s="84"/>
      <c r="F457" s="84"/>
      <c r="G457" s="84"/>
      <c r="H457" s="84"/>
      <c r="I457" s="84"/>
      <c r="J457" s="84"/>
      <c r="K457" s="84"/>
      <c r="L457" s="84"/>
      <c r="M457" s="84"/>
      <c r="N457" s="84"/>
      <c r="O457" s="84"/>
      <c r="P457" s="84"/>
      <c r="Q457" s="84"/>
      <c r="R457" s="84"/>
      <c r="S457" s="84"/>
      <c r="T457" s="84"/>
      <c r="U457" s="84"/>
      <c r="V457" s="84"/>
      <c r="W457" s="84"/>
      <c r="X457" s="84"/>
      <c r="Y457" s="80"/>
      <c r="Z457" s="80"/>
      <c r="AA457" s="80"/>
      <c r="AB457" s="80"/>
      <c r="AC457" s="80"/>
      <c r="AD457" s="80"/>
      <c r="AE457" s="80"/>
      <c r="AF457" s="80"/>
      <c r="AG457" s="80"/>
      <c r="AH457" s="80"/>
      <c r="AI457" s="80"/>
      <c r="AJ457" s="80"/>
      <c r="AK457" s="80"/>
      <c r="AL457" s="80"/>
      <c r="AM457" s="80"/>
      <c r="AN457" s="80"/>
      <c r="AO457" s="80"/>
      <c r="AP457" s="80"/>
      <c r="AQ457" s="80"/>
      <c r="AR457" s="80"/>
      <c r="AS457" s="80"/>
      <c r="AT457" s="80"/>
      <c r="AU457" s="81"/>
      <c r="AV457" s="81"/>
      <c r="AW457" s="81"/>
      <c r="AX457" s="81"/>
      <c r="AY457" s="81"/>
      <c r="AZ457" s="81"/>
      <c r="BA457" s="81"/>
      <c r="BB457" s="81"/>
      <c r="BC457" s="81"/>
      <c r="BD457" s="81"/>
      <c r="BE457" s="81"/>
      <c r="BF457" s="81"/>
      <c r="BG457" s="81"/>
      <c r="BH457" s="81"/>
      <c r="BI457" s="81"/>
      <c r="BJ457" s="81"/>
      <c r="BK457" s="81"/>
      <c r="BL457" s="81"/>
      <c r="BM457" s="81"/>
      <c r="BN457" s="81"/>
      <c r="BO457" s="81"/>
      <c r="BP457" s="81"/>
      <c r="BQ457" s="81"/>
      <c r="BR457" s="81"/>
      <c r="BS457" s="81"/>
    </row>
    <row r="458" spans="1:71" ht="15" hidden="1" customHeight="1">
      <c r="A458" s="80"/>
      <c r="B458" s="80"/>
      <c r="C458" s="80"/>
      <c r="D458" s="83"/>
      <c r="E458" s="84"/>
      <c r="F458" s="84"/>
      <c r="G458" s="84"/>
      <c r="H458" s="84"/>
      <c r="I458" s="84"/>
      <c r="J458" s="84"/>
      <c r="K458" s="84"/>
      <c r="L458" s="84"/>
      <c r="M458" s="84"/>
      <c r="N458" s="84"/>
      <c r="O458" s="84"/>
      <c r="P458" s="84"/>
      <c r="Q458" s="84"/>
      <c r="R458" s="84"/>
      <c r="S458" s="84"/>
      <c r="T458" s="84"/>
      <c r="U458" s="84"/>
      <c r="V458" s="84"/>
      <c r="W458" s="84"/>
      <c r="X458" s="84"/>
      <c r="Y458" s="80"/>
      <c r="Z458" s="80"/>
      <c r="AA458" s="80"/>
      <c r="AB458" s="80"/>
      <c r="AC458" s="80"/>
      <c r="AD458" s="80"/>
      <c r="AE458" s="80"/>
      <c r="AF458" s="80"/>
      <c r="AG458" s="80"/>
      <c r="AH458" s="80"/>
      <c r="AI458" s="80"/>
      <c r="AJ458" s="80"/>
      <c r="AK458" s="80"/>
      <c r="AL458" s="80"/>
      <c r="AM458" s="80"/>
      <c r="AN458" s="80"/>
      <c r="AO458" s="80"/>
      <c r="AP458" s="80"/>
      <c r="AQ458" s="80"/>
      <c r="AR458" s="80"/>
      <c r="AS458" s="80"/>
      <c r="AT458" s="80"/>
      <c r="AU458" s="81"/>
      <c r="AV458" s="81"/>
      <c r="AW458" s="81"/>
      <c r="AX458" s="81"/>
      <c r="AY458" s="81"/>
      <c r="AZ458" s="81"/>
      <c r="BA458" s="81"/>
      <c r="BB458" s="81"/>
      <c r="BC458" s="81"/>
      <c r="BD458" s="81"/>
      <c r="BE458" s="81"/>
      <c r="BF458" s="81"/>
      <c r="BG458" s="81"/>
      <c r="BH458" s="81"/>
      <c r="BI458" s="81"/>
      <c r="BJ458" s="81"/>
      <c r="BK458" s="81"/>
      <c r="BL458" s="81"/>
      <c r="BM458" s="81"/>
      <c r="BN458" s="81"/>
      <c r="BO458" s="81"/>
      <c r="BP458" s="81"/>
      <c r="BQ458" s="81"/>
      <c r="BR458" s="81"/>
      <c r="BS458" s="81"/>
    </row>
    <row r="459" spans="1:71" ht="15" hidden="1" customHeight="1">
      <c r="A459" s="80"/>
      <c r="B459" s="80"/>
      <c r="C459" s="80"/>
      <c r="D459" s="83"/>
      <c r="E459" s="84"/>
      <c r="F459" s="84"/>
      <c r="G459" s="84"/>
      <c r="H459" s="84"/>
      <c r="I459" s="84"/>
      <c r="J459" s="84"/>
      <c r="K459" s="84"/>
      <c r="L459" s="84"/>
      <c r="M459" s="84"/>
      <c r="N459" s="84"/>
      <c r="O459" s="84"/>
      <c r="P459" s="84"/>
      <c r="Q459" s="84"/>
      <c r="R459" s="84"/>
      <c r="S459" s="84"/>
      <c r="T459" s="84"/>
      <c r="U459" s="84"/>
      <c r="V459" s="84"/>
      <c r="W459" s="84"/>
      <c r="X459" s="84"/>
      <c r="Y459" s="80"/>
      <c r="Z459" s="80"/>
      <c r="AA459" s="80"/>
      <c r="AB459" s="80"/>
      <c r="AC459" s="80"/>
      <c r="AD459" s="80"/>
      <c r="AE459" s="80"/>
      <c r="AF459" s="80"/>
      <c r="AG459" s="80"/>
      <c r="AH459" s="80"/>
      <c r="AI459" s="80"/>
      <c r="AJ459" s="80"/>
      <c r="AK459" s="80"/>
      <c r="AL459" s="80"/>
      <c r="AM459" s="80"/>
      <c r="AN459" s="80"/>
      <c r="AO459" s="80"/>
      <c r="AP459" s="80"/>
      <c r="AQ459" s="80"/>
      <c r="AR459" s="80"/>
      <c r="AS459" s="80"/>
      <c r="AT459" s="80"/>
      <c r="AU459" s="81"/>
      <c r="AV459" s="81"/>
      <c r="AW459" s="81"/>
      <c r="AX459" s="81"/>
      <c r="AY459" s="81"/>
      <c r="AZ459" s="81"/>
      <c r="BA459" s="81"/>
      <c r="BB459" s="81"/>
      <c r="BC459" s="81"/>
      <c r="BD459" s="81"/>
      <c r="BE459" s="81"/>
      <c r="BF459" s="81"/>
      <c r="BG459" s="81"/>
      <c r="BH459" s="81"/>
      <c r="BI459" s="81"/>
      <c r="BJ459" s="81"/>
      <c r="BK459" s="81"/>
      <c r="BL459" s="81"/>
      <c r="BM459" s="81"/>
      <c r="BN459" s="81"/>
      <c r="BO459" s="81"/>
      <c r="BP459" s="81"/>
      <c r="BQ459" s="81"/>
      <c r="BR459" s="81"/>
      <c r="BS459" s="81"/>
    </row>
    <row r="460" spans="1:71" ht="15" hidden="1" customHeight="1">
      <c r="A460" s="80"/>
      <c r="B460" s="80"/>
      <c r="C460" s="80"/>
      <c r="D460" s="83"/>
      <c r="E460" s="84"/>
      <c r="F460" s="84"/>
      <c r="G460" s="84"/>
      <c r="H460" s="84"/>
      <c r="I460" s="84"/>
      <c r="J460" s="84"/>
      <c r="K460" s="84"/>
      <c r="L460" s="84"/>
      <c r="M460" s="84"/>
      <c r="N460" s="84"/>
      <c r="O460" s="84"/>
      <c r="P460" s="84"/>
      <c r="Q460" s="84"/>
      <c r="R460" s="84"/>
      <c r="S460" s="84"/>
      <c r="T460" s="84"/>
      <c r="U460" s="84"/>
      <c r="V460" s="84"/>
      <c r="W460" s="84"/>
      <c r="X460" s="84"/>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1"/>
      <c r="AV460" s="81"/>
      <c r="AW460" s="81"/>
      <c r="AX460" s="81"/>
      <c r="AY460" s="81"/>
      <c r="AZ460" s="81"/>
      <c r="BA460" s="81"/>
      <c r="BB460" s="81"/>
      <c r="BC460" s="81"/>
      <c r="BD460" s="81"/>
      <c r="BE460" s="81"/>
      <c r="BF460" s="81"/>
      <c r="BG460" s="81"/>
      <c r="BH460" s="81"/>
      <c r="BI460" s="81"/>
      <c r="BJ460" s="81"/>
      <c r="BK460" s="81"/>
      <c r="BL460" s="81"/>
      <c r="BM460" s="81"/>
      <c r="BN460" s="81"/>
      <c r="BO460" s="81"/>
      <c r="BP460" s="81"/>
      <c r="BQ460" s="81"/>
      <c r="BR460" s="81"/>
      <c r="BS460" s="81"/>
    </row>
    <row r="461" spans="1:71" ht="15" hidden="1" customHeight="1">
      <c r="A461" s="80"/>
      <c r="B461" s="80"/>
      <c r="C461" s="80"/>
      <c r="D461" s="83"/>
      <c r="E461" s="84"/>
      <c r="F461" s="84"/>
      <c r="G461" s="84"/>
      <c r="H461" s="84"/>
      <c r="I461" s="84"/>
      <c r="J461" s="84"/>
      <c r="K461" s="84"/>
      <c r="L461" s="84"/>
      <c r="M461" s="84"/>
      <c r="N461" s="84"/>
      <c r="O461" s="84"/>
      <c r="P461" s="84"/>
      <c r="Q461" s="84"/>
      <c r="R461" s="84"/>
      <c r="S461" s="84"/>
      <c r="T461" s="84"/>
      <c r="U461" s="84"/>
      <c r="V461" s="84"/>
      <c r="W461" s="84"/>
      <c r="X461" s="84"/>
      <c r="Y461" s="80"/>
      <c r="Z461" s="80"/>
      <c r="AA461" s="80"/>
      <c r="AB461" s="80"/>
      <c r="AC461" s="80"/>
      <c r="AD461" s="80"/>
      <c r="AE461" s="80"/>
      <c r="AF461" s="80"/>
      <c r="AG461" s="80"/>
      <c r="AH461" s="80"/>
      <c r="AI461" s="80"/>
      <c r="AJ461" s="80"/>
      <c r="AK461" s="80"/>
      <c r="AL461" s="80"/>
      <c r="AM461" s="80"/>
      <c r="AN461" s="80"/>
      <c r="AO461" s="80"/>
      <c r="AP461" s="80"/>
      <c r="AQ461" s="80"/>
      <c r="AR461" s="80"/>
      <c r="AS461" s="80"/>
      <c r="AT461" s="80"/>
      <c r="AU461" s="81"/>
      <c r="AV461" s="81"/>
      <c r="AW461" s="81"/>
      <c r="AX461" s="81"/>
      <c r="AY461" s="81"/>
      <c r="AZ461" s="81"/>
      <c r="BA461" s="81"/>
      <c r="BB461" s="81"/>
      <c r="BC461" s="81"/>
      <c r="BD461" s="81"/>
      <c r="BE461" s="81"/>
      <c r="BF461" s="81"/>
      <c r="BG461" s="81"/>
      <c r="BH461" s="81"/>
      <c r="BI461" s="81"/>
      <c r="BJ461" s="81"/>
      <c r="BK461" s="81"/>
      <c r="BL461" s="81"/>
      <c r="BM461" s="81"/>
      <c r="BN461" s="81"/>
      <c r="BO461" s="81"/>
      <c r="BP461" s="81"/>
      <c r="BQ461" s="81"/>
      <c r="BR461" s="81"/>
      <c r="BS461" s="81"/>
    </row>
    <row r="462" spans="1:71" ht="15" hidden="1" customHeight="1">
      <c r="A462" s="80"/>
      <c r="B462" s="80"/>
      <c r="C462" s="80"/>
      <c r="D462" s="83"/>
      <c r="E462" s="84"/>
      <c r="F462" s="84"/>
      <c r="G462" s="84"/>
      <c r="H462" s="84"/>
      <c r="I462" s="84"/>
      <c r="J462" s="84"/>
      <c r="K462" s="84"/>
      <c r="L462" s="84"/>
      <c r="M462" s="84"/>
      <c r="N462" s="84"/>
      <c r="O462" s="84"/>
      <c r="P462" s="84"/>
      <c r="Q462" s="84"/>
      <c r="R462" s="84"/>
      <c r="S462" s="84"/>
      <c r="T462" s="84"/>
      <c r="U462" s="84"/>
      <c r="V462" s="84"/>
      <c r="W462" s="84"/>
      <c r="X462" s="84"/>
      <c r="Y462" s="80"/>
      <c r="Z462" s="80"/>
      <c r="AA462" s="80"/>
      <c r="AB462" s="80"/>
      <c r="AC462" s="80"/>
      <c r="AD462" s="80"/>
      <c r="AE462" s="80"/>
      <c r="AF462" s="80"/>
      <c r="AG462" s="80"/>
      <c r="AH462" s="80"/>
      <c r="AI462" s="80"/>
      <c r="AJ462" s="80"/>
      <c r="AK462" s="80"/>
      <c r="AL462" s="80"/>
      <c r="AM462" s="80"/>
      <c r="AN462" s="80"/>
      <c r="AO462" s="80"/>
      <c r="AP462" s="80"/>
      <c r="AQ462" s="80"/>
      <c r="AR462" s="80"/>
      <c r="AS462" s="80"/>
      <c r="AT462" s="80"/>
      <c r="AU462" s="81"/>
      <c r="AV462" s="81"/>
      <c r="AW462" s="81"/>
      <c r="AX462" s="81"/>
      <c r="AY462" s="81"/>
      <c r="AZ462" s="81"/>
      <c r="BA462" s="81"/>
      <c r="BB462" s="81"/>
      <c r="BC462" s="81"/>
      <c r="BD462" s="81"/>
      <c r="BE462" s="81"/>
      <c r="BF462" s="81"/>
      <c r="BG462" s="81"/>
      <c r="BH462" s="81"/>
      <c r="BI462" s="81"/>
      <c r="BJ462" s="81"/>
      <c r="BK462" s="81"/>
      <c r="BL462" s="81"/>
      <c r="BM462" s="81"/>
      <c r="BN462" s="81"/>
      <c r="BO462" s="81"/>
      <c r="BP462" s="81"/>
      <c r="BQ462" s="81"/>
      <c r="BR462" s="81"/>
      <c r="BS462" s="81"/>
    </row>
    <row r="463" spans="1:71" ht="15" hidden="1" customHeight="1">
      <c r="A463" s="80"/>
      <c r="B463" s="80"/>
      <c r="C463" s="80"/>
      <c r="D463" s="83"/>
      <c r="E463" s="84"/>
      <c r="F463" s="84"/>
      <c r="G463" s="84"/>
      <c r="H463" s="84"/>
      <c r="I463" s="84"/>
      <c r="J463" s="84"/>
      <c r="K463" s="84"/>
      <c r="L463" s="84"/>
      <c r="M463" s="84"/>
      <c r="N463" s="84"/>
      <c r="O463" s="84"/>
      <c r="P463" s="84"/>
      <c r="Q463" s="84"/>
      <c r="R463" s="84"/>
      <c r="S463" s="84"/>
      <c r="T463" s="84"/>
      <c r="U463" s="84"/>
      <c r="V463" s="84"/>
      <c r="W463" s="84"/>
      <c r="X463" s="84"/>
      <c r="Y463" s="80"/>
      <c r="Z463" s="80"/>
      <c r="AA463" s="80"/>
      <c r="AB463" s="80"/>
      <c r="AC463" s="80"/>
      <c r="AD463" s="80"/>
      <c r="AE463" s="80"/>
      <c r="AF463" s="80"/>
      <c r="AG463" s="80"/>
      <c r="AH463" s="80"/>
      <c r="AI463" s="80"/>
      <c r="AJ463" s="80"/>
      <c r="AK463" s="80"/>
      <c r="AL463" s="80"/>
      <c r="AM463" s="80"/>
      <c r="AN463" s="80"/>
      <c r="AO463" s="80"/>
      <c r="AP463" s="80"/>
      <c r="AQ463" s="80"/>
      <c r="AR463" s="80"/>
      <c r="AS463" s="80"/>
      <c r="AT463" s="80"/>
      <c r="AU463" s="81"/>
      <c r="AV463" s="81"/>
      <c r="AW463" s="81"/>
      <c r="AX463" s="81"/>
      <c r="AY463" s="81"/>
      <c r="AZ463" s="81"/>
      <c r="BA463" s="81"/>
      <c r="BB463" s="81"/>
      <c r="BC463" s="81"/>
      <c r="BD463" s="81"/>
      <c r="BE463" s="81"/>
      <c r="BF463" s="81"/>
      <c r="BG463" s="81"/>
      <c r="BH463" s="81"/>
      <c r="BI463" s="81"/>
      <c r="BJ463" s="81"/>
      <c r="BK463" s="81"/>
      <c r="BL463" s="81"/>
      <c r="BM463" s="81"/>
      <c r="BN463" s="81"/>
      <c r="BO463" s="81"/>
      <c r="BP463" s="81"/>
      <c r="BQ463" s="81"/>
      <c r="BR463" s="81"/>
      <c r="BS463" s="81"/>
    </row>
    <row r="464" spans="1:71" ht="15" hidden="1" customHeight="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row>
    <row r="465" spans="1:46" ht="15" hidden="1" customHeight="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row>
    <row r="466" spans="1:46" ht="15" hidden="1" customHeight="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t="15" hidden="1" customHeight="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t="15" hidden="1" customHeight="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t="15" hidden="1" customHeight="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t="15" hidden="1" customHeight="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t="15" hidden="1" customHeight="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t="15" hidden="1" customHeight="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t="15" hidden="1" customHeight="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t="15" hidden="1" customHeight="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t="15" hidden="1" customHeight="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t="15" hidden="1" customHeight="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t="15" hidden="1" customHeight="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t="15" hidden="1" customHeight="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t="15" hidden="1" customHeight="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t="15" hidden="1" customHeight="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t="15" hidden="1" customHeight="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t="15" hidden="1" customHeight="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t="15" hidden="1" customHeight="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t="15" hidden="1" customHeight="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t="15" hidden="1" customHeight="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t="15" hidden="1" customHeight="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t="15" hidden="1" customHeight="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t="15" hidden="1" customHeight="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t="15" hidden="1" customHeight="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t="15" hidden="1" customHeight="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t="15" hidden="1" customHeight="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t="15" hidden="1" customHeight="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t="15" hidden="1" customHeight="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t="15" hidden="1" customHeight="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t="15" hidden="1" customHeight="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t="15" hidden="1" customHeight="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t="15" hidden="1" customHeight="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t="15" hidden="1" customHeight="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row r="499" spans="1:46" ht="15" hidden="1" customHeight="1">
      <c r="A499" s="11"/>
      <c r="B499" s="11"/>
      <c r="C499" s="11"/>
      <c r="D499" s="85"/>
      <c r="E499" s="86"/>
      <c r="F499" s="86"/>
      <c r="G499" s="86"/>
      <c r="H499" s="86"/>
      <c r="I499" s="86"/>
      <c r="J499" s="86"/>
      <c r="K499" s="86"/>
      <c r="L499" s="86"/>
      <c r="M499" s="86"/>
      <c r="N499" s="86"/>
      <c r="O499" s="86"/>
      <c r="P499" s="86"/>
      <c r="Q499" s="86"/>
      <c r="R499" s="86"/>
      <c r="S499" s="86"/>
      <c r="T499" s="86"/>
      <c r="U499" s="86"/>
      <c r="V499" s="86"/>
      <c r="W499" s="86"/>
      <c r="X499" s="86"/>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row>
    <row r="500" spans="1:46" ht="15" hidden="1" customHeight="1">
      <c r="A500" s="11"/>
      <c r="B500" s="11"/>
      <c r="C500" s="11"/>
      <c r="D500" s="85"/>
      <c r="E500" s="86"/>
      <c r="F500" s="86"/>
      <c r="G500" s="86"/>
      <c r="H500" s="86"/>
      <c r="I500" s="86"/>
      <c r="J500" s="86"/>
      <c r="K500" s="86"/>
      <c r="L500" s="86"/>
      <c r="M500" s="86"/>
      <c r="N500" s="86"/>
      <c r="O500" s="86"/>
      <c r="P500" s="86"/>
      <c r="Q500" s="86"/>
      <c r="R500" s="86"/>
      <c r="S500" s="86"/>
      <c r="T500" s="86"/>
      <c r="U500" s="86"/>
      <c r="V500" s="86"/>
      <c r="W500" s="86"/>
      <c r="X500" s="86"/>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row>
    <row r="501" spans="1:46" ht="15" hidden="1" customHeight="1">
      <c r="A501" s="11"/>
      <c r="B501" s="11"/>
      <c r="C501" s="11"/>
      <c r="D501" s="85"/>
      <c r="E501" s="86"/>
      <c r="F501" s="86"/>
      <c r="G501" s="86"/>
      <c r="H501" s="86"/>
      <c r="I501" s="86"/>
      <c r="J501" s="86"/>
      <c r="K501" s="86"/>
      <c r="L501" s="86"/>
      <c r="M501" s="86"/>
      <c r="N501" s="86"/>
      <c r="O501" s="86"/>
      <c r="P501" s="86"/>
      <c r="Q501" s="86"/>
      <c r="R501" s="86"/>
      <c r="S501" s="86"/>
      <c r="T501" s="86"/>
      <c r="U501" s="86"/>
      <c r="V501" s="86"/>
      <c r="W501" s="86"/>
      <c r="X501" s="86"/>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row>
    <row r="502" spans="1:46" ht="15" hidden="1" customHeight="1">
      <c r="A502" s="11"/>
      <c r="B502" s="11"/>
      <c r="C502" s="11"/>
      <c r="D502" s="85"/>
      <c r="E502" s="86"/>
      <c r="F502" s="86"/>
      <c r="G502" s="86"/>
      <c r="H502" s="86"/>
      <c r="I502" s="86"/>
      <c r="J502" s="86"/>
      <c r="K502" s="86"/>
      <c r="L502" s="86"/>
      <c r="M502" s="86"/>
      <c r="N502" s="86"/>
      <c r="O502" s="86"/>
      <c r="P502" s="86"/>
      <c r="Q502" s="86"/>
      <c r="R502" s="86"/>
      <c r="S502" s="86"/>
      <c r="T502" s="86"/>
      <c r="U502" s="86"/>
      <c r="V502" s="86"/>
      <c r="W502" s="86"/>
      <c r="X502" s="86"/>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row>
    <row r="503" spans="1:46" ht="15" hidden="1" customHeight="1">
      <c r="A503" s="11"/>
      <c r="B503" s="11"/>
      <c r="C503" s="11"/>
      <c r="D503" s="85"/>
      <c r="E503" s="86"/>
      <c r="F503" s="86"/>
      <c r="G503" s="86"/>
      <c r="H503" s="86"/>
      <c r="I503" s="86"/>
      <c r="J503" s="86"/>
      <c r="K503" s="86"/>
      <c r="L503" s="86"/>
      <c r="M503" s="86"/>
      <c r="N503" s="86"/>
      <c r="O503" s="86"/>
      <c r="P503" s="86"/>
      <c r="Q503" s="86"/>
      <c r="R503" s="86"/>
      <c r="S503" s="86"/>
      <c r="T503" s="86"/>
      <c r="U503" s="86"/>
      <c r="V503" s="86"/>
      <c r="W503" s="86"/>
      <c r="X503" s="86"/>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row>
    <row r="504" spans="1:46" ht="15" hidden="1" customHeight="1">
      <c r="A504" s="11"/>
      <c r="B504" s="11"/>
      <c r="C504" s="11"/>
      <c r="D504" s="85"/>
      <c r="E504" s="86"/>
      <c r="F504" s="86"/>
      <c r="G504" s="86"/>
      <c r="H504" s="86"/>
      <c r="I504" s="86"/>
      <c r="J504" s="86"/>
      <c r="K504" s="86"/>
      <c r="L504" s="86"/>
      <c r="M504" s="86"/>
      <c r="N504" s="86"/>
      <c r="O504" s="86"/>
      <c r="P504" s="86"/>
      <c r="Q504" s="86"/>
      <c r="R504" s="86"/>
      <c r="S504" s="86"/>
      <c r="T504" s="86"/>
      <c r="U504" s="86"/>
      <c r="V504" s="86"/>
      <c r="W504" s="86"/>
      <c r="X504" s="86"/>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row>
    <row r="505" spans="1:46" ht="15" hidden="1" customHeight="1">
      <c r="A505" s="11"/>
      <c r="B505" s="11"/>
      <c r="C505" s="11"/>
      <c r="D505" s="85"/>
      <c r="E505" s="86"/>
      <c r="F505" s="86"/>
      <c r="G505" s="86"/>
      <c r="H505" s="86"/>
      <c r="I505" s="86"/>
      <c r="J505" s="86"/>
      <c r="K505" s="86"/>
      <c r="L505" s="86"/>
      <c r="M505" s="86"/>
      <c r="N505" s="86"/>
      <c r="O505" s="86"/>
      <c r="P505" s="86"/>
      <c r="Q505" s="86"/>
      <c r="R505" s="86"/>
      <c r="S505" s="86"/>
      <c r="T505" s="86"/>
      <c r="U505" s="86"/>
      <c r="V505" s="86"/>
      <c r="W505" s="86"/>
      <c r="X505" s="86"/>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row>
    <row r="506" spans="1:46" ht="15" hidden="1" customHeight="1">
      <c r="A506" s="11"/>
      <c r="B506" s="11"/>
      <c r="C506" s="11"/>
      <c r="D506" s="85"/>
      <c r="E506" s="86"/>
      <c r="F506" s="86"/>
      <c r="G506" s="86"/>
      <c r="H506" s="86"/>
      <c r="I506" s="86"/>
      <c r="J506" s="86"/>
      <c r="K506" s="86"/>
      <c r="L506" s="86"/>
      <c r="M506" s="86"/>
      <c r="N506" s="86"/>
      <c r="O506" s="86"/>
      <c r="P506" s="86"/>
      <c r="Q506" s="86"/>
      <c r="R506" s="86"/>
      <c r="S506" s="86"/>
      <c r="T506" s="86"/>
      <c r="U506" s="86"/>
      <c r="V506" s="86"/>
      <c r="W506" s="86"/>
      <c r="X506" s="86"/>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row>
    <row r="507" spans="1:46" ht="15" hidden="1" customHeight="1">
      <c r="A507" s="11"/>
      <c r="B507" s="11"/>
      <c r="C507" s="11"/>
      <c r="D507" s="85"/>
      <c r="E507" s="86"/>
      <c r="F507" s="86"/>
      <c r="G507" s="86"/>
      <c r="H507" s="86"/>
      <c r="I507" s="86"/>
      <c r="J507" s="86"/>
      <c r="K507" s="86"/>
      <c r="L507" s="86"/>
      <c r="M507" s="86"/>
      <c r="N507" s="86"/>
      <c r="O507" s="86"/>
      <c r="P507" s="86"/>
      <c r="Q507" s="86"/>
      <c r="R507" s="86"/>
      <c r="S507" s="86"/>
      <c r="T507" s="86"/>
      <c r="U507" s="86"/>
      <c r="V507" s="86"/>
      <c r="W507" s="86"/>
      <c r="X507" s="86"/>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row>
    <row r="508" spans="1:46" ht="15" hidden="1" customHeight="1">
      <c r="A508" s="11"/>
      <c r="B508" s="11"/>
      <c r="C508" s="11"/>
      <c r="D508" s="85"/>
      <c r="E508" s="86"/>
      <c r="F508" s="86"/>
      <c r="G508" s="86"/>
      <c r="H508" s="86"/>
      <c r="I508" s="86"/>
      <c r="J508" s="86"/>
      <c r="K508" s="86"/>
      <c r="L508" s="86"/>
      <c r="M508" s="86"/>
      <c r="N508" s="86"/>
      <c r="O508" s="86"/>
      <c r="P508" s="86"/>
      <c r="Q508" s="86"/>
      <c r="R508" s="86"/>
      <c r="S508" s="86"/>
      <c r="T508" s="86"/>
      <c r="U508" s="86"/>
      <c r="V508" s="86"/>
      <c r="W508" s="86"/>
      <c r="X508" s="86"/>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row>
    <row r="509" spans="1:46" ht="15" hidden="1" customHeight="1">
      <c r="A509" s="11"/>
      <c r="B509" s="11"/>
      <c r="C509" s="11"/>
      <c r="D509" s="85"/>
      <c r="E509" s="86"/>
      <c r="F509" s="86"/>
      <c r="G509" s="86"/>
      <c r="H509" s="86"/>
      <c r="I509" s="86"/>
      <c r="J509" s="86"/>
      <c r="K509" s="86"/>
      <c r="L509" s="86"/>
      <c r="M509" s="86"/>
      <c r="N509" s="86"/>
      <c r="O509" s="86"/>
      <c r="P509" s="86"/>
      <c r="Q509" s="86"/>
      <c r="R509" s="86"/>
      <c r="S509" s="86"/>
      <c r="T509" s="86"/>
      <c r="U509" s="86"/>
      <c r="V509" s="86"/>
      <c r="W509" s="86"/>
      <c r="X509" s="86"/>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row>
    <row r="510" spans="1:46" ht="15" hidden="1" customHeight="1">
      <c r="A510" s="11"/>
      <c r="B510" s="11"/>
      <c r="C510" s="11"/>
      <c r="D510" s="85"/>
      <c r="E510" s="86"/>
      <c r="F510" s="86"/>
      <c r="G510" s="86"/>
      <c r="H510" s="86"/>
      <c r="I510" s="86"/>
      <c r="J510" s="86"/>
      <c r="K510" s="86"/>
      <c r="L510" s="86"/>
      <c r="M510" s="86"/>
      <c r="N510" s="86"/>
      <c r="O510" s="86"/>
      <c r="P510" s="86"/>
      <c r="Q510" s="86"/>
      <c r="R510" s="86"/>
      <c r="S510" s="86"/>
      <c r="T510" s="86"/>
      <c r="U510" s="86"/>
      <c r="V510" s="86"/>
      <c r="W510" s="86"/>
      <c r="X510" s="86"/>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row>
    <row r="511" spans="1:46" ht="15" hidden="1" customHeight="1">
      <c r="A511" s="11"/>
      <c r="B511" s="11"/>
      <c r="C511" s="11"/>
      <c r="D511" s="85"/>
      <c r="E511" s="86"/>
      <c r="F511" s="86"/>
      <c r="G511" s="86"/>
      <c r="H511" s="86"/>
      <c r="I511" s="86"/>
      <c r="J511" s="86"/>
      <c r="K511" s="86"/>
      <c r="L511" s="86"/>
      <c r="M511" s="86"/>
      <c r="N511" s="86"/>
      <c r="O511" s="86"/>
      <c r="P511" s="86"/>
      <c r="Q511" s="86"/>
      <c r="R511" s="86"/>
      <c r="S511" s="86"/>
      <c r="T511" s="86"/>
      <c r="U511" s="86"/>
      <c r="V511" s="86"/>
      <c r="W511" s="86"/>
      <c r="X511" s="86"/>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row>
    <row r="512" spans="1:46" ht="15" hidden="1" customHeight="1">
      <c r="A512" s="11"/>
      <c r="B512" s="11"/>
      <c r="C512" s="11"/>
      <c r="D512" s="85"/>
      <c r="E512" s="86"/>
      <c r="F512" s="86"/>
      <c r="G512" s="86"/>
      <c r="H512" s="86"/>
      <c r="I512" s="86"/>
      <c r="J512" s="86"/>
      <c r="K512" s="86"/>
      <c r="L512" s="86"/>
      <c r="M512" s="86"/>
      <c r="N512" s="86"/>
      <c r="O512" s="86"/>
      <c r="P512" s="86"/>
      <c r="Q512" s="86"/>
      <c r="R512" s="86"/>
      <c r="S512" s="86"/>
      <c r="T512" s="86"/>
      <c r="U512" s="86"/>
      <c r="V512" s="86"/>
      <c r="W512" s="86"/>
      <c r="X512" s="86"/>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row>
    <row r="513" spans="1:46" ht="15" hidden="1" customHeight="1">
      <c r="A513" s="11"/>
      <c r="B513" s="11"/>
      <c r="C513" s="11"/>
      <c r="D513" s="85"/>
      <c r="E513" s="86"/>
      <c r="F513" s="86"/>
      <c r="G513" s="86"/>
      <c r="H513" s="86"/>
      <c r="I513" s="86"/>
      <c r="J513" s="86"/>
      <c r="K513" s="86"/>
      <c r="L513" s="86"/>
      <c r="M513" s="86"/>
      <c r="N513" s="86"/>
      <c r="O513" s="86"/>
      <c r="P513" s="86"/>
      <c r="Q513" s="86"/>
      <c r="R513" s="86"/>
      <c r="S513" s="86"/>
      <c r="T513" s="86"/>
      <c r="U513" s="86"/>
      <c r="V513" s="86"/>
      <c r="W513" s="86"/>
      <c r="X513" s="86"/>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row>
    <row r="514" spans="1:46" ht="15" hidden="1" customHeight="1">
      <c r="A514" s="11"/>
      <c r="B514" s="11"/>
      <c r="C514" s="11"/>
      <c r="D514" s="85"/>
      <c r="E514" s="86"/>
      <c r="F514" s="86"/>
      <c r="G514" s="86"/>
      <c r="H514" s="86"/>
      <c r="I514" s="86"/>
      <c r="J514" s="86"/>
      <c r="K514" s="86"/>
      <c r="L514" s="86"/>
      <c r="M514" s="86"/>
      <c r="N514" s="86"/>
      <c r="O514" s="86"/>
      <c r="P514" s="86"/>
      <c r="Q514" s="86"/>
      <c r="R514" s="86"/>
      <c r="S514" s="86"/>
      <c r="T514" s="86"/>
      <c r="U514" s="86"/>
      <c r="V514" s="86"/>
      <c r="W514" s="86"/>
      <c r="X514" s="86"/>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row>
    <row r="515" spans="1:46" ht="15" hidden="1" customHeight="1">
      <c r="A515" s="11"/>
      <c r="B515" s="11"/>
      <c r="C515" s="11"/>
      <c r="D515" s="85"/>
      <c r="E515" s="86"/>
      <c r="F515" s="86"/>
      <c r="G515" s="86"/>
      <c r="H515" s="86"/>
      <c r="I515" s="86"/>
      <c r="J515" s="86"/>
      <c r="K515" s="86"/>
      <c r="L515" s="86"/>
      <c r="M515" s="86"/>
      <c r="N515" s="86"/>
      <c r="O515" s="86"/>
      <c r="P515" s="86"/>
      <c r="Q515" s="86"/>
      <c r="R515" s="86"/>
      <c r="S515" s="86"/>
      <c r="T515" s="86"/>
      <c r="U515" s="86"/>
      <c r="V515" s="86"/>
      <c r="W515" s="86"/>
      <c r="X515" s="86"/>
      <c r="Y515" s="14"/>
      <c r="Z515" s="14"/>
      <c r="AA515" s="14"/>
      <c r="AB515" s="14"/>
      <c r="AC515" s="14"/>
      <c r="AD515" s="14"/>
      <c r="AE515" s="14"/>
      <c r="AF515" s="14"/>
      <c r="AG515" s="14"/>
      <c r="AH515" s="14"/>
      <c r="AI515" s="14"/>
      <c r="AJ515" s="14"/>
      <c r="AK515" s="14"/>
      <c r="AL515" s="14"/>
      <c r="AM515" s="14"/>
      <c r="AN515" s="14"/>
      <c r="AO515" s="14"/>
      <c r="AP515" s="14"/>
      <c r="AQ515" s="14"/>
      <c r="AR515" s="14"/>
      <c r="AS515" s="14"/>
      <c r="AT515" s="14"/>
    </row>
    <row r="516" spans="1:46" ht="15" hidden="1" customHeight="1">
      <c r="A516" s="11"/>
      <c r="B516" s="11"/>
      <c r="C516" s="11"/>
      <c r="D516" s="85"/>
      <c r="E516" s="86"/>
      <c r="F516" s="86"/>
      <c r="G516" s="86"/>
      <c r="H516" s="86"/>
      <c r="I516" s="86"/>
      <c r="J516" s="86"/>
      <c r="K516" s="86"/>
      <c r="L516" s="86"/>
      <c r="M516" s="86"/>
      <c r="N516" s="86"/>
      <c r="O516" s="86"/>
      <c r="P516" s="86"/>
      <c r="Q516" s="86"/>
      <c r="R516" s="86"/>
      <c r="S516" s="86"/>
      <c r="T516" s="86"/>
      <c r="U516" s="86"/>
      <c r="V516" s="86"/>
      <c r="W516" s="86"/>
      <c r="X516" s="86"/>
      <c r="Y516" s="14"/>
      <c r="Z516" s="14"/>
      <c r="AA516" s="14"/>
      <c r="AB516" s="14"/>
      <c r="AC516" s="14"/>
      <c r="AD516" s="14"/>
      <c r="AE516" s="14"/>
      <c r="AF516" s="14"/>
      <c r="AG516" s="14"/>
      <c r="AH516" s="14"/>
      <c r="AI516" s="14"/>
      <c r="AJ516" s="14"/>
      <c r="AK516" s="14"/>
      <c r="AL516" s="14"/>
      <c r="AM516" s="14"/>
      <c r="AN516" s="14"/>
      <c r="AO516" s="14"/>
      <c r="AP516" s="14"/>
      <c r="AQ516" s="14"/>
      <c r="AR516" s="14"/>
      <c r="AS516" s="14"/>
      <c r="AT516" s="14"/>
    </row>
    <row r="517" spans="1:46" ht="15" hidden="1" customHeight="1">
      <c r="A517" s="11"/>
      <c r="B517" s="11"/>
      <c r="C517" s="11"/>
      <c r="D517" s="85"/>
      <c r="E517" s="86"/>
      <c r="F517" s="86"/>
      <c r="G517" s="86"/>
      <c r="H517" s="86"/>
      <c r="I517" s="86"/>
      <c r="J517" s="86"/>
      <c r="K517" s="86"/>
      <c r="L517" s="86"/>
      <c r="M517" s="86"/>
      <c r="N517" s="86"/>
      <c r="O517" s="86"/>
      <c r="P517" s="86"/>
      <c r="Q517" s="86"/>
      <c r="R517" s="86"/>
      <c r="S517" s="86"/>
      <c r="T517" s="86"/>
      <c r="U517" s="86"/>
      <c r="V517" s="86"/>
      <c r="W517" s="86"/>
      <c r="X517" s="86"/>
      <c r="Y517" s="14"/>
      <c r="Z517" s="14"/>
      <c r="AA517" s="14"/>
      <c r="AB517" s="14"/>
      <c r="AC517" s="14"/>
      <c r="AD517" s="14"/>
      <c r="AE517" s="14"/>
      <c r="AF517" s="14"/>
      <c r="AG517" s="14"/>
      <c r="AH517" s="14"/>
      <c r="AI517" s="14"/>
      <c r="AJ517" s="14"/>
      <c r="AK517" s="14"/>
      <c r="AL517" s="14"/>
      <c r="AM517" s="14"/>
      <c r="AN517" s="14"/>
      <c r="AO517" s="14"/>
      <c r="AP517" s="14"/>
      <c r="AQ517" s="14"/>
      <c r="AR517" s="14"/>
      <c r="AS517" s="14"/>
      <c r="AT517" s="14"/>
    </row>
    <row r="518" spans="1:46" ht="15" hidden="1" customHeight="1">
      <c r="A518" s="11"/>
      <c r="B518" s="11"/>
      <c r="C518" s="11"/>
      <c r="D518" s="85"/>
      <c r="E518" s="86"/>
      <c r="F518" s="86"/>
      <c r="G518" s="86"/>
      <c r="H518" s="86"/>
      <c r="I518" s="86"/>
      <c r="J518" s="86"/>
      <c r="K518" s="86"/>
      <c r="L518" s="86"/>
      <c r="M518" s="86"/>
      <c r="N518" s="86"/>
      <c r="O518" s="86"/>
      <c r="P518" s="86"/>
      <c r="Q518" s="86"/>
      <c r="R518" s="86"/>
      <c r="S518" s="86"/>
      <c r="T518" s="86"/>
      <c r="U518" s="86"/>
      <c r="V518" s="86"/>
      <c r="W518" s="86"/>
      <c r="X518" s="86"/>
      <c r="Y518" s="14"/>
      <c r="Z518" s="14"/>
      <c r="AA518" s="14"/>
      <c r="AB518" s="14"/>
      <c r="AC518" s="14"/>
      <c r="AD518" s="14"/>
      <c r="AE518" s="14"/>
      <c r="AF518" s="14"/>
      <c r="AG518" s="14"/>
      <c r="AH518" s="14"/>
      <c r="AI518" s="14"/>
      <c r="AJ518" s="14"/>
      <c r="AK518" s="14"/>
      <c r="AL518" s="14"/>
      <c r="AM518" s="14"/>
      <c r="AN518" s="14"/>
      <c r="AO518" s="14"/>
      <c r="AP518" s="14"/>
      <c r="AQ518" s="14"/>
      <c r="AR518" s="14"/>
      <c r="AS518" s="14"/>
      <c r="AT518" s="14"/>
    </row>
    <row r="519" spans="1:46" ht="15" hidden="1" customHeight="1">
      <c r="A519" s="11"/>
      <c r="B519" s="11"/>
      <c r="C519" s="11"/>
      <c r="D519" s="85"/>
      <c r="E519" s="86"/>
      <c r="F519" s="86"/>
      <c r="G519" s="86"/>
      <c r="H519" s="86"/>
      <c r="I519" s="86"/>
      <c r="J519" s="86"/>
      <c r="K519" s="86"/>
      <c r="L519" s="86"/>
      <c r="M519" s="86"/>
      <c r="N519" s="86"/>
      <c r="O519" s="86"/>
      <c r="P519" s="86"/>
      <c r="Q519" s="86"/>
      <c r="R519" s="86"/>
      <c r="S519" s="86"/>
      <c r="T519" s="86"/>
      <c r="U519" s="86"/>
      <c r="V519" s="86"/>
      <c r="W519" s="86"/>
      <c r="X519" s="86"/>
      <c r="Y519" s="14"/>
      <c r="Z519" s="14"/>
      <c r="AA519" s="14"/>
      <c r="AB519" s="14"/>
      <c r="AC519" s="14"/>
      <c r="AD519" s="14"/>
      <c r="AE519" s="14"/>
      <c r="AF519" s="14"/>
      <c r="AG519" s="14"/>
      <c r="AH519" s="14"/>
      <c r="AI519" s="14"/>
      <c r="AJ519" s="14"/>
      <c r="AK519" s="14"/>
      <c r="AL519" s="14"/>
      <c r="AM519" s="14"/>
      <c r="AN519" s="14"/>
      <c r="AO519" s="14"/>
      <c r="AP519" s="14"/>
      <c r="AQ519" s="14"/>
      <c r="AR519" s="14"/>
      <c r="AS519" s="14"/>
      <c r="AT519" s="14"/>
    </row>
    <row r="520" spans="1:46" ht="15" hidden="1" customHeight="1">
      <c r="A520" s="11"/>
      <c r="B520" s="11"/>
      <c r="C520" s="11"/>
      <c r="D520" s="85"/>
      <c r="E520" s="86"/>
      <c r="F520" s="86"/>
      <c r="G520" s="86"/>
      <c r="H520" s="86"/>
      <c r="I520" s="86"/>
      <c r="J520" s="86"/>
      <c r="K520" s="86"/>
      <c r="L520" s="86"/>
      <c r="M520" s="86"/>
      <c r="N520" s="86"/>
      <c r="O520" s="86"/>
      <c r="P520" s="86"/>
      <c r="Q520" s="86"/>
      <c r="R520" s="86"/>
      <c r="S520" s="86"/>
      <c r="T520" s="86"/>
      <c r="U520" s="86"/>
      <c r="V520" s="86"/>
      <c r="W520" s="86"/>
      <c r="X520" s="86"/>
      <c r="Y520" s="14"/>
      <c r="Z520" s="14"/>
      <c r="AA520" s="14"/>
      <c r="AB520" s="14"/>
      <c r="AC520" s="14"/>
      <c r="AD520" s="14"/>
      <c r="AE520" s="14"/>
      <c r="AF520" s="14"/>
      <c r="AG520" s="14"/>
      <c r="AH520" s="14"/>
      <c r="AI520" s="14"/>
      <c r="AJ520" s="14"/>
      <c r="AK520" s="14"/>
      <c r="AL520" s="14"/>
      <c r="AM520" s="14"/>
      <c r="AN520" s="14"/>
      <c r="AO520" s="14"/>
      <c r="AP520" s="14"/>
      <c r="AQ520" s="14"/>
      <c r="AR520" s="14"/>
      <c r="AS520" s="14"/>
      <c r="AT520" s="14"/>
    </row>
  </sheetData>
  <sheetProtection sheet="1" scenarios="1" formatColumns="0"/>
  <protectedRanges>
    <protectedRange sqref="E60:W60" name="Evalueringsperiode"/>
    <protectedRange sqref="W91:W92 W84:W88 W78:W82 W72:W76 W70 W68 W64:W65 W59:W61 W53:W54 W46:W48 W40:W44 W36:W38 W34 W29 W24 W19:W21 W16 W12:W13 W8:W10 U91:U92 U84:U88 U78:U82 U72:U76 U70 U68" name="Input"/>
  </protectedRanges>
  <mergeCells count="14">
    <mergeCell ref="Q94:R94"/>
    <mergeCell ref="S94:X94"/>
    <mergeCell ref="B3:C3"/>
    <mergeCell ref="B6:E6"/>
    <mergeCell ref="B51:D51"/>
    <mergeCell ref="B57:D57"/>
    <mergeCell ref="B58:D58"/>
    <mergeCell ref="C94:D94"/>
    <mergeCell ref="E94:F94"/>
    <mergeCell ref="B96:D96"/>
    <mergeCell ref="G94:H94"/>
    <mergeCell ref="K94:L94"/>
    <mergeCell ref="M94:N94"/>
    <mergeCell ref="O94:P94"/>
  </mergeCells>
  <conditionalFormatting sqref="E75:E76">
    <cfRule type="expression" dxfId="158" priority="191">
      <formula>$E$72="ja"</formula>
    </cfRule>
  </conditionalFormatting>
  <conditionalFormatting sqref="E73:E74">
    <cfRule type="expression" dxfId="157" priority="190">
      <formula>$E$72="nej"</formula>
    </cfRule>
  </conditionalFormatting>
  <conditionalFormatting sqref="F34:S34 B34:D34 B32:X33 B49:X49 X34:X48 T34:T41 V45:V48 B35:S41 V34:V42 B42:T48 U43:U48 W43:W48">
    <cfRule type="expression" dxfId="156" priority="189">
      <formula>$E$34="nej"</formula>
    </cfRule>
  </conditionalFormatting>
  <conditionalFormatting sqref="E37">
    <cfRule type="expression" dxfId="155" priority="188">
      <formula>$E$36="nej"</formula>
    </cfRule>
  </conditionalFormatting>
  <conditionalFormatting sqref="E43:E44 W43:W44">
    <cfRule type="expression" dxfId="154" priority="187">
      <formula>$E$40="ja"</formula>
    </cfRule>
  </conditionalFormatting>
  <conditionalFormatting sqref="E47">
    <cfRule type="expression" dxfId="153" priority="186">
      <formula>$E$46="nej"</formula>
    </cfRule>
  </conditionalFormatting>
  <conditionalFormatting sqref="E48">
    <cfRule type="expression" dxfId="152" priority="185">
      <formula>$E$46="ja"</formula>
    </cfRule>
  </conditionalFormatting>
  <conditionalFormatting sqref="V45 V41:V42 E41:E42">
    <cfRule type="expression" dxfId="151" priority="184">
      <formula>$E$40="nej"</formula>
    </cfRule>
  </conditionalFormatting>
  <conditionalFormatting sqref="E38">
    <cfRule type="expression" dxfId="150" priority="183">
      <formula>$E$36="ja"</formula>
    </cfRule>
  </conditionalFormatting>
  <conditionalFormatting sqref="G43:G44">
    <cfRule type="expression" dxfId="149" priority="182">
      <formula>$E$40="ja"</formula>
    </cfRule>
  </conditionalFormatting>
  <conditionalFormatting sqref="G41:G42">
    <cfRule type="expression" dxfId="148" priority="181">
      <formula>$E$40="nej"</formula>
    </cfRule>
  </conditionalFormatting>
  <conditionalFormatting sqref="I43:I44">
    <cfRule type="expression" dxfId="147" priority="180">
      <formula>$E$40="ja"</formula>
    </cfRule>
  </conditionalFormatting>
  <conditionalFormatting sqref="I41:I42">
    <cfRule type="expression" dxfId="146" priority="179">
      <formula>$E$40="nej"</formula>
    </cfRule>
  </conditionalFormatting>
  <conditionalFormatting sqref="K43:K44">
    <cfRule type="expression" dxfId="145" priority="178">
      <formula>$E$40="ja"</formula>
    </cfRule>
  </conditionalFormatting>
  <conditionalFormatting sqref="K41:K42">
    <cfRule type="expression" dxfId="144" priority="177">
      <formula>$E$40="nej"</formula>
    </cfRule>
  </conditionalFormatting>
  <conditionalFormatting sqref="M43:M44">
    <cfRule type="expression" dxfId="143" priority="176">
      <formula>$E$40="ja"</formula>
    </cfRule>
  </conditionalFormatting>
  <conditionalFormatting sqref="M41:M42">
    <cfRule type="expression" dxfId="142" priority="175">
      <formula>$E$40="nej"</formula>
    </cfRule>
  </conditionalFormatting>
  <conditionalFormatting sqref="O43:O44">
    <cfRule type="expression" dxfId="141" priority="174">
      <formula>$E$40="ja"</formula>
    </cfRule>
  </conditionalFormatting>
  <conditionalFormatting sqref="O41:O42">
    <cfRule type="expression" dxfId="140" priority="173">
      <formula>$E$40="nej"</formula>
    </cfRule>
  </conditionalFormatting>
  <conditionalFormatting sqref="Q43:Q44">
    <cfRule type="expression" dxfId="139" priority="172">
      <formula>$E$40="ja"</formula>
    </cfRule>
  </conditionalFormatting>
  <conditionalFormatting sqref="Q41:Q42">
    <cfRule type="expression" dxfId="138" priority="171">
      <formula>$E$40="nej"</formula>
    </cfRule>
  </conditionalFormatting>
  <conditionalFormatting sqref="S43:S44">
    <cfRule type="expression" dxfId="137" priority="170">
      <formula>$E$40="ja"</formula>
    </cfRule>
  </conditionalFormatting>
  <conditionalFormatting sqref="S41:S42">
    <cfRule type="expression" dxfId="136" priority="169">
      <formula>$E$40="nej"</formula>
    </cfRule>
  </conditionalFormatting>
  <conditionalFormatting sqref="I41:I42">
    <cfRule type="expression" dxfId="135" priority="168">
      <formula>$E$40="nej"</formula>
    </cfRule>
  </conditionalFormatting>
  <conditionalFormatting sqref="I45">
    <cfRule type="expression" dxfId="134" priority="167">
      <formula>$E$40="nej"</formula>
    </cfRule>
  </conditionalFormatting>
  <conditionalFormatting sqref="I45">
    <cfRule type="expression" dxfId="133" priority="166">
      <formula>$E$40="nej"</formula>
    </cfRule>
  </conditionalFormatting>
  <conditionalFormatting sqref="I43:I44">
    <cfRule type="expression" dxfId="132" priority="165">
      <formula>$E$40="ja"</formula>
    </cfRule>
  </conditionalFormatting>
  <conditionalFormatting sqref="I41:I42">
    <cfRule type="expression" dxfId="131" priority="164">
      <formula>$E$40="nej"</formula>
    </cfRule>
  </conditionalFormatting>
  <conditionalFormatting sqref="I43:I44">
    <cfRule type="expression" dxfId="130" priority="163">
      <formula>$E$40="ja"</formula>
    </cfRule>
  </conditionalFormatting>
  <conditionalFormatting sqref="I41:I42">
    <cfRule type="expression" dxfId="129" priority="162">
      <formula>$E$40="nej"</formula>
    </cfRule>
  </conditionalFormatting>
  <conditionalFormatting sqref="K43:K44">
    <cfRule type="expression" dxfId="128" priority="161">
      <formula>$E$40="ja"</formula>
    </cfRule>
  </conditionalFormatting>
  <conditionalFormatting sqref="K41:K42">
    <cfRule type="expression" dxfId="127" priority="160">
      <formula>$E$40="nej"</formula>
    </cfRule>
  </conditionalFormatting>
  <conditionalFormatting sqref="M43:M44">
    <cfRule type="expression" dxfId="126" priority="159">
      <formula>$E$40="ja"</formula>
    </cfRule>
  </conditionalFormatting>
  <conditionalFormatting sqref="M41:M42">
    <cfRule type="expression" dxfId="125" priority="158">
      <formula>$E$40="nej"</formula>
    </cfRule>
  </conditionalFormatting>
  <conditionalFormatting sqref="O43:O44">
    <cfRule type="expression" dxfId="124" priority="157">
      <formula>$E$40="ja"</formula>
    </cfRule>
  </conditionalFormatting>
  <conditionalFormatting sqref="O41:O42">
    <cfRule type="expression" dxfId="123" priority="156">
      <formula>$E$40="nej"</formula>
    </cfRule>
  </conditionalFormatting>
  <conditionalFormatting sqref="Q43:Q44">
    <cfRule type="expression" dxfId="122" priority="155">
      <formula>$E$40="ja"</formula>
    </cfRule>
  </conditionalFormatting>
  <conditionalFormatting sqref="Q41:Q42">
    <cfRule type="expression" dxfId="121" priority="154">
      <formula>$E$40="nej"</formula>
    </cfRule>
  </conditionalFormatting>
  <conditionalFormatting sqref="S43:S44">
    <cfRule type="expression" dxfId="120" priority="153">
      <formula>$E$40="ja"</formula>
    </cfRule>
  </conditionalFormatting>
  <conditionalFormatting sqref="S41:S42">
    <cfRule type="expression" dxfId="119" priority="152">
      <formula>$E$40="nej"</formula>
    </cfRule>
  </conditionalFormatting>
  <conditionalFormatting sqref="U34:U41">
    <cfRule type="expression" dxfId="118" priority="151">
      <formula>$E$34="nej"</formula>
    </cfRule>
  </conditionalFormatting>
  <conditionalFormatting sqref="U43:U44">
    <cfRule type="expression" dxfId="117" priority="150">
      <formula>$E$40="ja"</formula>
    </cfRule>
  </conditionalFormatting>
  <conditionalFormatting sqref="U41">
    <cfRule type="expression" dxfId="116" priority="149">
      <formula>$E$40="nej"</formula>
    </cfRule>
  </conditionalFormatting>
  <conditionalFormatting sqref="U43:U44">
    <cfRule type="expression" dxfId="115" priority="148">
      <formula>$E$40="ja"</formula>
    </cfRule>
  </conditionalFormatting>
  <conditionalFormatting sqref="U41">
    <cfRule type="expression" dxfId="114" priority="147">
      <formula>$E$40="nej"</formula>
    </cfRule>
  </conditionalFormatting>
  <conditionalFormatting sqref="W34:W41">
    <cfRule type="expression" dxfId="113" priority="146">
      <formula>$E$34="nej"</formula>
    </cfRule>
  </conditionalFormatting>
  <conditionalFormatting sqref="W43:W44">
    <cfRule type="expression" dxfId="112" priority="145">
      <formula>$E$40="ja"</formula>
    </cfRule>
  </conditionalFormatting>
  <conditionalFormatting sqref="W41">
    <cfRule type="expression" dxfId="111" priority="144">
      <formula>$E$40="nej"</formula>
    </cfRule>
  </conditionalFormatting>
  <conditionalFormatting sqref="W43:W44">
    <cfRule type="expression" dxfId="110" priority="143">
      <formula>$E$40="ja"</formula>
    </cfRule>
  </conditionalFormatting>
  <conditionalFormatting sqref="W41">
    <cfRule type="expression" dxfId="109" priority="142">
      <formula>$E$40="nej"</formula>
    </cfRule>
  </conditionalFormatting>
  <conditionalFormatting sqref="E79:E80">
    <cfRule type="expression" dxfId="108" priority="141">
      <formula>$E$78="nej"</formula>
    </cfRule>
  </conditionalFormatting>
  <conditionalFormatting sqref="E81:E82">
    <cfRule type="expression" dxfId="107" priority="140">
      <formula>$E$78="ja"</formula>
    </cfRule>
  </conditionalFormatting>
  <conditionalFormatting sqref="E85:E86">
    <cfRule type="expression" dxfId="106" priority="139">
      <formula>$E$84="nej"</formula>
    </cfRule>
  </conditionalFormatting>
  <conditionalFormatting sqref="E87:E88">
    <cfRule type="expression" dxfId="105" priority="138">
      <formula>$E$84="ja"</formula>
    </cfRule>
  </conditionalFormatting>
  <conditionalFormatting sqref="M79:M80">
    <cfRule type="expression" dxfId="104" priority="117">
      <formula>$E$78="nej"</formula>
    </cfRule>
  </conditionalFormatting>
  <conditionalFormatting sqref="M81:M82">
    <cfRule type="expression" dxfId="103" priority="116">
      <formula>$E$78="ja"</formula>
    </cfRule>
  </conditionalFormatting>
  <conditionalFormatting sqref="M85:M86">
    <cfRule type="expression" dxfId="102" priority="115">
      <formula>$E$84="nej"</formula>
    </cfRule>
  </conditionalFormatting>
  <conditionalFormatting sqref="M87:M88">
    <cfRule type="expression" dxfId="101" priority="114">
      <formula>$E$84="ja"</formula>
    </cfRule>
  </conditionalFormatting>
  <conditionalFormatting sqref="O79:O80">
    <cfRule type="expression" dxfId="100" priority="111">
      <formula>$E$78="nej"</formula>
    </cfRule>
  </conditionalFormatting>
  <conditionalFormatting sqref="O81:O82">
    <cfRule type="expression" dxfId="99" priority="110">
      <formula>$E$78="ja"</formula>
    </cfRule>
  </conditionalFormatting>
  <conditionalFormatting sqref="O85:O86">
    <cfRule type="expression" dxfId="98" priority="109">
      <formula>$E$84="nej"</formula>
    </cfRule>
  </conditionalFormatting>
  <conditionalFormatting sqref="O87:O88">
    <cfRule type="expression" dxfId="97" priority="108">
      <formula>$E$84="ja"</formula>
    </cfRule>
  </conditionalFormatting>
  <conditionalFormatting sqref="K79:K80">
    <cfRule type="expression" dxfId="96" priority="123">
      <formula>$E$78="nej"</formula>
    </cfRule>
  </conditionalFormatting>
  <conditionalFormatting sqref="K81:K82">
    <cfRule type="expression" dxfId="95" priority="122">
      <formula>$E$78="ja"</formula>
    </cfRule>
  </conditionalFormatting>
  <conditionalFormatting sqref="K85:K86">
    <cfRule type="expression" dxfId="94" priority="121">
      <formula>$E$84="nej"</formula>
    </cfRule>
  </conditionalFormatting>
  <conditionalFormatting sqref="K87:K88">
    <cfRule type="expression" dxfId="93" priority="120">
      <formula>$E$84="ja"</formula>
    </cfRule>
  </conditionalFormatting>
  <conditionalFormatting sqref="E78:E82">
    <cfRule type="expression" dxfId="92" priority="137">
      <formula>E$70="Plugin hybrid diesel"</formula>
    </cfRule>
  </conditionalFormatting>
  <conditionalFormatting sqref="E84:E88">
    <cfRule type="expression" dxfId="91" priority="136">
      <formula>E$70="Plugin hybrid benzin"</formula>
    </cfRule>
  </conditionalFormatting>
  <conditionalFormatting sqref="G79:G80">
    <cfRule type="expression" dxfId="90" priority="135">
      <formula>$E$78="nej"</formula>
    </cfRule>
  </conditionalFormatting>
  <conditionalFormatting sqref="G81:G82">
    <cfRule type="expression" dxfId="89" priority="134">
      <formula>$E$78="ja"</formula>
    </cfRule>
  </conditionalFormatting>
  <conditionalFormatting sqref="G85:G86">
    <cfRule type="expression" dxfId="88" priority="133">
      <formula>$E$84="nej"</formula>
    </cfRule>
  </conditionalFormatting>
  <conditionalFormatting sqref="G87:G88">
    <cfRule type="expression" dxfId="87" priority="132">
      <formula>$E$84="ja"</formula>
    </cfRule>
  </conditionalFormatting>
  <conditionalFormatting sqref="G78:G82">
    <cfRule type="expression" dxfId="86" priority="131">
      <formula>G$70="Plugin hybrid diesel"</formula>
    </cfRule>
  </conditionalFormatting>
  <conditionalFormatting sqref="G84:G88">
    <cfRule type="expression" dxfId="85" priority="130">
      <formula>G$70="Plugin hybrid benzin"</formula>
    </cfRule>
  </conditionalFormatting>
  <conditionalFormatting sqref="I79:I80">
    <cfRule type="expression" dxfId="84" priority="129">
      <formula>$E$78="nej"</formula>
    </cfRule>
  </conditionalFormatting>
  <conditionalFormatting sqref="I81:I82">
    <cfRule type="expression" dxfId="83" priority="128">
      <formula>$E$78="ja"</formula>
    </cfRule>
  </conditionalFormatting>
  <conditionalFormatting sqref="I85:I86">
    <cfRule type="expression" dxfId="82" priority="127">
      <formula>$E$84="nej"</formula>
    </cfRule>
  </conditionalFormatting>
  <conditionalFormatting sqref="I87:I88">
    <cfRule type="expression" dxfId="81" priority="126">
      <formula>$E$84="ja"</formula>
    </cfRule>
  </conditionalFormatting>
  <conditionalFormatting sqref="I78:I82">
    <cfRule type="expression" dxfId="80" priority="125">
      <formula>I$70="Plugin hybrid diesel"</formula>
    </cfRule>
  </conditionalFormatting>
  <conditionalFormatting sqref="I84:I88">
    <cfRule type="expression" dxfId="79" priority="124">
      <formula>I$70="Plugin hybrid benzin"</formula>
    </cfRule>
  </conditionalFormatting>
  <conditionalFormatting sqref="K78:K82">
    <cfRule type="expression" dxfId="78" priority="119">
      <formula>K$70="Plugin hybrid diesel"</formula>
    </cfRule>
  </conditionalFormatting>
  <conditionalFormatting sqref="K84:K88">
    <cfRule type="expression" dxfId="77" priority="118">
      <formula>K$70="Plugin hybrid benzin"</formula>
    </cfRule>
  </conditionalFormatting>
  <conditionalFormatting sqref="M78:M82">
    <cfRule type="expression" dxfId="76" priority="113">
      <formula>M$70="Plugin hybrid diesel"</formula>
    </cfRule>
  </conditionalFormatting>
  <conditionalFormatting sqref="M84:M88">
    <cfRule type="expression" dxfId="75" priority="112">
      <formula>M$70="Plugin hybrid benzin"</formula>
    </cfRule>
  </conditionalFormatting>
  <conditionalFormatting sqref="O78:O82">
    <cfRule type="expression" dxfId="74" priority="107">
      <formula>O$70="Plugin hybrid diesel"</formula>
    </cfRule>
  </conditionalFormatting>
  <conditionalFormatting sqref="O84:O88">
    <cfRule type="expression" dxfId="73" priority="106">
      <formula>O$70="Plugin hybrid benzin"</formula>
    </cfRule>
  </conditionalFormatting>
  <conditionalFormatting sqref="Q79:Q80">
    <cfRule type="expression" dxfId="72" priority="105">
      <formula>$E$78="nej"</formula>
    </cfRule>
  </conditionalFormatting>
  <conditionalFormatting sqref="Q81:Q82">
    <cfRule type="expression" dxfId="71" priority="104">
      <formula>$E$78="ja"</formula>
    </cfRule>
  </conditionalFormatting>
  <conditionalFormatting sqref="Q85:Q86">
    <cfRule type="expression" dxfId="70" priority="103">
      <formula>$E$84="nej"</formula>
    </cfRule>
  </conditionalFormatting>
  <conditionalFormatting sqref="Q87:Q88">
    <cfRule type="expression" dxfId="69" priority="102">
      <formula>$E$84="ja"</formula>
    </cfRule>
  </conditionalFormatting>
  <conditionalFormatting sqref="Q78:Q82">
    <cfRule type="expression" dxfId="68" priority="101">
      <formula>Q$70="Plugin hybrid diesel"</formula>
    </cfRule>
  </conditionalFormatting>
  <conditionalFormatting sqref="Q84:Q88">
    <cfRule type="expression" dxfId="67" priority="100">
      <formula>Q$70="Plugin hybrid benzin"</formula>
    </cfRule>
  </conditionalFormatting>
  <conditionalFormatting sqref="S79:S80">
    <cfRule type="expression" dxfId="66" priority="99">
      <formula>$E$78="nej"</formula>
    </cfRule>
  </conditionalFormatting>
  <conditionalFormatting sqref="S81:S82">
    <cfRule type="expression" dxfId="65" priority="98">
      <formula>$E$78="ja"</formula>
    </cfRule>
  </conditionalFormatting>
  <conditionalFormatting sqref="S85:S86">
    <cfRule type="expression" dxfId="64" priority="97">
      <formula>$E$84="nej"</formula>
    </cfRule>
  </conditionalFormatting>
  <conditionalFormatting sqref="S87:S88">
    <cfRule type="expression" dxfId="63" priority="96">
      <formula>$E$84="ja"</formula>
    </cfRule>
  </conditionalFormatting>
  <conditionalFormatting sqref="S78:S82">
    <cfRule type="expression" dxfId="62" priority="95">
      <formula>S$70="Plugin hybrid diesel"</formula>
    </cfRule>
  </conditionalFormatting>
  <conditionalFormatting sqref="S84:S88">
    <cfRule type="expression" dxfId="61" priority="94">
      <formula>S$70="Plugin hybrid benzin"</formula>
    </cfRule>
  </conditionalFormatting>
  <conditionalFormatting sqref="U79:U80">
    <cfRule type="expression" dxfId="60" priority="93">
      <formula>$E$78="nej"</formula>
    </cfRule>
  </conditionalFormatting>
  <conditionalFormatting sqref="U81:U82">
    <cfRule type="expression" dxfId="59" priority="92">
      <formula>$E$78="ja"</formula>
    </cfRule>
  </conditionalFormatting>
  <conditionalFormatting sqref="U85:U86">
    <cfRule type="expression" dxfId="58" priority="91">
      <formula>$E$84="nej"</formula>
    </cfRule>
  </conditionalFormatting>
  <conditionalFormatting sqref="U87:U88">
    <cfRule type="expression" dxfId="57" priority="90">
      <formula>$E$84="ja"</formula>
    </cfRule>
  </conditionalFormatting>
  <conditionalFormatting sqref="U78:U82">
    <cfRule type="expression" dxfId="56" priority="89">
      <formula>U$70="Plugin hybrid diesel"</formula>
    </cfRule>
  </conditionalFormatting>
  <conditionalFormatting sqref="U84:U88">
    <cfRule type="expression" dxfId="55" priority="88">
      <formula>U$70="Plugin hybrid benzin"</formula>
    </cfRule>
  </conditionalFormatting>
  <conditionalFormatting sqref="I42">
    <cfRule type="expression" dxfId="54" priority="81">
      <formula>$E$40="nej"</formula>
    </cfRule>
  </conditionalFormatting>
  <conditionalFormatting sqref="K42">
    <cfRule type="expression" dxfId="53" priority="80">
      <formula>$E$40="nej"</formula>
    </cfRule>
  </conditionalFormatting>
  <conditionalFormatting sqref="M42">
    <cfRule type="expression" dxfId="52" priority="79">
      <formula>$E$40="nej"</formula>
    </cfRule>
  </conditionalFormatting>
  <conditionalFormatting sqref="O42">
    <cfRule type="expression" dxfId="51" priority="78">
      <formula>$E$40="nej"</formula>
    </cfRule>
  </conditionalFormatting>
  <conditionalFormatting sqref="Q42">
    <cfRule type="expression" dxfId="50" priority="77">
      <formula>$E$40="nej"</formula>
    </cfRule>
  </conditionalFormatting>
  <conditionalFormatting sqref="S42">
    <cfRule type="expression" dxfId="49" priority="76">
      <formula>$E$40="nej"</formula>
    </cfRule>
  </conditionalFormatting>
  <conditionalFormatting sqref="U42">
    <cfRule type="expression" dxfId="48" priority="75">
      <formula>$E$34="nej"</formula>
    </cfRule>
  </conditionalFormatting>
  <conditionalFormatting sqref="U42">
    <cfRule type="expression" dxfId="47" priority="74">
      <formula>$E$40="nej"</formula>
    </cfRule>
  </conditionalFormatting>
  <conditionalFormatting sqref="W42">
    <cfRule type="expression" dxfId="46" priority="73">
      <formula>$E$34="nej"</formula>
    </cfRule>
  </conditionalFormatting>
  <conditionalFormatting sqref="W42">
    <cfRule type="expression" dxfId="45" priority="72">
      <formula>$E$40="nej"</formula>
    </cfRule>
  </conditionalFormatting>
  <conditionalFormatting sqref="E78:E82 E84:E88">
    <cfRule type="expression" dxfId="44" priority="71">
      <formula>$E$70="el"</formula>
    </cfRule>
  </conditionalFormatting>
  <conditionalFormatting sqref="G78:G82 G84:G88">
    <cfRule type="expression" dxfId="43" priority="70">
      <formula>$G$70="el"</formula>
    </cfRule>
  </conditionalFormatting>
  <conditionalFormatting sqref="I78:I82 I84:I88">
    <cfRule type="expression" dxfId="42" priority="69">
      <formula>$I$70="el"</formula>
    </cfRule>
  </conditionalFormatting>
  <conditionalFormatting sqref="K78:K82 K84:K88">
    <cfRule type="expression" dxfId="41" priority="68">
      <formula>$K$70="el"</formula>
    </cfRule>
  </conditionalFormatting>
  <conditionalFormatting sqref="M78:M82 M84:M88">
    <cfRule type="expression" dxfId="40" priority="67">
      <formula>$M$70="el"</formula>
    </cfRule>
  </conditionalFormatting>
  <conditionalFormatting sqref="O78:O82 O84:O88">
    <cfRule type="expression" dxfId="39" priority="66">
      <formula>$O$70="el"</formula>
    </cfRule>
  </conditionalFormatting>
  <conditionalFormatting sqref="Q78:Q82 Q84:Q88">
    <cfRule type="expression" dxfId="38" priority="65">
      <formula>$Q$70="el"</formula>
    </cfRule>
  </conditionalFormatting>
  <conditionalFormatting sqref="S78:S82 S84:S88">
    <cfRule type="expression" dxfId="37" priority="64">
      <formula>$S$70="el"</formula>
    </cfRule>
  </conditionalFormatting>
  <conditionalFormatting sqref="U78:U82 U84:U88">
    <cfRule type="expression" dxfId="36" priority="63">
      <formula>$U$70="el"</formula>
    </cfRule>
  </conditionalFormatting>
  <conditionalFormatting sqref="W79:W80">
    <cfRule type="expression" dxfId="35" priority="62">
      <formula>$E$78="nej"</formula>
    </cfRule>
  </conditionalFormatting>
  <conditionalFormatting sqref="W81:W82">
    <cfRule type="expression" dxfId="34" priority="61">
      <formula>$E$78="ja"</formula>
    </cfRule>
  </conditionalFormatting>
  <conditionalFormatting sqref="W78:W82">
    <cfRule type="expression" dxfId="33" priority="60">
      <formula>W$70="Plugin hybrid diesel"</formula>
    </cfRule>
  </conditionalFormatting>
  <conditionalFormatting sqref="W78:W82">
    <cfRule type="expression" dxfId="32" priority="59">
      <formula>$W$70="el"</formula>
    </cfRule>
  </conditionalFormatting>
  <conditionalFormatting sqref="W85:W86">
    <cfRule type="expression" dxfId="31" priority="54">
      <formula>$E$84="nej"</formula>
    </cfRule>
  </conditionalFormatting>
  <conditionalFormatting sqref="W87:W88">
    <cfRule type="expression" dxfId="30" priority="53">
      <formula>$E$84="ja"</formula>
    </cfRule>
  </conditionalFormatting>
  <conditionalFormatting sqref="W84:W88">
    <cfRule type="expression" dxfId="29" priority="52">
      <formula>W$70="Plugin hybrid benzin"</formula>
    </cfRule>
  </conditionalFormatting>
  <conditionalFormatting sqref="W84:W88">
    <cfRule type="expression" dxfId="28" priority="51">
      <formula>$W$70="el"</formula>
    </cfRule>
  </conditionalFormatting>
  <conditionalFormatting sqref="E68">
    <cfRule type="expression" dxfId="27" priority="50">
      <formula>$E$72="nej"</formula>
    </cfRule>
  </conditionalFormatting>
  <conditionalFormatting sqref="E64:E65">
    <cfRule type="expression" dxfId="26" priority="49">
      <formula>$E$72="nej"</formula>
    </cfRule>
  </conditionalFormatting>
  <conditionalFormatting sqref="G64:G65">
    <cfRule type="expression" dxfId="25" priority="31">
      <formula>$E$72="nej"</formula>
    </cfRule>
  </conditionalFormatting>
  <conditionalFormatting sqref="I65">
    <cfRule type="expression" dxfId="24" priority="30">
      <formula>$E$72="nej"</formula>
    </cfRule>
  </conditionalFormatting>
  <conditionalFormatting sqref="K65">
    <cfRule type="expression" dxfId="23" priority="29">
      <formula>$E$72="nej"</formula>
    </cfRule>
  </conditionalFormatting>
  <conditionalFormatting sqref="M65">
    <cfRule type="expression" dxfId="22" priority="28">
      <formula>$E$72="nej"</formula>
    </cfRule>
  </conditionalFormatting>
  <conditionalFormatting sqref="O65">
    <cfRule type="expression" dxfId="21" priority="27">
      <formula>$E$72="nej"</formula>
    </cfRule>
  </conditionalFormatting>
  <conditionalFormatting sqref="Q65">
    <cfRule type="expression" dxfId="20" priority="26">
      <formula>$E$72="nej"</formula>
    </cfRule>
  </conditionalFormatting>
  <conditionalFormatting sqref="S65">
    <cfRule type="expression" dxfId="19" priority="25">
      <formula>$E$72="nej"</formula>
    </cfRule>
  </conditionalFormatting>
  <conditionalFormatting sqref="U65">
    <cfRule type="expression" dxfId="18" priority="24">
      <formula>$E$72="nej"</formula>
    </cfRule>
  </conditionalFormatting>
  <conditionalFormatting sqref="W65">
    <cfRule type="expression" dxfId="17" priority="23">
      <formula>$E$72="nej"</formula>
    </cfRule>
  </conditionalFormatting>
  <conditionalFormatting sqref="I64">
    <cfRule type="expression" dxfId="16" priority="22">
      <formula>$E$72="nej"</formula>
    </cfRule>
  </conditionalFormatting>
  <conditionalFormatting sqref="K64">
    <cfRule type="expression" dxfId="15" priority="21">
      <formula>$E$72="nej"</formula>
    </cfRule>
  </conditionalFormatting>
  <conditionalFormatting sqref="M64">
    <cfRule type="expression" dxfId="14" priority="20">
      <formula>$E$72="nej"</formula>
    </cfRule>
  </conditionalFormatting>
  <conditionalFormatting sqref="O64">
    <cfRule type="expression" dxfId="13" priority="19">
      <formula>$E$72="nej"</formula>
    </cfRule>
  </conditionalFormatting>
  <conditionalFormatting sqref="Q64">
    <cfRule type="expression" dxfId="12" priority="18">
      <formula>$E$72="nej"</formula>
    </cfRule>
  </conditionalFormatting>
  <conditionalFormatting sqref="S64">
    <cfRule type="expression" dxfId="11" priority="17">
      <formula>$E$72="nej"</formula>
    </cfRule>
  </conditionalFormatting>
  <conditionalFormatting sqref="U64">
    <cfRule type="expression" dxfId="10" priority="16">
      <formula>$E$72="nej"</formula>
    </cfRule>
  </conditionalFormatting>
  <conditionalFormatting sqref="W64">
    <cfRule type="expression" dxfId="9" priority="15">
      <formula>$E$72="nej"</formula>
    </cfRule>
  </conditionalFormatting>
  <conditionalFormatting sqref="O68">
    <cfRule type="expression" dxfId="8" priority="9">
      <formula>$E$72="nej"</formula>
    </cfRule>
  </conditionalFormatting>
  <conditionalFormatting sqref="Q68">
    <cfRule type="expression" dxfId="7" priority="8">
      <formula>$E$72="nej"</formula>
    </cfRule>
  </conditionalFormatting>
  <conditionalFormatting sqref="S68">
    <cfRule type="expression" dxfId="6" priority="7">
      <formula>$E$72="nej"</formula>
    </cfRule>
  </conditionalFormatting>
  <conditionalFormatting sqref="U68">
    <cfRule type="expression" dxfId="5" priority="6">
      <formula>$E$72="nej"</formula>
    </cfRule>
  </conditionalFormatting>
  <conditionalFormatting sqref="W68">
    <cfRule type="expression" dxfId="4" priority="5">
      <formula>$E$72="nej"</formula>
    </cfRule>
  </conditionalFormatting>
  <conditionalFormatting sqref="G68">
    <cfRule type="expression" dxfId="3" priority="4">
      <formula>$E$72="nej"</formula>
    </cfRule>
  </conditionalFormatting>
  <conditionalFormatting sqref="I68">
    <cfRule type="expression" dxfId="2" priority="3">
      <formula>$E$72="nej"</formula>
    </cfRule>
  </conditionalFormatting>
  <conditionalFormatting sqref="K68">
    <cfRule type="expression" dxfId="1" priority="2">
      <formula>$E$72="nej"</formula>
    </cfRule>
  </conditionalFormatting>
  <conditionalFormatting sqref="M68">
    <cfRule type="expression" dxfId="0" priority="1">
      <formula>$E$72="nej"</formula>
    </cfRule>
  </conditionalFormatting>
  <dataValidations count="6">
    <dataValidation type="custom" allowBlank="1" showInputMessage="1" showErrorMessage="1" error="Sum af tid i alle tre tilstande må ikke overstige 100%" sqref="G90 U90 S90 W90 Q90 E90 I90 K90 M90 O90" xr:uid="{B71B0D6A-E9AE-409A-9F39-C9A782E0771D}">
      <formula1>SUM(E$98:E$104)&lt;=100</formula1>
    </dataValidation>
    <dataValidation operator="greaterThanOrEqual" allowBlank="1" showInputMessage="1" showErrorMessage="1" error="Indtast et positivt tal" sqref="E24:W24 H29 J29 L29 N29 P29 R29 T29 V29" xr:uid="{16C523C1-E6C6-415E-8DCA-102AE776EF4B}"/>
    <dataValidation allowBlank="1" showInputMessage="1" showErrorMessage="1" errorTitle="Elpris" error="Indtast et tal mellem 0 og 10" sqref="U73 W73 E73:S73 O79:O81 E79:E81 U79:U81 G79:G81 I79:I81 K79:K81 S79:S81 M79:M81 Q79:Q81 W79:W81 E68 S64:S65 W68 W64:W65 G68 I68 K68 O68 Q68 S68 U68 Q64:Q65 O64:O65 M64:M65 K64:K65 I64:I65 U64:U65 E64:E65 G64:G65 M68" xr:uid="{36D2371E-F046-4DA6-BF9A-A59ED73621B8}"/>
    <dataValidation type="decimal" allowBlank="1" showInputMessage="1" showErrorMessage="1" error="Indtast et tal mellem 0 og 25" sqref="E60" xr:uid="{AE8AA8BD-8022-4495-99EE-A9CC7641FD38}">
      <formula1>0</formula1>
      <formula2>25</formula2>
    </dataValidation>
    <dataValidation type="decimal" allowBlank="1" showInputMessage="1" showErrorMessage="1" error="Indtast et tal mellem 0 og 10" sqref="E74 E82 W82 U82 G82 I82 K82 M82 O82 Q82 S82 E61" xr:uid="{D4B0A95B-83B6-4B08-AD2F-F3DBD84625C5}">
      <formula1>0</formula1>
      <formula2>10</formula2>
    </dataValidation>
    <dataValidation type="decimal" operator="greaterThanOrEqual" allowBlank="1" showInputMessage="1" showErrorMessage="1" error="Indtast et positivt tal" sqref="E53:E54 G53:G54 K53:K54 I53:I54 O53:O54 M53:M54 Q53:Q54 S12:S14 W53:W54 S53:S54 U53:U54 W12:W14 U12:U14 E12:E14 G12:G14 I12:I14 K12:K14 M12:M14 O12:O14 Q12:Q14 Q16:Q22 O16:O22 M16:M22 K16:K22 I16:I22 G16:G22 E16:E22 W16:W22 S16:S22 U16:U22 E29 G29 I29 K29 M29 O29 Q29 S29 U29 W29" xr:uid="{5E31FB60-6B9E-4542-8864-B0EF0E51353C}">
      <formula1>0</formula1>
    </dataValidation>
  </dataValidations>
  <pageMargins left="0.25" right="0.25" top="0.75" bottom="0.75" header="0.3" footer="0.3"/>
  <pageSetup paperSize="8" scale="95" orientation="portrait"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Tidsperiode" error="Indtast et tal mellem 0 og 40" xr:uid="{1A5614ED-E44E-45D7-95D3-389E62A5C5EB}">
          <x14:formula1>
            <xm:f>Fremskrivninger!$A$9:$A$38</xm:f>
          </x14:formula1>
          <xm:sqref>E59 G59 I59 K59 M59 O59 Q59 W59 S59 U59</xm:sqref>
        </x14:dataValidation>
        <x14:dataValidation type="list" operator="greaterThanOrEqual" allowBlank="1" showInputMessage="1" showErrorMessage="1" error="Indtast et positivt tal" xr:uid="{2409C07E-A192-4AC0-AFE9-D87670F88BDA}">
          <x14:formula1>
            <xm:f>Fremskrivninger!$P$2:$P$3</xm:f>
          </x14:formula1>
          <xm:sqref>U34 U36 W36 S36 S34 S40 S46 E72 G72 Q72 I72 K72 M72 O72 U46 Q34 O34 M34 K34 I34 G34 E34 Q36 O36 M36 K36 I36 G36 E36 E46 G46 Q46 I46 K46 M46 O46 W72 E40 E78 G40 Q40 I40 K40 M40 O40 S72 U72 W34 W40 W46 U40 E84 U78 U84 G78 G84 I78 I84 K78 K84 M78 M84 O78 O84 Q78 Q84 S78 S84 W78 W84</xm:sqref>
        </x14:dataValidation>
        <x14:dataValidation type="list" operator="greaterThanOrEqual" allowBlank="1" showInputMessage="1" showErrorMessage="1" error="Indtast et positivt tal" xr:uid="{6FEE51E1-908E-4A84-B490-644EC5ABEAA3}">
          <x14:formula1>
            <xm:f>'IB - E&amp;PH'!$AA$1:$AA$4</xm:f>
          </x14:formula1>
          <xm:sqref>E70 I70 O70 K70 M70 W70 Q70 S70 U70 G70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CE971-10C4-4381-9FCA-0E5091C282B6}">
  <sheetPr codeName="Sheet6">
    <tabColor theme="3"/>
  </sheetPr>
  <dimension ref="A1:AA206"/>
  <sheetViews>
    <sheetView topLeftCell="A168" zoomScale="85" zoomScaleNormal="85" workbookViewId="0">
      <selection activeCell="K208" sqref="K208"/>
    </sheetView>
  </sheetViews>
  <sheetFormatPr defaultColWidth="9.15234375" defaultRowHeight="14.6" outlineLevelRow="1"/>
  <cols>
    <col min="1" max="1" width="9.15234375" style="2"/>
    <col min="2" max="2" width="14.15234375" style="2" customWidth="1"/>
    <col min="3" max="3" width="17.3828125" style="2" customWidth="1"/>
    <col min="4" max="4" width="20" style="2" customWidth="1"/>
    <col min="5" max="5" width="22.69140625" style="2" customWidth="1"/>
    <col min="6" max="6" width="9.15234375" style="2"/>
    <col min="7" max="7" width="13.84375" style="2" customWidth="1"/>
    <col min="8" max="8" width="9.15234375" style="2"/>
    <col min="9" max="9" width="14.84375" style="2" customWidth="1"/>
    <col min="10" max="10" width="9.15234375" style="2"/>
    <col min="11" max="11" width="14.69140625" style="2" customWidth="1"/>
    <col min="12" max="12" width="9.15234375" style="2"/>
    <col min="13" max="13" width="14.3046875" style="2" customWidth="1"/>
    <col min="14" max="14" width="9.15234375" style="2"/>
    <col min="15" max="15" width="12.69140625" style="2" customWidth="1"/>
    <col min="16" max="16" width="9.15234375" style="2"/>
    <col min="17" max="17" width="9.3828125" style="2" bestFit="1" customWidth="1"/>
    <col min="18" max="18" width="9.15234375" style="2"/>
    <col min="19" max="19" width="9.3828125" style="2" bestFit="1" customWidth="1"/>
    <col min="20" max="24" width="9.15234375" style="2"/>
    <col min="25" max="25" width="13" style="2" customWidth="1"/>
    <col min="26" max="26" width="20.15234375" style="2" customWidth="1"/>
    <col min="27" max="16384" width="9.15234375" style="2"/>
  </cols>
  <sheetData>
    <row r="1" spans="1:27">
      <c r="AA1" s="449" t="s">
        <v>125</v>
      </c>
    </row>
    <row r="2" spans="1:27">
      <c r="A2" s="147" t="s">
        <v>28</v>
      </c>
      <c r="E2" s="503" t="str">
        <f>E25</f>
        <v>PRODUKT 1 EL</v>
      </c>
      <c r="F2" s="503"/>
      <c r="G2" s="503" t="str">
        <f t="shared" ref="G2:W2" si="0">G25</f>
        <v>PRODUKT 2 EL</v>
      </c>
      <c r="H2" s="503"/>
      <c r="I2" s="503" t="str">
        <f t="shared" si="0"/>
        <v>PRODUKT 3 EL</v>
      </c>
      <c r="J2" s="503"/>
      <c r="K2" s="503" t="str">
        <f t="shared" si="0"/>
        <v>PRODUKT 4 EL</v>
      </c>
      <c r="L2" s="503"/>
      <c r="M2" s="503" t="str">
        <f t="shared" si="0"/>
        <v>PRODUKT 5 EL</v>
      </c>
      <c r="N2" s="503"/>
      <c r="O2" s="503" t="str">
        <f t="shared" si="0"/>
        <v>PRODUKT 6 EL</v>
      </c>
      <c r="P2" s="503"/>
      <c r="Q2" s="503" t="str">
        <f t="shared" si="0"/>
        <v>PRODUKT 7 EL</v>
      </c>
      <c r="R2" s="503"/>
      <c r="S2" s="503" t="str">
        <f t="shared" si="0"/>
        <v>PRODUKT 8 EL</v>
      </c>
      <c r="T2" s="503"/>
      <c r="U2" s="503" t="str">
        <f t="shared" si="0"/>
        <v>PRODUKT 9 EL</v>
      </c>
      <c r="V2" s="503"/>
      <c r="W2" s="503" t="str">
        <f t="shared" si="0"/>
        <v>PRODUKT 10 EL</v>
      </c>
      <c r="AA2" s="450" t="s">
        <v>161</v>
      </c>
    </row>
    <row r="3" spans="1:27">
      <c r="A3" s="295" t="s">
        <v>20</v>
      </c>
      <c r="B3" s="296" t="s">
        <v>79</v>
      </c>
      <c r="C3" s="297" t="s">
        <v>190</v>
      </c>
      <c r="D3" s="297" t="s">
        <v>191</v>
      </c>
      <c r="E3" s="150"/>
      <c r="F3" s="150"/>
      <c r="G3" s="150"/>
      <c r="H3" s="150"/>
      <c r="I3" s="150"/>
      <c r="J3" s="150"/>
      <c r="K3" s="150"/>
      <c r="L3" s="150"/>
      <c r="M3" s="150"/>
      <c r="N3" s="150"/>
      <c r="O3" s="150"/>
      <c r="P3" s="150"/>
      <c r="Q3" s="150"/>
      <c r="R3" s="150"/>
      <c r="S3" s="150"/>
      <c r="U3" s="150"/>
      <c r="W3" s="150"/>
      <c r="AA3" s="450" t="s">
        <v>157</v>
      </c>
    </row>
    <row r="4" spans="1:27">
      <c r="A4" s="298">
        <v>1</v>
      </c>
      <c r="B4" s="274">
        <f>IF('El og plugin hybrid'!$E$72="ja",'El og plugin hybrid'!$E$73,'El og plugin hybrid'!$E$75)</f>
        <v>1.851</v>
      </c>
      <c r="C4" s="299">
        <f>IF('El og plugin hybrid'!$E$78="ja",'El og plugin hybrid'!$E$79,'El og plugin hybrid'!$E$81)</f>
        <v>8.7367999999999988</v>
      </c>
      <c r="D4" s="299">
        <f>IF('El og plugin hybrid'!$E$84="ja",'El og plugin hybrid'!$E$85,'El og plugin hybrid'!$E$87)</f>
        <v>7.6283999999999992</v>
      </c>
      <c r="E4" s="303">
        <f>'El og plugin hybrid'!E$53*(IF($A4&lt;='El og plugin hybrid'!E$60,(IF('El og plugin hybrid'!E$68=0,(('El og plugin hybrid'!E$54*'El og plugin hybrid'!E$16/1000)*$B4),('El og plugin hybrid'!E$68)))*(1+'El og plugin hybrid'!E$61)^-$A4,0)+IF('El og plugin hybrid'!E$29=0,0,(IF($A4&lt;='El og plugin hybrid'!E$60,'El og plugin hybrid'!E$54/'El og plugin hybrid'!E$29*IF('El og plugin hybrid'!E$70="plugin hybrid benzin",$C4,IF('El og plugin hybrid'!E$70="plugin hybrid diesel",$D4,0)),0))*(1+'El og plugin hybrid'!E$61)^-$A4))</f>
        <v>0</v>
      </c>
      <c r="F4" s="303"/>
      <c r="G4" s="303">
        <f>'El og plugin hybrid'!G$53*(IF($A4&lt;='El og plugin hybrid'!G$60,(IF('El og plugin hybrid'!G$68=0,(('El og plugin hybrid'!G$54*'El og plugin hybrid'!G$16/1000)*$B4),('El og plugin hybrid'!G$68)))*(1+'El og plugin hybrid'!G$61)^-$A4,0)+IF('El og plugin hybrid'!G$29=0,0,(IF($A4&lt;='El og plugin hybrid'!G$60,'El og plugin hybrid'!G$54/'El og plugin hybrid'!G$29*IF('El og plugin hybrid'!G$70="plugin hybrid benzin",$C4,IF('El og plugin hybrid'!G$70="plugin hybrid diesel",$D4,0)),0))*(1+'El og plugin hybrid'!G$61)^-$A4))</f>
        <v>0</v>
      </c>
      <c r="H4" s="303"/>
      <c r="I4" s="303">
        <f>'El og plugin hybrid'!I$53*(IF($A4&lt;='El og plugin hybrid'!I$60,(IF('El og plugin hybrid'!I$68=0,(('El og plugin hybrid'!I$54*'El og plugin hybrid'!I$16/1000)*$B4),('El og plugin hybrid'!I$68)))*(1+'El og plugin hybrid'!I$61)^-$A4,0)+IF('El og plugin hybrid'!I$29=0,0,(IF($A4&lt;='El og plugin hybrid'!I$60,'El og plugin hybrid'!I$54/'El og plugin hybrid'!I$29*IF('El og plugin hybrid'!I$70="plugin hybrid benzin",$C4,IF('El og plugin hybrid'!I$70="plugin hybrid diesel",$D4,0)),0))*(1+'El og plugin hybrid'!I$61)^-$A4))</f>
        <v>0</v>
      </c>
      <c r="J4" s="303"/>
      <c r="K4" s="303">
        <f>'El og plugin hybrid'!K$53*(IF($A4&lt;='El og plugin hybrid'!K$60,(IF('El og plugin hybrid'!K$68=0,(('El og plugin hybrid'!K$54*'El og plugin hybrid'!K$16/1000)*$B4),('El og plugin hybrid'!K$68)))*(1+'El og plugin hybrid'!K$61)^-$A4,0)+IF('El og plugin hybrid'!K$29=0,0,(IF($A4&lt;='El og plugin hybrid'!K$60,'El og plugin hybrid'!K$54/'El og plugin hybrid'!K$29*IF('El og plugin hybrid'!K$70="plugin hybrid benzin",$C4,IF('El og plugin hybrid'!K$70="plugin hybrid diesel",$D4,0)),0))*(1+'El og plugin hybrid'!K$61)^-$A4))</f>
        <v>0</v>
      </c>
      <c r="L4" s="303"/>
      <c r="M4" s="303">
        <f>'El og plugin hybrid'!M$53*(IF($A4&lt;='El og plugin hybrid'!M$60,(IF('El og plugin hybrid'!M$68=0,(('El og plugin hybrid'!M$54*'El og plugin hybrid'!M$16/1000)*$B4),('El og plugin hybrid'!M$68)))*(1+'El og plugin hybrid'!M$61)^-$A4,0)+IF('El og plugin hybrid'!M$29=0,0,(IF($A4&lt;='El og plugin hybrid'!M$60,'El og plugin hybrid'!M$54/'El og plugin hybrid'!M$29*IF('El og plugin hybrid'!M$70="plugin hybrid benzin",$C4,IF('El og plugin hybrid'!M$70="plugin hybrid diesel",$D4,0)),0))*(1+'El og plugin hybrid'!M$61)^-$A4))</f>
        <v>0</v>
      </c>
      <c r="N4" s="303"/>
      <c r="O4" s="303">
        <f>'El og plugin hybrid'!O$53*(IF($A4&lt;='El og plugin hybrid'!O$60,(IF('El og plugin hybrid'!O$68=0,(('El og plugin hybrid'!O$54*'El og plugin hybrid'!O$16/1000)*$B4),('El og plugin hybrid'!O$68)))*(1+'El og plugin hybrid'!O$61)^-$A4,0)+IF('El og plugin hybrid'!O$29=0,0,(IF($A4&lt;='El og plugin hybrid'!O$60,'El og plugin hybrid'!O$54/'El og plugin hybrid'!O$29*IF('El og plugin hybrid'!O$70="plugin hybrid benzin",$C4,IF('El og plugin hybrid'!O$70="plugin hybrid diesel",$D4,0)),0))*(1+'El og plugin hybrid'!O$61)^-$A4))</f>
        <v>0</v>
      </c>
      <c r="P4" s="303"/>
      <c r="Q4" s="303">
        <f>'El og plugin hybrid'!Q$53*(IF($A4&lt;='El og plugin hybrid'!Q$60,(IF('El og plugin hybrid'!Q$68=0,(('El og plugin hybrid'!Q$54*'El og plugin hybrid'!Q$16/1000)*$B4),('El og plugin hybrid'!Q$68)))*(1+'El og plugin hybrid'!Q$61)^-$A4,0)+IF('El og plugin hybrid'!Q$29=0,0,(IF($A4&lt;='El og plugin hybrid'!Q$60,'El og plugin hybrid'!Q$54/'El og plugin hybrid'!Q$29*IF('El og plugin hybrid'!Q$70="plugin hybrid benzin",$C4,IF('El og plugin hybrid'!Q$70="plugin hybrid diesel",$D4,0)),0))*(1+'El og plugin hybrid'!Q$61)^-$A4))</f>
        <v>0</v>
      </c>
      <c r="R4" s="303"/>
      <c r="S4" s="303">
        <f>'El og plugin hybrid'!S$53*(IF($A4&lt;='El og plugin hybrid'!S$60,(IF('El og plugin hybrid'!S$68=0,(('El og plugin hybrid'!S$54*'El og plugin hybrid'!S$16/1000)*$B4),('El og plugin hybrid'!S$68)))*(1+'El og plugin hybrid'!S$61)^-$A4,0)+IF('El og plugin hybrid'!S$29=0,0,(IF($A4&lt;='El og plugin hybrid'!S$60,'El og plugin hybrid'!S$54/'El og plugin hybrid'!S$29*IF('El og plugin hybrid'!S$70="plugin hybrid benzin",$C4,IF('El og plugin hybrid'!S$70="plugin hybrid diesel",$D4,0)),0))*(1+'El og plugin hybrid'!S$61)^-$A4))</f>
        <v>0</v>
      </c>
      <c r="U4" s="303">
        <f>'El og plugin hybrid'!U$53*(IF($A4&lt;='El og plugin hybrid'!U$60,(IF('El og plugin hybrid'!U$68=0,(('El og plugin hybrid'!U$54*'El og plugin hybrid'!U$16/1000)*$B4),('El og plugin hybrid'!U$68)))*(1+'El og plugin hybrid'!U$61)^-$A4,0)+IF('El og plugin hybrid'!U$29=0,0,(IF($A4&lt;='El og plugin hybrid'!U$60,'El og plugin hybrid'!U$54/'El og plugin hybrid'!U$29*IF('El og plugin hybrid'!U$70="plugin hybrid benzin",$C4,IF('El og plugin hybrid'!U$70="plugin hybrid diesel",$D4,0)),0))*(1+'El og plugin hybrid'!U$61)^-$A4))</f>
        <v>0</v>
      </c>
      <c r="W4" s="303">
        <f>'El og plugin hybrid'!W$53*(IF($A4&lt;='El og plugin hybrid'!W$60,(IF('El og plugin hybrid'!W$68=0,(('El og plugin hybrid'!W$54*'El og plugin hybrid'!W$16/1000)*$B4),('El og plugin hybrid'!W$68)))*(1+'El og plugin hybrid'!W$61)^-$A4,0)+IF('El og plugin hybrid'!W$29=0,0,(IF($A4&lt;='El og plugin hybrid'!W$60,'El og plugin hybrid'!W$54/'El og plugin hybrid'!W$29*IF('El og plugin hybrid'!W$70="plugin hybrid benzin",$C4,IF('El og plugin hybrid'!W$70="plugin hybrid diesel",$D4,0)),0))*(1+'El og plugin hybrid'!W$61)^-$A4))</f>
        <v>0</v>
      </c>
      <c r="AA4" s="2" t="s">
        <v>159</v>
      </c>
    </row>
    <row r="5" spans="1:27">
      <c r="A5" s="298">
        <f t="shared" ref="A5:A20" si="1">A4+1</f>
        <v>2</v>
      </c>
      <c r="B5" s="274">
        <f>((B4-Fremskrivninger!E9)*(1+IF('El og plugin hybrid'!$E$72="ja",'El og plugin hybrid'!$E$74,'El og plugin hybrid'!$E$76))+Fremskrivninger!E9)</f>
        <v>1.8593834</v>
      </c>
      <c r="C5" s="299">
        <f>((C4-Fremskrivninger!N48)*(1+IF('El og plugin hybrid'!$E$78="ja",'El og plugin hybrid'!$E$80,'El og plugin hybrid'!$E$82))+Fremskrivninger!N48)</f>
        <v>8.7934675200000001</v>
      </c>
      <c r="D5" s="299">
        <f>((D4-Fremskrivninger!N92)*(1+IF('El og plugin hybrid'!$E$84="ja",'El og plugin hybrid'!$E$86,'El og plugin hybrid'!$E$88))+Fremskrivninger!N92)</f>
        <v>7.6920317999999988</v>
      </c>
      <c r="E5" s="303">
        <f>'El og plugin hybrid'!E$53*(IF($A5&lt;='El og plugin hybrid'!E$60,(IF('El og plugin hybrid'!E$68=0,(('El og plugin hybrid'!E$54*'El og plugin hybrid'!E$16/1000)*$B5),('El og plugin hybrid'!E$68)))*(1+'El og plugin hybrid'!E$61)^-$A5,0)+IF('El og plugin hybrid'!E$29=0,0,(IF($A5&lt;='El og plugin hybrid'!E$60,'El og plugin hybrid'!E$54/'El og plugin hybrid'!E$29*IF('El og plugin hybrid'!E$70="plugin hybrid benzin",$C5,IF('El og plugin hybrid'!E$70="plugin hybrid diesel",$D5,0)),0))*(1+'El og plugin hybrid'!E$61)^-$A5))</f>
        <v>0</v>
      </c>
      <c r="F5" s="303"/>
      <c r="G5" s="303">
        <f>'El og plugin hybrid'!G$53*(IF($A5&lt;='El og plugin hybrid'!G$60,(IF('El og plugin hybrid'!G$68=0,(('El og plugin hybrid'!G$54*'El og plugin hybrid'!G$16/1000)*$B5),('El og plugin hybrid'!G$68)))*(1+'El og plugin hybrid'!G$61)^-$A5,0)+IF('El og plugin hybrid'!G$29=0,0,(IF($A5&lt;='El og plugin hybrid'!G$60,'El og plugin hybrid'!G$54/'El og plugin hybrid'!G$29*IF('El og plugin hybrid'!G$70="plugin hybrid benzin",$C5,IF('El og plugin hybrid'!G$70="plugin hybrid diesel",$D5,0)),0))*(1+'El og plugin hybrid'!G$61)^-$A5))</f>
        <v>0</v>
      </c>
      <c r="H5" s="303"/>
      <c r="I5" s="303">
        <f>'El og plugin hybrid'!I$53*(IF($A5&lt;='El og plugin hybrid'!I$60,(IF('El og plugin hybrid'!I$68=0,(('El og plugin hybrid'!I$54*'El og plugin hybrid'!I$16/1000)*$B5),('El og plugin hybrid'!I$68)))*(1+'El og plugin hybrid'!I$61)^-$A5,0)+IF('El og plugin hybrid'!I$29=0,0,(IF($A5&lt;='El og plugin hybrid'!I$60,'El og plugin hybrid'!I$54/'El og plugin hybrid'!I$29*IF('El og plugin hybrid'!I$70="plugin hybrid benzin",$C5,IF('El og plugin hybrid'!I$70="plugin hybrid diesel",$D5,0)),0))*(1+'El og plugin hybrid'!I$61)^-$A5))</f>
        <v>0</v>
      </c>
      <c r="J5" s="303"/>
      <c r="K5" s="303">
        <f>'El og plugin hybrid'!K$53*(IF($A5&lt;='El og plugin hybrid'!K$60,(IF('El og plugin hybrid'!K$68=0,(('El og plugin hybrid'!K$54*'El og plugin hybrid'!K$16/1000)*$B5),('El og plugin hybrid'!K$68)))*(1+'El og plugin hybrid'!K$61)^-$A5,0)+IF('El og plugin hybrid'!K$29=0,0,(IF($A5&lt;='El og plugin hybrid'!K$60,'El og plugin hybrid'!K$54/'El og plugin hybrid'!K$29*IF('El og plugin hybrid'!K$70="plugin hybrid benzin",$C5,IF('El og plugin hybrid'!K$70="plugin hybrid diesel",$D5,0)),0))*(1+'El og plugin hybrid'!K$61)^-$A5))</f>
        <v>0</v>
      </c>
      <c r="L5" s="303"/>
      <c r="M5" s="303">
        <f>'El og plugin hybrid'!M$53*(IF($A5&lt;='El og plugin hybrid'!M$60,(IF('El og plugin hybrid'!M$68=0,(('El og plugin hybrid'!M$54*'El og plugin hybrid'!M$16/1000)*$B5),('El og plugin hybrid'!M$68)))*(1+'El og plugin hybrid'!M$61)^-$A5,0)+IF('El og plugin hybrid'!M$29=0,0,(IF($A5&lt;='El og plugin hybrid'!M$60,'El og plugin hybrid'!M$54/'El og plugin hybrid'!M$29*IF('El og plugin hybrid'!M$70="plugin hybrid benzin",$C5,IF('El og plugin hybrid'!M$70="plugin hybrid diesel",$D5,0)),0))*(1+'El og plugin hybrid'!M$61)^-$A5))</f>
        <v>0</v>
      </c>
      <c r="N5" s="303"/>
      <c r="O5" s="303">
        <f>'El og plugin hybrid'!O$53*(IF($A5&lt;='El og plugin hybrid'!O$60,(IF('El og plugin hybrid'!O$68=0,(('El og plugin hybrid'!O$54*'El og plugin hybrid'!O$16/1000)*$B5),('El og plugin hybrid'!O$68)))*(1+'El og plugin hybrid'!O$61)^-$A5,0)+IF('El og plugin hybrid'!O$29=0,0,(IF($A5&lt;='El og plugin hybrid'!O$60,'El og plugin hybrid'!O$54/'El og plugin hybrid'!O$29*IF('El og plugin hybrid'!O$70="plugin hybrid benzin",$C5,IF('El og plugin hybrid'!O$70="plugin hybrid diesel",$D5,0)),0))*(1+'El og plugin hybrid'!O$61)^-$A5))</f>
        <v>0</v>
      </c>
      <c r="P5" s="303"/>
      <c r="Q5" s="303">
        <f>'El og plugin hybrid'!Q$53*(IF($A5&lt;='El og plugin hybrid'!Q$60,(IF('El og plugin hybrid'!Q$68=0,(('El og plugin hybrid'!Q$54*'El og plugin hybrid'!Q$16/1000)*$B5),('El og plugin hybrid'!Q$68)))*(1+'El og plugin hybrid'!Q$61)^-$A5,0)+IF('El og plugin hybrid'!Q$29=0,0,(IF($A5&lt;='El og plugin hybrid'!Q$60,'El og plugin hybrid'!Q$54/'El og plugin hybrid'!Q$29*IF('El og plugin hybrid'!Q$70="plugin hybrid benzin",$C5,IF('El og plugin hybrid'!Q$70="plugin hybrid diesel",$D5,0)),0))*(1+'El og plugin hybrid'!Q$61)^-$A5))</f>
        <v>0</v>
      </c>
      <c r="R5" s="303"/>
      <c r="S5" s="303">
        <f>'El og plugin hybrid'!S$53*(IF($A5&lt;='El og plugin hybrid'!S$60,(IF('El og plugin hybrid'!S$68=0,(('El og plugin hybrid'!S$54*'El og plugin hybrid'!S$16/1000)*$B5),('El og plugin hybrid'!S$68)))*(1+'El og plugin hybrid'!S$61)^-$A5,0)+IF('El og plugin hybrid'!S$29=0,0,(IF($A5&lt;='El og plugin hybrid'!S$60,'El og plugin hybrid'!S$54/'El og plugin hybrid'!S$29*IF('El og plugin hybrid'!S$70="plugin hybrid benzin",$C5,IF('El og plugin hybrid'!S$70="plugin hybrid diesel",$D5,0)),0))*(1+'El og plugin hybrid'!S$61)^-$A5))</f>
        <v>0</v>
      </c>
      <c r="U5" s="303">
        <f>'El og plugin hybrid'!U$53*(IF($A5&lt;='El og plugin hybrid'!U$60,(IF('El og plugin hybrid'!U$68=0,(('El og plugin hybrid'!U$54*'El og plugin hybrid'!U$16/1000)*$B5),('El og plugin hybrid'!U$68)))*(1+'El og plugin hybrid'!U$61)^-$A5,0)+IF('El og plugin hybrid'!U$29=0,0,(IF($A5&lt;='El og plugin hybrid'!U$60,'El og plugin hybrid'!U$54/'El og plugin hybrid'!U$29*IF('El og plugin hybrid'!U$70="plugin hybrid benzin",$C5,IF('El og plugin hybrid'!U$70="plugin hybrid diesel",$D5,0)),0))*(1+'El og plugin hybrid'!U$61)^-$A5))</f>
        <v>0</v>
      </c>
      <c r="W5" s="303">
        <f>'El og plugin hybrid'!W$53*(IF($A5&lt;='El og plugin hybrid'!W$60,(IF('El og plugin hybrid'!W$68=0,(('El og plugin hybrid'!W$54*'El og plugin hybrid'!W$16/1000)*$B5),('El og plugin hybrid'!W$68)))*(1+'El og plugin hybrid'!W$61)^-$A5,0)+IF('El og plugin hybrid'!W$29=0,0,(IF($A5&lt;='El og plugin hybrid'!W$60,'El og plugin hybrid'!W$54/'El og plugin hybrid'!W$29*IF('El og plugin hybrid'!W$70="plugin hybrid benzin",$C5,IF('El og plugin hybrid'!W$70="plugin hybrid diesel",$D5,0)),0))*(1+'El og plugin hybrid'!W$61)^-$A5))</f>
        <v>0</v>
      </c>
    </row>
    <row r="6" spans="1:27">
      <c r="A6" s="298">
        <f t="shared" si="1"/>
        <v>3</v>
      </c>
      <c r="B6" s="274">
        <f>((B5-Fremskrivninger!E10)*(1+IF('El og plugin hybrid'!$E$72="ja",'El og plugin hybrid'!$E$74,'El og plugin hybrid'!$E$76))+Fremskrivninger!E10)</f>
        <v>1.86894220278</v>
      </c>
      <c r="C6" s="299">
        <f>((C5-Fremskrivninger!N49)*(1+IF('El og plugin hybrid'!$E$78="ja",'El og plugin hybrid'!$E$80,'El og plugin hybrid'!$E$82))+Fremskrivninger!N49)</f>
        <v>8.8509227185280004</v>
      </c>
      <c r="D6" s="299">
        <f>((D5-Fremskrivninger!N93)*(1+IF('El og plugin hybrid'!$E$84="ja",'El og plugin hybrid'!$E$86,'El og plugin hybrid'!$E$88))+Fremskrivninger!N93)</f>
        <v>7.7565862610999989</v>
      </c>
      <c r="E6" s="303">
        <f>'El og plugin hybrid'!E$53*(IF($A6&lt;='El og plugin hybrid'!E$60,(IF('El og plugin hybrid'!E$68=0,(('El og plugin hybrid'!E$54*'El og plugin hybrid'!E$16/1000)*$B6),('El og plugin hybrid'!E$68)))*(1+'El og plugin hybrid'!E$61)^-$A6,0)+IF('El og plugin hybrid'!E$29=0,0,(IF($A6&lt;='El og plugin hybrid'!E$60,'El og plugin hybrid'!E$54/'El og plugin hybrid'!E$29*IF('El og plugin hybrid'!E$70="plugin hybrid benzin",$C6,IF('El og plugin hybrid'!E$70="plugin hybrid diesel",$D6,0)),0))*(1+'El og plugin hybrid'!E$61)^-$A6))</f>
        <v>0</v>
      </c>
      <c r="F6" s="303"/>
      <c r="G6" s="303">
        <f>'El og plugin hybrid'!G$53*(IF($A6&lt;='El og plugin hybrid'!G$60,(IF('El og plugin hybrid'!G$68=0,(('El og plugin hybrid'!G$54*'El og plugin hybrid'!G$16/1000)*$B6),('El og plugin hybrid'!G$68)))*(1+'El og plugin hybrid'!G$61)^-$A6,0)+IF('El og plugin hybrid'!G$29=0,0,(IF($A6&lt;='El og plugin hybrid'!G$60,'El og plugin hybrid'!G$54/'El og plugin hybrid'!G$29*IF('El og plugin hybrid'!G$70="plugin hybrid benzin",$C6,IF('El og plugin hybrid'!G$70="plugin hybrid diesel",$D6,0)),0))*(1+'El og plugin hybrid'!G$61)^-$A6))</f>
        <v>0</v>
      </c>
      <c r="H6" s="303"/>
      <c r="I6" s="303">
        <f>'El og plugin hybrid'!I$53*(IF($A6&lt;='El og plugin hybrid'!I$60,(IF('El og plugin hybrid'!I$68=0,(('El og plugin hybrid'!I$54*'El og plugin hybrid'!I$16/1000)*$B6),('El og plugin hybrid'!I$68)))*(1+'El og plugin hybrid'!I$61)^-$A6,0)+IF('El og plugin hybrid'!I$29=0,0,(IF($A6&lt;='El og plugin hybrid'!I$60,'El og plugin hybrid'!I$54/'El og plugin hybrid'!I$29*IF('El og plugin hybrid'!I$70="plugin hybrid benzin",$C6,IF('El og plugin hybrid'!I$70="plugin hybrid diesel",$D6,0)),0))*(1+'El og plugin hybrid'!I$61)^-$A6))</f>
        <v>0</v>
      </c>
      <c r="J6" s="303"/>
      <c r="K6" s="303">
        <f>'El og plugin hybrid'!K$53*(IF($A6&lt;='El og plugin hybrid'!K$60,(IF('El og plugin hybrid'!K$68=0,(('El og plugin hybrid'!K$54*'El og plugin hybrid'!K$16/1000)*$B6),('El og plugin hybrid'!K$68)))*(1+'El og plugin hybrid'!K$61)^-$A6,0)+IF('El og plugin hybrid'!K$29=0,0,(IF($A6&lt;='El og plugin hybrid'!K$60,'El og plugin hybrid'!K$54/'El og plugin hybrid'!K$29*IF('El og plugin hybrid'!K$70="plugin hybrid benzin",$C6,IF('El og plugin hybrid'!K$70="plugin hybrid diesel",$D6,0)),0))*(1+'El og plugin hybrid'!K$61)^-$A6))</f>
        <v>0</v>
      </c>
      <c r="L6" s="303"/>
      <c r="M6" s="303">
        <f>'El og plugin hybrid'!M$53*(IF($A6&lt;='El og plugin hybrid'!M$60,(IF('El og plugin hybrid'!M$68=0,(('El og plugin hybrid'!M$54*'El og plugin hybrid'!M$16/1000)*$B6),('El og plugin hybrid'!M$68)))*(1+'El og plugin hybrid'!M$61)^-$A6,0)+IF('El og plugin hybrid'!M$29=0,0,(IF($A6&lt;='El og plugin hybrid'!M$60,'El og plugin hybrid'!M$54/'El og plugin hybrid'!M$29*IF('El og plugin hybrid'!M$70="plugin hybrid benzin",$C6,IF('El og plugin hybrid'!M$70="plugin hybrid diesel",$D6,0)),0))*(1+'El og plugin hybrid'!M$61)^-$A6))</f>
        <v>0</v>
      </c>
      <c r="N6" s="303"/>
      <c r="O6" s="303">
        <f>'El og plugin hybrid'!O$53*(IF($A6&lt;='El og plugin hybrid'!O$60,(IF('El og plugin hybrid'!O$68=0,(('El og plugin hybrid'!O$54*'El og plugin hybrid'!O$16/1000)*$B6),('El og plugin hybrid'!O$68)))*(1+'El og plugin hybrid'!O$61)^-$A6,0)+IF('El og plugin hybrid'!O$29=0,0,(IF($A6&lt;='El og plugin hybrid'!O$60,'El og plugin hybrid'!O$54/'El og plugin hybrid'!O$29*IF('El og plugin hybrid'!O$70="plugin hybrid benzin",$C6,IF('El og plugin hybrid'!O$70="plugin hybrid diesel",$D6,0)),0))*(1+'El og plugin hybrid'!O$61)^-$A6))</f>
        <v>0</v>
      </c>
      <c r="P6" s="303"/>
      <c r="Q6" s="303">
        <f>'El og plugin hybrid'!Q$53*(IF($A6&lt;='El og plugin hybrid'!Q$60,(IF('El og plugin hybrid'!Q$68=0,(('El og plugin hybrid'!Q$54*'El og plugin hybrid'!Q$16/1000)*$B6),('El og plugin hybrid'!Q$68)))*(1+'El og plugin hybrid'!Q$61)^-$A6,0)+IF('El og plugin hybrid'!Q$29=0,0,(IF($A6&lt;='El og plugin hybrid'!Q$60,'El og plugin hybrid'!Q$54/'El og plugin hybrid'!Q$29*IF('El og plugin hybrid'!Q$70="plugin hybrid benzin",$C6,IF('El og plugin hybrid'!Q$70="plugin hybrid diesel",$D6,0)),0))*(1+'El og plugin hybrid'!Q$61)^-$A6))</f>
        <v>0</v>
      </c>
      <c r="R6" s="303"/>
      <c r="S6" s="303">
        <f>'El og plugin hybrid'!S$53*(IF($A6&lt;='El og plugin hybrid'!S$60,(IF('El og plugin hybrid'!S$68=0,(('El og plugin hybrid'!S$54*'El og plugin hybrid'!S$16/1000)*$B6),('El og plugin hybrid'!S$68)))*(1+'El og plugin hybrid'!S$61)^-$A6,0)+IF('El og plugin hybrid'!S$29=0,0,(IF($A6&lt;='El og plugin hybrid'!S$60,'El og plugin hybrid'!S$54/'El og plugin hybrid'!S$29*IF('El og plugin hybrid'!S$70="plugin hybrid benzin",$C6,IF('El og plugin hybrid'!S$70="plugin hybrid diesel",$D6,0)),0))*(1+'El og plugin hybrid'!S$61)^-$A6))</f>
        <v>0</v>
      </c>
      <c r="U6" s="303">
        <f>'El og plugin hybrid'!U$53*(IF($A6&lt;='El og plugin hybrid'!U$60,(IF('El og plugin hybrid'!U$68=0,(('El og plugin hybrid'!U$54*'El og plugin hybrid'!U$16/1000)*$B6),('El og plugin hybrid'!U$68)))*(1+'El og plugin hybrid'!U$61)^-$A6,0)+IF('El og plugin hybrid'!U$29=0,0,(IF($A6&lt;='El og plugin hybrid'!U$60,'El og plugin hybrid'!U$54/'El og plugin hybrid'!U$29*IF('El og plugin hybrid'!U$70="plugin hybrid benzin",$C6,IF('El og plugin hybrid'!U$70="plugin hybrid diesel",$D6,0)),0))*(1+'El og plugin hybrid'!U$61)^-$A6))</f>
        <v>0</v>
      </c>
      <c r="W6" s="303">
        <f>'El og plugin hybrid'!W$53*(IF($A6&lt;='El og plugin hybrid'!W$60,(IF('El og plugin hybrid'!W$68=0,(('El og plugin hybrid'!W$54*'El og plugin hybrid'!W$16/1000)*$B6),('El og plugin hybrid'!W$68)))*(1+'El og plugin hybrid'!W$61)^-$A6,0)+IF('El og plugin hybrid'!W$29=0,0,(IF($A6&lt;='El og plugin hybrid'!W$60,'El og plugin hybrid'!W$54/'El og plugin hybrid'!W$29*IF('El og plugin hybrid'!W$70="plugin hybrid benzin",$C6,IF('El og plugin hybrid'!W$70="plugin hybrid diesel",$D6,0)),0))*(1+'El og plugin hybrid'!W$61)^-$A6))</f>
        <v>0</v>
      </c>
    </row>
    <row r="7" spans="1:27">
      <c r="A7" s="298">
        <f t="shared" si="1"/>
        <v>4</v>
      </c>
      <c r="B7" s="274">
        <f>((B6-Fremskrivninger!E11)*(1+IF('El og plugin hybrid'!$E$72="ja",'El og plugin hybrid'!$E$74,'El og plugin hybrid'!$E$76))+Fremskrivninger!E11)</f>
        <v>1.8786606375664259</v>
      </c>
      <c r="C7" s="299">
        <f>((C6-Fremskrivninger!N50)*(1+IF('El og plugin hybrid'!$E$78="ja",'El og plugin hybrid'!$E$80,'El og plugin hybrid'!$E$82))+Fremskrivninger!N50)</f>
        <v>8.9091765443155388</v>
      </c>
      <c r="D7" s="299">
        <f>((D6-Fremskrivninger!N94)*(1+IF('El og plugin hybrid'!$E$84="ja",'El og plugin hybrid'!$E$86,'El og plugin hybrid'!$E$88))+Fremskrivninger!N94)</f>
        <v>7.822076761885949</v>
      </c>
      <c r="E7" s="303">
        <f>'El og plugin hybrid'!E$53*(IF($A7&lt;='El og plugin hybrid'!E$60,(IF('El og plugin hybrid'!E$68=0,(('El og plugin hybrid'!E$54*'El og plugin hybrid'!E$16/1000)*$B7),('El og plugin hybrid'!E$68)))*(1+'El og plugin hybrid'!E$61)^-$A7,0)+IF('El og plugin hybrid'!E$29=0,0,(IF($A7&lt;='El og plugin hybrid'!E$60,'El og plugin hybrid'!E$54/'El og plugin hybrid'!E$29*IF('El og plugin hybrid'!E$70="plugin hybrid benzin",$C7,IF('El og plugin hybrid'!E$70="plugin hybrid diesel",$D7,0)),0))*(1+'El og plugin hybrid'!E$61)^-$A7))</f>
        <v>0</v>
      </c>
      <c r="F7" s="303"/>
      <c r="G7" s="303">
        <f>'El og plugin hybrid'!G$53*(IF($A7&lt;='El og plugin hybrid'!G$60,(IF('El og plugin hybrid'!G$68=0,(('El og plugin hybrid'!G$54*'El og plugin hybrid'!G$16/1000)*$B7),('El og plugin hybrid'!G$68)))*(1+'El og plugin hybrid'!G$61)^-$A7,0)+IF('El og plugin hybrid'!G$29=0,0,(IF($A7&lt;='El og plugin hybrid'!G$60,'El og plugin hybrid'!G$54/'El og plugin hybrid'!G$29*IF('El og plugin hybrid'!G$70="plugin hybrid benzin",$C7,IF('El og plugin hybrid'!G$70="plugin hybrid diesel",$D7,0)),0))*(1+'El og plugin hybrid'!G$61)^-$A7))</f>
        <v>0</v>
      </c>
      <c r="H7" s="303"/>
      <c r="I7" s="303">
        <f>'El og plugin hybrid'!I$53*(IF($A7&lt;='El og plugin hybrid'!I$60,(IF('El og plugin hybrid'!I$68=0,(('El og plugin hybrid'!I$54*'El og plugin hybrid'!I$16/1000)*$B7),('El og plugin hybrid'!I$68)))*(1+'El og plugin hybrid'!I$61)^-$A7,0)+IF('El og plugin hybrid'!I$29=0,0,(IF($A7&lt;='El og plugin hybrid'!I$60,'El og plugin hybrid'!I$54/'El og plugin hybrid'!I$29*IF('El og plugin hybrid'!I$70="plugin hybrid benzin",$C7,IF('El og plugin hybrid'!I$70="plugin hybrid diesel",$D7,0)),0))*(1+'El og plugin hybrid'!I$61)^-$A7))</f>
        <v>0</v>
      </c>
      <c r="J7" s="303"/>
      <c r="K7" s="303">
        <f>'El og plugin hybrid'!K$53*(IF($A7&lt;='El og plugin hybrid'!K$60,(IF('El og plugin hybrid'!K$68=0,(('El og plugin hybrid'!K$54*'El og plugin hybrid'!K$16/1000)*$B7),('El og plugin hybrid'!K$68)))*(1+'El og plugin hybrid'!K$61)^-$A7,0)+IF('El og plugin hybrid'!K$29=0,0,(IF($A7&lt;='El og plugin hybrid'!K$60,'El og plugin hybrid'!K$54/'El og plugin hybrid'!K$29*IF('El og plugin hybrid'!K$70="plugin hybrid benzin",$C7,IF('El og plugin hybrid'!K$70="plugin hybrid diesel",$D7,0)),0))*(1+'El og plugin hybrid'!K$61)^-$A7))</f>
        <v>0</v>
      </c>
      <c r="L7" s="303"/>
      <c r="M7" s="303">
        <f>'El og plugin hybrid'!M$53*(IF($A7&lt;='El og plugin hybrid'!M$60,(IF('El og plugin hybrid'!M$68=0,(('El og plugin hybrid'!M$54*'El og plugin hybrid'!M$16/1000)*$B7),('El og plugin hybrid'!M$68)))*(1+'El og plugin hybrid'!M$61)^-$A7,0)+IF('El og plugin hybrid'!M$29=0,0,(IF($A7&lt;='El og plugin hybrid'!M$60,'El og plugin hybrid'!M$54/'El og plugin hybrid'!M$29*IF('El og plugin hybrid'!M$70="plugin hybrid benzin",$C7,IF('El og plugin hybrid'!M$70="plugin hybrid diesel",$D7,0)),0))*(1+'El og plugin hybrid'!M$61)^-$A7))</f>
        <v>0</v>
      </c>
      <c r="N7" s="303"/>
      <c r="O7" s="303">
        <f>'El og plugin hybrid'!O$53*(IF($A7&lt;='El og plugin hybrid'!O$60,(IF('El og plugin hybrid'!O$68=0,(('El og plugin hybrid'!O$54*'El og plugin hybrid'!O$16/1000)*$B7),('El og plugin hybrid'!O$68)))*(1+'El og plugin hybrid'!O$61)^-$A7,0)+IF('El og plugin hybrid'!O$29=0,0,(IF($A7&lt;='El og plugin hybrid'!O$60,'El og plugin hybrid'!O$54/'El og plugin hybrid'!O$29*IF('El og plugin hybrid'!O$70="plugin hybrid benzin",$C7,IF('El og plugin hybrid'!O$70="plugin hybrid diesel",$D7,0)),0))*(1+'El og plugin hybrid'!O$61)^-$A7))</f>
        <v>0</v>
      </c>
      <c r="P7" s="303"/>
      <c r="Q7" s="303">
        <f>'El og plugin hybrid'!Q$53*(IF($A7&lt;='El og plugin hybrid'!Q$60,(IF('El og plugin hybrid'!Q$68=0,(('El og plugin hybrid'!Q$54*'El og plugin hybrid'!Q$16/1000)*$B7),('El og plugin hybrid'!Q$68)))*(1+'El og plugin hybrid'!Q$61)^-$A7,0)+IF('El og plugin hybrid'!Q$29=0,0,(IF($A7&lt;='El og plugin hybrid'!Q$60,'El og plugin hybrid'!Q$54/'El og plugin hybrid'!Q$29*IF('El og plugin hybrid'!Q$70="plugin hybrid benzin",$C7,IF('El og plugin hybrid'!Q$70="plugin hybrid diesel",$D7,0)),0))*(1+'El og plugin hybrid'!Q$61)^-$A7))</f>
        <v>0</v>
      </c>
      <c r="R7" s="303"/>
      <c r="S7" s="303">
        <f>'El og plugin hybrid'!S$53*(IF($A7&lt;='El og plugin hybrid'!S$60,(IF('El og plugin hybrid'!S$68=0,(('El og plugin hybrid'!S$54*'El og plugin hybrid'!S$16/1000)*$B7),('El og plugin hybrid'!S$68)))*(1+'El og plugin hybrid'!S$61)^-$A7,0)+IF('El og plugin hybrid'!S$29=0,0,(IF($A7&lt;='El og plugin hybrid'!S$60,'El og plugin hybrid'!S$54/'El og plugin hybrid'!S$29*IF('El og plugin hybrid'!S$70="plugin hybrid benzin",$C7,IF('El og plugin hybrid'!S$70="plugin hybrid diesel",$D7,0)),0))*(1+'El og plugin hybrid'!S$61)^-$A7))</f>
        <v>0</v>
      </c>
      <c r="U7" s="303">
        <f>'El og plugin hybrid'!U$53*(IF($A7&lt;='El og plugin hybrid'!U$60,(IF('El og plugin hybrid'!U$68=0,(('El og plugin hybrid'!U$54*'El og plugin hybrid'!U$16/1000)*$B7),('El og plugin hybrid'!U$68)))*(1+'El og plugin hybrid'!U$61)^-$A7,0)+IF('El og plugin hybrid'!U$29=0,0,(IF($A7&lt;='El og plugin hybrid'!U$60,'El og plugin hybrid'!U$54/'El og plugin hybrid'!U$29*IF('El og plugin hybrid'!U$70="plugin hybrid benzin",$C7,IF('El og plugin hybrid'!U$70="plugin hybrid diesel",$D7,0)),0))*(1+'El og plugin hybrid'!U$61)^-$A7))</f>
        <v>0</v>
      </c>
      <c r="W7" s="303">
        <f>'El og plugin hybrid'!W$53*(IF($A7&lt;='El og plugin hybrid'!W$60,(IF('El og plugin hybrid'!W$68=0,(('El og plugin hybrid'!W$54*'El og plugin hybrid'!W$16/1000)*$B7),('El og plugin hybrid'!W$68)))*(1+'El og plugin hybrid'!W$61)^-$A7,0)+IF('El og plugin hybrid'!W$29=0,0,(IF($A7&lt;='El og plugin hybrid'!W$60,'El og plugin hybrid'!W$54/'El og plugin hybrid'!W$29*IF('El og plugin hybrid'!W$70="plugin hybrid benzin",$C7,IF('El og plugin hybrid'!W$70="plugin hybrid diesel",$D7,0)),0))*(1+'El og plugin hybrid'!W$61)^-$A7))</f>
        <v>0</v>
      </c>
    </row>
    <row r="8" spans="1:27">
      <c r="A8" s="298">
        <f t="shared" si="1"/>
        <v>5</v>
      </c>
      <c r="B8" s="274">
        <f>((B7-Fremskrivninger!E12)*(1+IF('El og plugin hybrid'!$E$72="ja",'El og plugin hybrid'!$E$74,'El og plugin hybrid'!$E$76))+Fremskrivninger!E12)</f>
        <v>1.888541370213785</v>
      </c>
      <c r="C8" s="299">
        <f>((C7-Fremskrivninger!N51)*(1+IF('El og plugin hybrid'!$E$78="ja",'El og plugin hybrid'!$E$80,'El og plugin hybrid'!$E$82))+Fremskrivninger!N51)</f>
        <v>8.9682400982815249</v>
      </c>
      <c r="D8" s="299">
        <f>((D7-Fremskrivninger!N95)*(1+IF('El og plugin hybrid'!$E$84="ja",'El og plugin hybrid'!$E$86,'El og plugin hybrid'!$E$88))+Fremskrivninger!N95)</f>
        <v>7.8885168749332948</v>
      </c>
      <c r="E8" s="303">
        <f>'El og plugin hybrid'!E$53*(IF($A8&lt;='El og plugin hybrid'!E$60,(IF('El og plugin hybrid'!E$68=0,(('El og plugin hybrid'!E$54*'El og plugin hybrid'!E$16/1000)*$B8),('El og plugin hybrid'!E$68)))*(1+'El og plugin hybrid'!E$61)^-$A8,0)+IF('El og plugin hybrid'!E$29=0,0,(IF($A8&lt;='El og plugin hybrid'!E$60,'El og plugin hybrid'!E$54/'El og plugin hybrid'!E$29*IF('El og plugin hybrid'!E$70="plugin hybrid benzin",$C8,IF('El og plugin hybrid'!E$70="plugin hybrid diesel",$D8,0)),0))*(1+'El og plugin hybrid'!E$61)^-$A8))</f>
        <v>0</v>
      </c>
      <c r="F8" s="303"/>
      <c r="G8" s="303">
        <f>'El og plugin hybrid'!G$53*(IF($A8&lt;='El og plugin hybrid'!G$60,(IF('El og plugin hybrid'!G$68=0,(('El og plugin hybrid'!G$54*'El og plugin hybrid'!G$16/1000)*$B8),('El og plugin hybrid'!G$68)))*(1+'El og plugin hybrid'!G$61)^-$A8,0)+IF('El og plugin hybrid'!G$29=0,0,(IF($A8&lt;='El og plugin hybrid'!G$60,'El og plugin hybrid'!G$54/'El og plugin hybrid'!G$29*IF('El og plugin hybrid'!G$70="plugin hybrid benzin",$C8,IF('El og plugin hybrid'!G$70="plugin hybrid diesel",$D8,0)),0))*(1+'El og plugin hybrid'!G$61)^-$A8))</f>
        <v>0</v>
      </c>
      <c r="H8" s="303"/>
      <c r="I8" s="303">
        <f>'El og plugin hybrid'!I$53*(IF($A8&lt;='El og plugin hybrid'!I$60,(IF('El og plugin hybrid'!I$68=0,(('El og plugin hybrid'!I$54*'El og plugin hybrid'!I$16/1000)*$B8),('El og plugin hybrid'!I$68)))*(1+'El og plugin hybrid'!I$61)^-$A8,0)+IF('El og plugin hybrid'!I$29=0,0,(IF($A8&lt;='El og plugin hybrid'!I$60,'El og plugin hybrid'!I$54/'El og plugin hybrid'!I$29*IF('El og plugin hybrid'!I$70="plugin hybrid benzin",$C8,IF('El og plugin hybrid'!I$70="plugin hybrid diesel",$D8,0)),0))*(1+'El og plugin hybrid'!I$61)^-$A8))</f>
        <v>0</v>
      </c>
      <c r="J8" s="303"/>
      <c r="K8" s="303">
        <f>'El og plugin hybrid'!K$53*(IF($A8&lt;='El og plugin hybrid'!K$60,(IF('El og plugin hybrid'!K$68=0,(('El og plugin hybrid'!K$54*'El og plugin hybrid'!K$16/1000)*$B8),('El og plugin hybrid'!K$68)))*(1+'El og plugin hybrid'!K$61)^-$A8,0)+IF('El og plugin hybrid'!K$29=0,0,(IF($A8&lt;='El og plugin hybrid'!K$60,'El og plugin hybrid'!K$54/'El og plugin hybrid'!K$29*IF('El og plugin hybrid'!K$70="plugin hybrid benzin",$C8,IF('El og plugin hybrid'!K$70="plugin hybrid diesel",$D8,0)),0))*(1+'El og plugin hybrid'!K$61)^-$A8))</f>
        <v>0</v>
      </c>
      <c r="L8" s="303"/>
      <c r="M8" s="303">
        <f>'El og plugin hybrid'!M$53*(IF($A8&lt;='El og plugin hybrid'!M$60,(IF('El og plugin hybrid'!M$68=0,(('El og plugin hybrid'!M$54*'El og plugin hybrid'!M$16/1000)*$B8),('El og plugin hybrid'!M$68)))*(1+'El og plugin hybrid'!M$61)^-$A8,0)+IF('El og plugin hybrid'!M$29=0,0,(IF($A8&lt;='El og plugin hybrid'!M$60,'El og plugin hybrid'!M$54/'El og plugin hybrid'!M$29*IF('El og plugin hybrid'!M$70="plugin hybrid benzin",$C8,IF('El og plugin hybrid'!M$70="plugin hybrid diesel",$D8,0)),0))*(1+'El og plugin hybrid'!M$61)^-$A8))</f>
        <v>0</v>
      </c>
      <c r="N8" s="303"/>
      <c r="O8" s="303">
        <f>'El og plugin hybrid'!O$53*(IF($A8&lt;='El og plugin hybrid'!O$60,(IF('El og plugin hybrid'!O$68=0,(('El og plugin hybrid'!O$54*'El og plugin hybrid'!O$16/1000)*$B8),('El og plugin hybrid'!O$68)))*(1+'El og plugin hybrid'!O$61)^-$A8,0)+IF('El og plugin hybrid'!O$29=0,0,(IF($A8&lt;='El og plugin hybrid'!O$60,'El og plugin hybrid'!O$54/'El og plugin hybrid'!O$29*IF('El og plugin hybrid'!O$70="plugin hybrid benzin",$C8,IF('El og plugin hybrid'!O$70="plugin hybrid diesel",$D8,0)),0))*(1+'El og plugin hybrid'!O$61)^-$A8))</f>
        <v>0</v>
      </c>
      <c r="P8" s="303"/>
      <c r="Q8" s="303">
        <f>'El og plugin hybrid'!Q$53*(IF($A8&lt;='El og plugin hybrid'!Q$60,(IF('El og plugin hybrid'!Q$68=0,(('El og plugin hybrid'!Q$54*'El og plugin hybrid'!Q$16/1000)*$B8),('El og plugin hybrid'!Q$68)))*(1+'El og plugin hybrid'!Q$61)^-$A8,0)+IF('El og plugin hybrid'!Q$29=0,0,(IF($A8&lt;='El og plugin hybrid'!Q$60,'El og plugin hybrid'!Q$54/'El og plugin hybrid'!Q$29*IF('El og plugin hybrid'!Q$70="plugin hybrid benzin",$C8,IF('El og plugin hybrid'!Q$70="plugin hybrid diesel",$D8,0)),0))*(1+'El og plugin hybrid'!Q$61)^-$A8))</f>
        <v>0</v>
      </c>
      <c r="R8" s="303"/>
      <c r="S8" s="303">
        <f>'El og plugin hybrid'!S$53*(IF($A8&lt;='El og plugin hybrid'!S$60,(IF('El og plugin hybrid'!S$68=0,(('El og plugin hybrid'!S$54*'El og plugin hybrid'!S$16/1000)*$B8),('El og plugin hybrid'!S$68)))*(1+'El og plugin hybrid'!S$61)^-$A8,0)+IF('El og plugin hybrid'!S$29=0,0,(IF($A8&lt;='El og plugin hybrid'!S$60,'El og plugin hybrid'!S$54/'El og plugin hybrid'!S$29*IF('El og plugin hybrid'!S$70="plugin hybrid benzin",$C8,IF('El og plugin hybrid'!S$70="plugin hybrid diesel",$D8,0)),0))*(1+'El og plugin hybrid'!S$61)^-$A8))</f>
        <v>0</v>
      </c>
      <c r="U8" s="303">
        <f>'El og plugin hybrid'!U$53*(IF($A8&lt;='El og plugin hybrid'!U$60,(IF('El og plugin hybrid'!U$68=0,(('El og plugin hybrid'!U$54*'El og plugin hybrid'!U$16/1000)*$B8),('El og plugin hybrid'!U$68)))*(1+'El og plugin hybrid'!U$61)^-$A8,0)+IF('El og plugin hybrid'!U$29=0,0,(IF($A8&lt;='El og plugin hybrid'!U$60,'El og plugin hybrid'!U$54/'El og plugin hybrid'!U$29*IF('El og plugin hybrid'!U$70="plugin hybrid benzin",$C8,IF('El og plugin hybrid'!U$70="plugin hybrid diesel",$D8,0)),0))*(1+'El og plugin hybrid'!U$61)^-$A8))</f>
        <v>0</v>
      </c>
      <c r="W8" s="303">
        <f>'El og plugin hybrid'!W$53*(IF($A8&lt;='El og plugin hybrid'!W$60,(IF('El og plugin hybrid'!W$68=0,(('El og plugin hybrid'!W$54*'El og plugin hybrid'!W$16/1000)*$B8),('El og plugin hybrid'!W$68)))*(1+'El og plugin hybrid'!W$61)^-$A8,0)+IF('El og plugin hybrid'!W$29=0,0,(IF($A8&lt;='El og plugin hybrid'!W$60,'El og plugin hybrid'!W$54/'El og plugin hybrid'!W$29*IF('El og plugin hybrid'!W$70="plugin hybrid benzin",$C8,IF('El og plugin hybrid'!W$70="plugin hybrid diesel",$D8,0)),0))*(1+'El og plugin hybrid'!W$61)^-$A8))</f>
        <v>0</v>
      </c>
    </row>
    <row r="9" spans="1:27">
      <c r="A9" s="298">
        <f t="shared" si="1"/>
        <v>6</v>
      </c>
      <c r="B9" s="274">
        <f>((B8-Fremskrivninger!E13)*(1+IF('El og plugin hybrid'!$E$72="ja",'El og plugin hybrid'!$E$74,'El og plugin hybrid'!$E$76))+Fremskrivninger!E13)</f>
        <v>1.8985871110963553</v>
      </c>
      <c r="C9" s="299">
        <f>((C8-Fremskrivninger!N52)*(1+IF('El og plugin hybrid'!$E$78="ja",'El og plugin hybrid'!$E$80,'El og plugin hybrid'!$E$82))+Fremskrivninger!N52)</f>
        <v>9.0281246356476395</v>
      </c>
      <c r="D9" s="299">
        <f>((D8-Fremskrivninger!N96)*(1+IF('El og plugin hybrid'!$E$84="ja",'El og plugin hybrid'!$E$86,'El og plugin hybrid'!$E$88))+Fremskrivninger!N96)</f>
        <v>7.9559203696198271</v>
      </c>
      <c r="E9" s="303">
        <f>'El og plugin hybrid'!E$53*(IF($A9&lt;='El og plugin hybrid'!E$60,(IF('El og plugin hybrid'!E$68=0,(('El og plugin hybrid'!E$54*'El og plugin hybrid'!E$16/1000)*$B9),('El og plugin hybrid'!E$68)))*(1+'El og plugin hybrid'!E$61)^-$A9,0)+IF('El og plugin hybrid'!E$29=0,0,(IF($A9&lt;='El og plugin hybrid'!E$60,'El og plugin hybrid'!E$54/'El og plugin hybrid'!E$29*IF('El og plugin hybrid'!E$70="plugin hybrid benzin",$C9,IF('El og plugin hybrid'!E$70="plugin hybrid diesel",$D9,0)),0))*(1+'El og plugin hybrid'!E$61)^-$A9))</f>
        <v>0</v>
      </c>
      <c r="F9" s="303"/>
      <c r="G9" s="303">
        <f>'El og plugin hybrid'!G$53*(IF($A9&lt;='El og plugin hybrid'!G$60,(IF('El og plugin hybrid'!G$68=0,(('El og plugin hybrid'!G$54*'El og plugin hybrid'!G$16/1000)*$B9),('El og plugin hybrid'!G$68)))*(1+'El og plugin hybrid'!G$61)^-$A9,0)+IF('El og plugin hybrid'!G$29=0,0,(IF($A9&lt;='El og plugin hybrid'!G$60,'El og plugin hybrid'!G$54/'El og plugin hybrid'!G$29*IF('El og plugin hybrid'!G$70="plugin hybrid benzin",$C9,IF('El og plugin hybrid'!G$70="plugin hybrid diesel",$D9,0)),0))*(1+'El og plugin hybrid'!G$61)^-$A9))</f>
        <v>0</v>
      </c>
      <c r="H9" s="303"/>
      <c r="I9" s="303">
        <f>'El og plugin hybrid'!I$53*(IF($A9&lt;='El og plugin hybrid'!I$60,(IF('El og plugin hybrid'!I$68=0,(('El og plugin hybrid'!I$54*'El og plugin hybrid'!I$16/1000)*$B9),('El og plugin hybrid'!I$68)))*(1+'El og plugin hybrid'!I$61)^-$A9,0)+IF('El og plugin hybrid'!I$29=0,0,(IF($A9&lt;='El og plugin hybrid'!I$60,'El og plugin hybrid'!I$54/'El og plugin hybrid'!I$29*IF('El og plugin hybrid'!I$70="plugin hybrid benzin",$C9,IF('El og plugin hybrid'!I$70="plugin hybrid diesel",$D9,0)),0))*(1+'El og plugin hybrid'!I$61)^-$A9))</f>
        <v>0</v>
      </c>
      <c r="J9" s="303"/>
      <c r="K9" s="303">
        <f>'El og plugin hybrid'!K$53*(IF($A9&lt;='El og plugin hybrid'!K$60,(IF('El og plugin hybrid'!K$68=0,(('El og plugin hybrid'!K$54*'El og plugin hybrid'!K$16/1000)*$B9),('El og plugin hybrid'!K$68)))*(1+'El og plugin hybrid'!K$61)^-$A9,0)+IF('El og plugin hybrid'!K$29=0,0,(IF($A9&lt;='El og plugin hybrid'!K$60,'El og plugin hybrid'!K$54/'El og plugin hybrid'!K$29*IF('El og plugin hybrid'!K$70="plugin hybrid benzin",$C9,IF('El og plugin hybrid'!K$70="plugin hybrid diesel",$D9,0)),0))*(1+'El og plugin hybrid'!K$61)^-$A9))</f>
        <v>0</v>
      </c>
      <c r="L9" s="303"/>
      <c r="M9" s="303">
        <f>'El og plugin hybrid'!M$53*(IF($A9&lt;='El og plugin hybrid'!M$60,(IF('El og plugin hybrid'!M$68=0,(('El og plugin hybrid'!M$54*'El og plugin hybrid'!M$16/1000)*$B9),('El og plugin hybrid'!M$68)))*(1+'El og plugin hybrid'!M$61)^-$A9,0)+IF('El og plugin hybrid'!M$29=0,0,(IF($A9&lt;='El og plugin hybrid'!M$60,'El og plugin hybrid'!M$54/'El og plugin hybrid'!M$29*IF('El og plugin hybrid'!M$70="plugin hybrid benzin",$C9,IF('El og plugin hybrid'!M$70="plugin hybrid diesel",$D9,0)),0))*(1+'El og plugin hybrid'!M$61)^-$A9))</f>
        <v>0</v>
      </c>
      <c r="N9" s="303"/>
      <c r="O9" s="303">
        <f>'El og plugin hybrid'!O$53*(IF($A9&lt;='El og plugin hybrid'!O$60,(IF('El og plugin hybrid'!O$68=0,(('El og plugin hybrid'!O$54*'El og plugin hybrid'!O$16/1000)*$B9),('El og plugin hybrid'!O$68)))*(1+'El og plugin hybrid'!O$61)^-$A9,0)+IF('El og plugin hybrid'!O$29=0,0,(IF($A9&lt;='El og plugin hybrid'!O$60,'El og plugin hybrid'!O$54/'El og plugin hybrid'!O$29*IF('El og plugin hybrid'!O$70="plugin hybrid benzin",$C9,IF('El og plugin hybrid'!O$70="plugin hybrid diesel",$D9,0)),0))*(1+'El og plugin hybrid'!O$61)^-$A9))</f>
        <v>0</v>
      </c>
      <c r="P9" s="303"/>
      <c r="Q9" s="303">
        <f>'El og plugin hybrid'!Q$53*(IF($A9&lt;='El og plugin hybrid'!Q$60,(IF('El og plugin hybrid'!Q$68=0,(('El og plugin hybrid'!Q$54*'El og plugin hybrid'!Q$16/1000)*$B9),('El og plugin hybrid'!Q$68)))*(1+'El og plugin hybrid'!Q$61)^-$A9,0)+IF('El og plugin hybrid'!Q$29=0,0,(IF($A9&lt;='El og plugin hybrid'!Q$60,'El og plugin hybrid'!Q$54/'El og plugin hybrid'!Q$29*IF('El og plugin hybrid'!Q$70="plugin hybrid benzin",$C9,IF('El og plugin hybrid'!Q$70="plugin hybrid diesel",$D9,0)),0))*(1+'El og plugin hybrid'!Q$61)^-$A9))</f>
        <v>0</v>
      </c>
      <c r="R9" s="303"/>
      <c r="S9" s="303">
        <f>'El og plugin hybrid'!S$53*(IF($A9&lt;='El og plugin hybrid'!S$60,(IF('El og plugin hybrid'!S$68=0,(('El og plugin hybrid'!S$54*'El og plugin hybrid'!S$16/1000)*$B9),('El og plugin hybrid'!S$68)))*(1+'El og plugin hybrid'!S$61)^-$A9,0)+IF('El og plugin hybrid'!S$29=0,0,(IF($A9&lt;='El og plugin hybrid'!S$60,'El og plugin hybrid'!S$54/'El og plugin hybrid'!S$29*IF('El og plugin hybrid'!S$70="plugin hybrid benzin",$C9,IF('El og plugin hybrid'!S$70="plugin hybrid diesel",$D9,0)),0))*(1+'El og plugin hybrid'!S$61)^-$A9))</f>
        <v>0</v>
      </c>
      <c r="U9" s="303">
        <f>'El og plugin hybrid'!U$53*(IF($A9&lt;='El og plugin hybrid'!U$60,(IF('El og plugin hybrid'!U$68=0,(('El og plugin hybrid'!U$54*'El og plugin hybrid'!U$16/1000)*$B9),('El og plugin hybrid'!U$68)))*(1+'El og plugin hybrid'!U$61)^-$A9,0)+IF('El og plugin hybrid'!U$29=0,0,(IF($A9&lt;='El og plugin hybrid'!U$60,'El og plugin hybrid'!U$54/'El og plugin hybrid'!U$29*IF('El og plugin hybrid'!U$70="plugin hybrid benzin",$C9,IF('El og plugin hybrid'!U$70="plugin hybrid diesel",$D9,0)),0))*(1+'El og plugin hybrid'!U$61)^-$A9))</f>
        <v>0</v>
      </c>
      <c r="W9" s="303">
        <f>'El og plugin hybrid'!W$53*(IF($A9&lt;='El og plugin hybrid'!W$60,(IF('El og plugin hybrid'!W$68=0,(('El og plugin hybrid'!W$54*'El og plugin hybrid'!W$16/1000)*$B9),('El og plugin hybrid'!W$68)))*(1+'El og plugin hybrid'!W$61)^-$A9,0)+IF('El og plugin hybrid'!W$29=0,0,(IF($A9&lt;='El og plugin hybrid'!W$60,'El og plugin hybrid'!W$54/'El og plugin hybrid'!W$29*IF('El og plugin hybrid'!W$70="plugin hybrid benzin",$C9,IF('El og plugin hybrid'!W$70="plugin hybrid diesel",$D9,0)),0))*(1+'El og plugin hybrid'!W$61)^-$A9))</f>
        <v>0</v>
      </c>
    </row>
    <row r="10" spans="1:27">
      <c r="A10" s="298">
        <f t="shared" si="1"/>
        <v>7</v>
      </c>
      <c r="B10" s="274">
        <f>((B9-Fremskrivninger!E14)*(1+IF('El og plugin hybrid'!$E$72="ja",'El og plugin hybrid'!$E$74,'El og plugin hybrid'!$E$76))+Fremskrivninger!E14)</f>
        <v>1.9088006158516644</v>
      </c>
      <c r="C10" s="299">
        <f>((C9-Fremskrivninger!N53)*(1+IF('El og plugin hybrid'!$E$78="ja",'El og plugin hybrid'!$E$80,'El og plugin hybrid'!$E$82))+Fremskrivninger!N53)</f>
        <v>9.0888415680831418</v>
      </c>
      <c r="D10" s="299">
        <f>((D9-Fremskrivninger!N97)*(1+IF('El og plugin hybrid'!$E$84="ja",'El og plugin hybrid'!$E$86,'El og plugin hybrid'!$E$88))+Fremskrivninger!N97)</f>
        <v>8.0243012149793138</v>
      </c>
      <c r="E10" s="303">
        <f>'El og plugin hybrid'!E$53*(IF($A10&lt;='El og plugin hybrid'!E$60,(IF('El og plugin hybrid'!E$68=0,(('El og plugin hybrid'!E$54*'El og plugin hybrid'!E$16/1000)*$B10),('El og plugin hybrid'!E$68)))*(1+'El og plugin hybrid'!E$61)^-$A10,0)+IF('El og plugin hybrid'!E$29=0,0,(IF($A10&lt;='El og plugin hybrid'!E$60,'El og plugin hybrid'!E$54/'El og plugin hybrid'!E$29*IF('El og plugin hybrid'!E$70="plugin hybrid benzin",$C10,IF('El og plugin hybrid'!E$70="plugin hybrid diesel",$D10,0)),0))*(1+'El og plugin hybrid'!E$61)^-$A10))</f>
        <v>0</v>
      </c>
      <c r="F10" s="303"/>
      <c r="G10" s="303">
        <f>'El og plugin hybrid'!G$53*(IF($A10&lt;='El og plugin hybrid'!G$60,(IF('El og plugin hybrid'!G$68=0,(('El og plugin hybrid'!G$54*'El og plugin hybrid'!G$16/1000)*$B10),('El og plugin hybrid'!G$68)))*(1+'El og plugin hybrid'!G$61)^-$A10,0)+IF('El og plugin hybrid'!G$29=0,0,(IF($A10&lt;='El og plugin hybrid'!G$60,'El og plugin hybrid'!G$54/'El og plugin hybrid'!G$29*IF('El og plugin hybrid'!G$70="plugin hybrid benzin",$C10,IF('El og plugin hybrid'!G$70="plugin hybrid diesel",$D10,0)),0))*(1+'El og plugin hybrid'!G$61)^-$A10))</f>
        <v>0</v>
      </c>
      <c r="H10" s="303"/>
      <c r="I10" s="303">
        <f>'El og plugin hybrid'!I$53*(IF($A10&lt;='El og plugin hybrid'!I$60,(IF('El og plugin hybrid'!I$68=0,(('El og plugin hybrid'!I$54*'El og plugin hybrid'!I$16/1000)*$B10),('El og plugin hybrid'!I$68)))*(1+'El og plugin hybrid'!I$61)^-$A10,0)+IF('El og plugin hybrid'!I$29=0,0,(IF($A10&lt;='El og plugin hybrid'!I$60,'El og plugin hybrid'!I$54/'El og plugin hybrid'!I$29*IF('El og plugin hybrid'!I$70="plugin hybrid benzin",$C10,IF('El og plugin hybrid'!I$70="plugin hybrid diesel",$D10,0)),0))*(1+'El og plugin hybrid'!I$61)^-$A10))</f>
        <v>0</v>
      </c>
      <c r="J10" s="303"/>
      <c r="K10" s="303">
        <f>'El og plugin hybrid'!K$53*(IF($A10&lt;='El og plugin hybrid'!K$60,(IF('El og plugin hybrid'!K$68=0,(('El og plugin hybrid'!K$54*'El og plugin hybrid'!K$16/1000)*$B10),('El og plugin hybrid'!K$68)))*(1+'El og plugin hybrid'!K$61)^-$A10,0)+IF('El og plugin hybrid'!K$29=0,0,(IF($A10&lt;='El og plugin hybrid'!K$60,'El og plugin hybrid'!K$54/'El og plugin hybrid'!K$29*IF('El og plugin hybrid'!K$70="plugin hybrid benzin",$C10,IF('El og plugin hybrid'!K$70="plugin hybrid diesel",$D10,0)),0))*(1+'El og plugin hybrid'!K$61)^-$A10))</f>
        <v>0</v>
      </c>
      <c r="L10" s="303"/>
      <c r="M10" s="303">
        <f>'El og plugin hybrid'!M$53*(IF($A10&lt;='El og plugin hybrid'!M$60,(IF('El og plugin hybrid'!M$68=0,(('El og plugin hybrid'!M$54*'El og plugin hybrid'!M$16/1000)*$B10),('El og plugin hybrid'!M$68)))*(1+'El og plugin hybrid'!M$61)^-$A10,0)+IF('El og plugin hybrid'!M$29=0,0,(IF($A10&lt;='El og plugin hybrid'!M$60,'El og plugin hybrid'!M$54/'El og plugin hybrid'!M$29*IF('El og plugin hybrid'!M$70="plugin hybrid benzin",$C10,IF('El og plugin hybrid'!M$70="plugin hybrid diesel",$D10,0)),0))*(1+'El og plugin hybrid'!M$61)^-$A10))</f>
        <v>0</v>
      </c>
      <c r="N10" s="303"/>
      <c r="O10" s="303">
        <f>'El og plugin hybrid'!O$53*(IF($A10&lt;='El og plugin hybrid'!O$60,(IF('El og plugin hybrid'!O$68=0,(('El og plugin hybrid'!O$54*'El og plugin hybrid'!O$16/1000)*$B10),('El og plugin hybrid'!O$68)))*(1+'El og plugin hybrid'!O$61)^-$A10,0)+IF('El og plugin hybrid'!O$29=0,0,(IF($A10&lt;='El og plugin hybrid'!O$60,'El og plugin hybrid'!O$54/'El og plugin hybrid'!O$29*IF('El og plugin hybrid'!O$70="plugin hybrid benzin",$C10,IF('El og plugin hybrid'!O$70="plugin hybrid diesel",$D10,0)),0))*(1+'El og plugin hybrid'!O$61)^-$A10))</f>
        <v>0</v>
      </c>
      <c r="P10" s="303"/>
      <c r="Q10" s="303">
        <f>'El og plugin hybrid'!Q$53*(IF($A10&lt;='El og plugin hybrid'!Q$60,(IF('El og plugin hybrid'!Q$68=0,(('El og plugin hybrid'!Q$54*'El og plugin hybrid'!Q$16/1000)*$B10),('El og plugin hybrid'!Q$68)))*(1+'El og plugin hybrid'!Q$61)^-$A10,0)+IF('El og plugin hybrid'!Q$29=0,0,(IF($A10&lt;='El og plugin hybrid'!Q$60,'El og plugin hybrid'!Q$54/'El og plugin hybrid'!Q$29*IF('El og plugin hybrid'!Q$70="plugin hybrid benzin",$C10,IF('El og plugin hybrid'!Q$70="plugin hybrid diesel",$D10,0)),0))*(1+'El og plugin hybrid'!Q$61)^-$A10))</f>
        <v>0</v>
      </c>
      <c r="R10" s="303"/>
      <c r="S10" s="303">
        <f>'El og plugin hybrid'!S$53*(IF($A10&lt;='El og plugin hybrid'!S$60,(IF('El og plugin hybrid'!S$68=0,(('El og plugin hybrid'!S$54*'El og plugin hybrid'!S$16/1000)*$B10),('El og plugin hybrid'!S$68)))*(1+'El og plugin hybrid'!S$61)^-$A10,0)+IF('El og plugin hybrid'!S$29=0,0,(IF($A10&lt;='El og plugin hybrid'!S$60,'El og plugin hybrid'!S$54/'El og plugin hybrid'!S$29*IF('El og plugin hybrid'!S$70="plugin hybrid benzin",$C10,IF('El og plugin hybrid'!S$70="plugin hybrid diesel",$D10,0)),0))*(1+'El og plugin hybrid'!S$61)^-$A10))</f>
        <v>0</v>
      </c>
      <c r="U10" s="303">
        <f>'El og plugin hybrid'!U$53*(IF($A10&lt;='El og plugin hybrid'!U$60,(IF('El og plugin hybrid'!U$68=0,(('El og plugin hybrid'!U$54*'El og plugin hybrid'!U$16/1000)*$B10),('El og plugin hybrid'!U$68)))*(1+'El og plugin hybrid'!U$61)^-$A10,0)+IF('El og plugin hybrid'!U$29=0,0,(IF($A10&lt;='El og plugin hybrid'!U$60,'El og plugin hybrid'!U$54/'El og plugin hybrid'!U$29*IF('El og plugin hybrid'!U$70="plugin hybrid benzin",$C10,IF('El og plugin hybrid'!U$70="plugin hybrid diesel",$D10,0)),0))*(1+'El og plugin hybrid'!U$61)^-$A10))</f>
        <v>0</v>
      </c>
      <c r="W10" s="303">
        <f>'El og plugin hybrid'!W$53*(IF($A10&lt;='El og plugin hybrid'!W$60,(IF('El og plugin hybrid'!W$68=0,(('El og plugin hybrid'!W$54*'El og plugin hybrid'!W$16/1000)*$B10),('El og plugin hybrid'!W$68)))*(1+'El og plugin hybrid'!W$61)^-$A10,0)+IF('El og plugin hybrid'!W$29=0,0,(IF($A10&lt;='El og plugin hybrid'!W$60,'El og plugin hybrid'!W$54/'El og plugin hybrid'!W$29*IF('El og plugin hybrid'!W$70="plugin hybrid benzin",$C10,IF('El og plugin hybrid'!W$70="plugin hybrid diesel",$D10,0)),0))*(1+'El og plugin hybrid'!W$61)^-$A10))</f>
        <v>0</v>
      </c>
    </row>
    <row r="11" spans="1:27">
      <c r="A11" s="298">
        <f t="shared" si="1"/>
        <v>8</v>
      </c>
      <c r="B11" s="274">
        <f>((B10-Fremskrivninger!E15)*(1+IF('El og plugin hybrid'!$E$72="ja",'El og plugin hybrid'!$E$74,'El og plugin hybrid'!$E$76))+Fremskrivninger!E15)</f>
        <v>1.9191846861363873</v>
      </c>
      <c r="C11" s="299">
        <f>((C10-Fremskrivninger!N54)*(1+IF('El og plugin hybrid'!$E$78="ja",'El og plugin hybrid'!$E$80,'El og plugin hybrid'!$E$82))+Fremskrivninger!N54)</f>
        <v>9.1504024658794982</v>
      </c>
      <c r="D11" s="299">
        <f>((D10-Fremskrivninger!N98)*(1+IF('El og plugin hybrid'!$E$84="ja",'El og plugin hybrid'!$E$86,'El og plugin hybrid'!$E$88))+Fremskrivninger!N98)</f>
        <v>8.093673582596514</v>
      </c>
      <c r="E11" s="303">
        <f>'El og plugin hybrid'!E$53*(IF($A11&lt;='El og plugin hybrid'!E$60,(IF('El og plugin hybrid'!E$68=0,(('El og plugin hybrid'!E$54*'El og plugin hybrid'!E$16/1000)*$B11),('El og plugin hybrid'!E$68)))*(1+'El og plugin hybrid'!E$61)^-$A11,0)+IF('El og plugin hybrid'!E$29=0,0,(IF($A11&lt;='El og plugin hybrid'!E$60,'El og plugin hybrid'!E$54/'El og plugin hybrid'!E$29*IF('El og plugin hybrid'!E$70="plugin hybrid benzin",$C11,IF('El og plugin hybrid'!E$70="plugin hybrid diesel",$D11,0)),0))*(1+'El og plugin hybrid'!E$61)^-$A11))</f>
        <v>0</v>
      </c>
      <c r="F11" s="303"/>
      <c r="G11" s="303">
        <f>'El og plugin hybrid'!G$53*(IF($A11&lt;='El og plugin hybrid'!G$60,(IF('El og plugin hybrid'!G$68=0,(('El og plugin hybrid'!G$54*'El og plugin hybrid'!G$16/1000)*$B11),('El og plugin hybrid'!G$68)))*(1+'El og plugin hybrid'!G$61)^-$A11,0)+IF('El og plugin hybrid'!G$29=0,0,(IF($A11&lt;='El og plugin hybrid'!G$60,'El og plugin hybrid'!G$54/'El og plugin hybrid'!G$29*IF('El og plugin hybrid'!G$70="plugin hybrid benzin",$C11,IF('El og plugin hybrid'!G$70="plugin hybrid diesel",$D11,0)),0))*(1+'El og plugin hybrid'!G$61)^-$A11))</f>
        <v>0</v>
      </c>
      <c r="H11" s="303"/>
      <c r="I11" s="303">
        <f>'El og plugin hybrid'!I$53*(IF($A11&lt;='El og plugin hybrid'!I$60,(IF('El og plugin hybrid'!I$68=0,(('El og plugin hybrid'!I$54*'El og plugin hybrid'!I$16/1000)*$B11),('El og plugin hybrid'!I$68)))*(1+'El og plugin hybrid'!I$61)^-$A11,0)+IF('El og plugin hybrid'!I$29=0,0,(IF($A11&lt;='El og plugin hybrid'!I$60,'El og plugin hybrid'!I$54/'El og plugin hybrid'!I$29*IF('El og plugin hybrid'!I$70="plugin hybrid benzin",$C11,IF('El og plugin hybrid'!I$70="plugin hybrid diesel",$D11,0)),0))*(1+'El og plugin hybrid'!I$61)^-$A11))</f>
        <v>0</v>
      </c>
      <c r="J11" s="303"/>
      <c r="K11" s="303">
        <f>'El og plugin hybrid'!K$53*(IF($A11&lt;='El og plugin hybrid'!K$60,(IF('El og plugin hybrid'!K$68=0,(('El og plugin hybrid'!K$54*'El og plugin hybrid'!K$16/1000)*$B11),('El og plugin hybrid'!K$68)))*(1+'El og plugin hybrid'!K$61)^-$A11,0)+IF('El og plugin hybrid'!K$29=0,0,(IF($A11&lt;='El og plugin hybrid'!K$60,'El og plugin hybrid'!K$54/'El og plugin hybrid'!K$29*IF('El og plugin hybrid'!K$70="plugin hybrid benzin",$C11,IF('El og plugin hybrid'!K$70="plugin hybrid diesel",$D11,0)),0))*(1+'El og plugin hybrid'!K$61)^-$A11))</f>
        <v>0</v>
      </c>
      <c r="L11" s="303"/>
      <c r="M11" s="303">
        <f>'El og plugin hybrid'!M$53*(IF($A11&lt;='El og plugin hybrid'!M$60,(IF('El og plugin hybrid'!M$68=0,(('El og plugin hybrid'!M$54*'El og plugin hybrid'!M$16/1000)*$B11),('El og plugin hybrid'!M$68)))*(1+'El og plugin hybrid'!M$61)^-$A11,0)+IF('El og plugin hybrid'!M$29=0,0,(IF($A11&lt;='El og plugin hybrid'!M$60,'El og plugin hybrid'!M$54/'El og plugin hybrid'!M$29*IF('El og plugin hybrid'!M$70="plugin hybrid benzin",$C11,IF('El og plugin hybrid'!M$70="plugin hybrid diesel",$D11,0)),0))*(1+'El og plugin hybrid'!M$61)^-$A11))</f>
        <v>0</v>
      </c>
      <c r="N11" s="303"/>
      <c r="O11" s="303">
        <f>'El og plugin hybrid'!O$53*(IF($A11&lt;='El og plugin hybrid'!O$60,(IF('El og plugin hybrid'!O$68=0,(('El og plugin hybrid'!O$54*'El og plugin hybrid'!O$16/1000)*$B11),('El og plugin hybrid'!O$68)))*(1+'El og plugin hybrid'!O$61)^-$A11,0)+IF('El og plugin hybrid'!O$29=0,0,(IF($A11&lt;='El og plugin hybrid'!O$60,'El og plugin hybrid'!O$54/'El og plugin hybrid'!O$29*IF('El og plugin hybrid'!O$70="plugin hybrid benzin",$C11,IF('El og plugin hybrid'!O$70="plugin hybrid diesel",$D11,0)),0))*(1+'El og plugin hybrid'!O$61)^-$A11))</f>
        <v>0</v>
      </c>
      <c r="P11" s="303"/>
      <c r="Q11" s="303">
        <f>'El og plugin hybrid'!Q$53*(IF($A11&lt;='El og plugin hybrid'!Q$60,(IF('El og plugin hybrid'!Q$68=0,(('El og plugin hybrid'!Q$54*'El og plugin hybrid'!Q$16/1000)*$B11),('El og plugin hybrid'!Q$68)))*(1+'El og plugin hybrid'!Q$61)^-$A11,0)+IF('El og plugin hybrid'!Q$29=0,0,(IF($A11&lt;='El og plugin hybrid'!Q$60,'El og plugin hybrid'!Q$54/'El og plugin hybrid'!Q$29*IF('El og plugin hybrid'!Q$70="plugin hybrid benzin",$C11,IF('El og plugin hybrid'!Q$70="plugin hybrid diesel",$D11,0)),0))*(1+'El og plugin hybrid'!Q$61)^-$A11))</f>
        <v>0</v>
      </c>
      <c r="R11" s="303"/>
      <c r="S11" s="303">
        <f>'El og plugin hybrid'!S$53*(IF($A11&lt;='El og plugin hybrid'!S$60,(IF('El og plugin hybrid'!S$68=0,(('El og plugin hybrid'!S$54*'El og plugin hybrid'!S$16/1000)*$B11),('El og plugin hybrid'!S$68)))*(1+'El og plugin hybrid'!S$61)^-$A11,0)+IF('El og plugin hybrid'!S$29=0,0,(IF($A11&lt;='El og plugin hybrid'!S$60,'El og plugin hybrid'!S$54/'El og plugin hybrid'!S$29*IF('El og plugin hybrid'!S$70="plugin hybrid benzin",$C11,IF('El og plugin hybrid'!S$70="plugin hybrid diesel",$D11,0)),0))*(1+'El og plugin hybrid'!S$61)^-$A11))</f>
        <v>0</v>
      </c>
      <c r="U11" s="303">
        <f>'El og plugin hybrid'!U$53*(IF($A11&lt;='El og plugin hybrid'!U$60,(IF('El og plugin hybrid'!U$68=0,(('El og plugin hybrid'!U$54*'El og plugin hybrid'!U$16/1000)*$B11),('El og plugin hybrid'!U$68)))*(1+'El og plugin hybrid'!U$61)^-$A11,0)+IF('El og plugin hybrid'!U$29=0,0,(IF($A11&lt;='El og plugin hybrid'!U$60,'El og plugin hybrid'!U$54/'El og plugin hybrid'!U$29*IF('El og plugin hybrid'!U$70="plugin hybrid benzin",$C11,IF('El og plugin hybrid'!U$70="plugin hybrid diesel",$D11,0)),0))*(1+'El og plugin hybrid'!U$61)^-$A11))</f>
        <v>0</v>
      </c>
      <c r="W11" s="303">
        <f>'El og plugin hybrid'!W$53*(IF($A11&lt;='El og plugin hybrid'!W$60,(IF('El og plugin hybrid'!W$68=0,(('El og plugin hybrid'!W$54*'El og plugin hybrid'!W$16/1000)*$B11),('El og plugin hybrid'!W$68)))*(1+'El og plugin hybrid'!W$61)^-$A11,0)+IF('El og plugin hybrid'!W$29=0,0,(IF($A11&lt;='El og plugin hybrid'!W$60,'El og plugin hybrid'!W$54/'El og plugin hybrid'!W$29*IF('El og plugin hybrid'!W$70="plugin hybrid benzin",$C11,IF('El og plugin hybrid'!W$70="plugin hybrid diesel",$D11,0)),0))*(1+'El og plugin hybrid'!W$61)^-$A11))</f>
        <v>0</v>
      </c>
    </row>
    <row r="12" spans="1:27">
      <c r="A12" s="298">
        <f t="shared" si="1"/>
        <v>9</v>
      </c>
      <c r="B12" s="274">
        <f>((B11-Fremskrivninger!E16)*(1+IF('El og plugin hybrid'!$E$72="ja",'El og plugin hybrid'!$E$74,'El og plugin hybrid'!$E$76))+Fremskrivninger!E16)</f>
        <v>1.929742170394865</v>
      </c>
      <c r="C12" s="299">
        <f>((C11-Fremskrivninger!N55)*(1+IF('El og plugin hybrid'!$E$78="ja",'El og plugin hybrid'!$E$80,'El og plugin hybrid'!$E$82))+Fremskrivninger!N55)</f>
        <v>9.2128190601552227</v>
      </c>
      <c r="D12" s="299">
        <f>((D11-Fremskrivninger!N99)*(1+IF('El og plugin hybrid'!$E$84="ja",'El og plugin hybrid'!$E$86,'El og plugin hybrid'!$E$88))+Fremskrivninger!N99)</f>
        <v>8.1640518495441636</v>
      </c>
      <c r="E12" s="303">
        <f>'El og plugin hybrid'!E$53*(IF($A12&lt;='El og plugin hybrid'!E$60,(IF('El og plugin hybrid'!E$68=0,(('El og plugin hybrid'!E$54*'El og plugin hybrid'!E$16/1000)*$B12),('El og plugin hybrid'!E$68)))*(1+'El og plugin hybrid'!E$61)^-$A12,0)+IF('El og plugin hybrid'!E$29=0,0,(IF($A12&lt;='El og plugin hybrid'!E$60,'El og plugin hybrid'!E$54/'El og plugin hybrid'!E$29*IF('El og plugin hybrid'!E$70="plugin hybrid benzin",$C12,IF('El og plugin hybrid'!E$70="plugin hybrid diesel",$D12,0)),0))*(1+'El og plugin hybrid'!E$61)^-$A12))</f>
        <v>0</v>
      </c>
      <c r="F12" s="303"/>
      <c r="G12" s="303">
        <f>'El og plugin hybrid'!G$53*(IF($A12&lt;='El og plugin hybrid'!G$60,(IF('El og plugin hybrid'!G$68=0,(('El og plugin hybrid'!G$54*'El og plugin hybrid'!G$16/1000)*$B12),('El og plugin hybrid'!G$68)))*(1+'El og plugin hybrid'!G$61)^-$A12,0)+IF('El og plugin hybrid'!G$29=0,0,(IF($A12&lt;='El og plugin hybrid'!G$60,'El og plugin hybrid'!G$54/'El og plugin hybrid'!G$29*IF('El og plugin hybrid'!G$70="plugin hybrid benzin",$C12,IF('El og plugin hybrid'!G$70="plugin hybrid diesel",$D12,0)),0))*(1+'El og plugin hybrid'!G$61)^-$A12))</f>
        <v>0</v>
      </c>
      <c r="H12" s="303"/>
      <c r="I12" s="303">
        <f>'El og plugin hybrid'!I$53*(IF($A12&lt;='El og plugin hybrid'!I$60,(IF('El og plugin hybrid'!I$68=0,(('El og plugin hybrid'!I$54*'El og plugin hybrid'!I$16/1000)*$B12),('El og plugin hybrid'!I$68)))*(1+'El og plugin hybrid'!I$61)^-$A12,0)+IF('El og plugin hybrid'!I$29=0,0,(IF($A12&lt;='El og plugin hybrid'!I$60,'El og plugin hybrid'!I$54/'El og plugin hybrid'!I$29*IF('El og plugin hybrid'!I$70="plugin hybrid benzin",$C12,IF('El og plugin hybrid'!I$70="plugin hybrid diesel",$D12,0)),0))*(1+'El og plugin hybrid'!I$61)^-$A12))</f>
        <v>0</v>
      </c>
      <c r="J12" s="303"/>
      <c r="K12" s="303">
        <f>'El og plugin hybrid'!K$53*(IF($A12&lt;='El og plugin hybrid'!K$60,(IF('El og plugin hybrid'!K$68=0,(('El og plugin hybrid'!K$54*'El og plugin hybrid'!K$16/1000)*$B12),('El og plugin hybrid'!K$68)))*(1+'El og plugin hybrid'!K$61)^-$A12,0)+IF('El og plugin hybrid'!K$29=0,0,(IF($A12&lt;='El og plugin hybrid'!K$60,'El og plugin hybrid'!K$54/'El og plugin hybrid'!K$29*IF('El og plugin hybrid'!K$70="plugin hybrid benzin",$C12,IF('El og plugin hybrid'!K$70="plugin hybrid diesel",$D12,0)),0))*(1+'El og plugin hybrid'!K$61)^-$A12))</f>
        <v>0</v>
      </c>
      <c r="L12" s="303"/>
      <c r="M12" s="303">
        <f>'El og plugin hybrid'!M$53*(IF($A12&lt;='El og plugin hybrid'!M$60,(IF('El og plugin hybrid'!M$68=0,(('El og plugin hybrid'!M$54*'El og plugin hybrid'!M$16/1000)*$B12),('El og plugin hybrid'!M$68)))*(1+'El og plugin hybrid'!M$61)^-$A12,0)+IF('El og plugin hybrid'!M$29=0,0,(IF($A12&lt;='El og plugin hybrid'!M$60,'El og plugin hybrid'!M$54/'El og plugin hybrid'!M$29*IF('El og plugin hybrid'!M$70="plugin hybrid benzin",$C12,IF('El og plugin hybrid'!M$70="plugin hybrid diesel",$D12,0)),0))*(1+'El og plugin hybrid'!M$61)^-$A12))</f>
        <v>0</v>
      </c>
      <c r="N12" s="303"/>
      <c r="O12" s="303">
        <f>'El og plugin hybrid'!O$53*(IF($A12&lt;='El og plugin hybrid'!O$60,(IF('El og plugin hybrid'!O$68=0,(('El og plugin hybrid'!O$54*'El og plugin hybrid'!O$16/1000)*$B12),('El og plugin hybrid'!O$68)))*(1+'El og plugin hybrid'!O$61)^-$A12,0)+IF('El og plugin hybrid'!O$29=0,0,(IF($A12&lt;='El og plugin hybrid'!O$60,'El og plugin hybrid'!O$54/'El og plugin hybrid'!O$29*IF('El og plugin hybrid'!O$70="plugin hybrid benzin",$C12,IF('El og plugin hybrid'!O$70="plugin hybrid diesel",$D12,0)),0))*(1+'El og plugin hybrid'!O$61)^-$A12))</f>
        <v>0</v>
      </c>
      <c r="P12" s="303"/>
      <c r="Q12" s="303">
        <f>'El og plugin hybrid'!Q$53*(IF($A12&lt;='El og plugin hybrid'!Q$60,(IF('El og plugin hybrid'!Q$68=0,(('El og plugin hybrid'!Q$54*'El og plugin hybrid'!Q$16/1000)*$B12),('El og plugin hybrid'!Q$68)))*(1+'El og plugin hybrid'!Q$61)^-$A12,0)+IF('El og plugin hybrid'!Q$29=0,0,(IF($A12&lt;='El og plugin hybrid'!Q$60,'El og plugin hybrid'!Q$54/'El og plugin hybrid'!Q$29*IF('El og plugin hybrid'!Q$70="plugin hybrid benzin",$C12,IF('El og plugin hybrid'!Q$70="plugin hybrid diesel",$D12,0)),0))*(1+'El og plugin hybrid'!Q$61)^-$A12))</f>
        <v>0</v>
      </c>
      <c r="R12" s="303"/>
      <c r="S12" s="303">
        <f>'El og plugin hybrid'!S$53*(IF($A12&lt;='El og plugin hybrid'!S$60,(IF('El og plugin hybrid'!S$68=0,(('El og plugin hybrid'!S$54*'El og plugin hybrid'!S$16/1000)*$B12),('El og plugin hybrid'!S$68)))*(1+'El og plugin hybrid'!S$61)^-$A12,0)+IF('El og plugin hybrid'!S$29=0,0,(IF($A12&lt;='El og plugin hybrid'!S$60,'El og plugin hybrid'!S$54/'El og plugin hybrid'!S$29*IF('El og plugin hybrid'!S$70="plugin hybrid benzin",$C12,IF('El og plugin hybrid'!S$70="plugin hybrid diesel",$D12,0)),0))*(1+'El og plugin hybrid'!S$61)^-$A12))</f>
        <v>0</v>
      </c>
      <c r="U12" s="303">
        <f>'El og plugin hybrid'!U$53*(IF($A12&lt;='El og plugin hybrid'!U$60,(IF('El og plugin hybrid'!U$68=0,(('El og plugin hybrid'!U$54*'El og plugin hybrid'!U$16/1000)*$B12),('El og plugin hybrid'!U$68)))*(1+'El og plugin hybrid'!U$61)^-$A12,0)+IF('El og plugin hybrid'!U$29=0,0,(IF($A12&lt;='El og plugin hybrid'!U$60,'El og plugin hybrid'!U$54/'El og plugin hybrid'!U$29*IF('El og plugin hybrid'!U$70="plugin hybrid benzin",$C12,IF('El og plugin hybrid'!U$70="plugin hybrid diesel",$D12,0)),0))*(1+'El og plugin hybrid'!U$61)^-$A12))</f>
        <v>0</v>
      </c>
      <c r="W12" s="303">
        <f>'El og plugin hybrid'!W$53*(IF($A12&lt;='El og plugin hybrid'!W$60,(IF('El og plugin hybrid'!W$68=0,(('El og plugin hybrid'!W$54*'El og plugin hybrid'!W$16/1000)*$B12),('El og plugin hybrid'!W$68)))*(1+'El og plugin hybrid'!W$61)^-$A12,0)+IF('El og plugin hybrid'!W$29=0,0,(IF($A12&lt;='El og plugin hybrid'!W$60,'El og plugin hybrid'!W$54/'El og plugin hybrid'!W$29*IF('El og plugin hybrid'!W$70="plugin hybrid benzin",$C12,IF('El og plugin hybrid'!W$70="plugin hybrid diesel",$D12,0)),0))*(1+'El og plugin hybrid'!W$61)^-$A12))</f>
        <v>0</v>
      </c>
    </row>
    <row r="13" spans="1:27">
      <c r="A13" s="298">
        <f t="shared" si="1"/>
        <v>10</v>
      </c>
      <c r="B13" s="274">
        <f>((B12-Fremskrivninger!E17)*(1+IF('El og plugin hybrid'!$E$72="ja",'El og plugin hybrid'!$E$74,'El og plugin hybrid'!$E$76))+Fremskrivninger!E17)</f>
        <v>1.9404759646404592</v>
      </c>
      <c r="C13" s="299">
        <f>((C12-Fremskrivninger!N56)*(1+IF('El og plugin hybrid'!$E$78="ja",'El og plugin hybrid'!$E$80,'El og plugin hybrid'!$E$82))+Fremskrivninger!N56)</f>
        <v>9.276103245091381</v>
      </c>
      <c r="D13" s="299">
        <f>((D12-Fremskrivninger!N100)*(1+IF('El og plugin hybrid'!$E$84="ja",'El og plugin hybrid'!$E$86,'El og plugin hybrid'!$E$88))+Fremskrivninger!N100)</f>
        <v>8.2354506013625528</v>
      </c>
      <c r="E13" s="303">
        <f>'El og plugin hybrid'!E$53*(IF($A13&lt;='El og plugin hybrid'!E$60,(IF('El og plugin hybrid'!E$68=0,(('El og plugin hybrid'!E$54*'El og plugin hybrid'!E$16/1000)*$B13),('El og plugin hybrid'!E$68)))*(1+'El og plugin hybrid'!E$61)^-$A13,0)+IF('El og plugin hybrid'!E$29=0,0,(IF($A13&lt;='El og plugin hybrid'!E$60,'El og plugin hybrid'!E$54/'El og plugin hybrid'!E$29*IF('El og plugin hybrid'!E$70="plugin hybrid benzin",$C13,IF('El og plugin hybrid'!E$70="plugin hybrid diesel",$D13,0)),0))*(1+'El og plugin hybrid'!E$61)^-$A13))</f>
        <v>0</v>
      </c>
      <c r="F13" s="303"/>
      <c r="G13" s="303">
        <f>'El og plugin hybrid'!G$53*(IF($A13&lt;='El og plugin hybrid'!G$60,(IF('El og plugin hybrid'!G$68=0,(('El og plugin hybrid'!G$54*'El og plugin hybrid'!G$16/1000)*$B13),('El og plugin hybrid'!G$68)))*(1+'El og plugin hybrid'!G$61)^-$A13,0)+IF('El og plugin hybrid'!G$29=0,0,(IF($A13&lt;='El og plugin hybrid'!G$60,'El og plugin hybrid'!G$54/'El og plugin hybrid'!G$29*IF('El og plugin hybrid'!G$70="plugin hybrid benzin",$C13,IF('El og plugin hybrid'!G$70="plugin hybrid diesel",$D13,0)),0))*(1+'El og plugin hybrid'!G$61)^-$A13))</f>
        <v>0</v>
      </c>
      <c r="H13" s="303"/>
      <c r="I13" s="303">
        <f>'El og plugin hybrid'!I$53*(IF($A13&lt;='El og plugin hybrid'!I$60,(IF('El og plugin hybrid'!I$68=0,(('El og plugin hybrid'!I$54*'El og plugin hybrid'!I$16/1000)*$B13),('El og plugin hybrid'!I$68)))*(1+'El og plugin hybrid'!I$61)^-$A13,0)+IF('El og plugin hybrid'!I$29=0,0,(IF($A13&lt;='El og plugin hybrid'!I$60,'El og plugin hybrid'!I$54/'El og plugin hybrid'!I$29*IF('El og plugin hybrid'!I$70="plugin hybrid benzin",$C13,IF('El og plugin hybrid'!I$70="plugin hybrid diesel",$D13,0)),0))*(1+'El og plugin hybrid'!I$61)^-$A13))</f>
        <v>0</v>
      </c>
      <c r="J13" s="303"/>
      <c r="K13" s="303">
        <f>'El og plugin hybrid'!K$53*(IF($A13&lt;='El og plugin hybrid'!K$60,(IF('El og plugin hybrid'!K$68=0,(('El og plugin hybrid'!K$54*'El og plugin hybrid'!K$16/1000)*$B13),('El og plugin hybrid'!K$68)))*(1+'El og plugin hybrid'!K$61)^-$A13,0)+IF('El og plugin hybrid'!K$29=0,0,(IF($A13&lt;='El og plugin hybrid'!K$60,'El og plugin hybrid'!K$54/'El og plugin hybrid'!K$29*IF('El og plugin hybrid'!K$70="plugin hybrid benzin",$C13,IF('El og plugin hybrid'!K$70="plugin hybrid diesel",$D13,0)),0))*(1+'El og plugin hybrid'!K$61)^-$A13))</f>
        <v>0</v>
      </c>
      <c r="L13" s="303"/>
      <c r="M13" s="303">
        <f>'El og plugin hybrid'!M$53*(IF($A13&lt;='El og plugin hybrid'!M$60,(IF('El og plugin hybrid'!M$68=0,(('El og plugin hybrid'!M$54*'El og plugin hybrid'!M$16/1000)*$B13),('El og plugin hybrid'!M$68)))*(1+'El og plugin hybrid'!M$61)^-$A13,0)+IF('El og plugin hybrid'!M$29=0,0,(IF($A13&lt;='El og plugin hybrid'!M$60,'El og plugin hybrid'!M$54/'El og plugin hybrid'!M$29*IF('El og plugin hybrid'!M$70="plugin hybrid benzin",$C13,IF('El og plugin hybrid'!M$70="plugin hybrid diesel",$D13,0)),0))*(1+'El og plugin hybrid'!M$61)^-$A13))</f>
        <v>0</v>
      </c>
      <c r="N13" s="303"/>
      <c r="O13" s="303">
        <f>'El og plugin hybrid'!O$53*(IF($A13&lt;='El og plugin hybrid'!O$60,(IF('El og plugin hybrid'!O$68=0,(('El og plugin hybrid'!O$54*'El og plugin hybrid'!O$16/1000)*$B13),('El og plugin hybrid'!O$68)))*(1+'El og plugin hybrid'!O$61)^-$A13,0)+IF('El og plugin hybrid'!O$29=0,0,(IF($A13&lt;='El og plugin hybrid'!O$60,'El og plugin hybrid'!O$54/'El og plugin hybrid'!O$29*IF('El og plugin hybrid'!O$70="plugin hybrid benzin",$C13,IF('El og plugin hybrid'!O$70="plugin hybrid diesel",$D13,0)),0))*(1+'El og plugin hybrid'!O$61)^-$A13))</f>
        <v>0</v>
      </c>
      <c r="P13" s="303"/>
      <c r="Q13" s="303">
        <f>'El og plugin hybrid'!Q$53*(IF($A13&lt;='El og plugin hybrid'!Q$60,(IF('El og plugin hybrid'!Q$68=0,(('El og plugin hybrid'!Q$54*'El og plugin hybrid'!Q$16/1000)*$B13),('El og plugin hybrid'!Q$68)))*(1+'El og plugin hybrid'!Q$61)^-$A13,0)+IF('El og plugin hybrid'!Q$29=0,0,(IF($A13&lt;='El og plugin hybrid'!Q$60,'El og plugin hybrid'!Q$54/'El og plugin hybrid'!Q$29*IF('El og plugin hybrid'!Q$70="plugin hybrid benzin",$C13,IF('El og plugin hybrid'!Q$70="plugin hybrid diesel",$D13,0)),0))*(1+'El og plugin hybrid'!Q$61)^-$A13))</f>
        <v>0</v>
      </c>
      <c r="R13" s="303"/>
      <c r="S13" s="303">
        <f>'El og plugin hybrid'!S$53*(IF($A13&lt;='El og plugin hybrid'!S$60,(IF('El og plugin hybrid'!S$68=0,(('El og plugin hybrid'!S$54*'El og plugin hybrid'!S$16/1000)*$B13),('El og plugin hybrid'!S$68)))*(1+'El og plugin hybrid'!S$61)^-$A13,0)+IF('El og plugin hybrid'!S$29=0,0,(IF($A13&lt;='El og plugin hybrid'!S$60,'El og plugin hybrid'!S$54/'El og plugin hybrid'!S$29*IF('El og plugin hybrid'!S$70="plugin hybrid benzin",$C13,IF('El og plugin hybrid'!S$70="plugin hybrid diesel",$D13,0)),0))*(1+'El og plugin hybrid'!S$61)^-$A13))</f>
        <v>0</v>
      </c>
      <c r="U13" s="303">
        <f>'El og plugin hybrid'!U$53*(IF($A13&lt;='El og plugin hybrid'!U$60,(IF('El og plugin hybrid'!U$68=0,(('El og plugin hybrid'!U$54*'El og plugin hybrid'!U$16/1000)*$B13),('El og plugin hybrid'!U$68)))*(1+'El og plugin hybrid'!U$61)^-$A13,0)+IF('El og plugin hybrid'!U$29=0,0,(IF($A13&lt;='El og plugin hybrid'!U$60,'El og plugin hybrid'!U$54/'El og plugin hybrid'!U$29*IF('El og plugin hybrid'!U$70="plugin hybrid benzin",$C13,IF('El og plugin hybrid'!U$70="plugin hybrid diesel",$D13,0)),0))*(1+'El og plugin hybrid'!U$61)^-$A13))</f>
        <v>0</v>
      </c>
      <c r="W13" s="303">
        <f>'El og plugin hybrid'!W$53*(IF($A13&lt;='El og plugin hybrid'!W$60,(IF('El og plugin hybrid'!W$68=0,(('El og plugin hybrid'!W$54*'El og plugin hybrid'!W$16/1000)*$B13),('El og plugin hybrid'!W$68)))*(1+'El og plugin hybrid'!W$61)^-$A13,0)+IF('El og plugin hybrid'!W$29=0,0,(IF($A13&lt;='El og plugin hybrid'!W$60,'El og plugin hybrid'!W$54/'El og plugin hybrid'!W$29*IF('El og plugin hybrid'!W$70="plugin hybrid benzin",$C13,IF('El og plugin hybrid'!W$70="plugin hybrid diesel",$D13,0)),0))*(1+'El og plugin hybrid'!W$61)^-$A13))</f>
        <v>0</v>
      </c>
    </row>
    <row r="14" spans="1:27">
      <c r="A14" s="298">
        <f t="shared" si="1"/>
        <v>11</v>
      </c>
      <c r="B14" s="274">
        <f>((B13-Fremskrivninger!E18)*(1+IF('El og plugin hybrid'!$E$72="ja",'El og plugin hybrid'!$E$74,'El og plugin hybrid'!$E$76))+Fremskrivninger!E18)</f>
        <v>1.9513890132499547</v>
      </c>
      <c r="C14" s="299">
        <f>((C13-Fremskrivninger!N57)*(1+IF('El og plugin hybrid'!$E$78="ja",'El og plugin hybrid'!$E$80,'El og plugin hybrid'!$E$82))+Fremskrivninger!N57)</f>
        <v>9.3402670801981511</v>
      </c>
      <c r="D14" s="299">
        <f>((D13-Fremskrivninger!N101)*(1+IF('El og plugin hybrid'!$E$84="ja",'El og plugin hybrid'!$E$86,'El og plugin hybrid'!$E$88))+Fremskrivninger!N101)</f>
        <v>8.3078846350823099</v>
      </c>
      <c r="E14" s="303">
        <f>'El og plugin hybrid'!E$53*(IF($A14&lt;='El og plugin hybrid'!E$60,(IF('El og plugin hybrid'!E$68=0,(('El og plugin hybrid'!E$54*'El og plugin hybrid'!E$16/1000)*$B14),('El og plugin hybrid'!E$68)))*(1+'El og plugin hybrid'!E$61)^-$A14,0)+IF('El og plugin hybrid'!E$29=0,0,(IF($A14&lt;='El og plugin hybrid'!E$60,'El og plugin hybrid'!E$54/'El og plugin hybrid'!E$29*IF('El og plugin hybrid'!E$70="plugin hybrid benzin",$C14,IF('El og plugin hybrid'!E$70="plugin hybrid diesel",$D14,0)),0))*(1+'El og plugin hybrid'!E$61)^-$A14))</f>
        <v>0</v>
      </c>
      <c r="F14" s="303"/>
      <c r="G14" s="303">
        <f>'El og plugin hybrid'!G$53*(IF($A14&lt;='El og plugin hybrid'!G$60,(IF('El og plugin hybrid'!G$68=0,(('El og plugin hybrid'!G$54*'El og plugin hybrid'!G$16/1000)*$B14),('El og plugin hybrid'!G$68)))*(1+'El og plugin hybrid'!G$61)^-$A14,0)+IF('El og plugin hybrid'!G$29=0,0,(IF($A14&lt;='El og plugin hybrid'!G$60,'El og plugin hybrid'!G$54/'El og plugin hybrid'!G$29*IF('El og plugin hybrid'!G$70="plugin hybrid benzin",$C14,IF('El og plugin hybrid'!G$70="plugin hybrid diesel",$D14,0)),0))*(1+'El og plugin hybrid'!G$61)^-$A14))</f>
        <v>0</v>
      </c>
      <c r="H14" s="303"/>
      <c r="I14" s="303">
        <f>'El og plugin hybrid'!I$53*(IF($A14&lt;='El og plugin hybrid'!I$60,(IF('El og plugin hybrid'!I$68=0,(('El og plugin hybrid'!I$54*'El og plugin hybrid'!I$16/1000)*$B14),('El og plugin hybrid'!I$68)))*(1+'El og plugin hybrid'!I$61)^-$A14,0)+IF('El og plugin hybrid'!I$29=0,0,(IF($A14&lt;='El og plugin hybrid'!I$60,'El og plugin hybrid'!I$54/'El og plugin hybrid'!I$29*IF('El og plugin hybrid'!I$70="plugin hybrid benzin",$C14,IF('El og plugin hybrid'!I$70="plugin hybrid diesel",$D14,0)),0))*(1+'El og plugin hybrid'!I$61)^-$A14))</f>
        <v>0</v>
      </c>
      <c r="J14" s="303"/>
      <c r="K14" s="303">
        <f>'El og plugin hybrid'!K$53*(IF($A14&lt;='El og plugin hybrid'!K$60,(IF('El og plugin hybrid'!K$68=0,(('El og plugin hybrid'!K$54*'El og plugin hybrid'!K$16/1000)*$B14),('El og plugin hybrid'!K$68)))*(1+'El og plugin hybrid'!K$61)^-$A14,0)+IF('El og plugin hybrid'!K$29=0,0,(IF($A14&lt;='El og plugin hybrid'!K$60,'El og plugin hybrid'!K$54/'El og plugin hybrid'!K$29*IF('El og plugin hybrid'!K$70="plugin hybrid benzin",$C14,IF('El og plugin hybrid'!K$70="plugin hybrid diesel",$D14,0)),0))*(1+'El og plugin hybrid'!K$61)^-$A14))</f>
        <v>0</v>
      </c>
      <c r="L14" s="303"/>
      <c r="M14" s="303">
        <f>'El og plugin hybrid'!M$53*(IF($A14&lt;='El og plugin hybrid'!M$60,(IF('El og plugin hybrid'!M$68=0,(('El og plugin hybrid'!M$54*'El og plugin hybrid'!M$16/1000)*$B14),('El og plugin hybrid'!M$68)))*(1+'El og plugin hybrid'!M$61)^-$A14,0)+IF('El og plugin hybrid'!M$29=0,0,(IF($A14&lt;='El og plugin hybrid'!M$60,'El og plugin hybrid'!M$54/'El og plugin hybrid'!M$29*IF('El og plugin hybrid'!M$70="plugin hybrid benzin",$C14,IF('El og plugin hybrid'!M$70="plugin hybrid diesel",$D14,0)),0))*(1+'El og plugin hybrid'!M$61)^-$A14))</f>
        <v>0</v>
      </c>
      <c r="N14" s="303"/>
      <c r="O14" s="303">
        <f>'El og plugin hybrid'!O$53*(IF($A14&lt;='El og plugin hybrid'!O$60,(IF('El og plugin hybrid'!O$68=0,(('El og plugin hybrid'!O$54*'El og plugin hybrid'!O$16/1000)*$B14),('El og plugin hybrid'!O$68)))*(1+'El og plugin hybrid'!O$61)^-$A14,0)+IF('El og plugin hybrid'!O$29=0,0,(IF($A14&lt;='El og plugin hybrid'!O$60,'El og plugin hybrid'!O$54/'El og plugin hybrid'!O$29*IF('El og plugin hybrid'!O$70="plugin hybrid benzin",$C14,IF('El og plugin hybrid'!O$70="plugin hybrid diesel",$D14,0)),0))*(1+'El og plugin hybrid'!O$61)^-$A14))</f>
        <v>0</v>
      </c>
      <c r="P14" s="303"/>
      <c r="Q14" s="303">
        <f>'El og plugin hybrid'!Q$53*(IF($A14&lt;='El og plugin hybrid'!Q$60,(IF('El og plugin hybrid'!Q$68=0,(('El og plugin hybrid'!Q$54*'El og plugin hybrid'!Q$16/1000)*$B14),('El og plugin hybrid'!Q$68)))*(1+'El og plugin hybrid'!Q$61)^-$A14,0)+IF('El og plugin hybrid'!Q$29=0,0,(IF($A14&lt;='El og plugin hybrid'!Q$60,'El og plugin hybrid'!Q$54/'El og plugin hybrid'!Q$29*IF('El og plugin hybrid'!Q$70="plugin hybrid benzin",$C14,IF('El og plugin hybrid'!Q$70="plugin hybrid diesel",$D14,0)),0))*(1+'El og plugin hybrid'!Q$61)^-$A14))</f>
        <v>0</v>
      </c>
      <c r="R14" s="303"/>
      <c r="S14" s="303">
        <f>'El og plugin hybrid'!S$53*(IF($A14&lt;='El og plugin hybrid'!S$60,(IF('El og plugin hybrid'!S$68=0,(('El og plugin hybrid'!S$54*'El og plugin hybrid'!S$16/1000)*$B14),('El og plugin hybrid'!S$68)))*(1+'El og plugin hybrid'!S$61)^-$A14,0)+IF('El og plugin hybrid'!S$29=0,0,(IF($A14&lt;='El og plugin hybrid'!S$60,'El og plugin hybrid'!S$54/'El og plugin hybrid'!S$29*IF('El og plugin hybrid'!S$70="plugin hybrid benzin",$C14,IF('El og plugin hybrid'!S$70="plugin hybrid diesel",$D14,0)),0))*(1+'El og plugin hybrid'!S$61)^-$A14))</f>
        <v>0</v>
      </c>
      <c r="U14" s="303">
        <f>'El og plugin hybrid'!U$53*(IF($A14&lt;='El og plugin hybrid'!U$60,(IF('El og plugin hybrid'!U$68=0,(('El og plugin hybrid'!U$54*'El og plugin hybrid'!U$16/1000)*$B14),('El og plugin hybrid'!U$68)))*(1+'El og plugin hybrid'!U$61)^-$A14,0)+IF('El og plugin hybrid'!U$29=0,0,(IF($A14&lt;='El og plugin hybrid'!U$60,'El og plugin hybrid'!U$54/'El og plugin hybrid'!U$29*IF('El og plugin hybrid'!U$70="plugin hybrid benzin",$C14,IF('El og plugin hybrid'!U$70="plugin hybrid diesel",$D14,0)),0))*(1+'El og plugin hybrid'!U$61)^-$A14))</f>
        <v>0</v>
      </c>
      <c r="W14" s="303">
        <f>'El og plugin hybrid'!W$53*(IF($A14&lt;='El og plugin hybrid'!W$60,(IF('El og plugin hybrid'!W$68=0,(('El og plugin hybrid'!W$54*'El og plugin hybrid'!W$16/1000)*$B14),('El og plugin hybrid'!W$68)))*(1+'El og plugin hybrid'!W$61)^-$A14,0)+IF('El og plugin hybrid'!W$29=0,0,(IF($A14&lt;='El og plugin hybrid'!W$60,'El og plugin hybrid'!W$54/'El og plugin hybrid'!W$29*IF('El og plugin hybrid'!W$70="plugin hybrid benzin",$C14,IF('El og plugin hybrid'!W$70="plugin hybrid diesel",$D14,0)),0))*(1+'El og plugin hybrid'!W$61)^-$A14))</f>
        <v>0</v>
      </c>
    </row>
    <row r="15" spans="1:27">
      <c r="A15" s="298">
        <f t="shared" si="1"/>
        <v>12</v>
      </c>
      <c r="B15" s="274">
        <f>((B14-Fremskrivninger!E19)*(1+IF('El og plugin hybrid'!$E$72="ja",'El og plugin hybrid'!$E$74,'El og plugin hybrid'!$E$76))+Fremskrivninger!E19)</f>
        <v>1.962484309771229</v>
      </c>
      <c r="C15" s="299">
        <f>((C14-Fremskrivninger!N58)*(1+IF('El og plugin hybrid'!$E$78="ja",'El og plugin hybrid'!$E$80,'El og plugin hybrid'!$E$82))+Fremskrivninger!N58)</f>
        <v>9.4053227926129068</v>
      </c>
      <c r="D15" s="299">
        <f>((D14-Fremskrivninger!N102)*(1+IF('El og plugin hybrid'!$E$84="ja",'El og plugin hybrid'!$E$86,'El og plugin hybrid'!$E$88))+Fremskrivninger!N102)</f>
        <v>8.3813689622910026</v>
      </c>
      <c r="E15" s="303">
        <f>'El og plugin hybrid'!E$53*(IF($A15&lt;='El og plugin hybrid'!E$60,(IF('El og plugin hybrid'!E$68=0,(('El og plugin hybrid'!E$54*'El og plugin hybrid'!E$16/1000)*$B15),('El og plugin hybrid'!E$68)))*(1+'El og plugin hybrid'!E$61)^-$A15,0)+IF('El og plugin hybrid'!E$29=0,0,(IF($A15&lt;='El og plugin hybrid'!E$60,'El og plugin hybrid'!E$54/'El og plugin hybrid'!E$29*IF('El og plugin hybrid'!E$70="plugin hybrid benzin",$C15,IF('El og plugin hybrid'!E$70="plugin hybrid diesel",$D15,0)),0))*(1+'El og plugin hybrid'!E$61)^-$A15))</f>
        <v>0</v>
      </c>
      <c r="F15" s="303"/>
      <c r="G15" s="303">
        <f>'El og plugin hybrid'!G$53*(IF($A15&lt;='El og plugin hybrid'!G$60,(IF('El og plugin hybrid'!G$68=0,(('El og plugin hybrid'!G$54*'El og plugin hybrid'!G$16/1000)*$B15),('El og plugin hybrid'!G$68)))*(1+'El og plugin hybrid'!G$61)^-$A15,0)+IF('El og plugin hybrid'!G$29=0,0,(IF($A15&lt;='El og plugin hybrid'!G$60,'El og plugin hybrid'!G$54/'El og plugin hybrid'!G$29*IF('El og plugin hybrid'!G$70="plugin hybrid benzin",$C15,IF('El og plugin hybrid'!G$70="plugin hybrid diesel",$D15,0)),0))*(1+'El og plugin hybrid'!G$61)^-$A15))</f>
        <v>0</v>
      </c>
      <c r="H15" s="303"/>
      <c r="I15" s="303">
        <f>'El og plugin hybrid'!I$53*(IF($A15&lt;='El og plugin hybrid'!I$60,(IF('El og plugin hybrid'!I$68=0,(('El og plugin hybrid'!I$54*'El og plugin hybrid'!I$16/1000)*$B15),('El og plugin hybrid'!I$68)))*(1+'El og plugin hybrid'!I$61)^-$A15,0)+IF('El og plugin hybrid'!I$29=0,0,(IF($A15&lt;='El og plugin hybrid'!I$60,'El og plugin hybrid'!I$54/'El og plugin hybrid'!I$29*IF('El og plugin hybrid'!I$70="plugin hybrid benzin",$C15,IF('El og plugin hybrid'!I$70="plugin hybrid diesel",$D15,0)),0))*(1+'El og plugin hybrid'!I$61)^-$A15))</f>
        <v>0</v>
      </c>
      <c r="J15" s="303"/>
      <c r="K15" s="303">
        <f>'El og plugin hybrid'!K$53*(IF($A15&lt;='El og plugin hybrid'!K$60,(IF('El og plugin hybrid'!K$68=0,(('El og plugin hybrid'!K$54*'El og plugin hybrid'!K$16/1000)*$B15),('El og plugin hybrid'!K$68)))*(1+'El og plugin hybrid'!K$61)^-$A15,0)+IF('El og plugin hybrid'!K$29=0,0,(IF($A15&lt;='El og plugin hybrid'!K$60,'El og plugin hybrid'!K$54/'El og plugin hybrid'!K$29*IF('El og plugin hybrid'!K$70="plugin hybrid benzin",$C15,IF('El og plugin hybrid'!K$70="plugin hybrid diesel",$D15,0)),0))*(1+'El og plugin hybrid'!K$61)^-$A15))</f>
        <v>0</v>
      </c>
      <c r="L15" s="303"/>
      <c r="M15" s="303">
        <f>'El og plugin hybrid'!M$53*(IF($A15&lt;='El og plugin hybrid'!M$60,(IF('El og plugin hybrid'!M$68=0,(('El og plugin hybrid'!M$54*'El og plugin hybrid'!M$16/1000)*$B15),('El og plugin hybrid'!M$68)))*(1+'El og plugin hybrid'!M$61)^-$A15,0)+IF('El og plugin hybrid'!M$29=0,0,(IF($A15&lt;='El og plugin hybrid'!M$60,'El og plugin hybrid'!M$54/'El og plugin hybrid'!M$29*IF('El og plugin hybrid'!M$70="plugin hybrid benzin",$C15,IF('El og plugin hybrid'!M$70="plugin hybrid diesel",$D15,0)),0))*(1+'El og plugin hybrid'!M$61)^-$A15))</f>
        <v>0</v>
      </c>
      <c r="N15" s="303"/>
      <c r="O15" s="303">
        <f>'El og plugin hybrid'!O$53*(IF($A15&lt;='El og plugin hybrid'!O$60,(IF('El og plugin hybrid'!O$68=0,(('El og plugin hybrid'!O$54*'El og plugin hybrid'!O$16/1000)*$B15),('El og plugin hybrid'!O$68)))*(1+'El og plugin hybrid'!O$61)^-$A15,0)+IF('El og plugin hybrid'!O$29=0,0,(IF($A15&lt;='El og plugin hybrid'!O$60,'El og plugin hybrid'!O$54/'El og plugin hybrid'!O$29*IF('El og plugin hybrid'!O$70="plugin hybrid benzin",$C15,IF('El og plugin hybrid'!O$70="plugin hybrid diesel",$D15,0)),0))*(1+'El og plugin hybrid'!O$61)^-$A15))</f>
        <v>0</v>
      </c>
      <c r="P15" s="303"/>
      <c r="Q15" s="303">
        <f>'El og plugin hybrid'!Q$53*(IF($A15&lt;='El og plugin hybrid'!Q$60,(IF('El og plugin hybrid'!Q$68=0,(('El og plugin hybrid'!Q$54*'El og plugin hybrid'!Q$16/1000)*$B15),('El og plugin hybrid'!Q$68)))*(1+'El og plugin hybrid'!Q$61)^-$A15,0)+IF('El og plugin hybrid'!Q$29=0,0,(IF($A15&lt;='El og plugin hybrid'!Q$60,'El og plugin hybrid'!Q$54/'El og plugin hybrid'!Q$29*IF('El og plugin hybrid'!Q$70="plugin hybrid benzin",$C15,IF('El og plugin hybrid'!Q$70="plugin hybrid diesel",$D15,0)),0))*(1+'El og plugin hybrid'!Q$61)^-$A15))</f>
        <v>0</v>
      </c>
      <c r="R15" s="303"/>
      <c r="S15" s="303">
        <f>'El og plugin hybrid'!S$53*(IF($A15&lt;='El og plugin hybrid'!S$60,(IF('El og plugin hybrid'!S$68=0,(('El og plugin hybrid'!S$54*'El og plugin hybrid'!S$16/1000)*$B15),('El og plugin hybrid'!S$68)))*(1+'El og plugin hybrid'!S$61)^-$A15,0)+IF('El og plugin hybrid'!S$29=0,0,(IF($A15&lt;='El og plugin hybrid'!S$60,'El og plugin hybrid'!S$54/'El og plugin hybrid'!S$29*IF('El og plugin hybrid'!S$70="plugin hybrid benzin",$C15,IF('El og plugin hybrid'!S$70="plugin hybrid diesel",$D15,0)),0))*(1+'El og plugin hybrid'!S$61)^-$A15))</f>
        <v>0</v>
      </c>
      <c r="U15" s="303">
        <f>'El og plugin hybrid'!U$53*(IF($A15&lt;='El og plugin hybrid'!U$60,(IF('El og plugin hybrid'!U$68=0,(('El og plugin hybrid'!U$54*'El og plugin hybrid'!U$16/1000)*$B15),('El og plugin hybrid'!U$68)))*(1+'El og plugin hybrid'!U$61)^-$A15,0)+IF('El og plugin hybrid'!U$29=0,0,(IF($A15&lt;='El og plugin hybrid'!U$60,'El og plugin hybrid'!U$54/'El og plugin hybrid'!U$29*IF('El og plugin hybrid'!U$70="plugin hybrid benzin",$C15,IF('El og plugin hybrid'!U$70="plugin hybrid diesel",$D15,0)),0))*(1+'El og plugin hybrid'!U$61)^-$A15))</f>
        <v>0</v>
      </c>
      <c r="W15" s="303">
        <f>'El og plugin hybrid'!W$53*(IF($A15&lt;='El og plugin hybrid'!W$60,(IF('El og plugin hybrid'!W$68=0,(('El og plugin hybrid'!W$54*'El og plugin hybrid'!W$16/1000)*$B15),('El og plugin hybrid'!W$68)))*(1+'El og plugin hybrid'!W$61)^-$A15,0)+IF('El og plugin hybrid'!W$29=0,0,(IF($A15&lt;='El og plugin hybrid'!W$60,'El og plugin hybrid'!W$54/'El og plugin hybrid'!W$29*IF('El og plugin hybrid'!W$70="plugin hybrid benzin",$C15,IF('El og plugin hybrid'!W$70="plugin hybrid diesel",$D15,0)),0))*(1+'El og plugin hybrid'!W$61)^-$A15))</f>
        <v>0</v>
      </c>
    </row>
    <row r="16" spans="1:27">
      <c r="A16" s="298">
        <f t="shared" si="1"/>
        <v>13</v>
      </c>
      <c r="B16" s="274">
        <f>((B15-Fremskrivninger!E20)*(1+IF('El og plugin hybrid'!$E$72="ja",'El og plugin hybrid'!$E$74,'El og plugin hybrid'!$E$76))+Fremskrivninger!E20)</f>
        <v>1.9737648977444084</v>
      </c>
      <c r="C16" s="299">
        <f>((C15-Fremskrivninger!N59)*(1+IF('El og plugin hybrid'!$E$78="ja",'El og plugin hybrid'!$E$80,'El og plugin hybrid'!$E$82))+Fremskrivninger!N59)</f>
        <v>9.4712827794302257</v>
      </c>
      <c r="D16" s="299">
        <f>((D15-Fremskrivninger!N103)*(1+IF('El og plugin hybrid'!$E$84="ja",'El og plugin hybrid'!$E$86,'El og plugin hybrid'!$E$88))+Fremskrivninger!N103)</f>
        <v>8.4559188122442208</v>
      </c>
      <c r="E16" s="303">
        <f>'El og plugin hybrid'!E$53*(IF($A16&lt;='El og plugin hybrid'!E$60,(IF('El og plugin hybrid'!E$68=0,(('El og plugin hybrid'!E$54*'El og plugin hybrid'!E$16/1000)*$B16),('El og plugin hybrid'!E$68)))*(1+'El og plugin hybrid'!E$61)^-$A16,0)+IF('El og plugin hybrid'!E$29=0,0,(IF($A16&lt;='El og plugin hybrid'!E$60,'El og plugin hybrid'!E$54/'El og plugin hybrid'!E$29*IF('El og plugin hybrid'!E$70="plugin hybrid benzin",$C16,IF('El og plugin hybrid'!E$70="plugin hybrid diesel",$D16,0)),0))*(1+'El og plugin hybrid'!E$61)^-$A16))</f>
        <v>0</v>
      </c>
      <c r="F16" s="303"/>
      <c r="G16" s="303">
        <f>'El og plugin hybrid'!G$53*(IF($A16&lt;='El og plugin hybrid'!G$60,(IF('El og plugin hybrid'!G$68=0,(('El og plugin hybrid'!G$54*'El og plugin hybrid'!G$16/1000)*$B16),('El og plugin hybrid'!G$68)))*(1+'El og plugin hybrid'!G$61)^-$A16,0)+IF('El og plugin hybrid'!G$29=0,0,(IF($A16&lt;='El og plugin hybrid'!G$60,'El og plugin hybrid'!G$54/'El og plugin hybrid'!G$29*IF('El og plugin hybrid'!G$70="plugin hybrid benzin",$C16,IF('El og plugin hybrid'!G$70="plugin hybrid diesel",$D16,0)),0))*(1+'El og plugin hybrid'!G$61)^-$A16))</f>
        <v>0</v>
      </c>
      <c r="H16" s="303"/>
      <c r="I16" s="303">
        <f>'El og plugin hybrid'!I$53*(IF($A16&lt;='El og plugin hybrid'!I$60,(IF('El og plugin hybrid'!I$68=0,(('El og plugin hybrid'!I$54*'El og plugin hybrid'!I$16/1000)*$B16),('El og plugin hybrid'!I$68)))*(1+'El og plugin hybrid'!I$61)^-$A16,0)+IF('El og plugin hybrid'!I$29=0,0,(IF($A16&lt;='El og plugin hybrid'!I$60,'El og plugin hybrid'!I$54/'El og plugin hybrid'!I$29*IF('El og plugin hybrid'!I$70="plugin hybrid benzin",$C16,IF('El og plugin hybrid'!I$70="plugin hybrid diesel",$D16,0)),0))*(1+'El og plugin hybrid'!I$61)^-$A16))</f>
        <v>0</v>
      </c>
      <c r="J16" s="303"/>
      <c r="K16" s="303">
        <f>'El og plugin hybrid'!K$53*(IF($A16&lt;='El og plugin hybrid'!K$60,(IF('El og plugin hybrid'!K$68=0,(('El og plugin hybrid'!K$54*'El og plugin hybrid'!K$16/1000)*$B16),('El og plugin hybrid'!K$68)))*(1+'El og plugin hybrid'!K$61)^-$A16,0)+IF('El og plugin hybrid'!K$29=0,0,(IF($A16&lt;='El og plugin hybrid'!K$60,'El og plugin hybrid'!K$54/'El og plugin hybrid'!K$29*IF('El og plugin hybrid'!K$70="plugin hybrid benzin",$C16,IF('El og plugin hybrid'!K$70="plugin hybrid diesel",$D16,0)),0))*(1+'El og plugin hybrid'!K$61)^-$A16))</f>
        <v>0</v>
      </c>
      <c r="L16" s="303"/>
      <c r="M16" s="303">
        <f>'El og plugin hybrid'!M$53*(IF($A16&lt;='El og plugin hybrid'!M$60,(IF('El og plugin hybrid'!M$68=0,(('El og plugin hybrid'!M$54*'El og plugin hybrid'!M$16/1000)*$B16),('El og plugin hybrid'!M$68)))*(1+'El og plugin hybrid'!M$61)^-$A16,0)+IF('El og plugin hybrid'!M$29=0,0,(IF($A16&lt;='El og plugin hybrid'!M$60,'El og plugin hybrid'!M$54/'El og plugin hybrid'!M$29*IF('El og plugin hybrid'!M$70="plugin hybrid benzin",$C16,IF('El og plugin hybrid'!M$70="plugin hybrid diesel",$D16,0)),0))*(1+'El og plugin hybrid'!M$61)^-$A16))</f>
        <v>0</v>
      </c>
      <c r="N16" s="303"/>
      <c r="O16" s="303">
        <f>'El og plugin hybrid'!O$53*(IF($A16&lt;='El og plugin hybrid'!O$60,(IF('El og plugin hybrid'!O$68=0,(('El og plugin hybrid'!O$54*'El og plugin hybrid'!O$16/1000)*$B16),('El og plugin hybrid'!O$68)))*(1+'El og plugin hybrid'!O$61)^-$A16,0)+IF('El og plugin hybrid'!O$29=0,0,(IF($A16&lt;='El og plugin hybrid'!O$60,'El og plugin hybrid'!O$54/'El og plugin hybrid'!O$29*IF('El og plugin hybrid'!O$70="plugin hybrid benzin",$C16,IF('El og plugin hybrid'!O$70="plugin hybrid diesel",$D16,0)),0))*(1+'El og plugin hybrid'!O$61)^-$A16))</f>
        <v>0</v>
      </c>
      <c r="P16" s="303"/>
      <c r="Q16" s="303">
        <f>'El og plugin hybrid'!Q$53*(IF($A16&lt;='El og plugin hybrid'!Q$60,(IF('El og plugin hybrid'!Q$68=0,(('El og plugin hybrid'!Q$54*'El og plugin hybrid'!Q$16/1000)*$B16),('El og plugin hybrid'!Q$68)))*(1+'El og plugin hybrid'!Q$61)^-$A16,0)+IF('El og plugin hybrid'!Q$29=0,0,(IF($A16&lt;='El og plugin hybrid'!Q$60,'El og plugin hybrid'!Q$54/'El og plugin hybrid'!Q$29*IF('El og plugin hybrid'!Q$70="plugin hybrid benzin",$C16,IF('El og plugin hybrid'!Q$70="plugin hybrid diesel",$D16,0)),0))*(1+'El og plugin hybrid'!Q$61)^-$A16))</f>
        <v>0</v>
      </c>
      <c r="R16" s="303"/>
      <c r="S16" s="303">
        <f>'El og plugin hybrid'!S$53*(IF($A16&lt;='El og plugin hybrid'!S$60,(IF('El og plugin hybrid'!S$68=0,(('El og plugin hybrid'!S$54*'El og plugin hybrid'!S$16/1000)*$B16),('El og plugin hybrid'!S$68)))*(1+'El og plugin hybrid'!S$61)^-$A16,0)+IF('El og plugin hybrid'!S$29=0,0,(IF($A16&lt;='El og plugin hybrid'!S$60,'El og plugin hybrid'!S$54/'El og plugin hybrid'!S$29*IF('El og plugin hybrid'!S$70="plugin hybrid benzin",$C16,IF('El og plugin hybrid'!S$70="plugin hybrid diesel",$D16,0)),0))*(1+'El og plugin hybrid'!S$61)^-$A16))</f>
        <v>0</v>
      </c>
      <c r="U16" s="303">
        <f>'El og plugin hybrid'!U$53*(IF($A16&lt;='El og plugin hybrid'!U$60,(IF('El og plugin hybrid'!U$68=0,(('El og plugin hybrid'!U$54*'El og plugin hybrid'!U$16/1000)*$B16),('El og plugin hybrid'!U$68)))*(1+'El og plugin hybrid'!U$61)^-$A16,0)+IF('El og plugin hybrid'!U$29=0,0,(IF($A16&lt;='El og plugin hybrid'!U$60,'El og plugin hybrid'!U$54/'El og plugin hybrid'!U$29*IF('El og plugin hybrid'!U$70="plugin hybrid benzin",$C16,IF('El og plugin hybrid'!U$70="plugin hybrid diesel",$D16,0)),0))*(1+'El og plugin hybrid'!U$61)^-$A16))</f>
        <v>0</v>
      </c>
      <c r="W16" s="303">
        <f>'El og plugin hybrid'!W$53*(IF($A16&lt;='El og plugin hybrid'!W$60,(IF('El og plugin hybrid'!W$68=0,(('El og plugin hybrid'!W$54*'El og plugin hybrid'!W$16/1000)*$B16),('El og plugin hybrid'!W$68)))*(1+'El og plugin hybrid'!W$61)^-$A16,0)+IF('El og plugin hybrid'!W$29=0,0,(IF($A16&lt;='El og plugin hybrid'!W$60,'El og plugin hybrid'!W$54/'El og plugin hybrid'!W$29*IF('El og plugin hybrid'!W$70="plugin hybrid benzin",$C16,IF('El og plugin hybrid'!W$70="plugin hybrid diesel",$D16,0)),0))*(1+'El og plugin hybrid'!W$61)^-$A16))</f>
        <v>0</v>
      </c>
    </row>
    <row r="17" spans="1:26">
      <c r="A17" s="298">
        <f t="shared" si="1"/>
        <v>14</v>
      </c>
      <c r="B17" s="274">
        <f>((B16-Fremskrivninger!E21)*(1+IF('El og plugin hybrid'!$E$72="ja",'El og plugin hybrid'!$E$74,'El og plugin hybrid'!$E$76))+Fremskrivninger!E21)</f>
        <v>1.9852338715367401</v>
      </c>
      <c r="C17" s="299">
        <f>((C16-Fremskrivninger!N60)*(1+IF('El og plugin hybrid'!$E$78="ja",'El og plugin hybrid'!$E$80,'El og plugin hybrid'!$E$82))+Fremskrivninger!N60)</f>
        <v>9.5381596100643051</v>
      </c>
      <c r="D17" s="299">
        <f>((D16-Fremskrivninger!N104)*(1+IF('El og plugin hybrid'!$E$84="ja",'El og plugin hybrid'!$E$86,'El og plugin hybrid'!$E$88))+Fremskrivninger!N104)</f>
        <v>8.5315496350217614</v>
      </c>
      <c r="E17" s="303">
        <f>'El og plugin hybrid'!E$53*(IF($A17&lt;='El og plugin hybrid'!E$60,(IF('El og plugin hybrid'!E$68=0,(('El og plugin hybrid'!E$54*'El og plugin hybrid'!E$16/1000)*$B17),('El og plugin hybrid'!E$68)))*(1+'El og plugin hybrid'!E$61)^-$A17,0)+IF('El og plugin hybrid'!E$29=0,0,(IF($A17&lt;='El og plugin hybrid'!E$60,'El og plugin hybrid'!E$54/'El og plugin hybrid'!E$29*IF('El og plugin hybrid'!E$70="plugin hybrid benzin",$C17,IF('El og plugin hybrid'!E$70="plugin hybrid diesel",$D17,0)),0))*(1+'El og plugin hybrid'!E$61)^-$A17))</f>
        <v>0</v>
      </c>
      <c r="F17" s="303"/>
      <c r="G17" s="303">
        <f>'El og plugin hybrid'!G$53*(IF($A17&lt;='El og plugin hybrid'!G$60,(IF('El og plugin hybrid'!G$68=0,(('El og plugin hybrid'!G$54*'El og plugin hybrid'!G$16/1000)*$B17),('El og plugin hybrid'!G$68)))*(1+'El og plugin hybrid'!G$61)^-$A17,0)+IF('El og plugin hybrid'!G$29=0,0,(IF($A17&lt;='El og plugin hybrid'!G$60,'El og plugin hybrid'!G$54/'El og plugin hybrid'!G$29*IF('El og plugin hybrid'!G$70="plugin hybrid benzin",$C17,IF('El og plugin hybrid'!G$70="plugin hybrid diesel",$D17,0)),0))*(1+'El og plugin hybrid'!G$61)^-$A17))</f>
        <v>0</v>
      </c>
      <c r="H17" s="303"/>
      <c r="I17" s="303">
        <f>'El og plugin hybrid'!I$53*(IF($A17&lt;='El og plugin hybrid'!I$60,(IF('El og plugin hybrid'!I$68=0,(('El og plugin hybrid'!I$54*'El og plugin hybrid'!I$16/1000)*$B17),('El og plugin hybrid'!I$68)))*(1+'El og plugin hybrid'!I$61)^-$A17,0)+IF('El og plugin hybrid'!I$29=0,0,(IF($A17&lt;='El og plugin hybrid'!I$60,'El og plugin hybrid'!I$54/'El og plugin hybrid'!I$29*IF('El og plugin hybrid'!I$70="plugin hybrid benzin",$C17,IF('El og plugin hybrid'!I$70="plugin hybrid diesel",$D17,0)),0))*(1+'El og plugin hybrid'!I$61)^-$A17))</f>
        <v>0</v>
      </c>
      <c r="J17" s="303"/>
      <c r="K17" s="303">
        <f>'El og plugin hybrid'!K$53*(IF($A17&lt;='El og plugin hybrid'!K$60,(IF('El og plugin hybrid'!K$68=0,(('El og plugin hybrid'!K$54*'El og plugin hybrid'!K$16/1000)*$B17),('El og plugin hybrid'!K$68)))*(1+'El og plugin hybrid'!K$61)^-$A17,0)+IF('El og plugin hybrid'!K$29=0,0,(IF($A17&lt;='El og plugin hybrid'!K$60,'El og plugin hybrid'!K$54/'El og plugin hybrid'!K$29*IF('El og plugin hybrid'!K$70="plugin hybrid benzin",$C17,IF('El og plugin hybrid'!K$70="plugin hybrid diesel",$D17,0)),0))*(1+'El og plugin hybrid'!K$61)^-$A17))</f>
        <v>0</v>
      </c>
      <c r="L17" s="303"/>
      <c r="M17" s="303">
        <f>'El og plugin hybrid'!M$53*(IF($A17&lt;='El og plugin hybrid'!M$60,(IF('El og plugin hybrid'!M$68=0,(('El og plugin hybrid'!M$54*'El og plugin hybrid'!M$16/1000)*$B17),('El og plugin hybrid'!M$68)))*(1+'El og plugin hybrid'!M$61)^-$A17,0)+IF('El og plugin hybrid'!M$29=0,0,(IF($A17&lt;='El og plugin hybrid'!M$60,'El og plugin hybrid'!M$54/'El og plugin hybrid'!M$29*IF('El og plugin hybrid'!M$70="plugin hybrid benzin",$C17,IF('El og plugin hybrid'!M$70="plugin hybrid diesel",$D17,0)),0))*(1+'El og plugin hybrid'!M$61)^-$A17))</f>
        <v>0</v>
      </c>
      <c r="N17" s="303"/>
      <c r="O17" s="303">
        <f>'El og plugin hybrid'!O$53*(IF($A17&lt;='El og plugin hybrid'!O$60,(IF('El og plugin hybrid'!O$68=0,(('El og plugin hybrid'!O$54*'El og plugin hybrid'!O$16/1000)*$B17),('El og plugin hybrid'!O$68)))*(1+'El og plugin hybrid'!O$61)^-$A17,0)+IF('El og plugin hybrid'!O$29=0,0,(IF($A17&lt;='El og plugin hybrid'!O$60,'El og plugin hybrid'!O$54/'El og plugin hybrid'!O$29*IF('El og plugin hybrid'!O$70="plugin hybrid benzin",$C17,IF('El og plugin hybrid'!O$70="plugin hybrid diesel",$D17,0)),0))*(1+'El og plugin hybrid'!O$61)^-$A17))</f>
        <v>0</v>
      </c>
      <c r="P17" s="303"/>
      <c r="Q17" s="303">
        <f>'El og plugin hybrid'!Q$53*(IF($A17&lt;='El og plugin hybrid'!Q$60,(IF('El og plugin hybrid'!Q$68=0,(('El og plugin hybrid'!Q$54*'El og plugin hybrid'!Q$16/1000)*$B17),('El og plugin hybrid'!Q$68)))*(1+'El og plugin hybrid'!Q$61)^-$A17,0)+IF('El og plugin hybrid'!Q$29=0,0,(IF($A17&lt;='El og plugin hybrid'!Q$60,'El og plugin hybrid'!Q$54/'El og plugin hybrid'!Q$29*IF('El og plugin hybrid'!Q$70="plugin hybrid benzin",$C17,IF('El og plugin hybrid'!Q$70="plugin hybrid diesel",$D17,0)),0))*(1+'El og plugin hybrid'!Q$61)^-$A17))</f>
        <v>0</v>
      </c>
      <c r="R17" s="303"/>
      <c r="S17" s="303">
        <f>'El og plugin hybrid'!S$53*(IF($A17&lt;='El og plugin hybrid'!S$60,(IF('El og plugin hybrid'!S$68=0,(('El og plugin hybrid'!S$54*'El og plugin hybrid'!S$16/1000)*$B17),('El og plugin hybrid'!S$68)))*(1+'El og plugin hybrid'!S$61)^-$A17,0)+IF('El og plugin hybrid'!S$29=0,0,(IF($A17&lt;='El og plugin hybrid'!S$60,'El og plugin hybrid'!S$54/'El og plugin hybrid'!S$29*IF('El og plugin hybrid'!S$70="plugin hybrid benzin",$C17,IF('El og plugin hybrid'!S$70="plugin hybrid diesel",$D17,0)),0))*(1+'El og plugin hybrid'!S$61)^-$A17))</f>
        <v>0</v>
      </c>
      <c r="U17" s="303">
        <f>'El og plugin hybrid'!U$53*(IF($A17&lt;='El og plugin hybrid'!U$60,(IF('El og plugin hybrid'!U$68=0,(('El og plugin hybrid'!U$54*'El og plugin hybrid'!U$16/1000)*$B17),('El og plugin hybrid'!U$68)))*(1+'El og plugin hybrid'!U$61)^-$A17,0)+IF('El og plugin hybrid'!U$29=0,0,(IF($A17&lt;='El og plugin hybrid'!U$60,'El og plugin hybrid'!U$54/'El og plugin hybrid'!U$29*IF('El og plugin hybrid'!U$70="plugin hybrid benzin",$C17,IF('El og plugin hybrid'!U$70="plugin hybrid diesel",$D17,0)),0))*(1+'El og plugin hybrid'!U$61)^-$A17))</f>
        <v>0</v>
      </c>
      <c r="W17" s="303">
        <f>'El og plugin hybrid'!W$53*(IF($A17&lt;='El og plugin hybrid'!W$60,(IF('El og plugin hybrid'!W$68=0,(('El og plugin hybrid'!W$54*'El og plugin hybrid'!W$16/1000)*$B17),('El og plugin hybrid'!W$68)))*(1+'El og plugin hybrid'!W$61)^-$A17,0)+IF('El og plugin hybrid'!W$29=0,0,(IF($A17&lt;='El og plugin hybrid'!W$60,'El og plugin hybrid'!W$54/'El og plugin hybrid'!W$29*IF('El og plugin hybrid'!W$70="plugin hybrid benzin",$C17,IF('El og plugin hybrid'!W$70="plugin hybrid diesel",$D17,0)),0))*(1+'El og plugin hybrid'!W$61)^-$A17))</f>
        <v>0</v>
      </c>
    </row>
    <row r="18" spans="1:26">
      <c r="A18" s="298">
        <f t="shared" si="1"/>
        <v>15</v>
      </c>
      <c r="B18" s="274">
        <f>((B17-Fremskrivninger!E22)*(1+IF('El og plugin hybrid'!$E$72="ja",'El og plugin hybrid'!$E$74,'El og plugin hybrid'!$E$76))+Fremskrivninger!E22)</f>
        <v>1.9968943771914036</v>
      </c>
      <c r="C18" s="299">
        <f>((C17-Fremskrivninger!N61)*(1+IF('El og plugin hybrid'!$E$78="ja",'El og plugin hybrid'!$E$80,'El og plugin hybrid'!$E$82))+Fremskrivninger!N61)</f>
        <v>9.6059660286442003</v>
      </c>
      <c r="D18" s="299">
        <f>((D17-Fremskrivninger!N105)*(1+IF('El og plugin hybrid'!$E$84="ja",'El og plugin hybrid'!$E$86,'El og plugin hybrid'!$E$88))+Fremskrivninger!N105)</f>
        <v>8.6082771047295772</v>
      </c>
      <c r="E18" s="303">
        <f>'El og plugin hybrid'!E$53*(IF($A18&lt;='El og plugin hybrid'!E$60,(IF('El og plugin hybrid'!E$68=0,(('El og plugin hybrid'!E$54*'El og plugin hybrid'!E$16/1000)*$B18),('El og plugin hybrid'!E$68)))*(1+'El og plugin hybrid'!E$61)^-$A18,0)+IF('El og plugin hybrid'!E$29=0,0,(IF($A18&lt;='El og plugin hybrid'!E$60,'El og plugin hybrid'!E$54/'El og plugin hybrid'!E$29*IF('El og plugin hybrid'!E$70="plugin hybrid benzin",$C18,IF('El og plugin hybrid'!E$70="plugin hybrid diesel",$D18,0)),0))*(1+'El og plugin hybrid'!E$61)^-$A18))</f>
        <v>0</v>
      </c>
      <c r="F18" s="303"/>
      <c r="G18" s="303">
        <f>'El og plugin hybrid'!G$53*(IF($A18&lt;='El og plugin hybrid'!G$60,(IF('El og plugin hybrid'!G$68=0,(('El og plugin hybrid'!G$54*'El og plugin hybrid'!G$16/1000)*$B18),('El og plugin hybrid'!G$68)))*(1+'El og plugin hybrid'!G$61)^-$A18,0)+IF('El og plugin hybrid'!G$29=0,0,(IF($A18&lt;='El og plugin hybrid'!G$60,'El og plugin hybrid'!G$54/'El og plugin hybrid'!G$29*IF('El og plugin hybrid'!G$70="plugin hybrid benzin",$C18,IF('El og plugin hybrid'!G$70="plugin hybrid diesel",$D18,0)),0))*(1+'El og plugin hybrid'!G$61)^-$A18))</f>
        <v>0</v>
      </c>
      <c r="H18" s="303"/>
      <c r="I18" s="303">
        <f>'El og plugin hybrid'!I$53*(IF($A18&lt;='El og plugin hybrid'!I$60,(IF('El og plugin hybrid'!I$68=0,(('El og plugin hybrid'!I$54*'El og plugin hybrid'!I$16/1000)*$B18),('El og plugin hybrid'!I$68)))*(1+'El og plugin hybrid'!I$61)^-$A18,0)+IF('El og plugin hybrid'!I$29=0,0,(IF($A18&lt;='El og plugin hybrid'!I$60,'El og plugin hybrid'!I$54/'El og plugin hybrid'!I$29*IF('El og plugin hybrid'!I$70="plugin hybrid benzin",$C18,IF('El og plugin hybrid'!I$70="plugin hybrid diesel",$D18,0)),0))*(1+'El og plugin hybrid'!I$61)^-$A18))</f>
        <v>0</v>
      </c>
      <c r="J18" s="303"/>
      <c r="K18" s="303">
        <f>'El og plugin hybrid'!K$53*(IF($A18&lt;='El og plugin hybrid'!K$60,(IF('El og plugin hybrid'!K$68=0,(('El og plugin hybrid'!K$54*'El og plugin hybrid'!K$16/1000)*$B18),('El og plugin hybrid'!K$68)))*(1+'El og plugin hybrid'!K$61)^-$A18,0)+IF('El og plugin hybrid'!K$29=0,0,(IF($A18&lt;='El og plugin hybrid'!K$60,'El og plugin hybrid'!K$54/'El og plugin hybrid'!K$29*IF('El og plugin hybrid'!K$70="plugin hybrid benzin",$C18,IF('El og plugin hybrid'!K$70="plugin hybrid diesel",$D18,0)),0))*(1+'El og plugin hybrid'!K$61)^-$A18))</f>
        <v>0</v>
      </c>
      <c r="L18" s="303"/>
      <c r="M18" s="303">
        <f>'El og plugin hybrid'!M$53*(IF($A18&lt;='El og plugin hybrid'!M$60,(IF('El og plugin hybrid'!M$68=0,(('El og plugin hybrid'!M$54*'El og plugin hybrid'!M$16/1000)*$B18),('El og plugin hybrid'!M$68)))*(1+'El og plugin hybrid'!M$61)^-$A18,0)+IF('El og plugin hybrid'!M$29=0,0,(IF($A18&lt;='El og plugin hybrid'!M$60,'El og plugin hybrid'!M$54/'El og plugin hybrid'!M$29*IF('El og plugin hybrid'!M$70="plugin hybrid benzin",$C18,IF('El og plugin hybrid'!M$70="plugin hybrid diesel",$D18,0)),0))*(1+'El og plugin hybrid'!M$61)^-$A18))</f>
        <v>0</v>
      </c>
      <c r="N18" s="303"/>
      <c r="O18" s="303">
        <f>'El og plugin hybrid'!O$53*(IF($A18&lt;='El og plugin hybrid'!O$60,(IF('El og plugin hybrid'!O$68=0,(('El og plugin hybrid'!O$54*'El og plugin hybrid'!O$16/1000)*$B18),('El og plugin hybrid'!O$68)))*(1+'El og plugin hybrid'!O$61)^-$A18,0)+IF('El og plugin hybrid'!O$29=0,0,(IF($A18&lt;='El og plugin hybrid'!O$60,'El og plugin hybrid'!O$54/'El og plugin hybrid'!O$29*IF('El og plugin hybrid'!O$70="plugin hybrid benzin",$C18,IF('El og plugin hybrid'!O$70="plugin hybrid diesel",$D18,0)),0))*(1+'El og plugin hybrid'!O$61)^-$A18))</f>
        <v>0</v>
      </c>
      <c r="P18" s="303"/>
      <c r="Q18" s="303">
        <f>'El og plugin hybrid'!Q$53*(IF($A18&lt;='El og plugin hybrid'!Q$60,(IF('El og plugin hybrid'!Q$68=0,(('El og plugin hybrid'!Q$54*'El og plugin hybrid'!Q$16/1000)*$B18),('El og plugin hybrid'!Q$68)))*(1+'El og plugin hybrid'!Q$61)^-$A18,0)+IF('El og plugin hybrid'!Q$29=0,0,(IF($A18&lt;='El og plugin hybrid'!Q$60,'El og plugin hybrid'!Q$54/'El og plugin hybrid'!Q$29*IF('El og plugin hybrid'!Q$70="plugin hybrid benzin",$C18,IF('El og plugin hybrid'!Q$70="plugin hybrid diesel",$D18,0)),0))*(1+'El og plugin hybrid'!Q$61)^-$A18))</f>
        <v>0</v>
      </c>
      <c r="R18" s="303"/>
      <c r="S18" s="303">
        <f>'El og plugin hybrid'!S$53*(IF($A18&lt;='El og plugin hybrid'!S$60,(IF('El og plugin hybrid'!S$68=0,(('El og plugin hybrid'!S$54*'El og plugin hybrid'!S$16/1000)*$B18),('El og plugin hybrid'!S$68)))*(1+'El og plugin hybrid'!S$61)^-$A18,0)+IF('El og plugin hybrid'!S$29=0,0,(IF($A18&lt;='El og plugin hybrid'!S$60,'El og plugin hybrid'!S$54/'El og plugin hybrid'!S$29*IF('El og plugin hybrid'!S$70="plugin hybrid benzin",$C18,IF('El og plugin hybrid'!S$70="plugin hybrid diesel",$D18,0)),0))*(1+'El og plugin hybrid'!S$61)^-$A18))</f>
        <v>0</v>
      </c>
      <c r="U18" s="303">
        <f>'El og plugin hybrid'!U$53*(IF($A18&lt;='El og plugin hybrid'!U$60,(IF('El og plugin hybrid'!U$68=0,(('El og plugin hybrid'!U$54*'El og plugin hybrid'!U$16/1000)*$B18),('El og plugin hybrid'!U$68)))*(1+'El og plugin hybrid'!U$61)^-$A18,0)+IF('El og plugin hybrid'!U$29=0,0,(IF($A18&lt;='El og plugin hybrid'!U$60,'El og plugin hybrid'!U$54/'El og plugin hybrid'!U$29*IF('El og plugin hybrid'!U$70="plugin hybrid benzin",$C18,IF('El og plugin hybrid'!U$70="plugin hybrid diesel",$D18,0)),0))*(1+'El og plugin hybrid'!U$61)^-$A18))</f>
        <v>0</v>
      </c>
      <c r="W18" s="303">
        <f>'El og plugin hybrid'!W$53*(IF($A18&lt;='El og plugin hybrid'!W$60,(IF('El og plugin hybrid'!W$68=0,(('El og plugin hybrid'!W$54*'El og plugin hybrid'!W$16/1000)*$B18),('El og plugin hybrid'!W$68)))*(1+'El og plugin hybrid'!W$61)^-$A18,0)+IF('El og plugin hybrid'!W$29=0,0,(IF($A18&lt;='El og plugin hybrid'!W$60,'El og plugin hybrid'!W$54/'El og plugin hybrid'!W$29*IF('El og plugin hybrid'!W$70="plugin hybrid benzin",$C18,IF('El og plugin hybrid'!W$70="plugin hybrid diesel",$D18,0)),0))*(1+'El og plugin hybrid'!W$61)^-$A18))</f>
        <v>0</v>
      </c>
    </row>
    <row r="19" spans="1:26">
      <c r="A19" s="298">
        <f t="shared" si="1"/>
        <v>16</v>
      </c>
      <c r="B19" s="274">
        <f>((B18-Fremskrivninger!E23)*(1+IF('El og plugin hybrid'!$E$72="ja",'El og plugin hybrid'!$E$74,'El og plugin hybrid'!$E$76))+Fremskrivninger!E23)</f>
        <v>2.0087496132905001</v>
      </c>
      <c r="C19" s="299">
        <f>((C18-Fremskrivninger!N62)*(1+IF('El og plugin hybrid'!$E$78="ja",'El og plugin hybrid'!$E$80,'El og plugin hybrid'!$E$82))+Fremskrivninger!N62)</f>
        <v>9.6747149564423545</v>
      </c>
      <c r="D19" s="299">
        <f>((D18-Fremskrivninger!N106)*(1+IF('El og plugin hybrid'!$E$84="ja",'El og plugin hybrid'!$E$86,'El og plugin hybrid'!$E$88))+Fremskrivninger!N106)</f>
        <v>8.6861171227481559</v>
      </c>
      <c r="E19" s="303">
        <f>'El og plugin hybrid'!E$53*(IF($A19&lt;='El og plugin hybrid'!E$60,(IF('El og plugin hybrid'!E$68=0,(('El og plugin hybrid'!E$54*'El og plugin hybrid'!E$16/1000)*$B19),('El og plugin hybrid'!E$68)))*(1+'El og plugin hybrid'!E$61)^-$A19,0)+IF('El og plugin hybrid'!E$29=0,0,(IF($A19&lt;='El og plugin hybrid'!E$60,'El og plugin hybrid'!E$54/'El og plugin hybrid'!E$29*IF('El og plugin hybrid'!E$70="plugin hybrid benzin",$C19,IF('El og plugin hybrid'!E$70="plugin hybrid diesel",$D19,0)),0))*(1+'El og plugin hybrid'!E$61)^-$A19))</f>
        <v>0</v>
      </c>
      <c r="F19" s="303"/>
      <c r="G19" s="303">
        <f>'El og plugin hybrid'!G$53*(IF($A19&lt;='El og plugin hybrid'!G$60,(IF('El og plugin hybrid'!G$68=0,(('El og plugin hybrid'!G$54*'El og plugin hybrid'!G$16/1000)*$B19),('El og plugin hybrid'!G$68)))*(1+'El og plugin hybrid'!G$61)^-$A19,0)+IF('El og plugin hybrid'!G$29=0,0,(IF($A19&lt;='El og plugin hybrid'!G$60,'El og plugin hybrid'!G$54/'El og plugin hybrid'!G$29*IF('El og plugin hybrid'!G$70="plugin hybrid benzin",$C19,IF('El og plugin hybrid'!G$70="plugin hybrid diesel",$D19,0)),0))*(1+'El og plugin hybrid'!G$61)^-$A19))</f>
        <v>0</v>
      </c>
      <c r="H19" s="303"/>
      <c r="I19" s="303">
        <f>'El og plugin hybrid'!I$53*(IF($A19&lt;='El og plugin hybrid'!I$60,(IF('El og plugin hybrid'!I$68=0,(('El og plugin hybrid'!I$54*'El og plugin hybrid'!I$16/1000)*$B19),('El og plugin hybrid'!I$68)))*(1+'El og plugin hybrid'!I$61)^-$A19,0)+IF('El og plugin hybrid'!I$29=0,0,(IF($A19&lt;='El og plugin hybrid'!I$60,'El og plugin hybrid'!I$54/'El og plugin hybrid'!I$29*IF('El og plugin hybrid'!I$70="plugin hybrid benzin",$C19,IF('El og plugin hybrid'!I$70="plugin hybrid diesel",$D19,0)),0))*(1+'El og plugin hybrid'!I$61)^-$A19))</f>
        <v>0</v>
      </c>
      <c r="J19" s="303"/>
      <c r="K19" s="303">
        <f>'El og plugin hybrid'!K$53*(IF($A19&lt;='El og plugin hybrid'!K$60,(IF('El og plugin hybrid'!K$68=0,(('El og plugin hybrid'!K$54*'El og plugin hybrid'!K$16/1000)*$B19),('El og plugin hybrid'!K$68)))*(1+'El og plugin hybrid'!K$61)^-$A19,0)+IF('El og plugin hybrid'!K$29=0,0,(IF($A19&lt;='El og plugin hybrid'!K$60,'El og plugin hybrid'!K$54/'El og plugin hybrid'!K$29*IF('El og plugin hybrid'!K$70="plugin hybrid benzin",$C19,IF('El og plugin hybrid'!K$70="plugin hybrid diesel",$D19,0)),0))*(1+'El og plugin hybrid'!K$61)^-$A19))</f>
        <v>0</v>
      </c>
      <c r="L19" s="303"/>
      <c r="M19" s="303">
        <f>'El og plugin hybrid'!M$53*(IF($A19&lt;='El og plugin hybrid'!M$60,(IF('El og plugin hybrid'!M$68=0,(('El og plugin hybrid'!M$54*'El og plugin hybrid'!M$16/1000)*$B19),('El og plugin hybrid'!M$68)))*(1+'El og plugin hybrid'!M$61)^-$A19,0)+IF('El og plugin hybrid'!M$29=0,0,(IF($A19&lt;='El og plugin hybrid'!M$60,'El og plugin hybrid'!M$54/'El og plugin hybrid'!M$29*IF('El og plugin hybrid'!M$70="plugin hybrid benzin",$C19,IF('El og plugin hybrid'!M$70="plugin hybrid diesel",$D19,0)),0))*(1+'El og plugin hybrid'!M$61)^-$A19))</f>
        <v>0</v>
      </c>
      <c r="N19" s="303"/>
      <c r="O19" s="303">
        <f>'El og plugin hybrid'!O$53*(IF($A19&lt;='El og plugin hybrid'!O$60,(IF('El og plugin hybrid'!O$68=0,(('El og plugin hybrid'!O$54*'El og plugin hybrid'!O$16/1000)*$B19),('El og plugin hybrid'!O$68)))*(1+'El og plugin hybrid'!O$61)^-$A19,0)+IF('El og plugin hybrid'!O$29=0,0,(IF($A19&lt;='El og plugin hybrid'!O$60,'El og plugin hybrid'!O$54/'El og plugin hybrid'!O$29*IF('El og plugin hybrid'!O$70="plugin hybrid benzin",$C19,IF('El og plugin hybrid'!O$70="plugin hybrid diesel",$D19,0)),0))*(1+'El og plugin hybrid'!O$61)^-$A19))</f>
        <v>0</v>
      </c>
      <c r="P19" s="303"/>
      <c r="Q19" s="303">
        <f>'El og plugin hybrid'!Q$53*(IF($A19&lt;='El og plugin hybrid'!Q$60,(IF('El og plugin hybrid'!Q$68=0,(('El og plugin hybrid'!Q$54*'El og plugin hybrid'!Q$16/1000)*$B19),('El og plugin hybrid'!Q$68)))*(1+'El og plugin hybrid'!Q$61)^-$A19,0)+IF('El og plugin hybrid'!Q$29=0,0,(IF($A19&lt;='El og plugin hybrid'!Q$60,'El og plugin hybrid'!Q$54/'El og plugin hybrid'!Q$29*IF('El og plugin hybrid'!Q$70="plugin hybrid benzin",$C19,IF('El og plugin hybrid'!Q$70="plugin hybrid diesel",$D19,0)),0))*(1+'El og plugin hybrid'!Q$61)^-$A19))</f>
        <v>0</v>
      </c>
      <c r="R19" s="303"/>
      <c r="S19" s="303">
        <f>'El og plugin hybrid'!S$53*(IF($A19&lt;='El og plugin hybrid'!S$60,(IF('El og plugin hybrid'!S$68=0,(('El og plugin hybrid'!S$54*'El og plugin hybrid'!S$16/1000)*$B19),('El og plugin hybrid'!S$68)))*(1+'El og plugin hybrid'!S$61)^-$A19,0)+IF('El og plugin hybrid'!S$29=0,0,(IF($A19&lt;='El og plugin hybrid'!S$60,'El og plugin hybrid'!S$54/'El og plugin hybrid'!S$29*IF('El og plugin hybrid'!S$70="plugin hybrid benzin",$C19,IF('El og plugin hybrid'!S$70="plugin hybrid diesel",$D19,0)),0))*(1+'El og plugin hybrid'!S$61)^-$A19))</f>
        <v>0</v>
      </c>
      <c r="U19" s="303">
        <f>'El og plugin hybrid'!U$53*(IF($A19&lt;='El og plugin hybrid'!U$60,(IF('El og plugin hybrid'!U$68=0,(('El og plugin hybrid'!U$54*'El og plugin hybrid'!U$16/1000)*$B19),('El og plugin hybrid'!U$68)))*(1+'El og plugin hybrid'!U$61)^-$A19,0)+IF('El og plugin hybrid'!U$29=0,0,(IF($A19&lt;='El og plugin hybrid'!U$60,'El og plugin hybrid'!U$54/'El og plugin hybrid'!U$29*IF('El og plugin hybrid'!U$70="plugin hybrid benzin",$C19,IF('El og plugin hybrid'!U$70="plugin hybrid diesel",$D19,0)),0))*(1+'El og plugin hybrid'!U$61)^-$A19))</f>
        <v>0</v>
      </c>
      <c r="W19" s="303">
        <f>'El og plugin hybrid'!W$53*(IF($A19&lt;='El og plugin hybrid'!W$60,(IF('El og plugin hybrid'!W$68=0,(('El og plugin hybrid'!W$54*'El og plugin hybrid'!W$16/1000)*$B19),('El og plugin hybrid'!W$68)))*(1+'El og plugin hybrid'!W$61)^-$A19,0)+IF('El og plugin hybrid'!W$29=0,0,(IF($A19&lt;='El og plugin hybrid'!W$60,'El og plugin hybrid'!W$54/'El og plugin hybrid'!W$29*IF('El og plugin hybrid'!W$70="plugin hybrid benzin",$C19,IF('El og plugin hybrid'!W$70="plugin hybrid diesel",$D19,0)),0))*(1+'El og plugin hybrid'!W$61)^-$A19))</f>
        <v>0</v>
      </c>
    </row>
    <row r="20" spans="1:26">
      <c r="A20" s="298">
        <f t="shared" si="1"/>
        <v>17</v>
      </c>
      <c r="B20" s="274">
        <f>((B19-Fremskrivninger!E24)*(1+IF('El og plugin hybrid'!$E$72="ja",'El og plugin hybrid'!$E$74,'El og plugin hybrid'!$E$76))+Fremskrivninger!E24)</f>
        <v>2.0208028318324516</v>
      </c>
      <c r="C20" s="299">
        <f>((C19-Fremskrivninger!N63)*(1+IF('El og plugin hybrid'!$E$78="ja",'El og plugin hybrid'!$E$80,'El og plugin hybrid'!$E$82))+Fremskrivninger!N63)</f>
        <v>9.7444194943369027</v>
      </c>
      <c r="D20" s="299">
        <f>((D19-Fremskrivninger!N107)*(1+IF('El og plugin hybrid'!$E$84="ja",'El og plugin hybrid'!$E$86,'El og plugin hybrid'!$E$88))+Fremskrivninger!N107)</f>
        <v>8.7650858210280038</v>
      </c>
      <c r="E20" s="303">
        <f>'El og plugin hybrid'!E$53*(IF($A20&lt;='El og plugin hybrid'!E$60,(IF('El og plugin hybrid'!E$68=0,(('El og plugin hybrid'!E$54*'El og plugin hybrid'!E$16/1000)*$B20),('El og plugin hybrid'!E$68)))*(1+'El og plugin hybrid'!E$61)^-$A20,0)+IF('El og plugin hybrid'!E$29=0,0,(IF($A20&lt;='El og plugin hybrid'!E$60,'El og plugin hybrid'!E$54/'El og plugin hybrid'!E$29*IF('El og plugin hybrid'!E$70="plugin hybrid benzin",$C20,IF('El og plugin hybrid'!E$70="plugin hybrid diesel",$D20,0)),0))*(1+'El og plugin hybrid'!E$61)^-$A20))</f>
        <v>0</v>
      </c>
      <c r="F20" s="303"/>
      <c r="G20" s="303">
        <f>'El og plugin hybrid'!G$53*(IF($A20&lt;='El og plugin hybrid'!G$60,(IF('El og plugin hybrid'!G$68=0,(('El og plugin hybrid'!G$54*'El og plugin hybrid'!G$16/1000)*$B20),('El og plugin hybrid'!G$68)))*(1+'El og plugin hybrid'!G$61)^-$A20,0)+IF('El og plugin hybrid'!G$29=0,0,(IF($A20&lt;='El og plugin hybrid'!G$60,'El og plugin hybrid'!G$54/'El og plugin hybrid'!G$29*IF('El og plugin hybrid'!G$70="plugin hybrid benzin",$C20,IF('El og plugin hybrid'!G$70="plugin hybrid diesel",$D20,0)),0))*(1+'El og plugin hybrid'!G$61)^-$A20))</f>
        <v>0</v>
      </c>
      <c r="H20" s="303"/>
      <c r="I20" s="303">
        <f>'El og plugin hybrid'!I$53*(IF($A20&lt;='El og plugin hybrid'!I$60,(IF('El og plugin hybrid'!I$68=0,(('El og plugin hybrid'!I$54*'El og plugin hybrid'!I$16/1000)*$B20),('El og plugin hybrid'!I$68)))*(1+'El og plugin hybrid'!I$61)^-$A20,0)+IF('El og plugin hybrid'!I$29=0,0,(IF($A20&lt;='El og plugin hybrid'!I$60,'El og plugin hybrid'!I$54/'El og plugin hybrid'!I$29*IF('El og plugin hybrid'!I$70="plugin hybrid benzin",$C20,IF('El og plugin hybrid'!I$70="plugin hybrid diesel",$D20,0)),0))*(1+'El og plugin hybrid'!I$61)^-$A20))</f>
        <v>0</v>
      </c>
      <c r="J20" s="303"/>
      <c r="K20" s="303">
        <f>'El og plugin hybrid'!K$53*(IF($A20&lt;='El og plugin hybrid'!K$60,(IF('El og plugin hybrid'!K$68=0,(('El og plugin hybrid'!K$54*'El og plugin hybrid'!K$16/1000)*$B20),('El og plugin hybrid'!K$68)))*(1+'El og plugin hybrid'!K$61)^-$A20,0)+IF('El og plugin hybrid'!K$29=0,0,(IF($A20&lt;='El og plugin hybrid'!K$60,'El og plugin hybrid'!K$54/'El og plugin hybrid'!K$29*IF('El og plugin hybrid'!K$70="plugin hybrid benzin",$C20,IF('El og plugin hybrid'!K$70="plugin hybrid diesel",$D20,0)),0))*(1+'El og plugin hybrid'!K$61)^-$A20))</f>
        <v>0</v>
      </c>
      <c r="L20" s="303"/>
      <c r="M20" s="303">
        <f>'El og plugin hybrid'!M$53*(IF($A20&lt;='El og plugin hybrid'!M$60,(IF('El og plugin hybrid'!M$68=0,(('El og plugin hybrid'!M$54*'El og plugin hybrid'!M$16/1000)*$B20),('El og plugin hybrid'!M$68)))*(1+'El og plugin hybrid'!M$61)^-$A20,0)+IF('El og plugin hybrid'!M$29=0,0,(IF($A20&lt;='El og plugin hybrid'!M$60,'El og plugin hybrid'!M$54/'El og plugin hybrid'!M$29*IF('El og plugin hybrid'!M$70="plugin hybrid benzin",$C20,IF('El og plugin hybrid'!M$70="plugin hybrid diesel",$D20,0)),0))*(1+'El og plugin hybrid'!M$61)^-$A20))</f>
        <v>0</v>
      </c>
      <c r="N20" s="303"/>
      <c r="O20" s="303">
        <f>'El og plugin hybrid'!O$53*(IF($A20&lt;='El og plugin hybrid'!O$60,(IF('El og plugin hybrid'!O$68=0,(('El og plugin hybrid'!O$54*'El og plugin hybrid'!O$16/1000)*$B20),('El og plugin hybrid'!O$68)))*(1+'El og plugin hybrid'!O$61)^-$A20,0)+IF('El og plugin hybrid'!O$29=0,0,(IF($A20&lt;='El og plugin hybrid'!O$60,'El og plugin hybrid'!O$54/'El og plugin hybrid'!O$29*IF('El og plugin hybrid'!O$70="plugin hybrid benzin",$C20,IF('El og plugin hybrid'!O$70="plugin hybrid diesel",$D20,0)),0))*(1+'El og plugin hybrid'!O$61)^-$A20))</f>
        <v>0</v>
      </c>
      <c r="P20" s="303"/>
      <c r="Q20" s="303">
        <f>'El og plugin hybrid'!Q$53*(IF($A20&lt;='El og plugin hybrid'!Q$60,(IF('El og plugin hybrid'!Q$68=0,(('El og plugin hybrid'!Q$54*'El og plugin hybrid'!Q$16/1000)*$B20),('El og plugin hybrid'!Q$68)))*(1+'El og plugin hybrid'!Q$61)^-$A20,0)+IF('El og plugin hybrid'!Q$29=0,0,(IF($A20&lt;='El og plugin hybrid'!Q$60,'El og plugin hybrid'!Q$54/'El og plugin hybrid'!Q$29*IF('El og plugin hybrid'!Q$70="plugin hybrid benzin",$C20,IF('El og plugin hybrid'!Q$70="plugin hybrid diesel",$D20,0)),0))*(1+'El og plugin hybrid'!Q$61)^-$A20))</f>
        <v>0</v>
      </c>
      <c r="R20" s="303"/>
      <c r="S20" s="303">
        <f>'El og plugin hybrid'!S$53*(IF($A20&lt;='El og plugin hybrid'!S$60,(IF('El og plugin hybrid'!S$68=0,(('El og plugin hybrid'!S$54*'El og plugin hybrid'!S$16/1000)*$B20),('El og plugin hybrid'!S$68)))*(1+'El og plugin hybrid'!S$61)^-$A20,0)+IF('El og plugin hybrid'!S$29=0,0,(IF($A20&lt;='El og plugin hybrid'!S$60,'El og plugin hybrid'!S$54/'El og plugin hybrid'!S$29*IF('El og plugin hybrid'!S$70="plugin hybrid benzin",$C20,IF('El og plugin hybrid'!S$70="plugin hybrid diesel",$D20,0)),0))*(1+'El og plugin hybrid'!S$61)^-$A20))</f>
        <v>0</v>
      </c>
      <c r="U20" s="303">
        <f>'El og plugin hybrid'!U$53*(IF($A20&lt;='El og plugin hybrid'!U$60,(IF('El og plugin hybrid'!U$68=0,(('El og plugin hybrid'!U$54*'El og plugin hybrid'!U$16/1000)*$B20),('El og plugin hybrid'!U$68)))*(1+'El og plugin hybrid'!U$61)^-$A20,0)+IF('El og plugin hybrid'!U$29=0,0,(IF($A20&lt;='El og plugin hybrid'!U$60,'El og plugin hybrid'!U$54/'El og plugin hybrid'!U$29*IF('El og plugin hybrid'!U$70="plugin hybrid benzin",$C20,IF('El og plugin hybrid'!U$70="plugin hybrid diesel",$D20,0)),0))*(1+'El og plugin hybrid'!U$61)^-$A20))</f>
        <v>0</v>
      </c>
      <c r="W20" s="303">
        <f>'El og plugin hybrid'!W$53*(IF($A20&lt;='El og plugin hybrid'!W$60,(IF('El og plugin hybrid'!W$68=0,(('El og plugin hybrid'!W$54*'El og plugin hybrid'!W$16/1000)*$B20),('El og plugin hybrid'!W$68)))*(1+'El og plugin hybrid'!W$61)^-$A20,0)+IF('El og plugin hybrid'!W$29=0,0,(IF($A20&lt;='El og plugin hybrid'!W$60,'El og plugin hybrid'!W$54/'El og plugin hybrid'!W$29*IF('El og plugin hybrid'!W$70="plugin hybrid benzin",$C20,IF('El og plugin hybrid'!W$70="plugin hybrid diesel",$D20,0)),0))*(1+'El og plugin hybrid'!W$61)^-$A20))</f>
        <v>0</v>
      </c>
    </row>
    <row r="21" spans="1:26">
      <c r="A21" s="298">
        <f t="shared" ref="A21:A23" si="2">A20+1</f>
        <v>18</v>
      </c>
      <c r="B21" s="274">
        <f>((B20-Fremskrivninger!E25)*(1+IF('El og plugin hybrid'!$E$72="ja",'El og plugin hybrid'!$E$74,'El og plugin hybrid'!$E$76))+Fremskrivninger!E25)</f>
        <v>2.0330573391240536</v>
      </c>
      <c r="C21" s="299">
        <f>((C20-Fremskrivninger!N64)*(1+IF('El og plugin hybrid'!$E$78="ja",'El og plugin hybrid'!$E$80,'El og plugin hybrid'!$E$82))+Fremskrivninger!N64)</f>
        <v>9.8150929253081856</v>
      </c>
      <c r="D21" s="299">
        <f>((D20-Fremskrivninger!N108)*(1+IF('El og plugin hybrid'!$E$84="ja",'El og plugin hybrid'!$E$86,'El og plugin hybrid'!$E$88))+Fremskrivninger!N108)</f>
        <v>8.8451995654329085</v>
      </c>
      <c r="E21" s="303">
        <f>'El og plugin hybrid'!E$53*(IF($A21&lt;='El og plugin hybrid'!E$60,(IF('El og plugin hybrid'!E$68=0,(('El og plugin hybrid'!E$54*'El og plugin hybrid'!E$16/1000)*$B21),('El og plugin hybrid'!E$68)))*(1+'El og plugin hybrid'!E$61)^-$A21,0)+IF('El og plugin hybrid'!E$29=0,0,(IF($A21&lt;='El og plugin hybrid'!E$60,'El og plugin hybrid'!E$54/'El og plugin hybrid'!E$29*IF('El og plugin hybrid'!E$70="plugin hybrid benzin",$C21,IF('El og plugin hybrid'!E$70="plugin hybrid diesel",$D21,0)),0))*(1+'El og plugin hybrid'!E$61)^-$A21))</f>
        <v>0</v>
      </c>
      <c r="F21" s="303"/>
      <c r="G21" s="303">
        <f>'El og plugin hybrid'!G$53*(IF($A21&lt;='El og plugin hybrid'!G$60,(IF('El og plugin hybrid'!G$68=0,(('El og plugin hybrid'!G$54*'El og plugin hybrid'!G$16/1000)*$B21),('El og plugin hybrid'!G$68)))*(1+'El og plugin hybrid'!G$61)^-$A21,0)+IF('El og plugin hybrid'!G$29=0,0,(IF($A21&lt;='El og plugin hybrid'!G$60,'El og plugin hybrid'!G$54/'El og plugin hybrid'!G$29*IF('El og plugin hybrid'!G$70="plugin hybrid benzin",$C21,IF('El og plugin hybrid'!G$70="plugin hybrid diesel",$D21,0)),0))*(1+'El og plugin hybrid'!G$61)^-$A21))</f>
        <v>0</v>
      </c>
      <c r="H21" s="303"/>
      <c r="I21" s="303">
        <f>'El og plugin hybrid'!I$53*(IF($A21&lt;='El og plugin hybrid'!I$60,(IF('El og plugin hybrid'!I$68=0,(('El og plugin hybrid'!I$54*'El og plugin hybrid'!I$16/1000)*$B21),('El og plugin hybrid'!I$68)))*(1+'El og plugin hybrid'!I$61)^-$A21,0)+IF('El og plugin hybrid'!I$29=0,0,(IF($A21&lt;='El og plugin hybrid'!I$60,'El og plugin hybrid'!I$54/'El og plugin hybrid'!I$29*IF('El og plugin hybrid'!I$70="plugin hybrid benzin",$C21,IF('El og plugin hybrid'!I$70="plugin hybrid diesel",$D21,0)),0))*(1+'El og plugin hybrid'!I$61)^-$A21))</f>
        <v>0</v>
      </c>
      <c r="J21" s="303"/>
      <c r="K21" s="303">
        <f>'El og plugin hybrid'!K$53*(IF($A21&lt;='El og plugin hybrid'!K$60,(IF('El og plugin hybrid'!K$68=0,(('El og plugin hybrid'!K$54*'El og plugin hybrid'!K$16/1000)*$B21),('El og plugin hybrid'!K$68)))*(1+'El og plugin hybrid'!K$61)^-$A21,0)+IF('El og plugin hybrid'!K$29=0,0,(IF($A21&lt;='El og plugin hybrid'!K$60,'El og plugin hybrid'!K$54/'El og plugin hybrid'!K$29*IF('El og plugin hybrid'!K$70="plugin hybrid benzin",$C21,IF('El og plugin hybrid'!K$70="plugin hybrid diesel",$D21,0)),0))*(1+'El og plugin hybrid'!K$61)^-$A21))</f>
        <v>0</v>
      </c>
      <c r="L21" s="303"/>
      <c r="M21" s="303">
        <f>'El og plugin hybrid'!M$53*(IF($A21&lt;='El og plugin hybrid'!M$60,(IF('El og plugin hybrid'!M$68=0,(('El og plugin hybrid'!M$54*'El og plugin hybrid'!M$16/1000)*$B21),('El og plugin hybrid'!M$68)))*(1+'El og plugin hybrid'!M$61)^-$A21,0)+IF('El og plugin hybrid'!M$29=0,0,(IF($A21&lt;='El og plugin hybrid'!M$60,'El og plugin hybrid'!M$54/'El og plugin hybrid'!M$29*IF('El og plugin hybrid'!M$70="plugin hybrid benzin",$C21,IF('El og plugin hybrid'!M$70="plugin hybrid diesel",$D21,0)),0))*(1+'El og plugin hybrid'!M$61)^-$A21))</f>
        <v>0</v>
      </c>
      <c r="N21" s="303"/>
      <c r="O21" s="303">
        <f>'El og plugin hybrid'!O$53*(IF($A21&lt;='El og plugin hybrid'!O$60,(IF('El og plugin hybrid'!O$68=0,(('El og plugin hybrid'!O$54*'El og plugin hybrid'!O$16/1000)*$B21),('El og plugin hybrid'!O$68)))*(1+'El og plugin hybrid'!O$61)^-$A21,0)+IF('El og plugin hybrid'!O$29=0,0,(IF($A21&lt;='El og plugin hybrid'!O$60,'El og plugin hybrid'!O$54/'El og plugin hybrid'!O$29*IF('El og plugin hybrid'!O$70="plugin hybrid benzin",$C21,IF('El og plugin hybrid'!O$70="plugin hybrid diesel",$D21,0)),0))*(1+'El og plugin hybrid'!O$61)^-$A21))</f>
        <v>0</v>
      </c>
      <c r="P21" s="303"/>
      <c r="Q21" s="303">
        <f>'El og plugin hybrid'!Q$53*(IF($A21&lt;='El og plugin hybrid'!Q$60,(IF('El og plugin hybrid'!Q$68=0,(('El og plugin hybrid'!Q$54*'El og plugin hybrid'!Q$16/1000)*$B21),('El og plugin hybrid'!Q$68)))*(1+'El og plugin hybrid'!Q$61)^-$A21,0)+IF('El og plugin hybrid'!Q$29=0,0,(IF($A21&lt;='El og plugin hybrid'!Q$60,'El og plugin hybrid'!Q$54/'El og plugin hybrid'!Q$29*IF('El og plugin hybrid'!Q$70="plugin hybrid benzin",$C21,IF('El og plugin hybrid'!Q$70="plugin hybrid diesel",$D21,0)),0))*(1+'El og plugin hybrid'!Q$61)^-$A21))</f>
        <v>0</v>
      </c>
      <c r="R21" s="303"/>
      <c r="S21" s="303">
        <f>'El og plugin hybrid'!S$53*(IF($A21&lt;='El og plugin hybrid'!S$60,(IF('El og plugin hybrid'!S$68=0,(('El og plugin hybrid'!S$54*'El og plugin hybrid'!S$16/1000)*$B21),('El og plugin hybrid'!S$68)))*(1+'El og plugin hybrid'!S$61)^-$A21,0)+IF('El og plugin hybrid'!S$29=0,0,(IF($A21&lt;='El og plugin hybrid'!S$60,'El og plugin hybrid'!S$54/'El og plugin hybrid'!S$29*IF('El og plugin hybrid'!S$70="plugin hybrid benzin",$C21,IF('El og plugin hybrid'!S$70="plugin hybrid diesel",$D21,0)),0))*(1+'El og plugin hybrid'!S$61)^-$A21))</f>
        <v>0</v>
      </c>
      <c r="U21" s="303">
        <f>'El og plugin hybrid'!U$53*(IF($A21&lt;='El og plugin hybrid'!U$60,(IF('El og plugin hybrid'!U$68=0,(('El og plugin hybrid'!U$54*'El og plugin hybrid'!U$16/1000)*$B21),('El og plugin hybrid'!U$68)))*(1+'El og plugin hybrid'!U$61)^-$A21,0)+IF('El og plugin hybrid'!U$29=0,0,(IF($A21&lt;='El og plugin hybrid'!U$60,'El og plugin hybrid'!U$54/'El og plugin hybrid'!U$29*IF('El og plugin hybrid'!U$70="plugin hybrid benzin",$C21,IF('El og plugin hybrid'!U$70="plugin hybrid diesel",$D21,0)),0))*(1+'El og plugin hybrid'!U$61)^-$A21))</f>
        <v>0</v>
      </c>
      <c r="W21" s="303">
        <f>'El og plugin hybrid'!W$53*(IF($A21&lt;='El og plugin hybrid'!W$60,(IF('El og plugin hybrid'!W$68=0,(('El og plugin hybrid'!W$54*'El og plugin hybrid'!W$16/1000)*$B21),('El og plugin hybrid'!W$68)))*(1+'El og plugin hybrid'!W$61)^-$A21,0)+IF('El og plugin hybrid'!W$29=0,0,(IF($A21&lt;='El og plugin hybrid'!W$60,'El og plugin hybrid'!W$54/'El og plugin hybrid'!W$29*IF('El og plugin hybrid'!W$70="plugin hybrid benzin",$C21,IF('El og plugin hybrid'!W$70="plugin hybrid diesel",$D21,0)),0))*(1+'El og plugin hybrid'!W$61)^-$A21))</f>
        <v>0</v>
      </c>
    </row>
    <row r="22" spans="1:26">
      <c r="A22" s="298">
        <f t="shared" si="2"/>
        <v>19</v>
      </c>
      <c r="B22" s="274">
        <f>((B21-Fremskrivninger!E26)*(1+IF('El og plugin hybrid'!$E$72="ja",'El og plugin hybrid'!$E$74,'El og plugin hybrid'!$E$76))+Fremskrivninger!E26)</f>
        <v>2.0455164966874255</v>
      </c>
      <c r="C22" s="299">
        <f>((C21-Fremskrivninger!N65)*(1+IF('El og plugin hybrid'!$E$78="ja",'El og plugin hybrid'!$E$80,'El og plugin hybrid'!$E$82))+Fremskrivninger!N65)</f>
        <v>9.8867487169699686</v>
      </c>
      <c r="D22" s="299">
        <f>((D21-Fremskrivninger!N109)*(1+IF('El og plugin hybrid'!$E$84="ja",'El og plugin hybrid'!$E$86,'El og plugin hybrid'!$E$88))+Fremskrivninger!N109)</f>
        <v>8.926474959131685</v>
      </c>
      <c r="E22" s="303">
        <f>'El og plugin hybrid'!E$53*(IF($A22&lt;='El og plugin hybrid'!E$60,(IF('El og plugin hybrid'!E$68=0,(('El og plugin hybrid'!E$54*'El og plugin hybrid'!E$16/1000)*$B22),('El og plugin hybrid'!E$68)))*(1+'El og plugin hybrid'!E$61)^-$A22,0)+IF('El og plugin hybrid'!E$29=0,0,(IF($A22&lt;='El og plugin hybrid'!E$60,'El og plugin hybrid'!E$54/'El og plugin hybrid'!E$29*IF('El og plugin hybrid'!E$70="plugin hybrid benzin",$C22,IF('El og plugin hybrid'!E$70="plugin hybrid diesel",$D22,0)),0))*(1+'El og plugin hybrid'!E$61)^-$A22))</f>
        <v>0</v>
      </c>
      <c r="F22" s="303"/>
      <c r="G22" s="303">
        <f>'El og plugin hybrid'!G$53*(IF($A22&lt;='El og plugin hybrid'!G$60,(IF('El og plugin hybrid'!G$68=0,(('El og plugin hybrid'!G$54*'El og plugin hybrid'!G$16/1000)*$B22),('El og plugin hybrid'!G$68)))*(1+'El og plugin hybrid'!G$61)^-$A22,0)+IF('El og plugin hybrid'!G$29=0,0,(IF($A22&lt;='El og plugin hybrid'!G$60,'El og plugin hybrid'!G$54/'El og plugin hybrid'!G$29*IF('El og plugin hybrid'!G$70="plugin hybrid benzin",$C22,IF('El og plugin hybrid'!G$70="plugin hybrid diesel",$D22,0)),0))*(1+'El og plugin hybrid'!G$61)^-$A22))</f>
        <v>0</v>
      </c>
      <c r="H22" s="303"/>
      <c r="I22" s="303">
        <f>'El og plugin hybrid'!I$53*(IF($A22&lt;='El og plugin hybrid'!I$60,(IF('El og plugin hybrid'!I$68=0,(('El og plugin hybrid'!I$54*'El og plugin hybrid'!I$16/1000)*$B22),('El og plugin hybrid'!I$68)))*(1+'El og plugin hybrid'!I$61)^-$A22,0)+IF('El og plugin hybrid'!I$29=0,0,(IF($A22&lt;='El og plugin hybrid'!I$60,'El og plugin hybrid'!I$54/'El og plugin hybrid'!I$29*IF('El og plugin hybrid'!I$70="plugin hybrid benzin",$C22,IF('El og plugin hybrid'!I$70="plugin hybrid diesel",$D22,0)),0))*(1+'El og plugin hybrid'!I$61)^-$A22))</f>
        <v>0</v>
      </c>
      <c r="J22" s="303"/>
      <c r="K22" s="303">
        <f>'El og plugin hybrid'!K$53*(IF($A22&lt;='El og plugin hybrid'!K$60,(IF('El og plugin hybrid'!K$68=0,(('El og plugin hybrid'!K$54*'El og plugin hybrid'!K$16/1000)*$B22),('El og plugin hybrid'!K$68)))*(1+'El og plugin hybrid'!K$61)^-$A22,0)+IF('El og plugin hybrid'!K$29=0,0,(IF($A22&lt;='El og plugin hybrid'!K$60,'El og plugin hybrid'!K$54/'El og plugin hybrid'!K$29*IF('El og plugin hybrid'!K$70="plugin hybrid benzin",$C22,IF('El og plugin hybrid'!K$70="plugin hybrid diesel",$D22,0)),0))*(1+'El og plugin hybrid'!K$61)^-$A22))</f>
        <v>0</v>
      </c>
      <c r="L22" s="303"/>
      <c r="M22" s="303">
        <f>'El og plugin hybrid'!M$53*(IF($A22&lt;='El og plugin hybrid'!M$60,(IF('El og plugin hybrid'!M$68=0,(('El og plugin hybrid'!M$54*'El og plugin hybrid'!M$16/1000)*$B22),('El og plugin hybrid'!M$68)))*(1+'El og plugin hybrid'!M$61)^-$A22,0)+IF('El og plugin hybrid'!M$29=0,0,(IF($A22&lt;='El og plugin hybrid'!M$60,'El og plugin hybrid'!M$54/'El og plugin hybrid'!M$29*IF('El og plugin hybrid'!M$70="plugin hybrid benzin",$C22,IF('El og plugin hybrid'!M$70="plugin hybrid diesel",$D22,0)),0))*(1+'El og plugin hybrid'!M$61)^-$A22))</f>
        <v>0</v>
      </c>
      <c r="N22" s="303"/>
      <c r="O22" s="303">
        <f>'El og plugin hybrid'!O$53*(IF($A22&lt;='El og plugin hybrid'!O$60,(IF('El og plugin hybrid'!O$68=0,(('El og plugin hybrid'!O$54*'El og plugin hybrid'!O$16/1000)*$B22),('El og plugin hybrid'!O$68)))*(1+'El og plugin hybrid'!O$61)^-$A22,0)+IF('El og plugin hybrid'!O$29=0,0,(IF($A22&lt;='El og plugin hybrid'!O$60,'El og plugin hybrid'!O$54/'El og plugin hybrid'!O$29*IF('El og plugin hybrid'!O$70="plugin hybrid benzin",$C22,IF('El og plugin hybrid'!O$70="plugin hybrid diesel",$D22,0)),0))*(1+'El og plugin hybrid'!O$61)^-$A22))</f>
        <v>0</v>
      </c>
      <c r="P22" s="303"/>
      <c r="Q22" s="303">
        <f>'El og plugin hybrid'!Q$53*(IF($A22&lt;='El og plugin hybrid'!Q$60,(IF('El og plugin hybrid'!Q$68=0,(('El og plugin hybrid'!Q$54*'El og plugin hybrid'!Q$16/1000)*$B22),('El og plugin hybrid'!Q$68)))*(1+'El og plugin hybrid'!Q$61)^-$A22,0)+IF('El og plugin hybrid'!Q$29=0,0,(IF($A22&lt;='El og plugin hybrid'!Q$60,'El og plugin hybrid'!Q$54/'El og plugin hybrid'!Q$29*IF('El og plugin hybrid'!Q$70="plugin hybrid benzin",$C22,IF('El og plugin hybrid'!Q$70="plugin hybrid diesel",$D22,0)),0))*(1+'El og plugin hybrid'!Q$61)^-$A22))</f>
        <v>0</v>
      </c>
      <c r="R22" s="303"/>
      <c r="S22" s="303">
        <f>'El og plugin hybrid'!S$53*(IF($A22&lt;='El og plugin hybrid'!S$60,(IF('El og plugin hybrid'!S$68=0,(('El og plugin hybrid'!S$54*'El og plugin hybrid'!S$16/1000)*$B22),('El og plugin hybrid'!S$68)))*(1+'El og plugin hybrid'!S$61)^-$A22,0)+IF('El og plugin hybrid'!S$29=0,0,(IF($A22&lt;='El og plugin hybrid'!S$60,'El og plugin hybrid'!S$54/'El og plugin hybrid'!S$29*IF('El og plugin hybrid'!S$70="plugin hybrid benzin",$C22,IF('El og plugin hybrid'!S$70="plugin hybrid diesel",$D22,0)),0))*(1+'El og plugin hybrid'!S$61)^-$A22))</f>
        <v>0</v>
      </c>
      <c r="U22" s="303">
        <f>'El og plugin hybrid'!U$53*(IF($A22&lt;='El og plugin hybrid'!U$60,(IF('El og plugin hybrid'!U$68=0,(('El og plugin hybrid'!U$54*'El og plugin hybrid'!U$16/1000)*$B22),('El og plugin hybrid'!U$68)))*(1+'El og plugin hybrid'!U$61)^-$A22,0)+IF('El og plugin hybrid'!U$29=0,0,(IF($A22&lt;='El og plugin hybrid'!U$60,'El og plugin hybrid'!U$54/'El og plugin hybrid'!U$29*IF('El og plugin hybrid'!U$70="plugin hybrid benzin",$C22,IF('El og plugin hybrid'!U$70="plugin hybrid diesel",$D22,0)),0))*(1+'El og plugin hybrid'!U$61)^-$A22))</f>
        <v>0</v>
      </c>
      <c r="W22" s="303">
        <f>'El og plugin hybrid'!W$53*(IF($A22&lt;='El og plugin hybrid'!W$60,(IF('El og plugin hybrid'!W$68=0,(('El og plugin hybrid'!W$54*'El og plugin hybrid'!W$16/1000)*$B22),('El og plugin hybrid'!W$68)))*(1+'El og plugin hybrid'!W$61)^-$A22,0)+IF('El og plugin hybrid'!W$29=0,0,(IF($A22&lt;='El og plugin hybrid'!W$60,'El og plugin hybrid'!W$54/'El og plugin hybrid'!W$29*IF('El og plugin hybrid'!W$70="plugin hybrid benzin",$C22,IF('El og plugin hybrid'!W$70="plugin hybrid diesel",$D22,0)),0))*(1+'El og plugin hybrid'!W$61)^-$A22))</f>
        <v>0</v>
      </c>
    </row>
    <row r="23" spans="1:26">
      <c r="A23" s="300">
        <f t="shared" si="2"/>
        <v>20</v>
      </c>
      <c r="B23" s="301">
        <f>((B22-Fremskrivninger!E27)*(1+IF('El og plugin hybrid'!$E$72="ja",'El og plugin hybrid'!$E$74,'El og plugin hybrid'!$E$76))+Fremskrivninger!E27)</f>
        <v>2.0581837221821053</v>
      </c>
      <c r="C23" s="299">
        <f>((C22-Fremskrivninger!N66)*(1+IF('El og plugin hybrid'!$E$78="ja",'El og plugin hybrid'!$E$80,'El og plugin hybrid'!$E$82))+Fremskrivninger!N66)</f>
        <v>9.9594005241358516</v>
      </c>
      <c r="D23" s="299">
        <f>((D22-Fremskrivninger!N110)*(1+IF('El og plugin hybrid'!$E$84="ja",'El og plugin hybrid'!$E$86,'El og plugin hybrid'!$E$88))+Fremskrivninger!N110)</f>
        <v>9.0089288460390939</v>
      </c>
      <c r="E23" s="303">
        <f>'El og plugin hybrid'!E$53*(IF($A23&lt;='El og plugin hybrid'!E$60,(IF('El og plugin hybrid'!E$68=0,(('El og plugin hybrid'!E$54*'El og plugin hybrid'!E$16/1000)*$B23),('El og plugin hybrid'!E$68)))*(1+'El og plugin hybrid'!E$61)^-$A23,0)+IF('El og plugin hybrid'!E$29=0,0,(IF($A23&lt;='El og plugin hybrid'!E$60,'El og plugin hybrid'!E$54/'El og plugin hybrid'!E$29*IF('El og plugin hybrid'!E$70="plugin hybrid benzin",$C23,IF('El og plugin hybrid'!E$70="plugin hybrid diesel",$D23,0)),0))*(1+'El og plugin hybrid'!E$61)^-$A23))</f>
        <v>0</v>
      </c>
      <c r="F23" s="303"/>
      <c r="G23" s="303">
        <f>'El og plugin hybrid'!G$53*(IF($A23&lt;='El og plugin hybrid'!G$60,(IF('El og plugin hybrid'!G$68=0,(('El og plugin hybrid'!G$54*'El og plugin hybrid'!G$16/1000)*$B23),('El og plugin hybrid'!G$68)))*(1+'El og plugin hybrid'!G$61)^-$A23,0)+IF('El og plugin hybrid'!G$29=0,0,(IF($A23&lt;='El og plugin hybrid'!G$60,'El og plugin hybrid'!G$54/'El og plugin hybrid'!G$29*IF('El og plugin hybrid'!G$70="plugin hybrid benzin",$C23,IF('El og plugin hybrid'!G$70="plugin hybrid diesel",$D23,0)),0))*(1+'El og plugin hybrid'!G$61)^-$A23))</f>
        <v>0</v>
      </c>
      <c r="H23" s="303"/>
      <c r="I23" s="303">
        <f>'El og plugin hybrid'!I$53*(IF($A23&lt;='El og plugin hybrid'!I$60,(IF('El og plugin hybrid'!I$68=0,(('El og plugin hybrid'!I$54*'El og plugin hybrid'!I$16/1000)*$B23),('El og plugin hybrid'!I$68)))*(1+'El og plugin hybrid'!I$61)^-$A23,0)+IF('El og plugin hybrid'!I$29=0,0,(IF($A23&lt;='El og plugin hybrid'!I$60,'El og plugin hybrid'!I$54/'El og plugin hybrid'!I$29*IF('El og plugin hybrid'!I$70="plugin hybrid benzin",$C23,IF('El og plugin hybrid'!I$70="plugin hybrid diesel",$D23,0)),0))*(1+'El og plugin hybrid'!I$61)^-$A23))</f>
        <v>0</v>
      </c>
      <c r="J23" s="303"/>
      <c r="K23" s="303">
        <f>'El og plugin hybrid'!K$53*(IF($A23&lt;='El og plugin hybrid'!K$60,(IF('El og plugin hybrid'!K$68=0,(('El og plugin hybrid'!K$54*'El og plugin hybrid'!K$16/1000)*$B23),('El og plugin hybrid'!K$68)))*(1+'El og plugin hybrid'!K$61)^-$A23,0)+IF('El og plugin hybrid'!K$29=0,0,(IF($A23&lt;='El og plugin hybrid'!K$60,'El og plugin hybrid'!K$54/'El og plugin hybrid'!K$29*IF('El og plugin hybrid'!K$70="plugin hybrid benzin",$C23,IF('El og plugin hybrid'!K$70="plugin hybrid diesel",$D23,0)),0))*(1+'El og plugin hybrid'!K$61)^-$A23))</f>
        <v>0</v>
      </c>
      <c r="L23" s="303"/>
      <c r="M23" s="303">
        <f>'El og plugin hybrid'!M$53*(IF($A23&lt;='El og plugin hybrid'!M$60,(IF('El og plugin hybrid'!M$68=0,(('El og plugin hybrid'!M$54*'El og plugin hybrid'!M$16/1000)*$B23),('El og plugin hybrid'!M$68)))*(1+'El og plugin hybrid'!M$61)^-$A23,0)+IF('El og plugin hybrid'!M$29=0,0,(IF($A23&lt;='El og plugin hybrid'!M$60,'El og plugin hybrid'!M$54/'El og plugin hybrid'!M$29*IF('El og plugin hybrid'!M$70="plugin hybrid benzin",$C23,IF('El og plugin hybrid'!M$70="plugin hybrid diesel",$D23,0)),0))*(1+'El og plugin hybrid'!M$61)^-$A23))</f>
        <v>0</v>
      </c>
      <c r="N23" s="303"/>
      <c r="O23" s="303">
        <f>'El og plugin hybrid'!O$53*(IF($A23&lt;='El og plugin hybrid'!O$60,(IF('El og plugin hybrid'!O$68=0,(('El og plugin hybrid'!O$54*'El og plugin hybrid'!O$16/1000)*$B23),('El og plugin hybrid'!O$68)))*(1+'El og plugin hybrid'!O$61)^-$A23,0)+IF('El og plugin hybrid'!O$29=0,0,(IF($A23&lt;='El og plugin hybrid'!O$60,'El og plugin hybrid'!O$54/'El og plugin hybrid'!O$29*IF('El og plugin hybrid'!O$70="plugin hybrid benzin",$C23,IF('El og plugin hybrid'!O$70="plugin hybrid diesel",$D23,0)),0))*(1+'El og plugin hybrid'!O$61)^-$A23))</f>
        <v>0</v>
      </c>
      <c r="P23" s="303"/>
      <c r="Q23" s="303">
        <f>'El og plugin hybrid'!Q$53*(IF($A23&lt;='El og plugin hybrid'!Q$60,(IF('El og plugin hybrid'!Q$68=0,(('El og plugin hybrid'!Q$54*'El og plugin hybrid'!Q$16/1000)*$B23),('El og plugin hybrid'!Q$68)))*(1+'El og plugin hybrid'!Q$61)^-$A23,0)+IF('El og plugin hybrid'!Q$29=0,0,(IF($A23&lt;='El og plugin hybrid'!Q$60,'El og plugin hybrid'!Q$54/'El og plugin hybrid'!Q$29*IF('El og plugin hybrid'!Q$70="plugin hybrid benzin",$C23,IF('El og plugin hybrid'!Q$70="plugin hybrid diesel",$D23,0)),0))*(1+'El og plugin hybrid'!Q$61)^-$A23))</f>
        <v>0</v>
      </c>
      <c r="R23" s="303"/>
      <c r="S23" s="303">
        <f>'El og plugin hybrid'!S$53*(IF($A23&lt;='El og plugin hybrid'!S$60,(IF('El og plugin hybrid'!S$68=0,(('El og plugin hybrid'!S$54*'El og plugin hybrid'!S$16/1000)*$B23),('El og plugin hybrid'!S$68)))*(1+'El og plugin hybrid'!S$61)^-$A23,0)+IF('El og plugin hybrid'!S$29=0,0,(IF($A23&lt;='El og plugin hybrid'!S$60,'El og plugin hybrid'!S$54/'El og plugin hybrid'!S$29*IF('El og plugin hybrid'!S$70="plugin hybrid benzin",$C23,IF('El og plugin hybrid'!S$70="plugin hybrid diesel",$D23,0)),0))*(1+'El og plugin hybrid'!S$61)^-$A23))</f>
        <v>0</v>
      </c>
      <c r="U23" s="303">
        <f>'El og plugin hybrid'!U$53*(IF($A23&lt;='El og plugin hybrid'!U$60,(IF('El og plugin hybrid'!U$68=0,(('El og plugin hybrid'!U$54*'El og plugin hybrid'!U$16/1000)*$B23),('El og plugin hybrid'!U$68)))*(1+'El og plugin hybrid'!U$61)^-$A23,0)+IF('El og plugin hybrid'!U$29=0,0,(IF($A23&lt;='El og plugin hybrid'!U$60,'El og plugin hybrid'!U$54/'El og plugin hybrid'!U$29*IF('El og plugin hybrid'!U$70="plugin hybrid benzin",$C23,IF('El og plugin hybrid'!U$70="plugin hybrid diesel",$D23,0)),0))*(1+'El og plugin hybrid'!U$61)^-$A23))</f>
        <v>0</v>
      </c>
      <c r="W23" s="303">
        <f>'El og plugin hybrid'!W$53*(IF($A23&lt;='El og plugin hybrid'!W$60,(IF('El og plugin hybrid'!W$68=0,(('El og plugin hybrid'!W$54*'El og plugin hybrid'!W$16/1000)*$B23),('El og plugin hybrid'!W$68)))*(1+'El og plugin hybrid'!W$61)^-$A23,0)+IF('El og plugin hybrid'!W$29=0,0,(IF($A23&lt;='El og plugin hybrid'!W$60,'El og plugin hybrid'!W$54/'El og plugin hybrid'!W$29*IF('El og plugin hybrid'!W$70="plugin hybrid benzin",$C23,IF('El og plugin hybrid'!W$70="plugin hybrid diesel",$D23,0)),0))*(1+'El og plugin hybrid'!W$61)^-$A23))</f>
        <v>0</v>
      </c>
    </row>
    <row r="24" spans="1:26">
      <c r="A24" s="3"/>
      <c r="B24" s="3"/>
      <c r="C24" s="3"/>
      <c r="D24" s="4"/>
      <c r="E24" s="4"/>
      <c r="F24" s="4"/>
      <c r="G24" s="4"/>
      <c r="H24" s="4"/>
      <c r="I24" s="4"/>
      <c r="J24" s="4"/>
      <c r="K24" s="4"/>
      <c r="L24" s="4"/>
      <c r="M24" s="4"/>
      <c r="N24" s="4"/>
      <c r="O24" s="4"/>
      <c r="P24" s="4"/>
      <c r="Q24" s="4"/>
      <c r="R24" s="4"/>
      <c r="S24" s="4"/>
      <c r="U24" s="4"/>
      <c r="W24" s="4"/>
    </row>
    <row r="25" spans="1:26" ht="39">
      <c r="A25" s="135"/>
      <c r="B25" s="136" t="s">
        <v>32</v>
      </c>
      <c r="C25" s="5"/>
      <c r="D25" s="5"/>
      <c r="E25" s="6" t="str">
        <f>'El og plugin hybrid'!E8</f>
        <v>PRODUKT 1 EL</v>
      </c>
      <c r="F25" s="6"/>
      <c r="G25" s="6" t="str">
        <f>'El og plugin hybrid'!G8</f>
        <v>PRODUKT 2 EL</v>
      </c>
      <c r="H25" s="6"/>
      <c r="I25" s="6" t="str">
        <f>'El og plugin hybrid'!I8</f>
        <v>PRODUKT 3 EL</v>
      </c>
      <c r="J25" s="6"/>
      <c r="K25" s="6" t="str">
        <f>'El og plugin hybrid'!K8</f>
        <v>PRODUKT 4 EL</v>
      </c>
      <c r="L25" s="6"/>
      <c r="M25" s="6" t="str">
        <f>'El og plugin hybrid'!M8</f>
        <v>PRODUKT 5 EL</v>
      </c>
      <c r="N25" s="6"/>
      <c r="O25" s="6" t="str">
        <f>'El og plugin hybrid'!O8</f>
        <v>PRODUKT 6 EL</v>
      </c>
      <c r="P25" s="6"/>
      <c r="Q25" s="6" t="str">
        <f>'El og plugin hybrid'!Q8</f>
        <v>PRODUKT 7 EL</v>
      </c>
      <c r="R25" s="6"/>
      <c r="S25" s="6" t="str">
        <f>'El og plugin hybrid'!S8</f>
        <v>PRODUKT 8 EL</v>
      </c>
      <c r="T25" s="6"/>
      <c r="U25" s="6" t="str">
        <f>'El og plugin hybrid'!U8</f>
        <v>PRODUKT 9 EL</v>
      </c>
      <c r="V25" s="6"/>
      <c r="W25" s="6" t="str">
        <f>'El og plugin hybrid'!W8</f>
        <v>PRODUKT 10 EL</v>
      </c>
    </row>
    <row r="26" spans="1:26" ht="30" customHeight="1">
      <c r="A26" s="5"/>
      <c r="B26" s="5">
        <v>1</v>
      </c>
      <c r="C26" s="5"/>
      <c r="D26" s="5"/>
      <c r="E26" s="148">
        <f>'El og plugin hybrid'!E$98+'El og plugin hybrid'!E$99+E4+E49+IF($B26='El og plugin hybrid'!E$60,'El og plugin hybrid'!E$102,0)+IF('El og plugin hybrid'!E34="ja",E187,0)</f>
        <v>0</v>
      </c>
      <c r="F26" s="148"/>
      <c r="G26" s="148">
        <f>'El og plugin hybrid'!G$98+'El og plugin hybrid'!G$99+G4+G49+IF($B26='El og plugin hybrid'!G$60,'El og plugin hybrid'!G$102,0)+IF('El og plugin hybrid'!G34="ja",G187,0)</f>
        <v>0</v>
      </c>
      <c r="H26" s="148"/>
      <c r="I26" s="148">
        <f>'El og plugin hybrid'!I$98+'El og plugin hybrid'!I$99+I4+I49+IF($B26='El og plugin hybrid'!I$60,'El og plugin hybrid'!I$102,0)+IF('El og plugin hybrid'!I34="ja",I187,0)</f>
        <v>0</v>
      </c>
      <c r="J26" s="148"/>
      <c r="K26" s="148">
        <f>'El og plugin hybrid'!K$98+'El og plugin hybrid'!K$99+K4+K49+IF($B26='El og plugin hybrid'!K$60,'El og plugin hybrid'!K$102,0)+IF('El og plugin hybrid'!K34="ja",K187,0)</f>
        <v>0</v>
      </c>
      <c r="L26" s="148"/>
      <c r="M26" s="148">
        <f>'El og plugin hybrid'!M$98+'El og plugin hybrid'!M$99+M4+M49+IF($B26='El og plugin hybrid'!M$60,'El og plugin hybrid'!M$102,0)+IF('El og plugin hybrid'!M34="ja",M187,0)</f>
        <v>0</v>
      </c>
      <c r="N26" s="148"/>
      <c r="O26" s="148">
        <f>'El og plugin hybrid'!O$98+'El og plugin hybrid'!O$99+O4+O49+IF($B26='El og plugin hybrid'!O$60,'El og plugin hybrid'!O$102,0)+IF('El og plugin hybrid'!O34="ja",O187,0)</f>
        <v>0</v>
      </c>
      <c r="P26" s="148"/>
      <c r="Q26" s="148">
        <f>'El og plugin hybrid'!Q$98+'El og plugin hybrid'!Q$99+Q4+Q49+IF($B26='El og plugin hybrid'!Q$60,'El og plugin hybrid'!Q$102,0)+IF('El og plugin hybrid'!Q34="ja",Q187,0)</f>
        <v>0</v>
      </c>
      <c r="R26" s="148"/>
      <c r="S26" s="148">
        <f>'El og plugin hybrid'!S$98+'El og plugin hybrid'!S$99+S4+S49+IF($B26='El og plugin hybrid'!S$60,'El og plugin hybrid'!S$102,0)+IF('El og plugin hybrid'!S34="ja",S187,0)</f>
        <v>0</v>
      </c>
      <c r="U26" s="148">
        <f>'El og plugin hybrid'!U$98+'El og plugin hybrid'!U$99+U4+U49+IF($B26='El og plugin hybrid'!U$60,'El og plugin hybrid'!U$102,0)+IF('El og plugin hybrid'!U34="ja",U187,0)</f>
        <v>0</v>
      </c>
      <c r="W26" s="148">
        <f>'El og plugin hybrid'!W$98+'El og plugin hybrid'!W$99+W4+W49+IF($B26='El og plugin hybrid'!W$60,'El og plugin hybrid'!W$102,0)+IF('El og plugin hybrid'!W34="ja",W187,0)</f>
        <v>0</v>
      </c>
      <c r="Z26" s="246" t="s">
        <v>54</v>
      </c>
    </row>
    <row r="27" spans="1:26">
      <c r="A27" s="5"/>
      <c r="B27" s="5">
        <v>2</v>
      </c>
      <c r="C27" s="5"/>
      <c r="D27" s="5"/>
      <c r="E27" s="148">
        <f>E26+E5+E50+IF($B27='El og plugin hybrid'!$E60,'El og plugin hybrid'!E$102,0)+IF('El og plugin hybrid'!E$34="ja",E188,0)</f>
        <v>0</v>
      </c>
      <c r="F27" s="148"/>
      <c r="G27" s="148">
        <f>G26+G5+G50+IF($B27='El og plugin hybrid'!$E60,'El og plugin hybrid'!G$102,0)+IF('El og plugin hybrid'!G$34="ja",G188,0)</f>
        <v>0</v>
      </c>
      <c r="H27" s="148"/>
      <c r="I27" s="148">
        <f>I26+I5+I50+IF($B27='El og plugin hybrid'!$E60,'El og plugin hybrid'!I$102,0)+IF('El og plugin hybrid'!I$34="ja",I188,0)</f>
        <v>0</v>
      </c>
      <c r="J27" s="148"/>
      <c r="K27" s="148">
        <f>K26+K5+K50+IF($B27='El og plugin hybrid'!$E60,'El og plugin hybrid'!K$102,0)+IF('El og plugin hybrid'!K$34="ja",K188,0)</f>
        <v>0</v>
      </c>
      <c r="L27" s="148"/>
      <c r="M27" s="148">
        <f>M26+M5+M50+IF($B27='El og plugin hybrid'!$E60,'El og plugin hybrid'!M$102,0)+IF('El og plugin hybrid'!M$34="ja",M188,0)</f>
        <v>0</v>
      </c>
      <c r="N27" s="148"/>
      <c r="O27" s="148">
        <f>O26+O5+O50+IF($B27='El og plugin hybrid'!$E60,'El og plugin hybrid'!O$102,0)+IF('El og plugin hybrid'!O$34="ja",O188,0)</f>
        <v>0</v>
      </c>
      <c r="P27" s="148"/>
      <c r="Q27" s="148">
        <f>Q26+Q5+Q50+IF($B27='El og plugin hybrid'!$E60,'El og plugin hybrid'!Q$102,0)+IF('El og plugin hybrid'!Q$34="ja",Q188,0)</f>
        <v>0</v>
      </c>
      <c r="R27" s="148"/>
      <c r="S27" s="148">
        <f>S26+S5+S50+IF($B27='El og plugin hybrid'!$E60,'El og plugin hybrid'!S$102,0)+IF('El og plugin hybrid'!S$34="ja",S188,0)</f>
        <v>0</v>
      </c>
      <c r="U27" s="148">
        <f>U26+U5+U50+IF($B27='El og plugin hybrid'!$E60,'El og plugin hybrid'!U$102,0)+IF('El og plugin hybrid'!U$34="ja",U188,0)</f>
        <v>0</v>
      </c>
      <c r="W27" s="148">
        <f>W26+W5+W50+IF($B27='El og plugin hybrid'!$E60,'El og plugin hybrid'!W$102,0)+IF('El og plugin hybrid'!W$34="ja",W188,0)</f>
        <v>0</v>
      </c>
      <c r="Z27" s="247">
        <v>1</v>
      </c>
    </row>
    <row r="28" spans="1:26">
      <c r="A28" s="5"/>
      <c r="B28" s="5">
        <v>3</v>
      </c>
      <c r="C28" s="5"/>
      <c r="D28" s="5"/>
      <c r="E28" s="148">
        <f>E27+E6+E51+IF($B28='El og plugin hybrid'!$E61,'El og plugin hybrid'!E$102,0)+IF('El og plugin hybrid'!E$34="ja",E189,0)</f>
        <v>0</v>
      </c>
      <c r="F28" s="148"/>
      <c r="G28" s="148">
        <f>G27+G6+G51+IF($B28='El og plugin hybrid'!$E61,'El og plugin hybrid'!G$102,0)+IF('El og plugin hybrid'!G$34="ja",G189,0)</f>
        <v>0</v>
      </c>
      <c r="H28" s="148"/>
      <c r="I28" s="148">
        <f>I27+I6+I51+IF($B28='El og plugin hybrid'!$E61,'El og plugin hybrid'!I$102,0)+IF('El og plugin hybrid'!I$34="ja",I189,0)</f>
        <v>0</v>
      </c>
      <c r="J28" s="148"/>
      <c r="K28" s="148">
        <f>K27+K6+K51+IF($B28='El og plugin hybrid'!$E61,'El og plugin hybrid'!K$102,0)+IF('El og plugin hybrid'!K$34="ja",K189,0)</f>
        <v>0</v>
      </c>
      <c r="L28" s="148"/>
      <c r="M28" s="148">
        <f>M27+M6+M51+IF($B28='El og plugin hybrid'!$E61,'El og plugin hybrid'!M$102,0)+IF('El og plugin hybrid'!M$34="ja",M189,0)</f>
        <v>0</v>
      </c>
      <c r="N28" s="148"/>
      <c r="O28" s="148">
        <f>O27+O6+O51+IF($B28='El og plugin hybrid'!$E61,'El og plugin hybrid'!O$102,0)+IF('El og plugin hybrid'!O$34="ja",O189,0)</f>
        <v>0</v>
      </c>
      <c r="P28" s="148"/>
      <c r="Q28" s="148">
        <f>Q27+Q6+Q51+IF($B28='El og plugin hybrid'!$E61,'El og plugin hybrid'!Q$102,0)+IF('El og plugin hybrid'!Q$34="ja",Q189,0)</f>
        <v>0</v>
      </c>
      <c r="R28" s="148"/>
      <c r="S28" s="148">
        <f>S27+S6+S51+IF($B28='El og plugin hybrid'!$E61,'El og plugin hybrid'!S$102,0)+IF('El og plugin hybrid'!S$34="ja",S189,0)</f>
        <v>0</v>
      </c>
      <c r="U28" s="148">
        <f>U27+U6+U51+IF($B28='El og plugin hybrid'!$E61,'El og plugin hybrid'!U$102,0)+IF('El og plugin hybrid'!U$34="ja",U189,0)</f>
        <v>0</v>
      </c>
      <c r="W28" s="148">
        <f>W27+W6+W51+IF($B28='El og plugin hybrid'!$E61,'El og plugin hybrid'!W$102,0)+IF('El og plugin hybrid'!W$34="ja",W189,0)</f>
        <v>0</v>
      </c>
      <c r="Z28" s="247">
        <f>IF('El og plugin hybrid'!$E$60&gt;=B27,B27,"")</f>
        <v>2</v>
      </c>
    </row>
    <row r="29" spans="1:26">
      <c r="A29" s="5"/>
      <c r="B29" s="5">
        <v>4</v>
      </c>
      <c r="C29" s="5"/>
      <c r="D29" s="5"/>
      <c r="E29" s="148">
        <f>E28+E7+E52+IF($B29='El og plugin hybrid'!$E62,'El og plugin hybrid'!E$102,0)+IF('El og plugin hybrid'!E$34="ja",E190,0)</f>
        <v>0</v>
      </c>
      <c r="F29" s="148"/>
      <c r="G29" s="148">
        <f>G28+G7+G52+IF($B29='El og plugin hybrid'!$E62,'El og plugin hybrid'!G$102,0)+IF('El og plugin hybrid'!G$34="ja",G190,0)</f>
        <v>0</v>
      </c>
      <c r="H29" s="148"/>
      <c r="I29" s="148">
        <f>I28+I7+I52+IF($B29='El og plugin hybrid'!$E62,'El og plugin hybrid'!I$102,0)+IF('El og plugin hybrid'!I$34="ja",I190,0)</f>
        <v>0</v>
      </c>
      <c r="J29" s="148"/>
      <c r="K29" s="148">
        <f>K28+K7+K52+IF($B29='El og plugin hybrid'!$E62,'El og plugin hybrid'!K$102,0)+IF('El og plugin hybrid'!K$34="ja",K190,0)</f>
        <v>0</v>
      </c>
      <c r="L29" s="148"/>
      <c r="M29" s="148">
        <f>M28+M7+M52+IF($B29='El og plugin hybrid'!$E62,'El og plugin hybrid'!M$102,0)+IF('El og plugin hybrid'!M$34="ja",M190,0)</f>
        <v>0</v>
      </c>
      <c r="N29" s="148"/>
      <c r="O29" s="148">
        <f>O28+O7+O52+IF($B29='El og plugin hybrid'!$E62,'El og plugin hybrid'!O$102,0)+IF('El og plugin hybrid'!O$34="ja",O190,0)</f>
        <v>0</v>
      </c>
      <c r="P29" s="148"/>
      <c r="Q29" s="148">
        <f>Q28+Q7+Q52+IF($B29='El og plugin hybrid'!$E62,'El og plugin hybrid'!Q$102,0)+IF('El og plugin hybrid'!Q$34="ja",Q190,0)</f>
        <v>0</v>
      </c>
      <c r="R29" s="148"/>
      <c r="S29" s="148">
        <f>S28+S7+S52+IF($B29='El og plugin hybrid'!$E62,'El og plugin hybrid'!S$102,0)+IF('El og plugin hybrid'!S$34="ja",S190,0)</f>
        <v>0</v>
      </c>
      <c r="U29" s="148">
        <f>U28+U7+U52+IF($B29='El og plugin hybrid'!$E62,'El og plugin hybrid'!U$102,0)+IF('El og plugin hybrid'!U$34="ja",U190,0)</f>
        <v>0</v>
      </c>
      <c r="W29" s="148">
        <f>W28+W7+W52+IF($B29='El og plugin hybrid'!$E62,'El og plugin hybrid'!W$102,0)+IF('El og plugin hybrid'!W$34="ja",W190,0)</f>
        <v>0</v>
      </c>
      <c r="Z29" s="247">
        <f>IF('El og plugin hybrid'!$E$60&gt;=B28,B28,"")</f>
        <v>3</v>
      </c>
    </row>
    <row r="30" spans="1:26">
      <c r="A30" s="5"/>
      <c r="B30" s="5">
        <v>5</v>
      </c>
      <c r="C30" s="5"/>
      <c r="D30" s="5"/>
      <c r="E30" s="148">
        <f>E29+E8+E53+IF($B30='El og plugin hybrid'!$E63,'El og plugin hybrid'!E$102,0)+IF('El og plugin hybrid'!E$34="ja",E191,0)</f>
        <v>0</v>
      </c>
      <c r="F30" s="148"/>
      <c r="G30" s="148">
        <f>G29+G8+G53+IF($B30='El og plugin hybrid'!$E63,'El og plugin hybrid'!G$102,0)+IF('El og plugin hybrid'!G$34="ja",G191,0)</f>
        <v>0</v>
      </c>
      <c r="H30" s="148"/>
      <c r="I30" s="148">
        <f>I29+I8+I53+IF($B30='El og plugin hybrid'!$E63,'El og plugin hybrid'!I$102,0)+IF('El og plugin hybrid'!I$34="ja",I191,0)</f>
        <v>0</v>
      </c>
      <c r="J30" s="148"/>
      <c r="K30" s="148">
        <f>K29+K8+K53+IF($B30='El og plugin hybrid'!$E63,'El og plugin hybrid'!K$102,0)+IF('El og plugin hybrid'!K$34="ja",K191,0)</f>
        <v>0</v>
      </c>
      <c r="L30" s="148"/>
      <c r="M30" s="148">
        <f>M29+M8+M53+IF($B30='El og plugin hybrid'!$E63,'El og plugin hybrid'!M$102,0)+IF('El og plugin hybrid'!M$34="ja",M191,0)</f>
        <v>0</v>
      </c>
      <c r="N30" s="148"/>
      <c r="O30" s="148">
        <f>O29+O8+O53+IF($B30='El og plugin hybrid'!$E63,'El og plugin hybrid'!O$102,0)+IF('El og plugin hybrid'!O$34="ja",O191,0)</f>
        <v>0</v>
      </c>
      <c r="P30" s="148"/>
      <c r="Q30" s="148">
        <f>Q29+Q8+Q53+IF($B30='El og plugin hybrid'!$E63,'El og plugin hybrid'!Q$102,0)+IF('El og plugin hybrid'!Q$34="ja",Q191,0)</f>
        <v>0</v>
      </c>
      <c r="R30" s="148"/>
      <c r="S30" s="148">
        <f>S29+S8+S53+IF($B30='El og plugin hybrid'!$E63,'El og plugin hybrid'!S$102,0)+IF('El og plugin hybrid'!S$34="ja",S191,0)</f>
        <v>0</v>
      </c>
      <c r="U30" s="148">
        <f>U29+U8+U53+IF($B30='El og plugin hybrid'!$E63,'El og plugin hybrid'!U$102,0)+IF('El og plugin hybrid'!U$34="ja",U191,0)</f>
        <v>0</v>
      </c>
      <c r="W30" s="148">
        <f>W29+W8+W53+IF($B30='El og plugin hybrid'!$E63,'El og plugin hybrid'!W$102,0)+IF('El og plugin hybrid'!W$34="ja",W191,0)</f>
        <v>0</v>
      </c>
      <c r="Z30" s="247">
        <f>IF('El og plugin hybrid'!$E$60&gt;=B29,B29,"")</f>
        <v>4</v>
      </c>
    </row>
    <row r="31" spans="1:26">
      <c r="A31" s="5"/>
      <c r="B31" s="5">
        <v>6</v>
      </c>
      <c r="C31" s="5"/>
      <c r="D31" s="5"/>
      <c r="E31" s="148">
        <f>E30+E9+E54+IF($B31='El og plugin hybrid'!$E64,'El og plugin hybrid'!E$102,0)+IF('El og plugin hybrid'!E$34="ja",E192,0)</f>
        <v>0</v>
      </c>
      <c r="F31" s="148"/>
      <c r="G31" s="148">
        <f>G30+G9+G54+IF($B31='El og plugin hybrid'!$E64,'El og plugin hybrid'!G$102,0)+IF('El og plugin hybrid'!G$34="ja",G192,0)</f>
        <v>0</v>
      </c>
      <c r="H31" s="148"/>
      <c r="I31" s="148">
        <f>I30+I9+I54+IF($B31='El og plugin hybrid'!$E64,'El og plugin hybrid'!I$102,0)+IF('El og plugin hybrid'!I$34="ja",I192,0)</f>
        <v>0</v>
      </c>
      <c r="J31" s="148"/>
      <c r="K31" s="148">
        <f>K30+K9+K54+IF($B31='El og plugin hybrid'!$E64,'El og plugin hybrid'!K$102,0)+IF('El og plugin hybrid'!K$34="ja",K192,0)</f>
        <v>0</v>
      </c>
      <c r="L31" s="148"/>
      <c r="M31" s="148">
        <f>M30+M9+M54+IF($B31='El og plugin hybrid'!$E64,'El og plugin hybrid'!M$102,0)+IF('El og plugin hybrid'!M$34="ja",M192,0)</f>
        <v>0</v>
      </c>
      <c r="N31" s="148"/>
      <c r="O31" s="148">
        <f>O30+O9+O54+IF($B31='El og plugin hybrid'!$E64,'El og plugin hybrid'!O$102,0)+IF('El og plugin hybrid'!O$34="ja",O192,0)</f>
        <v>0</v>
      </c>
      <c r="P31" s="148"/>
      <c r="Q31" s="148">
        <f>Q30+Q9+Q54+IF($B31='El og plugin hybrid'!$E64,'El og plugin hybrid'!Q$102,0)+IF('El og plugin hybrid'!Q$34="ja",Q192,0)</f>
        <v>0</v>
      </c>
      <c r="R31" s="148"/>
      <c r="S31" s="148">
        <f>S30+S9+S54+IF($B31='El og plugin hybrid'!$E64,'El og plugin hybrid'!S$102,0)+IF('El og plugin hybrid'!S$34="ja",S192,0)</f>
        <v>0</v>
      </c>
      <c r="U31" s="148">
        <f>U30+U9+U54+IF($B31='El og plugin hybrid'!$E64,'El og plugin hybrid'!U$102,0)+IF('El og plugin hybrid'!U$34="ja",U192,0)</f>
        <v>0</v>
      </c>
      <c r="W31" s="148">
        <f>W30+W9+W54+IF($B31='El og plugin hybrid'!$E64,'El og plugin hybrid'!W$102,0)+IF('El og plugin hybrid'!W$34="ja",W192,0)</f>
        <v>0</v>
      </c>
      <c r="Z31" s="247" t="str">
        <f>IF('El og plugin hybrid'!$E$60&gt;=B30,B30,"")</f>
        <v/>
      </c>
    </row>
    <row r="32" spans="1:26">
      <c r="A32" s="5"/>
      <c r="B32" s="5">
        <v>7</v>
      </c>
      <c r="C32" s="5"/>
      <c r="D32" s="5"/>
      <c r="E32" s="148">
        <f>E31+E10+E55+IF($B32='El og plugin hybrid'!$E65,'El og plugin hybrid'!E$102,0)+IF('El og plugin hybrid'!E$34="ja",E193,0)</f>
        <v>0</v>
      </c>
      <c r="F32" s="148"/>
      <c r="G32" s="148">
        <f>G31+G10+G55+IF($B32='El og plugin hybrid'!$E65,'El og plugin hybrid'!G$102,0)+IF('El og plugin hybrid'!G$34="ja",G193,0)</f>
        <v>0</v>
      </c>
      <c r="H32" s="148"/>
      <c r="I32" s="148">
        <f>I31+I10+I55+IF($B32='El og plugin hybrid'!$E65,'El og plugin hybrid'!I$102,0)+IF('El og plugin hybrid'!I$34="ja",I193,0)</f>
        <v>0</v>
      </c>
      <c r="J32" s="148"/>
      <c r="K32" s="148">
        <f>K31+K10+K55+IF($B32='El og plugin hybrid'!$E65,'El og plugin hybrid'!K$102,0)+IF('El og plugin hybrid'!K$34="ja",K193,0)</f>
        <v>0</v>
      </c>
      <c r="L32" s="148"/>
      <c r="M32" s="148">
        <f>M31+M10+M55+IF($B32='El og plugin hybrid'!$E65,'El og plugin hybrid'!M$102,0)+IF('El og plugin hybrid'!M$34="ja",M193,0)</f>
        <v>0</v>
      </c>
      <c r="N32" s="148"/>
      <c r="O32" s="148">
        <f>O31+O10+O55+IF($B32='El og plugin hybrid'!$E65,'El og plugin hybrid'!O$102,0)+IF('El og plugin hybrid'!O$34="ja",O193,0)</f>
        <v>0</v>
      </c>
      <c r="P32" s="148"/>
      <c r="Q32" s="148">
        <f>Q31+Q10+Q55+IF($B32='El og plugin hybrid'!$E65,'El og plugin hybrid'!Q$102,0)+IF('El og plugin hybrid'!Q$34="ja",Q193,0)</f>
        <v>0</v>
      </c>
      <c r="R32" s="148"/>
      <c r="S32" s="148">
        <f>S31+S10+S55+IF($B32='El og plugin hybrid'!$E65,'El og plugin hybrid'!S$102,0)+IF('El og plugin hybrid'!S$34="ja",S193,0)</f>
        <v>0</v>
      </c>
      <c r="U32" s="148">
        <f>U31+U10+U55+IF($B32='El og plugin hybrid'!$E65,'El og plugin hybrid'!U$102,0)+IF('El og plugin hybrid'!U$34="ja",U193,0)</f>
        <v>0</v>
      </c>
      <c r="W32" s="148">
        <f>W31+W10+W55+IF($B32='El og plugin hybrid'!$E65,'El og plugin hybrid'!W$102,0)+IF('El og plugin hybrid'!W$34="ja",W193,0)</f>
        <v>0</v>
      </c>
      <c r="Z32" s="247" t="str">
        <f>IF('El og plugin hybrid'!$E$60&gt;=B31,B31,"")</f>
        <v/>
      </c>
    </row>
    <row r="33" spans="1:26">
      <c r="A33" s="5"/>
      <c r="B33" s="5">
        <v>8</v>
      </c>
      <c r="C33" s="5"/>
      <c r="D33" s="5"/>
      <c r="E33" s="148">
        <f>E32+E11+E56+IF($B33='El og plugin hybrid'!$E66,'El og plugin hybrid'!E$102,0)+IF('El og plugin hybrid'!E$34="ja",E194,0)</f>
        <v>0</v>
      </c>
      <c r="F33" s="148"/>
      <c r="G33" s="148">
        <f>G32+G11+G56+IF($B33='El og plugin hybrid'!$E66,'El og plugin hybrid'!G$102,0)+IF('El og plugin hybrid'!G$34="ja",G194,0)</f>
        <v>0</v>
      </c>
      <c r="H33" s="148"/>
      <c r="I33" s="148">
        <f>I32+I11+I56+IF($B33='El og plugin hybrid'!$E66,'El og plugin hybrid'!I$102,0)+IF('El og plugin hybrid'!I$34="ja",I194,0)</f>
        <v>0</v>
      </c>
      <c r="J33" s="148"/>
      <c r="K33" s="148">
        <f>K32+K11+K56+IF($B33='El og plugin hybrid'!$E66,'El og plugin hybrid'!K$102,0)+IF('El og plugin hybrid'!K$34="ja",K194,0)</f>
        <v>0</v>
      </c>
      <c r="L33" s="148"/>
      <c r="M33" s="148">
        <f>M32+M11+M56+IF($B33='El og plugin hybrid'!$E66,'El og plugin hybrid'!M$102,0)+IF('El og plugin hybrid'!M$34="ja",M194,0)</f>
        <v>0</v>
      </c>
      <c r="N33" s="148"/>
      <c r="O33" s="148">
        <f>O32+O11+O56+IF($B33='El og plugin hybrid'!$E66,'El og plugin hybrid'!O$102,0)+IF('El og plugin hybrid'!O$34="ja",O194,0)</f>
        <v>0</v>
      </c>
      <c r="P33" s="148"/>
      <c r="Q33" s="148">
        <f>Q32+Q11+Q56+IF($B33='El og plugin hybrid'!$E66,'El og plugin hybrid'!Q$102,0)+IF('El og plugin hybrid'!Q$34="ja",Q194,0)</f>
        <v>0</v>
      </c>
      <c r="R33" s="148"/>
      <c r="S33" s="148">
        <f>S32+S11+S56+IF($B33='El og plugin hybrid'!$E66,'El og plugin hybrid'!S$102,0)+IF('El og plugin hybrid'!S$34="ja",S194,0)</f>
        <v>0</v>
      </c>
      <c r="U33" s="148">
        <f>U32+U11+U56+IF($B33='El og plugin hybrid'!$E66,'El og plugin hybrid'!U$102,0)+IF('El og plugin hybrid'!U$34="ja",U194,0)</f>
        <v>0</v>
      </c>
      <c r="W33" s="148">
        <f>W32+W11+W56+IF($B33='El og plugin hybrid'!$E66,'El og plugin hybrid'!W$102,0)+IF('El og plugin hybrid'!W$34="ja",W194,0)</f>
        <v>0</v>
      </c>
      <c r="Z33" s="247" t="str">
        <f>IF('El og plugin hybrid'!$E$60&gt;=B32,B32,"")</f>
        <v/>
      </c>
    </row>
    <row r="34" spans="1:26">
      <c r="A34" s="5"/>
      <c r="B34" s="5">
        <v>9</v>
      </c>
      <c r="C34" s="5"/>
      <c r="D34" s="5"/>
      <c r="E34" s="148">
        <f>E33+E12+E57+IF($B34='El og plugin hybrid'!$E67,'El og plugin hybrid'!E$102,0)+IF('El og plugin hybrid'!E$34="ja",E195,0)</f>
        <v>0</v>
      </c>
      <c r="F34" s="148"/>
      <c r="G34" s="148">
        <f>G33+G12+G57+IF($B34='El og plugin hybrid'!$E67,'El og plugin hybrid'!G$102,0)+IF('El og plugin hybrid'!G$34="ja",G195,0)</f>
        <v>0</v>
      </c>
      <c r="H34" s="148"/>
      <c r="I34" s="148">
        <f>I33+I12+I57+IF($B34='El og plugin hybrid'!$E67,'El og plugin hybrid'!I$102,0)+IF('El og plugin hybrid'!I$34="ja",I195,0)</f>
        <v>0</v>
      </c>
      <c r="J34" s="148"/>
      <c r="K34" s="148">
        <f>K33+K12+K57+IF($B34='El og plugin hybrid'!$E67,'El og plugin hybrid'!K$102,0)+IF('El og plugin hybrid'!K$34="ja",K195,0)</f>
        <v>0</v>
      </c>
      <c r="L34" s="148"/>
      <c r="M34" s="148">
        <f>M33+M12+M57+IF($B34='El og plugin hybrid'!$E67,'El og plugin hybrid'!M$102,0)+IF('El og plugin hybrid'!M$34="ja",M195,0)</f>
        <v>0</v>
      </c>
      <c r="N34" s="148"/>
      <c r="O34" s="148">
        <f>O33+O12+O57+IF($B34='El og plugin hybrid'!$E67,'El og plugin hybrid'!O$102,0)+IF('El og plugin hybrid'!O$34="ja",O195,0)</f>
        <v>0</v>
      </c>
      <c r="P34" s="148"/>
      <c r="Q34" s="148">
        <f>Q33+Q12+Q57+IF($B34='El og plugin hybrid'!$E67,'El og plugin hybrid'!Q$102,0)+IF('El og plugin hybrid'!Q$34="ja",Q195,0)</f>
        <v>0</v>
      </c>
      <c r="R34" s="148"/>
      <c r="S34" s="148">
        <f>S33+S12+S57+IF($B34='El og plugin hybrid'!$E67,'El og plugin hybrid'!S$102,0)+IF('El og plugin hybrid'!S$34="ja",S195,0)</f>
        <v>0</v>
      </c>
      <c r="U34" s="148">
        <f>U33+U12+U57+IF($B34='El og plugin hybrid'!$E67,'El og plugin hybrid'!U$102,0)+IF('El og plugin hybrid'!U$34="ja",U195,0)</f>
        <v>0</v>
      </c>
      <c r="W34" s="148">
        <f>W33+W12+W57+IF($B34='El og plugin hybrid'!$E67,'El og plugin hybrid'!W$102,0)+IF('El og plugin hybrid'!W$34="ja",W195,0)</f>
        <v>0</v>
      </c>
      <c r="Z34" s="247" t="str">
        <f>IF('El og plugin hybrid'!$E$60&gt;=B33,B33,"")</f>
        <v/>
      </c>
    </row>
    <row r="35" spans="1:26">
      <c r="A35" s="5"/>
      <c r="B35" s="5">
        <v>10</v>
      </c>
      <c r="C35" s="5"/>
      <c r="D35" s="5"/>
      <c r="E35" s="148">
        <f>E34+E13+E58+IF($B35='El og plugin hybrid'!$E68,'El og plugin hybrid'!E$102,0)+IF('El og plugin hybrid'!E$34="ja",E196,0)</f>
        <v>0</v>
      </c>
      <c r="F35" s="148"/>
      <c r="G35" s="148">
        <f>G34+G13+G58+IF($B35='El og plugin hybrid'!$E68,'El og plugin hybrid'!G$102,0)+IF('El og plugin hybrid'!G$34="ja",G196,0)</f>
        <v>0</v>
      </c>
      <c r="H35" s="148"/>
      <c r="I35" s="148">
        <f>I34+I13+I58+IF($B35='El og plugin hybrid'!$E68,'El og plugin hybrid'!I$102,0)+IF('El og plugin hybrid'!I$34="ja",I196,0)</f>
        <v>0</v>
      </c>
      <c r="J35" s="148"/>
      <c r="K35" s="148">
        <f>K34+K13+K58+IF($B35='El og plugin hybrid'!$E68,'El og plugin hybrid'!K$102,0)+IF('El og plugin hybrid'!K$34="ja",K196,0)</f>
        <v>0</v>
      </c>
      <c r="L35" s="148"/>
      <c r="M35" s="148">
        <f>M34+M13+M58+IF($B35='El og plugin hybrid'!$E68,'El og plugin hybrid'!M$102,0)+IF('El og plugin hybrid'!M$34="ja",M196,0)</f>
        <v>0</v>
      </c>
      <c r="N35" s="148"/>
      <c r="O35" s="148">
        <f>O34+O13+O58+IF($B35='El og plugin hybrid'!$E68,'El og plugin hybrid'!O$102,0)+IF('El og plugin hybrid'!O$34="ja",O196,0)</f>
        <v>0</v>
      </c>
      <c r="P35" s="148"/>
      <c r="Q35" s="148">
        <f>Q34+Q13+Q58+IF($B35='El og plugin hybrid'!$E68,'El og plugin hybrid'!Q$102,0)+IF('El og plugin hybrid'!Q$34="ja",Q196,0)</f>
        <v>0</v>
      </c>
      <c r="R35" s="148"/>
      <c r="S35" s="148">
        <f>S34+S13+S58+IF($B35='El og plugin hybrid'!$E68,'El og plugin hybrid'!S$102,0)+IF('El og plugin hybrid'!S$34="ja",S196,0)</f>
        <v>0</v>
      </c>
      <c r="U35" s="148">
        <f>U34+U13+U58+IF($B35='El og plugin hybrid'!$E68,'El og plugin hybrid'!U$102,0)+IF('El og plugin hybrid'!U$34="ja",U196,0)</f>
        <v>0</v>
      </c>
      <c r="W35" s="148">
        <f>W34+W13+W58+IF($B35='El og plugin hybrid'!$E68,'El og plugin hybrid'!W$102,0)+IF('El og plugin hybrid'!W$34="ja",W196,0)</f>
        <v>0</v>
      </c>
      <c r="Z35" s="247" t="str">
        <f>IF('El og plugin hybrid'!$E$60&gt;=B34,B34,"")</f>
        <v/>
      </c>
    </row>
    <row r="36" spans="1:26">
      <c r="A36" s="5"/>
      <c r="B36" s="5">
        <v>11</v>
      </c>
      <c r="C36" s="5"/>
      <c r="D36" s="5"/>
      <c r="E36" s="148">
        <f>E35+E14+E59+IF($B36='El og plugin hybrid'!$E69,'El og plugin hybrid'!E$102,0)+IF('El og plugin hybrid'!E$34="ja",E197,0)</f>
        <v>0</v>
      </c>
      <c r="F36" s="148"/>
      <c r="G36" s="148">
        <f>G35+G14+G59+IF($B36='El og plugin hybrid'!$E69,'El og plugin hybrid'!G$102,0)+IF('El og plugin hybrid'!G$34="ja",G197,0)</f>
        <v>0</v>
      </c>
      <c r="H36" s="148"/>
      <c r="I36" s="148">
        <f>I35+I14+I59+IF($B36='El og plugin hybrid'!$E69,'El og plugin hybrid'!I$102,0)+IF('El og plugin hybrid'!I$34="ja",I197,0)</f>
        <v>0</v>
      </c>
      <c r="J36" s="148"/>
      <c r="K36" s="148">
        <f>K35+K14+K59+IF($B36='El og plugin hybrid'!$E69,'El og plugin hybrid'!K$102,0)+IF('El og plugin hybrid'!K$34="ja",K197,0)</f>
        <v>0</v>
      </c>
      <c r="L36" s="148"/>
      <c r="M36" s="148">
        <f>M35+M14+M59+IF($B36='El og plugin hybrid'!$E69,'El og plugin hybrid'!M$102,0)+IF('El og plugin hybrid'!M$34="ja",M197,0)</f>
        <v>0</v>
      </c>
      <c r="N36" s="148"/>
      <c r="O36" s="148">
        <f>O35+O14+O59+IF($B36='El og plugin hybrid'!$E69,'El og plugin hybrid'!O$102,0)+IF('El og plugin hybrid'!O$34="ja",O197,0)</f>
        <v>0</v>
      </c>
      <c r="P36" s="148"/>
      <c r="Q36" s="148">
        <f>Q35+Q14+Q59+IF($B36='El og plugin hybrid'!$E69,'El og plugin hybrid'!Q$102,0)+IF('El og plugin hybrid'!Q$34="ja",Q197,0)</f>
        <v>0</v>
      </c>
      <c r="R36" s="148"/>
      <c r="S36" s="148">
        <f>S35+S14+S59+IF($B36='El og plugin hybrid'!$E69,'El og plugin hybrid'!S$102,0)+IF('El og plugin hybrid'!S$34="ja",S197,0)</f>
        <v>0</v>
      </c>
      <c r="U36" s="148">
        <f>U35+U14+U59+IF($B36='El og plugin hybrid'!$E69,'El og plugin hybrid'!U$102,0)+IF('El og plugin hybrid'!U$34="ja",U197,0)</f>
        <v>0</v>
      </c>
      <c r="W36" s="148">
        <f>W35+W14+W59+IF($B36='El og plugin hybrid'!$E69,'El og plugin hybrid'!W$102,0)+IF('El og plugin hybrid'!W$34="ja",W197,0)</f>
        <v>0</v>
      </c>
      <c r="Z36" s="247" t="str">
        <f>IF('El og plugin hybrid'!$E$60&gt;=B35,B35,"")</f>
        <v/>
      </c>
    </row>
    <row r="37" spans="1:26">
      <c r="A37" s="3"/>
      <c r="B37" s="5">
        <v>12</v>
      </c>
      <c r="C37" s="3"/>
      <c r="D37" s="3"/>
      <c r="E37" s="148">
        <f>E36+E15+E60+IF($B37='El og plugin hybrid'!$E70,'El og plugin hybrid'!E$102,0)+IF('El og plugin hybrid'!E$34="ja",E198,0)</f>
        <v>0</v>
      </c>
      <c r="F37" s="148"/>
      <c r="G37" s="148">
        <f>G36+G15+G60+IF($B37='El og plugin hybrid'!$E70,'El og plugin hybrid'!G$102,0)+IF('El og plugin hybrid'!G$34="ja",G198,0)</f>
        <v>0</v>
      </c>
      <c r="H37" s="148"/>
      <c r="I37" s="148">
        <f>I36+I15+I60+IF($B37='El og plugin hybrid'!$E70,'El og plugin hybrid'!I$102,0)+IF('El og plugin hybrid'!I$34="ja",I198,0)</f>
        <v>0</v>
      </c>
      <c r="J37" s="148"/>
      <c r="K37" s="148">
        <f>K36+K15+K60+IF($B37='El og plugin hybrid'!$E70,'El og plugin hybrid'!K$102,0)+IF('El og plugin hybrid'!K$34="ja",K198,0)</f>
        <v>0</v>
      </c>
      <c r="L37" s="148"/>
      <c r="M37" s="148">
        <f>M36+M15+M60+IF($B37='El og plugin hybrid'!$E70,'El og plugin hybrid'!M$102,0)+IF('El og plugin hybrid'!M$34="ja",M198,0)</f>
        <v>0</v>
      </c>
      <c r="N37" s="148"/>
      <c r="O37" s="148">
        <f>O36+O15+O60+IF($B37='El og plugin hybrid'!$E70,'El og plugin hybrid'!O$102,0)+IF('El og plugin hybrid'!O$34="ja",O198,0)</f>
        <v>0</v>
      </c>
      <c r="P37" s="148"/>
      <c r="Q37" s="148">
        <f>Q36+Q15+Q60+IF($B37='El og plugin hybrid'!$E70,'El og plugin hybrid'!Q$102,0)+IF('El og plugin hybrid'!Q$34="ja",Q198,0)</f>
        <v>0</v>
      </c>
      <c r="R37" s="148"/>
      <c r="S37" s="148">
        <f>S36+S15+S60+IF($B37='El og plugin hybrid'!$E70,'El og plugin hybrid'!S$102,0)+IF('El og plugin hybrid'!S$34="ja",S198,0)</f>
        <v>0</v>
      </c>
      <c r="U37" s="148">
        <f>U36+U15+U60+IF($B37='El og plugin hybrid'!$E70,'El og plugin hybrid'!U$102,0)+IF('El og plugin hybrid'!U$34="ja",U198,0)</f>
        <v>0</v>
      </c>
      <c r="W37" s="148">
        <f>W36+W15+W60+IF($B37='El og plugin hybrid'!$E70,'El og plugin hybrid'!W$102,0)+IF('El og plugin hybrid'!W$34="ja",W198,0)</f>
        <v>0</v>
      </c>
      <c r="Z37" s="247" t="str">
        <f>IF('El og plugin hybrid'!$E$60&gt;=B36,B36,"")</f>
        <v/>
      </c>
    </row>
    <row r="38" spans="1:26">
      <c r="A38" s="3"/>
      <c r="B38" s="5">
        <v>13</v>
      </c>
      <c r="C38" s="3"/>
      <c r="D38" s="3"/>
      <c r="E38" s="148">
        <f>E37+E16+E61+IF($B38='El og plugin hybrid'!$E71,'El og plugin hybrid'!E$102,0)+IF('El og plugin hybrid'!E$34="ja",E199,0)</f>
        <v>0</v>
      </c>
      <c r="F38" s="148"/>
      <c r="G38" s="148">
        <f>G37+G16+G61+IF($B38='El og plugin hybrid'!$E71,'El og plugin hybrid'!G$102,0)+IF('El og plugin hybrid'!G$34="ja",G199,0)</f>
        <v>0</v>
      </c>
      <c r="H38" s="148"/>
      <c r="I38" s="148">
        <f>I37+I16+I61+IF($B38='El og plugin hybrid'!$E71,'El og plugin hybrid'!I$102,0)+IF('El og plugin hybrid'!I$34="ja",I199,0)</f>
        <v>0</v>
      </c>
      <c r="J38" s="148"/>
      <c r="K38" s="148">
        <f>K37+K16+K61+IF($B38='El og plugin hybrid'!$E71,'El og plugin hybrid'!K$102,0)+IF('El og plugin hybrid'!K$34="ja",K199,0)</f>
        <v>0</v>
      </c>
      <c r="L38" s="148"/>
      <c r="M38" s="148">
        <f>M37+M16+M61+IF($B38='El og plugin hybrid'!$E71,'El og plugin hybrid'!M$102,0)+IF('El og plugin hybrid'!M$34="ja",M199,0)</f>
        <v>0</v>
      </c>
      <c r="N38" s="148"/>
      <c r="O38" s="148">
        <f>O37+O16+O61+IF($B38='El og plugin hybrid'!$E71,'El og plugin hybrid'!O$102,0)+IF('El og plugin hybrid'!O$34="ja",O199,0)</f>
        <v>0</v>
      </c>
      <c r="P38" s="148"/>
      <c r="Q38" s="148">
        <f>Q37+Q16+Q61+IF($B38='El og plugin hybrid'!$E71,'El og plugin hybrid'!Q$102,0)+IF('El og plugin hybrid'!Q$34="ja",Q199,0)</f>
        <v>0</v>
      </c>
      <c r="R38" s="148"/>
      <c r="S38" s="148">
        <f>S37+S16+S61+IF($B38='El og plugin hybrid'!$E71,'El og plugin hybrid'!S$102,0)+IF('El og plugin hybrid'!S$34="ja",S199,0)</f>
        <v>0</v>
      </c>
      <c r="U38" s="148">
        <f>U37+U16+U61+IF($B38='El og plugin hybrid'!$E71,'El og plugin hybrid'!U$102,0)+IF('El og plugin hybrid'!U$34="ja",U199,0)</f>
        <v>0</v>
      </c>
      <c r="W38" s="148">
        <f>W37+W16+W61+IF($B38='El og plugin hybrid'!$E71,'El og plugin hybrid'!W$102,0)+IF('El og plugin hybrid'!W$34="ja",W199,0)</f>
        <v>0</v>
      </c>
      <c r="Z38" s="247" t="str">
        <f>IF('El og plugin hybrid'!$E$60&gt;=B37,B37,"")</f>
        <v/>
      </c>
    </row>
    <row r="39" spans="1:26">
      <c r="A39" s="3"/>
      <c r="B39" s="5">
        <v>14</v>
      </c>
      <c r="C39" s="3"/>
      <c r="D39" s="3"/>
      <c r="E39" s="148">
        <f>E38+E17+E62+IF($B39='El og plugin hybrid'!$E72,'El og plugin hybrid'!E$102,0)+IF('El og plugin hybrid'!E$34="ja",E200,0)</f>
        <v>0</v>
      </c>
      <c r="F39" s="148"/>
      <c r="G39" s="148">
        <f>G38+G17+G62+IF($B39='El og plugin hybrid'!$E72,'El og plugin hybrid'!G$102,0)+IF('El og plugin hybrid'!G$34="ja",G200,0)</f>
        <v>0</v>
      </c>
      <c r="H39" s="148"/>
      <c r="I39" s="148">
        <f>I38+I17+I62+IF($B39='El og plugin hybrid'!$E72,'El og plugin hybrid'!I$102,0)+IF('El og plugin hybrid'!I$34="ja",I200,0)</f>
        <v>0</v>
      </c>
      <c r="J39" s="148"/>
      <c r="K39" s="148">
        <f>K38+K17+K62+IF($B39='El og plugin hybrid'!$E72,'El og plugin hybrid'!K$102,0)+IF('El og plugin hybrid'!K$34="ja",K200,0)</f>
        <v>0</v>
      </c>
      <c r="L39" s="148"/>
      <c r="M39" s="148">
        <f>M38+M17+M62+IF($B39='El og plugin hybrid'!$E72,'El og plugin hybrid'!M$102,0)+IF('El og plugin hybrid'!M$34="ja",M200,0)</f>
        <v>0</v>
      </c>
      <c r="N39" s="148"/>
      <c r="O39" s="148">
        <f>O38+O17+O62+IF($B39='El og plugin hybrid'!$E72,'El og plugin hybrid'!O$102,0)+IF('El og plugin hybrid'!O$34="ja",O200,0)</f>
        <v>0</v>
      </c>
      <c r="P39" s="148"/>
      <c r="Q39" s="148">
        <f>Q38+Q17+Q62+IF($B39='El og plugin hybrid'!$E72,'El og plugin hybrid'!Q$102,0)+IF('El og plugin hybrid'!Q$34="ja",Q200,0)</f>
        <v>0</v>
      </c>
      <c r="R39" s="148"/>
      <c r="S39" s="148">
        <f>S38+S17+S62+IF($B39='El og plugin hybrid'!$E72,'El og plugin hybrid'!S$102,0)+IF('El og plugin hybrid'!S$34="ja",S200,0)</f>
        <v>0</v>
      </c>
      <c r="U39" s="148">
        <f>U38+U17+U62+IF($B39='El og plugin hybrid'!$E72,'El og plugin hybrid'!U$102,0)+IF('El og plugin hybrid'!U$34="ja",U200,0)</f>
        <v>0</v>
      </c>
      <c r="W39" s="148">
        <f>W38+W17+W62+IF($B39='El og plugin hybrid'!$E72,'El og plugin hybrid'!W$102,0)+IF('El og plugin hybrid'!W$34="ja",W200,0)</f>
        <v>0</v>
      </c>
      <c r="Z39" s="247" t="str">
        <f>IF('El og plugin hybrid'!$E$60&gt;=B38,B38,"")</f>
        <v/>
      </c>
    </row>
    <row r="40" spans="1:26">
      <c r="A40" s="3"/>
      <c r="B40" s="5">
        <v>15</v>
      </c>
      <c r="C40" s="3"/>
      <c r="D40" s="3"/>
      <c r="E40" s="148">
        <f>E39+E18+E63+IF($B40='El og plugin hybrid'!$E73,'El og plugin hybrid'!E$102,0)+IF('El og plugin hybrid'!E$34="ja",E201,0)</f>
        <v>0</v>
      </c>
      <c r="F40" s="148"/>
      <c r="G40" s="148">
        <f>G39+G18+G63+IF($B40='El og plugin hybrid'!$E73,'El og plugin hybrid'!G$102,0)+IF('El og plugin hybrid'!G$34="ja",G201,0)</f>
        <v>0</v>
      </c>
      <c r="H40" s="148"/>
      <c r="I40" s="148">
        <f>I39+I18+I63+IF($B40='El og plugin hybrid'!$E73,'El og plugin hybrid'!I$102,0)+IF('El og plugin hybrid'!I$34="ja",I201,0)</f>
        <v>0</v>
      </c>
      <c r="J40" s="148"/>
      <c r="K40" s="148">
        <f>K39+K18+K63+IF($B40='El og plugin hybrid'!$E73,'El og plugin hybrid'!K$102,0)+IF('El og plugin hybrid'!K$34="ja",K201,0)</f>
        <v>0</v>
      </c>
      <c r="L40" s="148"/>
      <c r="M40" s="148">
        <f>M39+M18+M63+IF($B40='El og plugin hybrid'!$E73,'El og plugin hybrid'!M$102,0)+IF('El og plugin hybrid'!M$34="ja",M201,0)</f>
        <v>0</v>
      </c>
      <c r="N40" s="148"/>
      <c r="O40" s="148">
        <f>O39+O18+O63+IF($B40='El og plugin hybrid'!$E73,'El og plugin hybrid'!O$102,0)+IF('El og plugin hybrid'!O$34="ja",O201,0)</f>
        <v>0</v>
      </c>
      <c r="P40" s="148"/>
      <c r="Q40" s="148">
        <f>Q39+Q18+Q63+IF($B40='El og plugin hybrid'!$E73,'El og plugin hybrid'!Q$102,0)+IF('El og plugin hybrid'!Q$34="ja",Q201,0)</f>
        <v>0</v>
      </c>
      <c r="R40" s="148"/>
      <c r="S40" s="148">
        <f>S39+S18+S63+IF($B40='El og plugin hybrid'!$E73,'El og plugin hybrid'!S$102,0)+IF('El og plugin hybrid'!S$34="ja",S201,0)</f>
        <v>0</v>
      </c>
      <c r="U40" s="148">
        <f>U39+U18+U63+IF($B40='El og plugin hybrid'!$E73,'El og plugin hybrid'!U$102,0)+IF('El og plugin hybrid'!U$34="ja",U201,0)</f>
        <v>0</v>
      </c>
      <c r="W40" s="148">
        <f>W39+W18+W63+IF($B40='El og plugin hybrid'!$E73,'El og plugin hybrid'!W$102,0)+IF('El og plugin hybrid'!W$34="ja",W201,0)</f>
        <v>0</v>
      </c>
      <c r="Z40" s="247" t="str">
        <f>IF('El og plugin hybrid'!$E$60&gt;=B39,B39,"")</f>
        <v/>
      </c>
    </row>
    <row r="41" spans="1:26">
      <c r="A41" s="3"/>
      <c r="B41" s="5">
        <v>16</v>
      </c>
      <c r="C41" s="3"/>
      <c r="D41" s="3"/>
      <c r="E41" s="148">
        <f>E40+E19+E64+IF($B41='El og plugin hybrid'!$E74,'El og plugin hybrid'!E$102,0)+IF('El og plugin hybrid'!E$34="ja",E202,0)</f>
        <v>0</v>
      </c>
      <c r="F41" s="148"/>
      <c r="G41" s="148">
        <f>G40+G19+G64+IF($B41='El og plugin hybrid'!$E74,'El og plugin hybrid'!G$102,0)+IF('El og plugin hybrid'!G$34="ja",G202,0)</f>
        <v>0</v>
      </c>
      <c r="H41" s="148"/>
      <c r="I41" s="148">
        <f>I40+I19+I64+IF($B41='El og plugin hybrid'!$E74,'El og plugin hybrid'!I$102,0)+IF('El og plugin hybrid'!I$34="ja",I202,0)</f>
        <v>0</v>
      </c>
      <c r="J41" s="148"/>
      <c r="K41" s="148">
        <f>K40+K19+K64+IF($B41='El og plugin hybrid'!$E74,'El og plugin hybrid'!K$102,0)+IF('El og plugin hybrid'!K$34="ja",K202,0)</f>
        <v>0</v>
      </c>
      <c r="L41" s="148"/>
      <c r="M41" s="148">
        <f>M40+M19+M64+IF($B41='El og plugin hybrid'!$E74,'El og plugin hybrid'!M$102,0)+IF('El og plugin hybrid'!M$34="ja",M202,0)</f>
        <v>0</v>
      </c>
      <c r="N41" s="148"/>
      <c r="O41" s="148">
        <f>O40+O19+O64+IF($B41='El og plugin hybrid'!$E74,'El og plugin hybrid'!O$102,0)+IF('El og plugin hybrid'!O$34="ja",O202,0)</f>
        <v>0</v>
      </c>
      <c r="P41" s="148"/>
      <c r="Q41" s="148">
        <f>Q40+Q19+Q64+IF($B41='El og plugin hybrid'!$E74,'El og plugin hybrid'!Q$102,0)+IF('El og plugin hybrid'!Q$34="ja",Q202,0)</f>
        <v>0</v>
      </c>
      <c r="R41" s="148"/>
      <c r="S41" s="148">
        <f>S40+S19+S64+IF($B41='El og plugin hybrid'!$E74,'El og plugin hybrid'!S$102,0)+IF('El og plugin hybrid'!S$34="ja",S202,0)</f>
        <v>0</v>
      </c>
      <c r="U41" s="148">
        <f>U40+U19+U64+IF($B41='El og plugin hybrid'!$E74,'El og plugin hybrid'!U$102,0)+IF('El og plugin hybrid'!U$34="ja",U202,0)</f>
        <v>0</v>
      </c>
      <c r="W41" s="148">
        <f>W40+W19+W64+IF($B41='El og plugin hybrid'!$E74,'El og plugin hybrid'!W$102,0)+IF('El og plugin hybrid'!W$34="ja",W202,0)</f>
        <v>0</v>
      </c>
      <c r="Z41" s="247" t="str">
        <f>IF('El og plugin hybrid'!$E$60&gt;=B40,B40,"")</f>
        <v/>
      </c>
    </row>
    <row r="42" spans="1:26">
      <c r="A42" s="3"/>
      <c r="B42" s="5">
        <v>17</v>
      </c>
      <c r="C42" s="3"/>
      <c r="D42" s="3"/>
      <c r="E42" s="148">
        <f>E41+E20+E65+IF($B42='El og plugin hybrid'!$E75,'El og plugin hybrid'!E$102,0)+IF('El og plugin hybrid'!E$34="ja",E203,0)</f>
        <v>0</v>
      </c>
      <c r="F42" s="148"/>
      <c r="G42" s="148">
        <f>G41+G20+G65+IF($B42='El og plugin hybrid'!$E75,'El og plugin hybrid'!G$102,0)+IF('El og plugin hybrid'!G$34="ja",G203,0)</f>
        <v>0</v>
      </c>
      <c r="H42" s="148"/>
      <c r="I42" s="148">
        <f>I41+I20+I65+IF($B42='El og plugin hybrid'!$E75,'El og plugin hybrid'!I$102,0)+IF('El og plugin hybrid'!I$34="ja",I203,0)</f>
        <v>0</v>
      </c>
      <c r="J42" s="148"/>
      <c r="K42" s="148">
        <f>K41+K20+K65+IF($B42='El og plugin hybrid'!$E75,'El og plugin hybrid'!K$102,0)+IF('El og plugin hybrid'!K$34="ja",K203,0)</f>
        <v>0</v>
      </c>
      <c r="L42" s="148"/>
      <c r="M42" s="148">
        <f>M41+M20+M65+IF($B42='El og plugin hybrid'!$E75,'El og plugin hybrid'!M$102,0)+IF('El og plugin hybrid'!M$34="ja",M203,0)</f>
        <v>0</v>
      </c>
      <c r="N42" s="148"/>
      <c r="O42" s="148">
        <f>O41+O20+O65+IF($B42='El og plugin hybrid'!$E75,'El og plugin hybrid'!O$102,0)+IF('El og plugin hybrid'!O$34="ja",O203,0)</f>
        <v>0</v>
      </c>
      <c r="P42" s="148"/>
      <c r="Q42" s="148">
        <f>Q41+Q20+Q65+IF($B42='El og plugin hybrid'!$E75,'El og plugin hybrid'!Q$102,0)+IF('El og plugin hybrid'!Q$34="ja",Q203,0)</f>
        <v>0</v>
      </c>
      <c r="R42" s="148"/>
      <c r="S42" s="148">
        <f>S41+S20+S65+IF($B42='El og plugin hybrid'!$E75,'El og plugin hybrid'!S$102,0)+IF('El og plugin hybrid'!S$34="ja",S203,0)</f>
        <v>0</v>
      </c>
      <c r="U42" s="148">
        <f>U41+U20+U65+IF($B42='El og plugin hybrid'!$E75,'El og plugin hybrid'!U$102,0)+IF('El og plugin hybrid'!U$34="ja",U203,0)</f>
        <v>0</v>
      </c>
      <c r="W42" s="148">
        <f>W41+W20+W65+IF($B42='El og plugin hybrid'!$E75,'El og plugin hybrid'!W$102,0)+IF('El og plugin hybrid'!W$34="ja",W203,0)</f>
        <v>0</v>
      </c>
      <c r="Z42" s="247" t="str">
        <f>IF('El og plugin hybrid'!$E$60&gt;=B41,B41,"")</f>
        <v/>
      </c>
    </row>
    <row r="43" spans="1:26">
      <c r="A43" s="3"/>
      <c r="B43" s="5">
        <v>18</v>
      </c>
      <c r="C43" s="3"/>
      <c r="D43" s="3"/>
      <c r="E43" s="148">
        <f>E42+E21+E66+IF($B43='El og plugin hybrid'!$E76,'El og plugin hybrid'!E$102,0)+IF('El og plugin hybrid'!E$34="ja",E204,0)</f>
        <v>0</v>
      </c>
      <c r="F43" s="148"/>
      <c r="G43" s="148">
        <f>G42+G21+G66+IF($B43='El og plugin hybrid'!$E76,'El og plugin hybrid'!G$102,0)+IF('El og plugin hybrid'!G$34="ja",G204,0)</f>
        <v>0</v>
      </c>
      <c r="H43" s="148"/>
      <c r="I43" s="148">
        <f>I42+I21+I66+IF($B43='El og plugin hybrid'!$E76,'El og plugin hybrid'!I$102,0)+IF('El og plugin hybrid'!I$34="ja",I204,0)</f>
        <v>0</v>
      </c>
      <c r="J43" s="148"/>
      <c r="K43" s="148">
        <f>K42+K21+K66+IF($B43='El og plugin hybrid'!$E76,'El og plugin hybrid'!K$102,0)+IF('El og plugin hybrid'!K$34="ja",K204,0)</f>
        <v>0</v>
      </c>
      <c r="L43" s="148"/>
      <c r="M43" s="148">
        <f>M42+M21+M66+IF($B43='El og plugin hybrid'!$E76,'El og plugin hybrid'!M$102,0)+IF('El og plugin hybrid'!M$34="ja",M204,0)</f>
        <v>0</v>
      </c>
      <c r="N43" s="148"/>
      <c r="O43" s="148">
        <f>O42+O21+O66+IF($B43='El og plugin hybrid'!$E76,'El og plugin hybrid'!O$102,0)+IF('El og plugin hybrid'!O$34="ja",O204,0)</f>
        <v>0</v>
      </c>
      <c r="P43" s="148"/>
      <c r="Q43" s="148">
        <f>Q42+Q21+Q66+IF($B43='El og plugin hybrid'!$E76,'El og plugin hybrid'!Q$102,0)+IF('El og plugin hybrid'!Q$34="ja",Q204,0)</f>
        <v>0</v>
      </c>
      <c r="R43" s="148"/>
      <c r="S43" s="148">
        <f>S42+S21+S66+IF($B43='El og plugin hybrid'!$E76,'El og plugin hybrid'!S$102,0)+IF('El og plugin hybrid'!S$34="ja",S204,0)</f>
        <v>0</v>
      </c>
      <c r="U43" s="148">
        <f>U42+U21+U66+IF($B43='El og plugin hybrid'!$E76,'El og plugin hybrid'!U$102,0)+IF('El og plugin hybrid'!U$34="ja",U204,0)</f>
        <v>0</v>
      </c>
      <c r="W43" s="148">
        <f>W42+W21+W66+IF($B43='El og plugin hybrid'!$E76,'El og plugin hybrid'!W$102,0)+IF('El og plugin hybrid'!W$34="ja",W204,0)</f>
        <v>0</v>
      </c>
      <c r="Z43" s="247" t="str">
        <f>IF('El og plugin hybrid'!$E$60&gt;=B42,B42,"")</f>
        <v/>
      </c>
    </row>
    <row r="44" spans="1:26">
      <c r="A44" s="3"/>
      <c r="B44" s="5">
        <v>19</v>
      </c>
      <c r="C44" s="3"/>
      <c r="D44" s="3"/>
      <c r="E44" s="148">
        <f>E43+E22+E67+IF($B44='El og plugin hybrid'!$E77,'El og plugin hybrid'!E$102,0)+IF('El og plugin hybrid'!E$34="ja",E205,0)</f>
        <v>0</v>
      </c>
      <c r="F44" s="148"/>
      <c r="G44" s="148">
        <f>G43+G22+G67+IF($B44='El og plugin hybrid'!$E77,'El og plugin hybrid'!G$102,0)+IF('El og plugin hybrid'!G$34="ja",G205,0)</f>
        <v>0</v>
      </c>
      <c r="H44" s="148"/>
      <c r="I44" s="148">
        <f>I43+I22+I67+IF($B44='El og plugin hybrid'!$E77,'El og plugin hybrid'!I$102,0)+IF('El og plugin hybrid'!I$34="ja",I205,0)</f>
        <v>0</v>
      </c>
      <c r="J44" s="148"/>
      <c r="K44" s="148">
        <f>K43+K22+K67+IF($B44='El og plugin hybrid'!$E77,'El og plugin hybrid'!K$102,0)+IF('El og plugin hybrid'!K$34="ja",K205,0)</f>
        <v>0</v>
      </c>
      <c r="L44" s="148"/>
      <c r="M44" s="148">
        <f>M43+M22+M67+IF($B44='El og plugin hybrid'!$E77,'El og plugin hybrid'!M$102,0)+IF('El og plugin hybrid'!M$34="ja",M205,0)</f>
        <v>0</v>
      </c>
      <c r="N44" s="148"/>
      <c r="O44" s="148">
        <f>O43+O22+O67+IF($B44='El og plugin hybrid'!$E77,'El og plugin hybrid'!O$102,0)+IF('El og plugin hybrid'!O$34="ja",O205,0)</f>
        <v>0</v>
      </c>
      <c r="P44" s="148"/>
      <c r="Q44" s="148">
        <f>Q43+Q22+Q67+IF($B44='El og plugin hybrid'!$E77,'El og plugin hybrid'!Q$102,0)+IF('El og plugin hybrid'!Q$34="ja",Q205,0)</f>
        <v>0</v>
      </c>
      <c r="R44" s="148"/>
      <c r="S44" s="148">
        <f>S43+S22+S67+IF($B44='El og plugin hybrid'!$E77,'El og plugin hybrid'!S$102,0)+IF('El og plugin hybrid'!S$34="ja",S205,0)</f>
        <v>0</v>
      </c>
      <c r="U44" s="148">
        <f>U43+U22+U67+IF($B44='El og plugin hybrid'!$E77,'El og plugin hybrid'!U$102,0)+IF('El og plugin hybrid'!U$34="ja",U205,0)</f>
        <v>0</v>
      </c>
      <c r="W44" s="148">
        <f>W43+W22+W67+IF($B44='El og plugin hybrid'!$E77,'El og plugin hybrid'!W$102,0)+IF('El og plugin hybrid'!W$34="ja",W205,0)</f>
        <v>0</v>
      </c>
      <c r="Z44" s="247" t="str">
        <f>IF('El og plugin hybrid'!$E$60&gt;=B43,B43,"")</f>
        <v/>
      </c>
    </row>
    <row r="45" spans="1:26">
      <c r="B45" s="5">
        <v>20</v>
      </c>
      <c r="C45" s="3"/>
      <c r="D45" s="3"/>
      <c r="E45" s="148">
        <f>E44+E23+E68+IF($B45='El og plugin hybrid'!$E78,'El og plugin hybrid'!E$102,0)+IF('El og plugin hybrid'!E$34="ja",E206,0)</f>
        <v>0</v>
      </c>
      <c r="F45" s="148"/>
      <c r="G45" s="148">
        <f>G44+G23+G68+IF($B45='El og plugin hybrid'!$E78,'El og plugin hybrid'!G$102,0)+IF('El og plugin hybrid'!G$34="ja",G206,0)</f>
        <v>0</v>
      </c>
      <c r="H45" s="148"/>
      <c r="I45" s="148">
        <f>I44+I23+I68+IF($B45='El og plugin hybrid'!$E78,'El og plugin hybrid'!I$102,0)+IF('El og plugin hybrid'!I$34="ja",I206,0)</f>
        <v>0</v>
      </c>
      <c r="J45" s="148"/>
      <c r="K45" s="148">
        <f>K44+K23+K68+IF($B45='El og plugin hybrid'!$E78,'El og plugin hybrid'!K$102,0)+IF('El og plugin hybrid'!K$34="ja",K206,0)</f>
        <v>0</v>
      </c>
      <c r="L45" s="148"/>
      <c r="M45" s="148">
        <f>M44+M23+M68+IF($B45='El og plugin hybrid'!$E78,'El og plugin hybrid'!M$102,0)+IF('El og plugin hybrid'!M$34="ja",M206,0)</f>
        <v>0</v>
      </c>
      <c r="N45" s="148"/>
      <c r="O45" s="148">
        <f>O44+O23+O68+IF($B45='El og plugin hybrid'!$E78,'El og plugin hybrid'!O$102,0)+IF('El og plugin hybrid'!O$34="ja",O206,0)</f>
        <v>0</v>
      </c>
      <c r="P45" s="148"/>
      <c r="Q45" s="148">
        <f>Q44+Q23+Q68+IF($B45='El og plugin hybrid'!$E78,'El og plugin hybrid'!Q$102,0)+IF('El og plugin hybrid'!Q$34="ja",Q206,0)</f>
        <v>0</v>
      </c>
      <c r="R45" s="148"/>
      <c r="S45" s="148">
        <f>S44+S23+S68+IF($B45='El og plugin hybrid'!$E78,'El og plugin hybrid'!S$102,0)+IF('El og plugin hybrid'!S$34="ja",S206,0)</f>
        <v>0</v>
      </c>
      <c r="U45" s="148">
        <f>U44+U23+U68+IF($B45='El og plugin hybrid'!$E78,'El og plugin hybrid'!U$102,0)+IF('El og plugin hybrid'!U$34="ja",U206,0)</f>
        <v>0</v>
      </c>
      <c r="W45" s="148">
        <f>W44+W23+W68+IF($B45='El og plugin hybrid'!$E78,'El og plugin hybrid'!W$102,0)+IF('El og plugin hybrid'!W$34="ja",W206,0)</f>
        <v>0</v>
      </c>
      <c r="Z45" s="247" t="str">
        <f>IF('El og plugin hybrid'!$E$60&gt;=B44,B44,"")</f>
        <v/>
      </c>
    </row>
    <row r="46" spans="1:26">
      <c r="B46" s="5"/>
      <c r="C46" s="3"/>
      <c r="D46" s="3"/>
      <c r="E46" s="148"/>
      <c r="F46" s="148"/>
      <c r="G46" s="148"/>
      <c r="H46" s="148"/>
      <c r="I46" s="148"/>
      <c r="J46" s="149"/>
      <c r="K46" s="149"/>
      <c r="L46" s="149"/>
      <c r="M46" s="149"/>
      <c r="N46" s="149"/>
      <c r="O46" s="149"/>
      <c r="P46" s="149"/>
      <c r="Q46" s="149"/>
      <c r="R46" s="149"/>
      <c r="S46" s="149"/>
      <c r="U46" s="149"/>
      <c r="W46" s="149"/>
      <c r="Z46" s="248" t="str">
        <f>IF('El og plugin hybrid'!$E$60&gt;=B45,B45,"")</f>
        <v/>
      </c>
    </row>
    <row r="47" spans="1:26">
      <c r="A47" s="137" t="s">
        <v>25</v>
      </c>
      <c r="B47"/>
      <c r="C47"/>
      <c r="D47"/>
      <c r="E47"/>
      <c r="F47"/>
      <c r="G47"/>
      <c r="H47"/>
      <c r="I47"/>
      <c r="J47"/>
      <c r="K47"/>
      <c r="L47"/>
      <c r="M47"/>
      <c r="N47"/>
      <c r="O47"/>
      <c r="P47"/>
      <c r="Q47"/>
      <c r="R47"/>
      <c r="S47"/>
      <c r="U47"/>
      <c r="W47"/>
    </row>
    <row r="48" spans="1:26" ht="43.75">
      <c r="A48"/>
      <c r="B48" s="138" t="s">
        <v>20</v>
      </c>
      <c r="C48" s="139" t="s">
        <v>29</v>
      </c>
      <c r="D48"/>
      <c r="E48" s="504" t="str">
        <f>E25</f>
        <v>PRODUKT 1 EL</v>
      </c>
      <c r="F48"/>
      <c r="G48" s="504" t="str">
        <f>G25</f>
        <v>PRODUKT 2 EL</v>
      </c>
      <c r="H48"/>
      <c r="I48" s="504" t="str">
        <f>I25</f>
        <v>PRODUKT 3 EL</v>
      </c>
      <c r="J48"/>
      <c r="K48" s="504" t="str">
        <f>K25</f>
        <v>PRODUKT 4 EL</v>
      </c>
      <c r="L48"/>
      <c r="M48" s="504" t="str">
        <f>M25</f>
        <v>PRODUKT 5 EL</v>
      </c>
      <c r="N48"/>
      <c r="O48" s="504" t="str">
        <f>O25</f>
        <v>PRODUKT 6 EL</v>
      </c>
      <c r="P48"/>
      <c r="Q48" s="504" t="str">
        <f>Q25</f>
        <v>PRODUKT 7 EL</v>
      </c>
      <c r="R48"/>
      <c r="S48" s="504" t="str">
        <f>S25</f>
        <v>PRODUKT 8 EL</v>
      </c>
      <c r="U48" s="504" t="str">
        <f>U25</f>
        <v>PRODUKT 9 EL</v>
      </c>
      <c r="W48" s="504" t="str">
        <f>W25</f>
        <v>PRODUKT 10 EL</v>
      </c>
    </row>
    <row r="49" spans="1:23">
      <c r="A49"/>
      <c r="B49" s="140">
        <v>1</v>
      </c>
      <c r="C49" s="141">
        <f>B49</f>
        <v>1</v>
      </c>
      <c r="D49"/>
      <c r="E49" s="243">
        <f>(IF($B49&lt;='El og plugin hybrid'!E$60,'El og plugin hybrid'!E$19+'El og plugin hybrid'!E$20+'El og plugin hybrid'!E$21+'El og plugin hybrid'!E$91+'El og plugin hybrid'!E$92,0)*'El og plugin hybrid'!E$60*(1+'El og plugin hybrid'!E$61)^-$B49)</f>
        <v>0</v>
      </c>
      <c r="F49" s="243"/>
      <c r="G49" s="243">
        <f>(IF($B49&lt;='El og plugin hybrid'!G$60,'El og plugin hybrid'!G$19+'El og plugin hybrid'!G$20+'El og plugin hybrid'!G$21+'El og plugin hybrid'!G$91+'El og plugin hybrid'!G$92,0)*'El og plugin hybrid'!G$60*(1+'El og plugin hybrid'!G$61)^-$B49)</f>
        <v>0</v>
      </c>
      <c r="H49" s="243"/>
      <c r="I49" s="243">
        <f>(IF($B49&lt;='El og plugin hybrid'!I$60,'El og plugin hybrid'!I$19+'El og plugin hybrid'!I$20+'El og plugin hybrid'!I$21+'El og plugin hybrid'!I$91+'El og plugin hybrid'!I$92,0)*'El og plugin hybrid'!I$60*(1+'El og plugin hybrid'!I$61)^-$B49)</f>
        <v>0</v>
      </c>
      <c r="J49" s="243"/>
      <c r="K49" s="243">
        <f>(IF($B49&lt;='El og plugin hybrid'!K$60,'El og plugin hybrid'!K$19+'El og plugin hybrid'!K$20+'El og plugin hybrid'!K$21+'El og plugin hybrid'!K$91+'El og plugin hybrid'!K$92,0)*'El og plugin hybrid'!K$60*(1+'El og plugin hybrid'!K$61)^-$B49)</f>
        <v>0</v>
      </c>
      <c r="L49" s="243"/>
      <c r="M49" s="243">
        <f>(IF($B49&lt;='El og plugin hybrid'!M$60,'El og plugin hybrid'!M$19+'El og plugin hybrid'!M$20+'El og plugin hybrid'!M$21+'El og plugin hybrid'!M$91+'El og plugin hybrid'!M$92,0)*'El og plugin hybrid'!M$60*(1+'El og plugin hybrid'!M$61)^-$B49)</f>
        <v>0</v>
      </c>
      <c r="N49" s="243"/>
      <c r="O49" s="243">
        <f>(IF($B49&lt;='El og plugin hybrid'!O$60,'El og plugin hybrid'!O$19+'El og plugin hybrid'!O$20+'El og plugin hybrid'!O$21+'El og plugin hybrid'!O$91+'El og plugin hybrid'!O$92,0)*'El og plugin hybrid'!O$60*(1+'El og plugin hybrid'!O$61)^-$B49)</f>
        <v>0</v>
      </c>
      <c r="P49" s="243"/>
      <c r="Q49" s="243">
        <f>(IF($B49&lt;='El og plugin hybrid'!Q$60,'El og plugin hybrid'!Q$19+'El og plugin hybrid'!Q$20+'El og plugin hybrid'!Q$21+'El og plugin hybrid'!Q$91+'El og plugin hybrid'!Q$92,0)*'El og plugin hybrid'!Q$60*(1+'El og plugin hybrid'!Q$61)^-$B49)</f>
        <v>0</v>
      </c>
      <c r="R49" s="243"/>
      <c r="S49" s="243">
        <f>(IF($B49&lt;='El og plugin hybrid'!S$60,'El og plugin hybrid'!S$19+'El og plugin hybrid'!S$20+'El og plugin hybrid'!S$21+'El og plugin hybrid'!S$91+'El og plugin hybrid'!S$92,0)*'El og plugin hybrid'!S$60*(1+'El og plugin hybrid'!S$61)^-$B49)</f>
        <v>0</v>
      </c>
      <c r="U49" s="243">
        <f>(IF($B49&lt;='El og plugin hybrid'!U$60,'El og plugin hybrid'!U$19+'El og plugin hybrid'!U$20+'El og plugin hybrid'!U$21+'El og plugin hybrid'!U$91+'El og plugin hybrid'!U$92,0)*'El og plugin hybrid'!U$60*(1+'El og plugin hybrid'!U$61)^-$B49)</f>
        <v>0</v>
      </c>
      <c r="W49" s="243">
        <f>(IF($B49&lt;='El og plugin hybrid'!W$60,'El og plugin hybrid'!W$19+'El og plugin hybrid'!W$20+'El og plugin hybrid'!W$21+'El og plugin hybrid'!W$91+'El og plugin hybrid'!W$92,0)*'El og plugin hybrid'!W$60*(1+'El og plugin hybrid'!W$61)^-$B49)</f>
        <v>0</v>
      </c>
    </row>
    <row r="50" spans="1:23">
      <c r="A50"/>
      <c r="B50" s="140">
        <v>2</v>
      </c>
      <c r="C50" s="141">
        <f t="shared" ref="C50:C68" si="3">B50</f>
        <v>2</v>
      </c>
      <c r="D50"/>
      <c r="E50" s="243">
        <f>(IF($B50&lt;='El og plugin hybrid'!E$60,'El og plugin hybrid'!E$19+'El og plugin hybrid'!E$20+'El og plugin hybrid'!E$21+'El og plugin hybrid'!E$91+'El og plugin hybrid'!E$92,0)*'El og plugin hybrid'!E$60*(1+'El og plugin hybrid'!E$61)^-$B50)</f>
        <v>0</v>
      </c>
      <c r="F50" s="243"/>
      <c r="G50" s="243">
        <f>(IF($B50&lt;='El og plugin hybrid'!G$60,'El og plugin hybrid'!G$19+'El og plugin hybrid'!G$20+'El og plugin hybrid'!G$21+'El og plugin hybrid'!G$91+'El og plugin hybrid'!G$92,0)*'El og plugin hybrid'!G$60*(1+'El og plugin hybrid'!G$61)^-$B50)</f>
        <v>0</v>
      </c>
      <c r="H50" s="243"/>
      <c r="I50" s="243">
        <f>(IF($B50&lt;='El og plugin hybrid'!I$60,'El og plugin hybrid'!I$19+'El og plugin hybrid'!I$20+'El og plugin hybrid'!I$21+'El og plugin hybrid'!I$91+'El og plugin hybrid'!I$92,0)*'El og plugin hybrid'!I$60*(1+'El og plugin hybrid'!I$61)^-$B50)</f>
        <v>0</v>
      </c>
      <c r="J50" s="243"/>
      <c r="K50" s="243">
        <f>(IF($B50&lt;='El og plugin hybrid'!K$60,'El og plugin hybrid'!K$19+'El og plugin hybrid'!K$20+'El og plugin hybrid'!K$21+'El og plugin hybrid'!K$91+'El og plugin hybrid'!K$92,0)*'El og plugin hybrid'!K$60*(1+'El og plugin hybrid'!K$61)^-$B50)</f>
        <v>0</v>
      </c>
      <c r="L50" s="243"/>
      <c r="M50" s="243">
        <f>(IF($B50&lt;='El og plugin hybrid'!M$60,'El og plugin hybrid'!M$19+'El og plugin hybrid'!M$20+'El og plugin hybrid'!M$21+'El og plugin hybrid'!M$91+'El og plugin hybrid'!M$92,0)*'El og plugin hybrid'!M$60*(1+'El og plugin hybrid'!M$61)^-$B50)</f>
        <v>0</v>
      </c>
      <c r="N50" s="243"/>
      <c r="O50" s="243">
        <f>(IF($B50&lt;='El og plugin hybrid'!O$60,'El og plugin hybrid'!O$19+'El og plugin hybrid'!O$20+'El og plugin hybrid'!O$21+'El og plugin hybrid'!O$91+'El og plugin hybrid'!O$92,0)*'El og plugin hybrid'!O$60*(1+'El og plugin hybrid'!O$61)^-$B50)</f>
        <v>0</v>
      </c>
      <c r="P50" s="243"/>
      <c r="Q50" s="243">
        <f>(IF($B50&lt;='El og plugin hybrid'!Q$60,'El og plugin hybrid'!Q$19+'El og plugin hybrid'!Q$20+'El og plugin hybrid'!Q$21+'El og plugin hybrid'!Q$91+'El og plugin hybrid'!Q$92,0)*'El og plugin hybrid'!Q$60*(1+'El og plugin hybrid'!Q$61)^-$B50)</f>
        <v>0</v>
      </c>
      <c r="R50" s="243"/>
      <c r="S50" s="243">
        <f>(IF($B50&lt;='El og plugin hybrid'!S$60,'El og plugin hybrid'!S$19+'El og plugin hybrid'!S$20+'El og plugin hybrid'!S$21+'El og plugin hybrid'!S$91+'El og plugin hybrid'!S$92,0)*'El og plugin hybrid'!S$60*(1+'El og plugin hybrid'!S$61)^-$B50)</f>
        <v>0</v>
      </c>
      <c r="U50" s="243">
        <f>(IF($B50&lt;='El og plugin hybrid'!U$60,'El og plugin hybrid'!U$19+'El og plugin hybrid'!U$20+'El og plugin hybrid'!U$21+'El og plugin hybrid'!U$91+'El og plugin hybrid'!U$92,0)*'El og plugin hybrid'!U$60*(1+'El og plugin hybrid'!U$61)^-$B50)</f>
        <v>0</v>
      </c>
      <c r="W50" s="243">
        <f>(IF($B50&lt;='El og plugin hybrid'!W$60,'El og plugin hybrid'!W$19+'El og plugin hybrid'!W$20+'El og plugin hybrid'!W$21+'El og plugin hybrid'!W$91+'El og plugin hybrid'!W$92,0)*'El og plugin hybrid'!W$60*(1+'El og plugin hybrid'!W$61)^-$B50)</f>
        <v>0</v>
      </c>
    </row>
    <row r="51" spans="1:23">
      <c r="A51"/>
      <c r="B51" s="140">
        <v>3</v>
      </c>
      <c r="C51" s="141">
        <f t="shared" si="3"/>
        <v>3</v>
      </c>
      <c r="D51"/>
      <c r="E51" s="243">
        <f>(IF($B51&lt;='El og plugin hybrid'!E$60,'El og plugin hybrid'!E$19+'El og plugin hybrid'!E$20+'El og plugin hybrid'!E$21+'El og plugin hybrid'!E$91+'El og plugin hybrid'!E$92,0)*'El og plugin hybrid'!E$60*(1+'El og plugin hybrid'!E$61)^-$B51)</f>
        <v>0</v>
      </c>
      <c r="F51" s="243"/>
      <c r="G51" s="243">
        <f>(IF($B51&lt;='El og plugin hybrid'!G$60,'El og plugin hybrid'!G$19+'El og plugin hybrid'!G$20+'El og plugin hybrid'!G$21+'El og plugin hybrid'!G$91+'El og plugin hybrid'!G$92,0)*'El og plugin hybrid'!G$60*(1+'El og plugin hybrid'!G$61)^-$B51)</f>
        <v>0</v>
      </c>
      <c r="H51" s="243"/>
      <c r="I51" s="243">
        <f>(IF($B51&lt;='El og plugin hybrid'!I$60,'El og plugin hybrid'!I$19+'El og plugin hybrid'!I$20+'El og plugin hybrid'!I$21+'El og plugin hybrid'!I$91+'El og plugin hybrid'!I$92,0)*'El og plugin hybrid'!I$60*(1+'El og plugin hybrid'!I$61)^-$B51)</f>
        <v>0</v>
      </c>
      <c r="J51" s="243"/>
      <c r="K51" s="243">
        <f>(IF($B51&lt;='El og plugin hybrid'!K$60,'El og plugin hybrid'!K$19+'El og plugin hybrid'!K$20+'El og plugin hybrid'!K$21+'El og plugin hybrid'!K$91+'El og plugin hybrid'!K$92,0)*'El og plugin hybrid'!K$60*(1+'El og plugin hybrid'!K$61)^-$B51)</f>
        <v>0</v>
      </c>
      <c r="L51" s="243"/>
      <c r="M51" s="243">
        <f>(IF($B51&lt;='El og plugin hybrid'!M$60,'El og plugin hybrid'!M$19+'El og plugin hybrid'!M$20+'El og plugin hybrid'!M$21+'El og plugin hybrid'!M$91+'El og plugin hybrid'!M$92,0)*'El og plugin hybrid'!M$60*(1+'El og plugin hybrid'!M$61)^-$B51)</f>
        <v>0</v>
      </c>
      <c r="N51" s="243"/>
      <c r="O51" s="243">
        <f>(IF($B51&lt;='El og plugin hybrid'!O$60,'El og plugin hybrid'!O$19+'El og plugin hybrid'!O$20+'El og plugin hybrid'!O$21+'El og plugin hybrid'!O$91+'El og plugin hybrid'!O$92,0)*'El og plugin hybrid'!O$60*(1+'El og plugin hybrid'!O$61)^-$B51)</f>
        <v>0</v>
      </c>
      <c r="P51" s="243"/>
      <c r="Q51" s="243">
        <f>(IF($B51&lt;='El og plugin hybrid'!Q$60,'El og plugin hybrid'!Q$19+'El og plugin hybrid'!Q$20+'El og plugin hybrid'!Q$21+'El og plugin hybrid'!Q$91+'El og plugin hybrid'!Q$92,0)*'El og plugin hybrid'!Q$60*(1+'El og plugin hybrid'!Q$61)^-$B51)</f>
        <v>0</v>
      </c>
      <c r="R51" s="243"/>
      <c r="S51" s="243">
        <f>(IF($B51&lt;='El og plugin hybrid'!S$60,'El og plugin hybrid'!S$19+'El og plugin hybrid'!S$20+'El og plugin hybrid'!S$21+'El og plugin hybrid'!S$91+'El og plugin hybrid'!S$92,0)*'El og plugin hybrid'!S$60*(1+'El og plugin hybrid'!S$61)^-$B51)</f>
        <v>0</v>
      </c>
      <c r="U51" s="243">
        <f>(IF($B51&lt;='El og plugin hybrid'!U$60,'El og plugin hybrid'!U$19+'El og plugin hybrid'!U$20+'El og plugin hybrid'!U$21+'El og plugin hybrid'!U$91+'El og plugin hybrid'!U$92,0)*'El og plugin hybrid'!U$60*(1+'El og plugin hybrid'!U$61)^-$B51)</f>
        <v>0</v>
      </c>
      <c r="W51" s="243">
        <f>(IF($B51&lt;='El og plugin hybrid'!W$60,'El og plugin hybrid'!W$19+'El og plugin hybrid'!W$20+'El og plugin hybrid'!W$21+'El og plugin hybrid'!W$91+'El og plugin hybrid'!W$92,0)*'El og plugin hybrid'!W$60*(1+'El og plugin hybrid'!W$61)^-$B51)</f>
        <v>0</v>
      </c>
    </row>
    <row r="52" spans="1:23">
      <c r="A52"/>
      <c r="B52" s="140">
        <v>4</v>
      </c>
      <c r="C52" s="141">
        <f t="shared" si="3"/>
        <v>4</v>
      </c>
      <c r="D52"/>
      <c r="E52" s="243">
        <f>(IF($B52&lt;='El og plugin hybrid'!E$60,'El og plugin hybrid'!E$19+'El og plugin hybrid'!E$20+'El og plugin hybrid'!E$21+'El og plugin hybrid'!E$91+'El og plugin hybrid'!E$92,0)*'El og plugin hybrid'!E$60*(1+'El og plugin hybrid'!E$61)^-$B52)</f>
        <v>0</v>
      </c>
      <c r="F52" s="243"/>
      <c r="G52" s="243">
        <f>(IF($B52&lt;='El og plugin hybrid'!G$60,'El og plugin hybrid'!G$19+'El og plugin hybrid'!G$20+'El og plugin hybrid'!G$21+'El og plugin hybrid'!G$91+'El og plugin hybrid'!G$92,0)*'El og plugin hybrid'!G$60*(1+'El og plugin hybrid'!G$61)^-$B52)</f>
        <v>0</v>
      </c>
      <c r="H52" s="243"/>
      <c r="I52" s="243">
        <f>(IF($B52&lt;='El og plugin hybrid'!I$60,'El og plugin hybrid'!I$19+'El og plugin hybrid'!I$20+'El og plugin hybrid'!I$21+'El og plugin hybrid'!I$91+'El og plugin hybrid'!I$92,0)*'El og plugin hybrid'!I$60*(1+'El og plugin hybrid'!I$61)^-$B52)</f>
        <v>0</v>
      </c>
      <c r="J52" s="243"/>
      <c r="K52" s="243">
        <f>(IF($B52&lt;='El og plugin hybrid'!K$60,'El og plugin hybrid'!K$19+'El og plugin hybrid'!K$20+'El og plugin hybrid'!K$21+'El og plugin hybrid'!K$91+'El og plugin hybrid'!K$92,0)*'El og plugin hybrid'!K$60*(1+'El og plugin hybrid'!K$61)^-$B52)</f>
        <v>0</v>
      </c>
      <c r="L52" s="243"/>
      <c r="M52" s="243">
        <f>(IF($B52&lt;='El og plugin hybrid'!M$60,'El og plugin hybrid'!M$19+'El og plugin hybrid'!M$20+'El og plugin hybrid'!M$21+'El og plugin hybrid'!M$91+'El og plugin hybrid'!M$92,0)*'El og plugin hybrid'!M$60*(1+'El og plugin hybrid'!M$61)^-$B52)</f>
        <v>0</v>
      </c>
      <c r="N52" s="243"/>
      <c r="O52" s="243">
        <f>(IF($B52&lt;='El og plugin hybrid'!O$60,'El og plugin hybrid'!O$19+'El og plugin hybrid'!O$20+'El og plugin hybrid'!O$21+'El og plugin hybrid'!O$91+'El og plugin hybrid'!O$92,0)*'El og plugin hybrid'!O$60*(1+'El og plugin hybrid'!O$61)^-$B52)</f>
        <v>0</v>
      </c>
      <c r="P52" s="243"/>
      <c r="Q52" s="243">
        <f>(IF($B52&lt;='El og plugin hybrid'!Q$60,'El og plugin hybrid'!Q$19+'El og plugin hybrid'!Q$20+'El og plugin hybrid'!Q$21+'El og plugin hybrid'!Q$91+'El og plugin hybrid'!Q$92,0)*'El og plugin hybrid'!Q$60*(1+'El og plugin hybrid'!Q$61)^-$B52)</f>
        <v>0</v>
      </c>
      <c r="R52" s="243"/>
      <c r="S52" s="243">
        <f>(IF($B52&lt;='El og plugin hybrid'!S$60,'El og plugin hybrid'!S$19+'El og plugin hybrid'!S$20+'El og plugin hybrid'!S$21+'El og plugin hybrid'!S$91+'El og plugin hybrid'!S$92,0)*'El og plugin hybrid'!S$60*(1+'El og plugin hybrid'!S$61)^-$B52)</f>
        <v>0</v>
      </c>
      <c r="U52" s="243">
        <f>(IF($B52&lt;='El og plugin hybrid'!U$60,'El og plugin hybrid'!U$19+'El og plugin hybrid'!U$20+'El og plugin hybrid'!U$21+'El og plugin hybrid'!U$91+'El og plugin hybrid'!U$92,0)*'El og plugin hybrid'!U$60*(1+'El og plugin hybrid'!U$61)^-$B52)</f>
        <v>0</v>
      </c>
      <c r="W52" s="243">
        <f>(IF($B52&lt;='El og plugin hybrid'!W$60,'El og plugin hybrid'!W$19+'El og plugin hybrid'!W$20+'El og plugin hybrid'!W$21+'El og plugin hybrid'!W$91+'El og plugin hybrid'!W$92,0)*'El og plugin hybrid'!W$60*(1+'El og plugin hybrid'!W$61)^-$B52)</f>
        <v>0</v>
      </c>
    </row>
    <row r="53" spans="1:23">
      <c r="A53"/>
      <c r="B53" s="140">
        <v>5</v>
      </c>
      <c r="C53" s="141">
        <f t="shared" si="3"/>
        <v>5</v>
      </c>
      <c r="D53"/>
      <c r="E53" s="243">
        <f>(IF($B53&lt;='El og plugin hybrid'!E$60,'El og plugin hybrid'!E$19+'El og plugin hybrid'!E$20+'El og plugin hybrid'!E$21+'El og plugin hybrid'!E$91+'El og plugin hybrid'!E$92,0)*'El og plugin hybrid'!E$60*(1+'El og plugin hybrid'!E$61)^-$B53)</f>
        <v>0</v>
      </c>
      <c r="F53" s="243"/>
      <c r="G53" s="243">
        <f>(IF($B53&lt;='El og plugin hybrid'!G$60,'El og plugin hybrid'!G$19+'El og plugin hybrid'!G$20+'El og plugin hybrid'!G$21+'El og plugin hybrid'!G$91+'El og plugin hybrid'!G$92,0)*'El og plugin hybrid'!G$60*(1+'El og plugin hybrid'!G$61)^-$B53)</f>
        <v>0</v>
      </c>
      <c r="H53" s="243"/>
      <c r="I53" s="243">
        <f>(IF($B53&lt;='El og plugin hybrid'!I$60,'El og plugin hybrid'!I$19+'El og plugin hybrid'!I$20+'El og plugin hybrid'!I$21+'El og plugin hybrid'!I$91+'El og plugin hybrid'!I$92,0)*'El og plugin hybrid'!I$60*(1+'El og plugin hybrid'!I$61)^-$B53)</f>
        <v>0</v>
      </c>
      <c r="J53" s="243"/>
      <c r="K53" s="243">
        <f>(IF($B53&lt;='El og plugin hybrid'!K$60,'El og plugin hybrid'!K$19+'El og plugin hybrid'!K$20+'El og plugin hybrid'!K$21+'El og plugin hybrid'!K$91+'El og plugin hybrid'!K$92,0)*'El og plugin hybrid'!K$60*(1+'El og plugin hybrid'!K$61)^-$B53)</f>
        <v>0</v>
      </c>
      <c r="L53" s="243"/>
      <c r="M53" s="243">
        <f>(IF($B53&lt;='El og plugin hybrid'!M$60,'El og plugin hybrid'!M$19+'El og plugin hybrid'!M$20+'El og plugin hybrid'!M$21+'El og plugin hybrid'!M$91+'El og plugin hybrid'!M$92,0)*'El og plugin hybrid'!M$60*(1+'El og plugin hybrid'!M$61)^-$B53)</f>
        <v>0</v>
      </c>
      <c r="N53" s="243"/>
      <c r="O53" s="243">
        <f>(IF($B53&lt;='El og plugin hybrid'!O$60,'El og plugin hybrid'!O$19+'El og plugin hybrid'!O$20+'El og plugin hybrid'!O$21+'El og plugin hybrid'!O$91+'El og plugin hybrid'!O$92,0)*'El og plugin hybrid'!O$60*(1+'El og plugin hybrid'!O$61)^-$B53)</f>
        <v>0</v>
      </c>
      <c r="P53" s="243"/>
      <c r="Q53" s="243">
        <f>(IF($B53&lt;='El og plugin hybrid'!Q$60,'El og plugin hybrid'!Q$19+'El og plugin hybrid'!Q$20+'El og plugin hybrid'!Q$21+'El og plugin hybrid'!Q$91+'El og plugin hybrid'!Q$92,0)*'El og plugin hybrid'!Q$60*(1+'El og plugin hybrid'!Q$61)^-$B53)</f>
        <v>0</v>
      </c>
      <c r="R53" s="243"/>
      <c r="S53" s="243">
        <f>(IF($B53&lt;='El og plugin hybrid'!S$60,'El og plugin hybrid'!S$19+'El og plugin hybrid'!S$20+'El og plugin hybrid'!S$21+'El og plugin hybrid'!S$91+'El og plugin hybrid'!S$92,0)*'El og plugin hybrid'!S$60*(1+'El og plugin hybrid'!S$61)^-$B53)</f>
        <v>0</v>
      </c>
      <c r="U53" s="243">
        <f>(IF($B53&lt;='El og plugin hybrid'!U$60,'El og plugin hybrid'!U$19+'El og plugin hybrid'!U$20+'El og plugin hybrid'!U$21+'El og plugin hybrid'!U$91+'El og plugin hybrid'!U$92,0)*'El og plugin hybrid'!U$60*(1+'El og plugin hybrid'!U$61)^-$B53)</f>
        <v>0</v>
      </c>
      <c r="W53" s="243">
        <f>(IF($B53&lt;='El og plugin hybrid'!W$60,'El og plugin hybrid'!W$19+'El og plugin hybrid'!W$20+'El og plugin hybrid'!W$21+'El og plugin hybrid'!W$91+'El og plugin hybrid'!W$92,0)*'El og plugin hybrid'!W$60*(1+'El og plugin hybrid'!W$61)^-$B53)</f>
        <v>0</v>
      </c>
    </row>
    <row r="54" spans="1:23">
      <c r="A54"/>
      <c r="B54" s="140">
        <v>6</v>
      </c>
      <c r="C54" s="141">
        <f t="shared" si="3"/>
        <v>6</v>
      </c>
      <c r="D54"/>
      <c r="E54" s="243">
        <f>(IF($B54&lt;='El og plugin hybrid'!E$60,'El og plugin hybrid'!E$19+'El og plugin hybrid'!E$20+'El og plugin hybrid'!E$21+'El og plugin hybrid'!E$91+'El og plugin hybrid'!E$92,0)*'El og plugin hybrid'!E$60*(1+'El og plugin hybrid'!E$61)^-$B54)</f>
        <v>0</v>
      </c>
      <c r="F54" s="243"/>
      <c r="G54" s="243">
        <f>(IF($B54&lt;='El og plugin hybrid'!G$60,'El og plugin hybrid'!G$19+'El og plugin hybrid'!G$20+'El og plugin hybrid'!G$21+'El og plugin hybrid'!G$91+'El og plugin hybrid'!G$92,0)*'El og plugin hybrid'!G$60*(1+'El og plugin hybrid'!G$61)^-$B54)</f>
        <v>0</v>
      </c>
      <c r="H54" s="243"/>
      <c r="I54" s="243">
        <f>(IF($B54&lt;='El og plugin hybrid'!I$60,'El og plugin hybrid'!I$19+'El og plugin hybrid'!I$20+'El og plugin hybrid'!I$21+'El og plugin hybrid'!I$91+'El og plugin hybrid'!I$92,0)*'El og plugin hybrid'!I$60*(1+'El og plugin hybrid'!I$61)^-$B54)</f>
        <v>0</v>
      </c>
      <c r="J54" s="243"/>
      <c r="K54" s="243">
        <f>(IF($B54&lt;='El og plugin hybrid'!K$60,'El og plugin hybrid'!K$19+'El og plugin hybrid'!K$20+'El og plugin hybrid'!K$21+'El og plugin hybrid'!K$91+'El og plugin hybrid'!K$92,0)*'El og plugin hybrid'!K$60*(1+'El og plugin hybrid'!K$61)^-$B54)</f>
        <v>0</v>
      </c>
      <c r="L54" s="243"/>
      <c r="M54" s="243">
        <f>(IF($B54&lt;='El og plugin hybrid'!M$60,'El og plugin hybrid'!M$19+'El og plugin hybrid'!M$20+'El og plugin hybrid'!M$21+'El og plugin hybrid'!M$91+'El og plugin hybrid'!M$92,0)*'El og plugin hybrid'!M$60*(1+'El og plugin hybrid'!M$61)^-$B54)</f>
        <v>0</v>
      </c>
      <c r="N54" s="243"/>
      <c r="O54" s="243">
        <f>(IF($B54&lt;='El og plugin hybrid'!O$60,'El og plugin hybrid'!O$19+'El og plugin hybrid'!O$20+'El og plugin hybrid'!O$21+'El og plugin hybrid'!O$91+'El og plugin hybrid'!O$92,0)*'El og plugin hybrid'!O$60*(1+'El og plugin hybrid'!O$61)^-$B54)</f>
        <v>0</v>
      </c>
      <c r="P54" s="243"/>
      <c r="Q54" s="243">
        <f>(IF($B54&lt;='El og plugin hybrid'!Q$60,'El og plugin hybrid'!Q$19+'El og plugin hybrid'!Q$20+'El og plugin hybrid'!Q$21+'El og plugin hybrid'!Q$91+'El og plugin hybrid'!Q$92,0)*'El og plugin hybrid'!Q$60*(1+'El og plugin hybrid'!Q$61)^-$B54)</f>
        <v>0</v>
      </c>
      <c r="R54" s="243"/>
      <c r="S54" s="243">
        <f>(IF($B54&lt;='El og plugin hybrid'!S$60,'El og plugin hybrid'!S$19+'El og plugin hybrid'!S$20+'El og plugin hybrid'!S$21+'El og plugin hybrid'!S$91+'El og plugin hybrid'!S$92,0)*'El og plugin hybrid'!S$60*(1+'El og plugin hybrid'!S$61)^-$B54)</f>
        <v>0</v>
      </c>
      <c r="U54" s="243">
        <f>(IF($B54&lt;='El og plugin hybrid'!U$60,'El og plugin hybrid'!U$19+'El og plugin hybrid'!U$20+'El og plugin hybrid'!U$21+'El og plugin hybrid'!U$91+'El og plugin hybrid'!U$92,0)*'El og plugin hybrid'!U$60*(1+'El og plugin hybrid'!U$61)^-$B54)</f>
        <v>0</v>
      </c>
      <c r="W54" s="243">
        <f>(IF($B54&lt;='El og plugin hybrid'!W$60,'El og plugin hybrid'!W$19+'El og plugin hybrid'!W$20+'El og plugin hybrid'!W$21+'El og plugin hybrid'!W$91+'El og plugin hybrid'!W$92,0)*'El og plugin hybrid'!W$60*(1+'El og plugin hybrid'!W$61)^-$B54)</f>
        <v>0</v>
      </c>
    </row>
    <row r="55" spans="1:23">
      <c r="A55"/>
      <c r="B55" s="140">
        <v>7</v>
      </c>
      <c r="C55" s="141">
        <f t="shared" si="3"/>
        <v>7</v>
      </c>
      <c r="D55"/>
      <c r="E55" s="243">
        <f>(IF($B55&lt;='El og plugin hybrid'!E$60,'El og plugin hybrid'!E$19+'El og plugin hybrid'!E$20+'El og plugin hybrid'!E$21+'El og plugin hybrid'!E$91+'El og plugin hybrid'!E$92,0)*'El og plugin hybrid'!E$60*(1+'El og plugin hybrid'!E$61)^-$B55)</f>
        <v>0</v>
      </c>
      <c r="F55" s="243"/>
      <c r="G55" s="243">
        <f>(IF($B55&lt;='El og plugin hybrid'!G$60,'El og plugin hybrid'!G$19+'El og plugin hybrid'!G$20+'El og plugin hybrid'!G$21+'El og plugin hybrid'!G$91+'El og plugin hybrid'!G$92,0)*'El og plugin hybrid'!G$60*(1+'El og plugin hybrid'!G$61)^-$B55)</f>
        <v>0</v>
      </c>
      <c r="H55" s="243"/>
      <c r="I55" s="243">
        <f>(IF($B55&lt;='El og plugin hybrid'!I$60,'El og plugin hybrid'!I$19+'El og plugin hybrid'!I$20+'El og plugin hybrid'!I$21+'El og plugin hybrid'!I$91+'El og plugin hybrid'!I$92,0)*'El og plugin hybrid'!I$60*(1+'El og plugin hybrid'!I$61)^-$B55)</f>
        <v>0</v>
      </c>
      <c r="J55" s="243"/>
      <c r="K55" s="243">
        <f>(IF($B55&lt;='El og plugin hybrid'!K$60,'El og plugin hybrid'!K$19+'El og plugin hybrid'!K$20+'El og plugin hybrid'!K$21+'El og plugin hybrid'!K$91+'El og plugin hybrid'!K$92,0)*'El og plugin hybrid'!K$60*(1+'El og plugin hybrid'!K$61)^-$B55)</f>
        <v>0</v>
      </c>
      <c r="L55" s="243"/>
      <c r="M55" s="243">
        <f>(IF($B55&lt;='El og plugin hybrid'!M$60,'El og plugin hybrid'!M$19+'El og plugin hybrid'!M$20+'El og plugin hybrid'!M$21+'El og plugin hybrid'!M$91+'El og plugin hybrid'!M$92,0)*'El og plugin hybrid'!M$60*(1+'El og plugin hybrid'!M$61)^-$B55)</f>
        <v>0</v>
      </c>
      <c r="N55" s="243"/>
      <c r="O55" s="243">
        <f>(IF($B55&lt;='El og plugin hybrid'!O$60,'El og plugin hybrid'!O$19+'El og plugin hybrid'!O$20+'El og plugin hybrid'!O$21+'El og plugin hybrid'!O$91+'El og plugin hybrid'!O$92,0)*'El og plugin hybrid'!O$60*(1+'El og plugin hybrid'!O$61)^-$B55)</f>
        <v>0</v>
      </c>
      <c r="P55" s="243"/>
      <c r="Q55" s="243">
        <f>(IF($B55&lt;='El og plugin hybrid'!Q$60,'El og plugin hybrid'!Q$19+'El og plugin hybrid'!Q$20+'El og plugin hybrid'!Q$21+'El og plugin hybrid'!Q$91+'El og plugin hybrid'!Q$92,0)*'El og plugin hybrid'!Q$60*(1+'El og plugin hybrid'!Q$61)^-$B55)</f>
        <v>0</v>
      </c>
      <c r="R55" s="243"/>
      <c r="S55" s="243">
        <f>(IF($B55&lt;='El og plugin hybrid'!S$60,'El og plugin hybrid'!S$19+'El og plugin hybrid'!S$20+'El og plugin hybrid'!S$21+'El og plugin hybrid'!S$91+'El og plugin hybrid'!S$92,0)*'El og plugin hybrid'!S$60*(1+'El og plugin hybrid'!S$61)^-$B55)</f>
        <v>0</v>
      </c>
      <c r="U55" s="243">
        <f>(IF($B55&lt;='El og plugin hybrid'!U$60,'El og plugin hybrid'!U$19+'El og plugin hybrid'!U$20+'El og plugin hybrid'!U$21+'El og plugin hybrid'!U$91+'El og plugin hybrid'!U$92,0)*'El og plugin hybrid'!U$60*(1+'El og plugin hybrid'!U$61)^-$B55)</f>
        <v>0</v>
      </c>
      <c r="W55" s="243">
        <f>(IF($B55&lt;='El og plugin hybrid'!W$60,'El og plugin hybrid'!W$19+'El og plugin hybrid'!W$20+'El og plugin hybrid'!W$21+'El og plugin hybrid'!W$91+'El og plugin hybrid'!W$92,0)*'El og plugin hybrid'!W$60*(1+'El og plugin hybrid'!W$61)^-$B55)</f>
        <v>0</v>
      </c>
    </row>
    <row r="56" spans="1:23">
      <c r="A56"/>
      <c r="B56" s="140">
        <v>8</v>
      </c>
      <c r="C56" s="141">
        <f t="shared" si="3"/>
        <v>8</v>
      </c>
      <c r="D56"/>
      <c r="E56" s="243">
        <f>(IF($B56&lt;='El og plugin hybrid'!E$60,'El og plugin hybrid'!E$19+'El og plugin hybrid'!E$20+'El og plugin hybrid'!E$21+'El og plugin hybrid'!E$91+'El og plugin hybrid'!E$92,0)*'El og plugin hybrid'!E$60*(1+'El og plugin hybrid'!E$61)^-$B56)</f>
        <v>0</v>
      </c>
      <c r="F56" s="243"/>
      <c r="G56" s="243">
        <f>(IF($B56&lt;='El og plugin hybrid'!G$60,'El og plugin hybrid'!G$19+'El og plugin hybrid'!G$20+'El og plugin hybrid'!G$21+'El og plugin hybrid'!G$91+'El og plugin hybrid'!G$92,0)*'El og plugin hybrid'!G$60*(1+'El og plugin hybrid'!G$61)^-$B56)</f>
        <v>0</v>
      </c>
      <c r="H56" s="243"/>
      <c r="I56" s="243">
        <f>(IF($B56&lt;='El og plugin hybrid'!I$60,'El og plugin hybrid'!I$19+'El og plugin hybrid'!I$20+'El og plugin hybrid'!I$21+'El og plugin hybrid'!I$91+'El og plugin hybrid'!I$92,0)*'El og plugin hybrid'!I$60*(1+'El og plugin hybrid'!I$61)^-$B56)</f>
        <v>0</v>
      </c>
      <c r="J56" s="243"/>
      <c r="K56" s="243">
        <f>(IF($B56&lt;='El og plugin hybrid'!K$60,'El og plugin hybrid'!K$19+'El og plugin hybrid'!K$20+'El og plugin hybrid'!K$21+'El og plugin hybrid'!K$91+'El og plugin hybrid'!K$92,0)*'El og plugin hybrid'!K$60*(1+'El og plugin hybrid'!K$61)^-$B56)</f>
        <v>0</v>
      </c>
      <c r="L56" s="243"/>
      <c r="M56" s="243">
        <f>(IF($B56&lt;='El og plugin hybrid'!M$60,'El og plugin hybrid'!M$19+'El og plugin hybrid'!M$20+'El og plugin hybrid'!M$21+'El og plugin hybrid'!M$91+'El og plugin hybrid'!M$92,0)*'El og plugin hybrid'!M$60*(1+'El og plugin hybrid'!M$61)^-$B56)</f>
        <v>0</v>
      </c>
      <c r="N56" s="243"/>
      <c r="O56" s="243">
        <f>(IF($B56&lt;='El og plugin hybrid'!O$60,'El og plugin hybrid'!O$19+'El og plugin hybrid'!O$20+'El og plugin hybrid'!O$21+'El og plugin hybrid'!O$91+'El og plugin hybrid'!O$92,0)*'El og plugin hybrid'!O$60*(1+'El og plugin hybrid'!O$61)^-$B56)</f>
        <v>0</v>
      </c>
      <c r="P56" s="243"/>
      <c r="Q56" s="243">
        <f>(IF($B56&lt;='El og plugin hybrid'!Q$60,'El og plugin hybrid'!Q$19+'El og plugin hybrid'!Q$20+'El og plugin hybrid'!Q$21+'El og plugin hybrid'!Q$91+'El og plugin hybrid'!Q$92,0)*'El og plugin hybrid'!Q$60*(1+'El og plugin hybrid'!Q$61)^-$B56)</f>
        <v>0</v>
      </c>
      <c r="R56" s="243"/>
      <c r="S56" s="243">
        <f>(IF($B56&lt;='El og plugin hybrid'!S$60,'El og plugin hybrid'!S$19+'El og plugin hybrid'!S$20+'El og plugin hybrid'!S$21+'El og plugin hybrid'!S$91+'El og plugin hybrid'!S$92,0)*'El og plugin hybrid'!S$60*(1+'El og plugin hybrid'!S$61)^-$B56)</f>
        <v>0</v>
      </c>
      <c r="U56" s="243">
        <f>(IF($B56&lt;='El og plugin hybrid'!U$60,'El og plugin hybrid'!U$19+'El og plugin hybrid'!U$20+'El og plugin hybrid'!U$21+'El og plugin hybrid'!U$91+'El og plugin hybrid'!U$92,0)*'El og plugin hybrid'!U$60*(1+'El og plugin hybrid'!U$61)^-$B56)</f>
        <v>0</v>
      </c>
      <c r="W56" s="243">
        <f>(IF($B56&lt;='El og plugin hybrid'!W$60,'El og plugin hybrid'!W$19+'El og plugin hybrid'!W$20+'El og plugin hybrid'!W$21+'El og plugin hybrid'!W$91+'El og plugin hybrid'!W$92,0)*'El og plugin hybrid'!W$60*(1+'El og plugin hybrid'!W$61)^-$B56)</f>
        <v>0</v>
      </c>
    </row>
    <row r="57" spans="1:23">
      <c r="A57"/>
      <c r="B57" s="140">
        <v>9</v>
      </c>
      <c r="C57" s="141">
        <f t="shared" si="3"/>
        <v>9</v>
      </c>
      <c r="D57"/>
      <c r="E57" s="243">
        <f>(IF($B57&lt;='El og plugin hybrid'!E$60,'El og plugin hybrid'!E$19+'El og plugin hybrid'!E$20+'El og plugin hybrid'!E$21+'El og plugin hybrid'!E$91+'El og plugin hybrid'!E$92,0)*'El og plugin hybrid'!E$60*(1+'El og plugin hybrid'!E$61)^-$B57)</f>
        <v>0</v>
      </c>
      <c r="F57" s="243"/>
      <c r="G57" s="243">
        <f>(IF($B57&lt;='El og plugin hybrid'!G$60,'El og plugin hybrid'!G$19+'El og plugin hybrid'!G$20+'El og plugin hybrid'!G$21+'El og plugin hybrid'!G$91+'El og plugin hybrid'!G$92,0)*'El og plugin hybrid'!G$60*(1+'El og plugin hybrid'!G$61)^-$B57)</f>
        <v>0</v>
      </c>
      <c r="H57" s="243"/>
      <c r="I57" s="243">
        <f>(IF($B57&lt;='El og plugin hybrid'!I$60,'El og plugin hybrid'!I$19+'El og plugin hybrid'!I$20+'El og plugin hybrid'!I$21+'El og plugin hybrid'!I$91+'El og plugin hybrid'!I$92,0)*'El og plugin hybrid'!I$60*(1+'El og plugin hybrid'!I$61)^-$B57)</f>
        <v>0</v>
      </c>
      <c r="J57" s="243"/>
      <c r="K57" s="243">
        <f>(IF($B57&lt;='El og plugin hybrid'!K$60,'El og plugin hybrid'!K$19+'El og plugin hybrid'!K$20+'El og plugin hybrid'!K$21+'El og plugin hybrid'!K$91+'El og plugin hybrid'!K$92,0)*'El og plugin hybrid'!K$60*(1+'El og plugin hybrid'!K$61)^-$B57)</f>
        <v>0</v>
      </c>
      <c r="L57" s="243"/>
      <c r="M57" s="243">
        <f>(IF($B57&lt;='El og plugin hybrid'!M$60,'El og plugin hybrid'!M$19+'El og plugin hybrid'!M$20+'El og plugin hybrid'!M$21+'El og plugin hybrid'!M$91+'El og plugin hybrid'!M$92,0)*'El og plugin hybrid'!M$60*(1+'El og plugin hybrid'!M$61)^-$B57)</f>
        <v>0</v>
      </c>
      <c r="N57" s="243"/>
      <c r="O57" s="243">
        <f>(IF($B57&lt;='El og plugin hybrid'!O$60,'El og plugin hybrid'!O$19+'El og plugin hybrid'!O$20+'El og plugin hybrid'!O$21+'El og plugin hybrid'!O$91+'El og plugin hybrid'!O$92,0)*'El og plugin hybrid'!O$60*(1+'El og plugin hybrid'!O$61)^-$B57)</f>
        <v>0</v>
      </c>
      <c r="P57" s="243"/>
      <c r="Q57" s="243">
        <f>(IF($B57&lt;='El og plugin hybrid'!Q$60,'El og plugin hybrid'!Q$19+'El og plugin hybrid'!Q$20+'El og plugin hybrid'!Q$21+'El og plugin hybrid'!Q$91+'El og plugin hybrid'!Q$92,0)*'El og plugin hybrid'!Q$60*(1+'El og plugin hybrid'!Q$61)^-$B57)</f>
        <v>0</v>
      </c>
      <c r="R57" s="243"/>
      <c r="S57" s="243">
        <f>(IF($B57&lt;='El og plugin hybrid'!S$60,'El og plugin hybrid'!S$19+'El og plugin hybrid'!S$20+'El og plugin hybrid'!S$21+'El og plugin hybrid'!S$91+'El og plugin hybrid'!S$92,0)*'El og plugin hybrid'!S$60*(1+'El og plugin hybrid'!S$61)^-$B57)</f>
        <v>0</v>
      </c>
      <c r="U57" s="243">
        <f>(IF($B57&lt;='El og plugin hybrid'!U$60,'El og plugin hybrid'!U$19+'El og plugin hybrid'!U$20+'El og plugin hybrid'!U$21+'El og plugin hybrid'!U$91+'El og plugin hybrid'!U$92,0)*'El og plugin hybrid'!U$60*(1+'El og plugin hybrid'!U$61)^-$B57)</f>
        <v>0</v>
      </c>
      <c r="W57" s="243">
        <f>(IF($B57&lt;='El og plugin hybrid'!W$60,'El og plugin hybrid'!W$19+'El og plugin hybrid'!W$20+'El og plugin hybrid'!W$21+'El og plugin hybrid'!W$91+'El og plugin hybrid'!W$92,0)*'El og plugin hybrid'!W$60*(1+'El og plugin hybrid'!W$61)^-$B57)</f>
        <v>0</v>
      </c>
    </row>
    <row r="58" spans="1:23">
      <c r="A58"/>
      <c r="B58" s="140">
        <v>10</v>
      </c>
      <c r="C58" s="141">
        <f t="shared" si="3"/>
        <v>10</v>
      </c>
      <c r="D58"/>
      <c r="E58" s="243">
        <f>(IF($B58&lt;='El og plugin hybrid'!E$60,'El og plugin hybrid'!E$19+'El og plugin hybrid'!E$20+'El og plugin hybrid'!E$21+'El og plugin hybrid'!E$91+'El og plugin hybrid'!E$92,0)*'El og plugin hybrid'!E$60*(1+'El og plugin hybrid'!E$61)^-$B58)</f>
        <v>0</v>
      </c>
      <c r="F58" s="243"/>
      <c r="G58" s="243">
        <f>(IF($B58&lt;='El og plugin hybrid'!G$60,'El og plugin hybrid'!G$19+'El og plugin hybrid'!G$20+'El og plugin hybrid'!G$21+'El og plugin hybrid'!G$91+'El og plugin hybrid'!G$92,0)*'El og plugin hybrid'!G$60*(1+'El og plugin hybrid'!G$61)^-$B58)</f>
        <v>0</v>
      </c>
      <c r="H58" s="243"/>
      <c r="I58" s="243">
        <f>(IF($B58&lt;='El og plugin hybrid'!I$60,'El og plugin hybrid'!I$19+'El og plugin hybrid'!I$20+'El og plugin hybrid'!I$21+'El og plugin hybrid'!I$91+'El og plugin hybrid'!I$92,0)*'El og plugin hybrid'!I$60*(1+'El og plugin hybrid'!I$61)^-$B58)</f>
        <v>0</v>
      </c>
      <c r="J58" s="243"/>
      <c r="K58" s="243">
        <f>(IF($B58&lt;='El og plugin hybrid'!K$60,'El og plugin hybrid'!K$19+'El og plugin hybrid'!K$20+'El og plugin hybrid'!K$21+'El og plugin hybrid'!K$91+'El og plugin hybrid'!K$92,0)*'El og plugin hybrid'!K$60*(1+'El og plugin hybrid'!K$61)^-$B58)</f>
        <v>0</v>
      </c>
      <c r="L58" s="243"/>
      <c r="M58" s="243">
        <f>(IF($B58&lt;='El og plugin hybrid'!M$60,'El og plugin hybrid'!M$19+'El og plugin hybrid'!M$20+'El og plugin hybrid'!M$21+'El og plugin hybrid'!M$91+'El og plugin hybrid'!M$92,0)*'El og plugin hybrid'!M$60*(1+'El og plugin hybrid'!M$61)^-$B58)</f>
        <v>0</v>
      </c>
      <c r="N58" s="243"/>
      <c r="O58" s="243">
        <f>(IF($B58&lt;='El og plugin hybrid'!O$60,'El og plugin hybrid'!O$19+'El og plugin hybrid'!O$20+'El og plugin hybrid'!O$21+'El og plugin hybrid'!O$91+'El og plugin hybrid'!O$92,0)*'El og plugin hybrid'!O$60*(1+'El og plugin hybrid'!O$61)^-$B58)</f>
        <v>0</v>
      </c>
      <c r="P58" s="243"/>
      <c r="Q58" s="243">
        <f>(IF($B58&lt;='El og plugin hybrid'!Q$60,'El og plugin hybrid'!Q$19+'El og plugin hybrid'!Q$20+'El og plugin hybrid'!Q$21+'El og plugin hybrid'!Q$91+'El og plugin hybrid'!Q$92,0)*'El og plugin hybrid'!Q$60*(1+'El og plugin hybrid'!Q$61)^-$B58)</f>
        <v>0</v>
      </c>
      <c r="R58" s="243"/>
      <c r="S58" s="243">
        <f>(IF($B58&lt;='El og plugin hybrid'!S$60,'El og plugin hybrid'!S$19+'El og plugin hybrid'!S$20+'El og plugin hybrid'!S$21+'El og plugin hybrid'!S$91+'El og plugin hybrid'!S$92,0)*'El og plugin hybrid'!S$60*(1+'El og plugin hybrid'!S$61)^-$B58)</f>
        <v>0</v>
      </c>
      <c r="U58" s="243">
        <f>(IF($B58&lt;='El og plugin hybrid'!U$60,'El og plugin hybrid'!U$19+'El og plugin hybrid'!U$20+'El og plugin hybrid'!U$21+'El og plugin hybrid'!U$91+'El og plugin hybrid'!U$92,0)*'El og plugin hybrid'!U$60*(1+'El og plugin hybrid'!U$61)^-$B58)</f>
        <v>0</v>
      </c>
      <c r="W58" s="243">
        <f>(IF($B58&lt;='El og plugin hybrid'!W$60,'El og plugin hybrid'!W$19+'El og plugin hybrid'!W$20+'El og plugin hybrid'!W$21+'El og plugin hybrid'!W$91+'El og plugin hybrid'!W$92,0)*'El og plugin hybrid'!W$60*(1+'El og plugin hybrid'!W$61)^-$B58)</f>
        <v>0</v>
      </c>
    </row>
    <row r="59" spans="1:23">
      <c r="A59"/>
      <c r="B59" s="140">
        <v>11</v>
      </c>
      <c r="C59" s="141">
        <f t="shared" si="3"/>
        <v>11</v>
      </c>
      <c r="D59"/>
      <c r="E59" s="243">
        <f>(IF($B59&lt;='El og plugin hybrid'!E$60,'El og plugin hybrid'!E$19+'El og plugin hybrid'!E$20+'El og plugin hybrid'!E$21+'El og plugin hybrid'!E$91+'El og plugin hybrid'!E$92,0)*'El og plugin hybrid'!E$60*(1+'El og plugin hybrid'!E$61)^-$B59)</f>
        <v>0</v>
      </c>
      <c r="F59" s="243"/>
      <c r="G59" s="243">
        <f>(IF($B59&lt;='El og plugin hybrid'!G$60,'El og plugin hybrid'!G$19+'El og plugin hybrid'!G$20+'El og plugin hybrid'!G$21+'El og plugin hybrid'!G$91+'El og plugin hybrid'!G$92,0)*'El og plugin hybrid'!G$60*(1+'El og plugin hybrid'!G$61)^-$B59)</f>
        <v>0</v>
      </c>
      <c r="H59" s="243"/>
      <c r="I59" s="243">
        <f>(IF($B59&lt;='El og plugin hybrid'!I$60,'El og plugin hybrid'!I$19+'El og plugin hybrid'!I$20+'El og plugin hybrid'!I$21+'El og plugin hybrid'!I$91+'El og plugin hybrid'!I$92,0)*'El og plugin hybrid'!I$60*(1+'El og plugin hybrid'!I$61)^-$B59)</f>
        <v>0</v>
      </c>
      <c r="J59" s="243"/>
      <c r="K59" s="243">
        <f>(IF($B59&lt;='El og plugin hybrid'!K$60,'El og plugin hybrid'!K$19+'El og plugin hybrid'!K$20+'El og plugin hybrid'!K$21+'El og plugin hybrid'!K$91+'El og plugin hybrid'!K$92,0)*'El og plugin hybrid'!K$60*(1+'El og plugin hybrid'!K$61)^-$B59)</f>
        <v>0</v>
      </c>
      <c r="L59" s="243"/>
      <c r="M59" s="243">
        <f>(IF($B59&lt;='El og plugin hybrid'!M$60,'El og plugin hybrid'!M$19+'El og plugin hybrid'!M$20+'El og plugin hybrid'!M$21+'El og plugin hybrid'!M$91+'El og plugin hybrid'!M$92,0)*'El og plugin hybrid'!M$60*(1+'El og plugin hybrid'!M$61)^-$B59)</f>
        <v>0</v>
      </c>
      <c r="N59" s="243"/>
      <c r="O59" s="243">
        <f>(IF($B59&lt;='El og plugin hybrid'!O$60,'El og plugin hybrid'!O$19+'El og plugin hybrid'!O$20+'El og plugin hybrid'!O$21+'El og plugin hybrid'!O$91+'El og plugin hybrid'!O$92,0)*'El og plugin hybrid'!O$60*(1+'El og plugin hybrid'!O$61)^-$B59)</f>
        <v>0</v>
      </c>
      <c r="P59" s="243"/>
      <c r="Q59" s="243">
        <f>(IF($B59&lt;='El og plugin hybrid'!Q$60,'El og plugin hybrid'!Q$19+'El og plugin hybrid'!Q$20+'El og plugin hybrid'!Q$21+'El og plugin hybrid'!Q$91+'El og plugin hybrid'!Q$92,0)*'El og plugin hybrid'!Q$60*(1+'El og plugin hybrid'!Q$61)^-$B59)</f>
        <v>0</v>
      </c>
      <c r="R59" s="243"/>
      <c r="S59" s="243">
        <f>(IF($B59&lt;='El og plugin hybrid'!S$60,'El og plugin hybrid'!S$19+'El og plugin hybrid'!S$20+'El og plugin hybrid'!S$21+'El og plugin hybrid'!S$91+'El og plugin hybrid'!S$92,0)*'El og plugin hybrid'!S$60*(1+'El og plugin hybrid'!S$61)^-$B59)</f>
        <v>0</v>
      </c>
      <c r="U59" s="243">
        <f>(IF($B59&lt;='El og plugin hybrid'!U$60,'El og plugin hybrid'!U$19+'El og plugin hybrid'!U$20+'El og plugin hybrid'!U$21+'El og plugin hybrid'!U$91+'El og plugin hybrid'!U$92,0)*'El og plugin hybrid'!U$60*(1+'El og plugin hybrid'!U$61)^-$B59)</f>
        <v>0</v>
      </c>
      <c r="W59" s="243">
        <f>(IF($B59&lt;='El og plugin hybrid'!W$60,'El og plugin hybrid'!W$19+'El og plugin hybrid'!W$20+'El og plugin hybrid'!W$21+'El og plugin hybrid'!W$91+'El og plugin hybrid'!W$92,0)*'El og plugin hybrid'!W$60*(1+'El og plugin hybrid'!W$61)^-$B59)</f>
        <v>0</v>
      </c>
    </row>
    <row r="60" spans="1:23">
      <c r="A60"/>
      <c r="B60" s="140">
        <v>12</v>
      </c>
      <c r="C60" s="141">
        <f t="shared" si="3"/>
        <v>12</v>
      </c>
      <c r="D60"/>
      <c r="E60" s="243">
        <f>(IF($B60&lt;='El og plugin hybrid'!E$60,'El og plugin hybrid'!E$19+'El og plugin hybrid'!E$20+'El og plugin hybrid'!E$21+'El og plugin hybrid'!E$91+'El og plugin hybrid'!E$92,0)*'El og plugin hybrid'!E$60*(1+'El og plugin hybrid'!E$61)^-$B60)</f>
        <v>0</v>
      </c>
      <c r="F60" s="243"/>
      <c r="G60" s="243">
        <f>(IF($B60&lt;='El og plugin hybrid'!G$60,'El og plugin hybrid'!G$19+'El og plugin hybrid'!G$20+'El og plugin hybrid'!G$21+'El og plugin hybrid'!G$91+'El og plugin hybrid'!G$92,0)*'El og plugin hybrid'!G$60*(1+'El og plugin hybrid'!G$61)^-$B60)</f>
        <v>0</v>
      </c>
      <c r="H60" s="243"/>
      <c r="I60" s="243">
        <f>(IF($B60&lt;='El og plugin hybrid'!I$60,'El og plugin hybrid'!I$19+'El og plugin hybrid'!I$20+'El og plugin hybrid'!I$21+'El og plugin hybrid'!I$91+'El og plugin hybrid'!I$92,0)*'El og plugin hybrid'!I$60*(1+'El og plugin hybrid'!I$61)^-$B60)</f>
        <v>0</v>
      </c>
      <c r="J60" s="243"/>
      <c r="K60" s="243">
        <f>(IF($B60&lt;='El og plugin hybrid'!K$60,'El og plugin hybrid'!K$19+'El og plugin hybrid'!K$20+'El og plugin hybrid'!K$21+'El og plugin hybrid'!K$91+'El og plugin hybrid'!K$92,0)*'El og plugin hybrid'!K$60*(1+'El og plugin hybrid'!K$61)^-$B60)</f>
        <v>0</v>
      </c>
      <c r="L60" s="243"/>
      <c r="M60" s="243">
        <f>(IF($B60&lt;='El og plugin hybrid'!M$60,'El og plugin hybrid'!M$19+'El og plugin hybrid'!M$20+'El og plugin hybrid'!M$21+'El og plugin hybrid'!M$91+'El og plugin hybrid'!M$92,0)*'El og plugin hybrid'!M$60*(1+'El og plugin hybrid'!M$61)^-$B60)</f>
        <v>0</v>
      </c>
      <c r="N60" s="243"/>
      <c r="O60" s="243">
        <f>(IF($B60&lt;='El og plugin hybrid'!O$60,'El og plugin hybrid'!O$19+'El og plugin hybrid'!O$20+'El og plugin hybrid'!O$21+'El og plugin hybrid'!O$91+'El og plugin hybrid'!O$92,0)*'El og plugin hybrid'!O$60*(1+'El og plugin hybrid'!O$61)^-$B60)</f>
        <v>0</v>
      </c>
      <c r="P60" s="243"/>
      <c r="Q60" s="243">
        <f>(IF($B60&lt;='El og plugin hybrid'!Q$60,'El og plugin hybrid'!Q$19+'El og plugin hybrid'!Q$20+'El og plugin hybrid'!Q$21+'El og plugin hybrid'!Q$91+'El og plugin hybrid'!Q$92,0)*'El og plugin hybrid'!Q$60*(1+'El og plugin hybrid'!Q$61)^-$B60)</f>
        <v>0</v>
      </c>
      <c r="R60" s="243"/>
      <c r="S60" s="243">
        <f>(IF($B60&lt;='El og plugin hybrid'!S$60,'El og plugin hybrid'!S$19+'El og plugin hybrid'!S$20+'El og plugin hybrid'!S$21+'El og plugin hybrid'!S$91+'El og plugin hybrid'!S$92,0)*'El og plugin hybrid'!S$60*(1+'El og plugin hybrid'!S$61)^-$B60)</f>
        <v>0</v>
      </c>
      <c r="U60" s="243">
        <f>(IF($B60&lt;='El og plugin hybrid'!U$60,'El og plugin hybrid'!U$19+'El og plugin hybrid'!U$20+'El og plugin hybrid'!U$21+'El og plugin hybrid'!U$91+'El og plugin hybrid'!U$92,0)*'El og plugin hybrid'!U$60*(1+'El og plugin hybrid'!U$61)^-$B60)</f>
        <v>0</v>
      </c>
      <c r="W60" s="243">
        <f>(IF($B60&lt;='El og plugin hybrid'!W$60,'El og plugin hybrid'!W$19+'El og plugin hybrid'!W$20+'El og plugin hybrid'!W$21+'El og plugin hybrid'!W$91+'El og plugin hybrid'!W$92,0)*'El og plugin hybrid'!W$60*(1+'El og plugin hybrid'!W$61)^-$B60)</f>
        <v>0</v>
      </c>
    </row>
    <row r="61" spans="1:23">
      <c r="A61"/>
      <c r="B61" s="140">
        <v>13</v>
      </c>
      <c r="C61" s="141">
        <f t="shared" si="3"/>
        <v>13</v>
      </c>
      <c r="D61"/>
      <c r="E61" s="243">
        <f>(IF($B61&lt;='El og plugin hybrid'!E$60,'El og plugin hybrid'!E$19+'El og plugin hybrid'!E$20+'El og plugin hybrid'!E$21+'El og plugin hybrid'!E$91+'El og plugin hybrid'!E$92,0)*'El og plugin hybrid'!E$60*(1+'El og plugin hybrid'!E$61)^-$B61)</f>
        <v>0</v>
      </c>
      <c r="F61" s="243"/>
      <c r="G61" s="243">
        <f>(IF($B61&lt;='El og plugin hybrid'!G$60,'El og plugin hybrid'!G$19+'El og plugin hybrid'!G$20+'El og plugin hybrid'!G$21+'El og plugin hybrid'!G$91+'El og plugin hybrid'!G$92,0)*'El og plugin hybrid'!G$60*(1+'El og plugin hybrid'!G$61)^-$B61)</f>
        <v>0</v>
      </c>
      <c r="H61" s="243"/>
      <c r="I61" s="243">
        <f>(IF($B61&lt;='El og plugin hybrid'!I$60,'El og plugin hybrid'!I$19+'El og plugin hybrid'!I$20+'El og plugin hybrid'!I$21+'El og plugin hybrid'!I$91+'El og plugin hybrid'!I$92,0)*'El og plugin hybrid'!I$60*(1+'El og plugin hybrid'!I$61)^-$B61)</f>
        <v>0</v>
      </c>
      <c r="J61" s="243"/>
      <c r="K61" s="243">
        <f>(IF($B61&lt;='El og plugin hybrid'!K$60,'El og plugin hybrid'!K$19+'El og plugin hybrid'!K$20+'El og plugin hybrid'!K$21+'El og plugin hybrid'!K$91+'El og plugin hybrid'!K$92,0)*'El og plugin hybrid'!K$60*(1+'El og plugin hybrid'!K$61)^-$B61)</f>
        <v>0</v>
      </c>
      <c r="L61" s="243"/>
      <c r="M61" s="243">
        <f>(IF($B61&lt;='El og plugin hybrid'!M$60,'El og plugin hybrid'!M$19+'El og plugin hybrid'!M$20+'El og plugin hybrid'!M$21+'El og plugin hybrid'!M$91+'El og plugin hybrid'!M$92,0)*'El og plugin hybrid'!M$60*(1+'El og plugin hybrid'!M$61)^-$B61)</f>
        <v>0</v>
      </c>
      <c r="N61" s="243"/>
      <c r="O61" s="243">
        <f>(IF($B61&lt;='El og plugin hybrid'!O$60,'El og plugin hybrid'!O$19+'El og plugin hybrid'!O$20+'El og plugin hybrid'!O$21+'El og plugin hybrid'!O$91+'El og plugin hybrid'!O$92,0)*'El og plugin hybrid'!O$60*(1+'El og plugin hybrid'!O$61)^-$B61)</f>
        <v>0</v>
      </c>
      <c r="P61" s="243"/>
      <c r="Q61" s="243">
        <f>(IF($B61&lt;='El og plugin hybrid'!Q$60,'El og plugin hybrid'!Q$19+'El og plugin hybrid'!Q$20+'El og plugin hybrid'!Q$21+'El og plugin hybrid'!Q$91+'El og plugin hybrid'!Q$92,0)*'El og plugin hybrid'!Q$60*(1+'El og plugin hybrid'!Q$61)^-$B61)</f>
        <v>0</v>
      </c>
      <c r="R61" s="243"/>
      <c r="S61" s="243">
        <f>(IF($B61&lt;='El og plugin hybrid'!S$60,'El og plugin hybrid'!S$19+'El og plugin hybrid'!S$20+'El og plugin hybrid'!S$21+'El og plugin hybrid'!S$91+'El og plugin hybrid'!S$92,0)*'El og plugin hybrid'!S$60*(1+'El og plugin hybrid'!S$61)^-$B61)</f>
        <v>0</v>
      </c>
      <c r="U61" s="243">
        <f>(IF($B61&lt;='El og plugin hybrid'!U$60,'El og plugin hybrid'!U$19+'El og plugin hybrid'!U$20+'El og plugin hybrid'!U$21+'El og plugin hybrid'!U$91+'El og plugin hybrid'!U$92,0)*'El og plugin hybrid'!U$60*(1+'El og plugin hybrid'!U$61)^-$B61)</f>
        <v>0</v>
      </c>
      <c r="W61" s="243">
        <f>(IF($B61&lt;='El og plugin hybrid'!W$60,'El og plugin hybrid'!W$19+'El og plugin hybrid'!W$20+'El og plugin hybrid'!W$21+'El og plugin hybrid'!W$91+'El og plugin hybrid'!W$92,0)*'El og plugin hybrid'!W$60*(1+'El og plugin hybrid'!W$61)^-$B61)</f>
        <v>0</v>
      </c>
    </row>
    <row r="62" spans="1:23">
      <c r="A62"/>
      <c r="B62" s="140">
        <v>14</v>
      </c>
      <c r="C62" s="141">
        <f t="shared" si="3"/>
        <v>14</v>
      </c>
      <c r="D62"/>
      <c r="E62" s="243">
        <f>(IF($B62&lt;='El og plugin hybrid'!E$60,'El og plugin hybrid'!E$19+'El og plugin hybrid'!E$20+'El og plugin hybrid'!E$21+'El og plugin hybrid'!E$91+'El og plugin hybrid'!E$92,0)*'El og plugin hybrid'!E$60*(1+'El og plugin hybrid'!E$61)^-$B62)</f>
        <v>0</v>
      </c>
      <c r="F62" s="243"/>
      <c r="G62" s="243">
        <f>(IF($B62&lt;='El og plugin hybrid'!G$60,'El og plugin hybrid'!G$19+'El og plugin hybrid'!G$20+'El og plugin hybrid'!G$21+'El og plugin hybrid'!G$91+'El og plugin hybrid'!G$92,0)*'El og plugin hybrid'!G$60*(1+'El og plugin hybrid'!G$61)^-$B62)</f>
        <v>0</v>
      </c>
      <c r="H62" s="243"/>
      <c r="I62" s="243">
        <f>(IF($B62&lt;='El og plugin hybrid'!I$60,'El og plugin hybrid'!I$19+'El og plugin hybrid'!I$20+'El og plugin hybrid'!I$21+'El og plugin hybrid'!I$91+'El og plugin hybrid'!I$92,0)*'El og plugin hybrid'!I$60*(1+'El og plugin hybrid'!I$61)^-$B62)</f>
        <v>0</v>
      </c>
      <c r="J62" s="243"/>
      <c r="K62" s="243">
        <f>(IF($B62&lt;='El og plugin hybrid'!K$60,'El og plugin hybrid'!K$19+'El og plugin hybrid'!K$20+'El og plugin hybrid'!K$21+'El og plugin hybrid'!K$91+'El og plugin hybrid'!K$92,0)*'El og plugin hybrid'!K$60*(1+'El og plugin hybrid'!K$61)^-$B62)</f>
        <v>0</v>
      </c>
      <c r="L62" s="243"/>
      <c r="M62" s="243">
        <f>(IF($B62&lt;='El og plugin hybrid'!M$60,'El og plugin hybrid'!M$19+'El og plugin hybrid'!M$20+'El og plugin hybrid'!M$21+'El og plugin hybrid'!M$91+'El og plugin hybrid'!M$92,0)*'El og plugin hybrid'!M$60*(1+'El og plugin hybrid'!M$61)^-$B62)</f>
        <v>0</v>
      </c>
      <c r="N62" s="243"/>
      <c r="O62" s="243">
        <f>(IF($B62&lt;='El og plugin hybrid'!O$60,'El og plugin hybrid'!O$19+'El og plugin hybrid'!O$20+'El og plugin hybrid'!O$21+'El og plugin hybrid'!O$91+'El og plugin hybrid'!O$92,0)*'El og plugin hybrid'!O$60*(1+'El og plugin hybrid'!O$61)^-$B62)</f>
        <v>0</v>
      </c>
      <c r="P62" s="243"/>
      <c r="Q62" s="243">
        <f>(IF($B62&lt;='El og plugin hybrid'!Q$60,'El og plugin hybrid'!Q$19+'El og plugin hybrid'!Q$20+'El og plugin hybrid'!Q$21+'El og plugin hybrid'!Q$91+'El og plugin hybrid'!Q$92,0)*'El og plugin hybrid'!Q$60*(1+'El og plugin hybrid'!Q$61)^-$B62)</f>
        <v>0</v>
      </c>
      <c r="R62" s="243"/>
      <c r="S62" s="243">
        <f>(IF($B62&lt;='El og plugin hybrid'!S$60,'El og plugin hybrid'!S$19+'El og plugin hybrid'!S$20+'El og plugin hybrid'!S$21+'El og plugin hybrid'!S$91+'El og plugin hybrid'!S$92,0)*'El og plugin hybrid'!S$60*(1+'El og plugin hybrid'!S$61)^-$B62)</f>
        <v>0</v>
      </c>
      <c r="U62" s="243">
        <f>(IF($B62&lt;='El og plugin hybrid'!U$60,'El og plugin hybrid'!U$19+'El og plugin hybrid'!U$20+'El og plugin hybrid'!U$21+'El og plugin hybrid'!U$91+'El og plugin hybrid'!U$92,0)*'El og plugin hybrid'!U$60*(1+'El og plugin hybrid'!U$61)^-$B62)</f>
        <v>0</v>
      </c>
      <c r="W62" s="243">
        <f>(IF($B62&lt;='El og plugin hybrid'!W$60,'El og plugin hybrid'!W$19+'El og plugin hybrid'!W$20+'El og plugin hybrid'!W$21+'El og plugin hybrid'!W$91+'El og plugin hybrid'!W$92,0)*'El og plugin hybrid'!W$60*(1+'El og plugin hybrid'!W$61)^-$B62)</f>
        <v>0</v>
      </c>
    </row>
    <row r="63" spans="1:23">
      <c r="A63"/>
      <c r="B63" s="140">
        <v>15</v>
      </c>
      <c r="C63" s="141">
        <f t="shared" si="3"/>
        <v>15</v>
      </c>
      <c r="D63"/>
      <c r="E63" s="243">
        <f>(IF($B63&lt;='El og plugin hybrid'!E$60,'El og plugin hybrid'!E$19+'El og plugin hybrid'!E$20+'El og plugin hybrid'!E$21+'El og plugin hybrid'!E$91+'El og plugin hybrid'!E$92,0)*'El og plugin hybrid'!E$60*(1+'El og plugin hybrid'!E$61)^-$B63)</f>
        <v>0</v>
      </c>
      <c r="F63" s="243"/>
      <c r="G63" s="243">
        <f>(IF($B63&lt;='El og plugin hybrid'!G$60,'El og plugin hybrid'!G$19+'El og plugin hybrid'!G$20+'El og plugin hybrid'!G$21+'El og plugin hybrid'!G$91+'El og plugin hybrid'!G$92,0)*'El og plugin hybrid'!G$60*(1+'El og plugin hybrid'!G$61)^-$B63)</f>
        <v>0</v>
      </c>
      <c r="H63" s="243"/>
      <c r="I63" s="243">
        <f>(IF($B63&lt;='El og plugin hybrid'!I$60,'El og plugin hybrid'!I$19+'El og plugin hybrid'!I$20+'El og plugin hybrid'!I$21+'El og plugin hybrid'!I$91+'El og plugin hybrid'!I$92,0)*'El og plugin hybrid'!I$60*(1+'El og plugin hybrid'!I$61)^-$B63)</f>
        <v>0</v>
      </c>
      <c r="J63" s="243"/>
      <c r="K63" s="243">
        <f>(IF($B63&lt;='El og plugin hybrid'!K$60,'El og plugin hybrid'!K$19+'El og plugin hybrid'!K$20+'El og plugin hybrid'!K$21+'El og plugin hybrid'!K$91+'El og plugin hybrid'!K$92,0)*'El og plugin hybrid'!K$60*(1+'El og plugin hybrid'!K$61)^-$B63)</f>
        <v>0</v>
      </c>
      <c r="L63" s="243"/>
      <c r="M63" s="243">
        <f>(IF($B63&lt;='El og plugin hybrid'!M$60,'El og plugin hybrid'!M$19+'El og plugin hybrid'!M$20+'El og plugin hybrid'!M$21+'El og plugin hybrid'!M$91+'El og plugin hybrid'!M$92,0)*'El og plugin hybrid'!M$60*(1+'El og plugin hybrid'!M$61)^-$B63)</f>
        <v>0</v>
      </c>
      <c r="N63" s="243"/>
      <c r="O63" s="243">
        <f>(IF($B63&lt;='El og plugin hybrid'!O$60,'El og plugin hybrid'!O$19+'El og plugin hybrid'!O$20+'El og plugin hybrid'!O$21+'El og plugin hybrid'!O$91+'El og plugin hybrid'!O$92,0)*'El og plugin hybrid'!O$60*(1+'El og plugin hybrid'!O$61)^-$B63)</f>
        <v>0</v>
      </c>
      <c r="P63" s="243"/>
      <c r="Q63" s="243">
        <f>(IF($B63&lt;='El og plugin hybrid'!Q$60,'El og plugin hybrid'!Q$19+'El og plugin hybrid'!Q$20+'El og plugin hybrid'!Q$21+'El og plugin hybrid'!Q$91+'El og plugin hybrid'!Q$92,0)*'El og plugin hybrid'!Q$60*(1+'El og plugin hybrid'!Q$61)^-$B63)</f>
        <v>0</v>
      </c>
      <c r="R63" s="243"/>
      <c r="S63" s="243">
        <f>(IF($B63&lt;='El og plugin hybrid'!S$60,'El og plugin hybrid'!S$19+'El og plugin hybrid'!S$20+'El og plugin hybrid'!S$21+'El og plugin hybrid'!S$91+'El og plugin hybrid'!S$92,0)*'El og plugin hybrid'!S$60*(1+'El og plugin hybrid'!S$61)^-$B63)</f>
        <v>0</v>
      </c>
      <c r="U63" s="243">
        <f>(IF($B63&lt;='El og plugin hybrid'!U$60,'El og plugin hybrid'!U$19+'El og plugin hybrid'!U$20+'El og plugin hybrid'!U$21+'El og plugin hybrid'!U$91+'El og plugin hybrid'!U$92,0)*'El og plugin hybrid'!U$60*(1+'El og plugin hybrid'!U$61)^-$B63)</f>
        <v>0</v>
      </c>
      <c r="W63" s="243">
        <f>(IF($B63&lt;='El og plugin hybrid'!W$60,'El og plugin hybrid'!W$19+'El og plugin hybrid'!W$20+'El og plugin hybrid'!W$21+'El og plugin hybrid'!W$91+'El og plugin hybrid'!W$92,0)*'El og plugin hybrid'!W$60*(1+'El og plugin hybrid'!W$61)^-$B63)</f>
        <v>0</v>
      </c>
    </row>
    <row r="64" spans="1:23">
      <c r="A64"/>
      <c r="B64" s="140">
        <v>16</v>
      </c>
      <c r="C64" s="141">
        <f t="shared" si="3"/>
        <v>16</v>
      </c>
      <c r="D64"/>
      <c r="E64" s="243">
        <f>(IF($B64&lt;='El og plugin hybrid'!E$60,'El og plugin hybrid'!E$19+'El og plugin hybrid'!E$20+'El og plugin hybrid'!E$21+'El og plugin hybrid'!E$91+'El og plugin hybrid'!E$92,0)*'El og plugin hybrid'!E$60*(1+'El og plugin hybrid'!E$61)^-$B64)</f>
        <v>0</v>
      </c>
      <c r="F64" s="243"/>
      <c r="G64" s="243">
        <f>(IF($B64&lt;='El og plugin hybrid'!G$60,'El og plugin hybrid'!G$19+'El og plugin hybrid'!G$20+'El og plugin hybrid'!G$21+'El og plugin hybrid'!G$91+'El og plugin hybrid'!G$92,0)*'El og plugin hybrid'!G$60*(1+'El og plugin hybrid'!G$61)^-$B64)</f>
        <v>0</v>
      </c>
      <c r="H64" s="243"/>
      <c r="I64" s="243">
        <f>(IF($B64&lt;='El og plugin hybrid'!I$60,'El og plugin hybrid'!I$19+'El og plugin hybrid'!I$20+'El og plugin hybrid'!I$21+'El og plugin hybrid'!I$91+'El og plugin hybrid'!I$92,0)*'El og plugin hybrid'!I$60*(1+'El og plugin hybrid'!I$61)^-$B64)</f>
        <v>0</v>
      </c>
      <c r="J64" s="243"/>
      <c r="K64" s="243">
        <f>(IF($B64&lt;='El og plugin hybrid'!K$60,'El og plugin hybrid'!K$19+'El og plugin hybrid'!K$20+'El og plugin hybrid'!K$21+'El og plugin hybrid'!K$91+'El og plugin hybrid'!K$92,0)*'El og plugin hybrid'!K$60*(1+'El og plugin hybrid'!K$61)^-$B64)</f>
        <v>0</v>
      </c>
      <c r="L64" s="243"/>
      <c r="M64" s="243">
        <f>(IF($B64&lt;='El og plugin hybrid'!M$60,'El og plugin hybrid'!M$19+'El og plugin hybrid'!M$20+'El og plugin hybrid'!M$21+'El og plugin hybrid'!M$91+'El og plugin hybrid'!M$92,0)*'El og plugin hybrid'!M$60*(1+'El og plugin hybrid'!M$61)^-$B64)</f>
        <v>0</v>
      </c>
      <c r="N64" s="243"/>
      <c r="O64" s="243">
        <f>(IF($B64&lt;='El og plugin hybrid'!O$60,'El og plugin hybrid'!O$19+'El og plugin hybrid'!O$20+'El og plugin hybrid'!O$21+'El og plugin hybrid'!O$91+'El og plugin hybrid'!O$92,0)*'El og plugin hybrid'!O$60*(1+'El og plugin hybrid'!O$61)^-$B64)</f>
        <v>0</v>
      </c>
      <c r="P64" s="243"/>
      <c r="Q64" s="243">
        <f>(IF($B64&lt;='El og plugin hybrid'!Q$60,'El og plugin hybrid'!Q$19+'El og plugin hybrid'!Q$20+'El og plugin hybrid'!Q$21+'El og plugin hybrid'!Q$91+'El og plugin hybrid'!Q$92,0)*'El og plugin hybrid'!Q$60*(1+'El og plugin hybrid'!Q$61)^-$B64)</f>
        <v>0</v>
      </c>
      <c r="R64" s="243"/>
      <c r="S64" s="243">
        <f>(IF($B64&lt;='El og plugin hybrid'!S$60,'El og plugin hybrid'!S$19+'El og plugin hybrid'!S$20+'El og plugin hybrid'!S$21+'El og plugin hybrid'!S$91+'El og plugin hybrid'!S$92,0)*'El og plugin hybrid'!S$60*(1+'El og plugin hybrid'!S$61)^-$B64)</f>
        <v>0</v>
      </c>
      <c r="U64" s="243">
        <f>(IF($B64&lt;='El og plugin hybrid'!U$60,'El og plugin hybrid'!U$19+'El og plugin hybrid'!U$20+'El og plugin hybrid'!U$21+'El og plugin hybrid'!U$91+'El og plugin hybrid'!U$92,0)*'El og plugin hybrid'!U$60*(1+'El og plugin hybrid'!U$61)^-$B64)</f>
        <v>0</v>
      </c>
      <c r="W64" s="243">
        <f>(IF($B64&lt;='El og plugin hybrid'!W$60,'El og plugin hybrid'!W$19+'El og plugin hybrid'!W$20+'El og plugin hybrid'!W$21+'El og plugin hybrid'!W$91+'El og plugin hybrid'!W$92,0)*'El og plugin hybrid'!W$60*(1+'El og plugin hybrid'!W$61)^-$B64)</f>
        <v>0</v>
      </c>
    </row>
    <row r="65" spans="1:23">
      <c r="A65"/>
      <c r="B65" s="140">
        <v>17</v>
      </c>
      <c r="C65" s="141">
        <f t="shared" si="3"/>
        <v>17</v>
      </c>
      <c r="D65"/>
      <c r="E65" s="243">
        <f>(IF($B65&lt;='El og plugin hybrid'!E$60,'El og plugin hybrid'!E$19+'El og plugin hybrid'!E$20+'El og plugin hybrid'!E$21+'El og plugin hybrid'!E$91+'El og plugin hybrid'!E$92,0)*'El og plugin hybrid'!E$60*(1+'El og plugin hybrid'!E$61)^-$B65)</f>
        <v>0</v>
      </c>
      <c r="F65" s="243"/>
      <c r="G65" s="243">
        <f>(IF($B65&lt;='El og plugin hybrid'!G$60,'El og plugin hybrid'!G$19+'El og plugin hybrid'!G$20+'El og plugin hybrid'!G$21+'El og plugin hybrid'!G$91+'El og plugin hybrid'!G$92,0)*'El og plugin hybrid'!G$60*(1+'El og plugin hybrid'!G$61)^-$B65)</f>
        <v>0</v>
      </c>
      <c r="H65" s="243"/>
      <c r="I65" s="243">
        <f>(IF($B65&lt;='El og plugin hybrid'!I$60,'El og plugin hybrid'!I$19+'El og plugin hybrid'!I$20+'El og plugin hybrid'!I$21+'El og plugin hybrid'!I$91+'El og plugin hybrid'!I$92,0)*'El og plugin hybrid'!I$60*(1+'El og plugin hybrid'!I$61)^-$B65)</f>
        <v>0</v>
      </c>
      <c r="J65" s="243"/>
      <c r="K65" s="243">
        <f>(IF($B65&lt;='El og plugin hybrid'!K$60,'El og plugin hybrid'!K$19+'El og plugin hybrid'!K$20+'El og plugin hybrid'!K$21+'El og plugin hybrid'!K$91+'El og plugin hybrid'!K$92,0)*'El og plugin hybrid'!K$60*(1+'El og plugin hybrid'!K$61)^-$B65)</f>
        <v>0</v>
      </c>
      <c r="L65" s="243"/>
      <c r="M65" s="243">
        <f>(IF($B65&lt;='El og plugin hybrid'!M$60,'El og plugin hybrid'!M$19+'El og plugin hybrid'!M$20+'El og plugin hybrid'!M$21+'El og plugin hybrid'!M$91+'El og plugin hybrid'!M$92,0)*'El og plugin hybrid'!M$60*(1+'El og plugin hybrid'!M$61)^-$B65)</f>
        <v>0</v>
      </c>
      <c r="N65" s="243"/>
      <c r="O65" s="243">
        <f>(IF($B65&lt;='El og plugin hybrid'!O$60,'El og plugin hybrid'!O$19+'El og plugin hybrid'!O$20+'El og plugin hybrid'!O$21+'El og plugin hybrid'!O$91+'El og plugin hybrid'!O$92,0)*'El og plugin hybrid'!O$60*(1+'El og plugin hybrid'!O$61)^-$B65)</f>
        <v>0</v>
      </c>
      <c r="P65" s="243"/>
      <c r="Q65" s="243">
        <f>(IF($B65&lt;='El og plugin hybrid'!Q$60,'El og plugin hybrid'!Q$19+'El og plugin hybrid'!Q$20+'El og plugin hybrid'!Q$21+'El og plugin hybrid'!Q$91+'El og plugin hybrid'!Q$92,0)*'El og plugin hybrid'!Q$60*(1+'El og plugin hybrid'!Q$61)^-$B65)</f>
        <v>0</v>
      </c>
      <c r="R65" s="243"/>
      <c r="S65" s="243">
        <f>(IF($B65&lt;='El og plugin hybrid'!S$60,'El og plugin hybrid'!S$19+'El og plugin hybrid'!S$20+'El og plugin hybrid'!S$21+'El og plugin hybrid'!S$91+'El og plugin hybrid'!S$92,0)*'El og plugin hybrid'!S$60*(1+'El og plugin hybrid'!S$61)^-$B65)</f>
        <v>0</v>
      </c>
      <c r="U65" s="243">
        <f>(IF($B65&lt;='El og plugin hybrid'!U$60,'El og plugin hybrid'!U$19+'El og plugin hybrid'!U$20+'El og plugin hybrid'!U$21+'El og plugin hybrid'!U$91+'El og plugin hybrid'!U$92,0)*'El og plugin hybrid'!U$60*(1+'El og plugin hybrid'!U$61)^-$B65)</f>
        <v>0</v>
      </c>
      <c r="W65" s="243">
        <f>(IF($B65&lt;='El og plugin hybrid'!W$60,'El og plugin hybrid'!W$19+'El og plugin hybrid'!W$20+'El og plugin hybrid'!W$21+'El og plugin hybrid'!W$91+'El og plugin hybrid'!W$92,0)*'El og plugin hybrid'!W$60*(1+'El og plugin hybrid'!W$61)^-$B65)</f>
        <v>0</v>
      </c>
    </row>
    <row r="66" spans="1:23">
      <c r="A66"/>
      <c r="B66" s="140">
        <v>18</v>
      </c>
      <c r="C66" s="141">
        <f t="shared" si="3"/>
        <v>18</v>
      </c>
      <c r="D66"/>
      <c r="E66" s="243">
        <f>(IF($B66&lt;='El og plugin hybrid'!E$60,'El og plugin hybrid'!E$19+'El og plugin hybrid'!E$20+'El og plugin hybrid'!E$21+'El og plugin hybrid'!E$91+'El og plugin hybrid'!E$92,0)*'El og plugin hybrid'!E$60*(1+'El og plugin hybrid'!E$61)^-$B66)</f>
        <v>0</v>
      </c>
      <c r="F66" s="243"/>
      <c r="G66" s="243">
        <f>(IF($B66&lt;='El og plugin hybrid'!G$60,'El og plugin hybrid'!G$19+'El og plugin hybrid'!G$20+'El og plugin hybrid'!G$21+'El og plugin hybrid'!G$91+'El og plugin hybrid'!G$92,0)*'El og plugin hybrid'!G$60*(1+'El og plugin hybrid'!G$61)^-$B66)</f>
        <v>0</v>
      </c>
      <c r="H66" s="243"/>
      <c r="I66" s="243">
        <f>(IF($B66&lt;='El og plugin hybrid'!I$60,'El og plugin hybrid'!I$19+'El og plugin hybrid'!I$20+'El og plugin hybrid'!I$21+'El og plugin hybrid'!I$91+'El og plugin hybrid'!I$92,0)*'El og plugin hybrid'!I$60*(1+'El og plugin hybrid'!I$61)^-$B66)</f>
        <v>0</v>
      </c>
      <c r="J66" s="243"/>
      <c r="K66" s="243">
        <f>(IF($B66&lt;='El og plugin hybrid'!K$60,'El og plugin hybrid'!K$19+'El og plugin hybrid'!K$20+'El og plugin hybrid'!K$21+'El og plugin hybrid'!K$91+'El og plugin hybrid'!K$92,0)*'El og plugin hybrid'!K$60*(1+'El og plugin hybrid'!K$61)^-$B66)</f>
        <v>0</v>
      </c>
      <c r="L66" s="243"/>
      <c r="M66" s="243">
        <f>(IF($B66&lt;='El og plugin hybrid'!M$60,'El og plugin hybrid'!M$19+'El og plugin hybrid'!M$20+'El og plugin hybrid'!M$21+'El og plugin hybrid'!M$91+'El og plugin hybrid'!M$92,0)*'El og plugin hybrid'!M$60*(1+'El og plugin hybrid'!M$61)^-$B66)</f>
        <v>0</v>
      </c>
      <c r="N66" s="243"/>
      <c r="O66" s="243">
        <f>(IF($B66&lt;='El og plugin hybrid'!O$60,'El og plugin hybrid'!O$19+'El og plugin hybrid'!O$20+'El og plugin hybrid'!O$21+'El og plugin hybrid'!O$91+'El og plugin hybrid'!O$92,0)*'El og plugin hybrid'!O$60*(1+'El og plugin hybrid'!O$61)^-$B66)</f>
        <v>0</v>
      </c>
      <c r="P66" s="243"/>
      <c r="Q66" s="243">
        <f>(IF($B66&lt;='El og plugin hybrid'!Q$60,'El og plugin hybrid'!Q$19+'El og plugin hybrid'!Q$20+'El og plugin hybrid'!Q$21+'El og plugin hybrid'!Q$91+'El og plugin hybrid'!Q$92,0)*'El og plugin hybrid'!Q$60*(1+'El og plugin hybrid'!Q$61)^-$B66)</f>
        <v>0</v>
      </c>
      <c r="R66" s="243"/>
      <c r="S66" s="243">
        <f>(IF($B66&lt;='El og plugin hybrid'!S$60,'El og plugin hybrid'!S$19+'El og plugin hybrid'!S$20+'El og plugin hybrid'!S$21+'El og plugin hybrid'!S$91+'El og plugin hybrid'!S$92,0)*'El og plugin hybrid'!S$60*(1+'El og plugin hybrid'!S$61)^-$B66)</f>
        <v>0</v>
      </c>
      <c r="U66" s="243">
        <f>(IF($B66&lt;='El og plugin hybrid'!U$60,'El og plugin hybrid'!U$19+'El og plugin hybrid'!U$20+'El og plugin hybrid'!U$21+'El og plugin hybrid'!U$91+'El og plugin hybrid'!U$92,0)*'El og plugin hybrid'!U$60*(1+'El og plugin hybrid'!U$61)^-$B66)</f>
        <v>0</v>
      </c>
      <c r="W66" s="243">
        <f>(IF($B66&lt;='El og plugin hybrid'!W$60,'El og plugin hybrid'!W$19+'El og plugin hybrid'!W$20+'El og plugin hybrid'!W$21+'El og plugin hybrid'!W$91+'El og plugin hybrid'!W$92,0)*'El og plugin hybrid'!W$60*(1+'El og plugin hybrid'!W$61)^-$B66)</f>
        <v>0</v>
      </c>
    </row>
    <row r="67" spans="1:23">
      <c r="A67"/>
      <c r="B67" s="140">
        <v>19</v>
      </c>
      <c r="C67" s="141">
        <f t="shared" si="3"/>
        <v>19</v>
      </c>
      <c r="D67"/>
      <c r="E67" s="243">
        <f>(IF($B67&lt;='El og plugin hybrid'!E$60,'El og plugin hybrid'!E$19+'El og plugin hybrid'!E$20+'El og plugin hybrid'!E$21+'El og plugin hybrid'!E$91+'El og plugin hybrid'!E$92,0)*'El og plugin hybrid'!E$60*(1+'El og plugin hybrid'!E$61)^-$B67)</f>
        <v>0</v>
      </c>
      <c r="F67" s="243"/>
      <c r="G67" s="243">
        <f>(IF($B67&lt;='El og plugin hybrid'!G$60,'El og plugin hybrid'!G$19+'El og plugin hybrid'!G$20+'El og plugin hybrid'!G$21+'El og plugin hybrid'!G$91+'El og plugin hybrid'!G$92,0)*'El og plugin hybrid'!G$60*(1+'El og plugin hybrid'!G$61)^-$B67)</f>
        <v>0</v>
      </c>
      <c r="H67" s="243"/>
      <c r="I67" s="243">
        <f>(IF($B67&lt;='El og plugin hybrid'!I$60,'El og plugin hybrid'!I$19+'El og plugin hybrid'!I$20+'El og plugin hybrid'!I$21+'El og plugin hybrid'!I$91+'El og plugin hybrid'!I$92,0)*'El og plugin hybrid'!I$60*(1+'El og plugin hybrid'!I$61)^-$B67)</f>
        <v>0</v>
      </c>
      <c r="J67" s="243"/>
      <c r="K67" s="243">
        <f>(IF($B67&lt;='El og plugin hybrid'!K$60,'El og plugin hybrid'!K$19+'El og plugin hybrid'!K$20+'El og plugin hybrid'!K$21+'El og plugin hybrid'!K$91+'El og plugin hybrid'!K$92,0)*'El og plugin hybrid'!K$60*(1+'El og plugin hybrid'!K$61)^-$B67)</f>
        <v>0</v>
      </c>
      <c r="L67" s="243"/>
      <c r="M67" s="243">
        <f>(IF($B67&lt;='El og plugin hybrid'!M$60,'El og plugin hybrid'!M$19+'El og plugin hybrid'!M$20+'El og plugin hybrid'!M$21+'El og plugin hybrid'!M$91+'El og plugin hybrid'!M$92,0)*'El og plugin hybrid'!M$60*(1+'El og plugin hybrid'!M$61)^-$B67)</f>
        <v>0</v>
      </c>
      <c r="N67" s="243"/>
      <c r="O67" s="243">
        <f>(IF($B67&lt;='El og plugin hybrid'!O$60,'El og plugin hybrid'!O$19+'El og plugin hybrid'!O$20+'El og plugin hybrid'!O$21+'El og plugin hybrid'!O$91+'El og plugin hybrid'!O$92,0)*'El og plugin hybrid'!O$60*(1+'El og plugin hybrid'!O$61)^-$B67)</f>
        <v>0</v>
      </c>
      <c r="P67" s="243"/>
      <c r="Q67" s="243">
        <f>(IF($B67&lt;='El og plugin hybrid'!Q$60,'El og plugin hybrid'!Q$19+'El og plugin hybrid'!Q$20+'El og plugin hybrid'!Q$21+'El og plugin hybrid'!Q$91+'El og plugin hybrid'!Q$92,0)*'El og plugin hybrid'!Q$60*(1+'El og plugin hybrid'!Q$61)^-$B67)</f>
        <v>0</v>
      </c>
      <c r="R67" s="243"/>
      <c r="S67" s="243">
        <f>(IF($B67&lt;='El og plugin hybrid'!S$60,'El og plugin hybrid'!S$19+'El og plugin hybrid'!S$20+'El og plugin hybrid'!S$21+'El og plugin hybrid'!S$91+'El og plugin hybrid'!S$92,0)*'El og plugin hybrid'!S$60*(1+'El og plugin hybrid'!S$61)^-$B67)</f>
        <v>0</v>
      </c>
      <c r="U67" s="243">
        <f>(IF($B67&lt;='El og plugin hybrid'!U$60,'El og plugin hybrid'!U$19+'El og plugin hybrid'!U$20+'El og plugin hybrid'!U$21+'El og plugin hybrid'!U$91+'El og plugin hybrid'!U$92,0)*'El og plugin hybrid'!U$60*(1+'El og plugin hybrid'!U$61)^-$B67)</f>
        <v>0</v>
      </c>
      <c r="W67" s="243">
        <f>(IF($B67&lt;='El og plugin hybrid'!W$60,'El og plugin hybrid'!W$19+'El og plugin hybrid'!W$20+'El og plugin hybrid'!W$21+'El og plugin hybrid'!W$91+'El og plugin hybrid'!W$92,0)*'El og plugin hybrid'!W$60*(1+'El og plugin hybrid'!W$61)^-$B67)</f>
        <v>0</v>
      </c>
    </row>
    <row r="68" spans="1:23">
      <c r="A68"/>
      <c r="B68" s="140">
        <v>20</v>
      </c>
      <c r="C68" s="141">
        <f t="shared" si="3"/>
        <v>20</v>
      </c>
      <c r="D68"/>
      <c r="E68" s="243">
        <f>(IF($B68&lt;='El og plugin hybrid'!E$60,'El og plugin hybrid'!E$19+'El og plugin hybrid'!E$20+'El og plugin hybrid'!E$21+'El og plugin hybrid'!E$91+'El og plugin hybrid'!E$92,0)*'El og plugin hybrid'!E$60*(1+'El og plugin hybrid'!E$61)^-$B68)</f>
        <v>0</v>
      </c>
      <c r="F68" s="243"/>
      <c r="G68" s="243">
        <f>(IF($B68&lt;='El og plugin hybrid'!G$60,'El og plugin hybrid'!G$19+'El og plugin hybrid'!G$20+'El og plugin hybrid'!G$21+'El og plugin hybrid'!G$91+'El og plugin hybrid'!G$92,0)*'El og plugin hybrid'!G$60*(1+'El og plugin hybrid'!G$61)^-$B68)</f>
        <v>0</v>
      </c>
      <c r="H68" s="243"/>
      <c r="I68" s="243">
        <f>(IF($B68&lt;='El og plugin hybrid'!I$60,'El og plugin hybrid'!I$19+'El og plugin hybrid'!I$20+'El og plugin hybrid'!I$21+'El og plugin hybrid'!I$91+'El og plugin hybrid'!I$92,0)*'El og plugin hybrid'!I$60*(1+'El og plugin hybrid'!I$61)^-$B68)</f>
        <v>0</v>
      </c>
      <c r="J68" s="243"/>
      <c r="K68" s="243">
        <f>(IF($B68&lt;='El og plugin hybrid'!K$60,'El og plugin hybrid'!K$19+'El og plugin hybrid'!K$20+'El og plugin hybrid'!K$21+'El og plugin hybrid'!K$91+'El og plugin hybrid'!K$92,0)*'El og plugin hybrid'!K$60*(1+'El og plugin hybrid'!K$61)^-$B68)</f>
        <v>0</v>
      </c>
      <c r="L68" s="243"/>
      <c r="M68" s="243">
        <f>(IF($B68&lt;='El og plugin hybrid'!M$60,'El og plugin hybrid'!M$19+'El og plugin hybrid'!M$20+'El og plugin hybrid'!M$21+'El og plugin hybrid'!M$91+'El og plugin hybrid'!M$92,0)*'El og plugin hybrid'!M$60*(1+'El og plugin hybrid'!M$61)^-$B68)</f>
        <v>0</v>
      </c>
      <c r="N68" s="243"/>
      <c r="O68" s="243">
        <f>(IF($B68&lt;='El og plugin hybrid'!O$60,'El og plugin hybrid'!O$19+'El og plugin hybrid'!O$20+'El og plugin hybrid'!O$21+'El og plugin hybrid'!O$91+'El og plugin hybrid'!O$92,0)*'El og plugin hybrid'!O$60*(1+'El og plugin hybrid'!O$61)^-$B68)</f>
        <v>0</v>
      </c>
      <c r="P68" s="243"/>
      <c r="Q68" s="243">
        <f>(IF($B68&lt;='El og plugin hybrid'!Q$60,'El og plugin hybrid'!Q$19+'El og plugin hybrid'!Q$20+'El og plugin hybrid'!Q$21+'El og plugin hybrid'!Q$91+'El og plugin hybrid'!Q$92,0)*'El og plugin hybrid'!Q$60*(1+'El og plugin hybrid'!Q$61)^-$B68)</f>
        <v>0</v>
      </c>
      <c r="R68" s="243"/>
      <c r="S68" s="243">
        <f>(IF($B68&lt;='El og plugin hybrid'!S$60,'El og plugin hybrid'!S$19+'El og plugin hybrid'!S$20+'El og plugin hybrid'!S$21+'El og plugin hybrid'!S$91+'El og plugin hybrid'!S$92,0)*'El og plugin hybrid'!S$60*(1+'El og plugin hybrid'!S$61)^-$B68)</f>
        <v>0</v>
      </c>
      <c r="U68" s="243">
        <f>(IF($B68&lt;='El og plugin hybrid'!U$60,'El og plugin hybrid'!U$19+'El og plugin hybrid'!U$20+'El og plugin hybrid'!U$21+'El og plugin hybrid'!U$91+'El og plugin hybrid'!U$92,0)*'El og plugin hybrid'!U$60*(1+'El og plugin hybrid'!U$61)^-$B68)</f>
        <v>0</v>
      </c>
      <c r="W68" s="243">
        <f>(IF($B68&lt;='El og plugin hybrid'!W$60,'El og plugin hybrid'!W$19+'El og plugin hybrid'!W$20+'El og plugin hybrid'!W$21+'El og plugin hybrid'!W$91+'El og plugin hybrid'!W$92,0)*'El og plugin hybrid'!W$60*(1+'El og plugin hybrid'!W$61)^-$B68)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9" t="s">
        <v>33</v>
      </c>
      <c r="B71" s="249"/>
      <c r="C71" s="249"/>
      <c r="D71" s="249"/>
      <c r="E71" s="249"/>
      <c r="F71" s="249"/>
      <c r="G71" s="249"/>
      <c r="H71" s="249"/>
      <c r="I71" s="249"/>
      <c r="J71" s="249"/>
      <c r="K71" s="249"/>
      <c r="L71" s="249"/>
      <c r="M71" s="249"/>
      <c r="N71" s="249"/>
      <c r="O71" s="249"/>
      <c r="P71" s="249"/>
      <c r="Q71" s="249"/>
      <c r="R71" s="249"/>
      <c r="S71" s="249"/>
      <c r="U71" s="249"/>
      <c r="W71" s="249"/>
    </row>
    <row r="72" spans="1:23" hidden="1" outlineLevel="1">
      <c r="A72" s="249"/>
      <c r="B72" s="270" t="s">
        <v>20</v>
      </c>
      <c r="C72" s="249"/>
      <c r="D72" s="249"/>
      <c r="E72" s="271" t="s">
        <v>6</v>
      </c>
      <c r="F72" s="271"/>
      <c r="G72" s="271" t="s">
        <v>7</v>
      </c>
      <c r="H72" s="271"/>
      <c r="I72" s="271" t="s">
        <v>8</v>
      </c>
      <c r="J72" s="271"/>
      <c r="K72" s="271" t="s">
        <v>13</v>
      </c>
      <c r="L72" s="271"/>
      <c r="M72" s="271" t="s">
        <v>12</v>
      </c>
      <c r="N72" s="271"/>
      <c r="O72" s="271" t="s">
        <v>11</v>
      </c>
      <c r="P72" s="271"/>
      <c r="Q72" s="271" t="s">
        <v>9</v>
      </c>
      <c r="R72" s="271"/>
      <c r="S72" s="271" t="s">
        <v>10</v>
      </c>
      <c r="U72" s="271" t="s">
        <v>10</v>
      </c>
      <c r="W72" s="271" t="s">
        <v>10</v>
      </c>
    </row>
    <row r="73" spans="1:23" hidden="1" outlineLevel="1">
      <c r="A73" s="249"/>
      <c r="B73" s="272">
        <v>1</v>
      </c>
      <c r="C73" s="272">
        <f>B73</f>
        <v>1</v>
      </c>
      <c r="D73" s="249"/>
      <c r="E73" s="273" t="e">
        <f>(IF('El og plugin hybrid'!E$24="nej",-IF(100-(100+'El og plugin hybrid'!E$91)*$B73/'El og plugin hybrid'!E$60&lt;0,0,100-(100+'El og plugin hybrid'!E$91)*$B73/'El og plugin hybrid'!E$60)/100*'El og plugin hybrid'!E$12,0)+'El og plugin hybrid'!E$92)*'El og plugin hybrid'!E$53*(1+'El og plugin hybrid'!#REF!/100)^-$B73</f>
        <v>#REF!</v>
      </c>
      <c r="F73" s="273"/>
      <c r="G73" s="273" t="e">
        <f>(IF('El og plugin hybrid'!G$24="nej",-IF(100-(100+'El og plugin hybrid'!G$91)*$B73/'El og plugin hybrid'!G$60&lt;0,0,100-(100+'El og plugin hybrid'!G$91)*$B73/'El og plugin hybrid'!G$60)/100*'El og plugin hybrid'!G$12,0)+'El og plugin hybrid'!G$92)*'El og plugin hybrid'!G$53*(1+'El og plugin hybrid'!#REF!/100)^-$B73</f>
        <v>#REF!</v>
      </c>
      <c r="H73" s="273"/>
      <c r="I73" s="273" t="e">
        <f>(IF('El og plugin hybrid'!I$24="nej",-IF(100-(100+'El og plugin hybrid'!I$91)*$B73/'El og plugin hybrid'!I$60&lt;0,0,100-(100+'El og plugin hybrid'!I$91)*$B73/'El og plugin hybrid'!I$60)/100*'El og plugin hybrid'!I$12,0)+'El og plugin hybrid'!I$92)*'El og plugin hybrid'!I$53*(1+'El og plugin hybrid'!#REF!/100)^-$B73</f>
        <v>#REF!</v>
      </c>
      <c r="J73" s="273"/>
      <c r="K73" s="273" t="e">
        <f>(IF('El og plugin hybrid'!K$24="nej",-IF(100-(100+'El og plugin hybrid'!K$91)*$B73/'El og plugin hybrid'!K$60&lt;0,0,100-(100+'El og plugin hybrid'!K$91)*$B73/'El og plugin hybrid'!K$60)/100*'El og plugin hybrid'!K$12,0)+'El og plugin hybrid'!K$92)*'El og plugin hybrid'!K$53*(1+'El og plugin hybrid'!#REF!/100)^-$B73</f>
        <v>#REF!</v>
      </c>
      <c r="L73" s="273"/>
      <c r="M73" s="273" t="e">
        <f>(IF('El og plugin hybrid'!M$24="nej",-IF(100-(100+'El og plugin hybrid'!M$91)*$B73/'El og plugin hybrid'!M$60&lt;0,0,100-(100+'El og plugin hybrid'!M$91)*$B73/'El og plugin hybrid'!M$60)/100*'El og plugin hybrid'!M$12,0)+'El og plugin hybrid'!M$92)*'El og plugin hybrid'!M$53*(1+'El og plugin hybrid'!#REF!/100)^-$B73</f>
        <v>#REF!</v>
      </c>
      <c r="N73" s="273"/>
      <c r="O73" s="273" t="e">
        <f>(IF('El og plugin hybrid'!O$24="nej",-IF(100-(100+'El og plugin hybrid'!O$91)*$B73/'El og plugin hybrid'!O$60&lt;0,0,100-(100+'El og plugin hybrid'!O$91)*$B73/'El og plugin hybrid'!O$60)/100*'El og plugin hybrid'!O$12,0)+'El og plugin hybrid'!O$92)*'El og plugin hybrid'!O$53*(1+'El og plugin hybrid'!#REF!/100)^-$B73</f>
        <v>#REF!</v>
      </c>
      <c r="P73" s="273"/>
      <c r="Q73" s="273" t="e">
        <f>(IF('El og plugin hybrid'!Q$24="nej",-IF(100-(100+'El og plugin hybrid'!Q$91)*$B73/'El og plugin hybrid'!Q$60&lt;0,0,100-(100+'El og plugin hybrid'!Q$91)*$B73/'El og plugin hybrid'!Q$60)/100*'El og plugin hybrid'!Q$12,0)+'El og plugin hybrid'!Q$92)*'El og plugin hybrid'!Q$53*(1+'El og plugin hybrid'!#REF!/100)^-$B73</f>
        <v>#REF!</v>
      </c>
      <c r="R73" s="273"/>
      <c r="S73" s="273" t="e">
        <f>(IF('El og plugin hybrid'!S$24="nej",-IF(100-(100+'El og plugin hybrid'!S$91)*$B73/'El og plugin hybrid'!S$60&lt;0,0,100-(100+'El og plugin hybrid'!S$91)*$B73/'El og plugin hybrid'!S$60)/100*'El og plugin hybrid'!S$12,0)+'El og plugin hybrid'!S$92)*'El og plugin hybrid'!S$53*(1+'El og plugin hybrid'!#REF!/100)^-$B73</f>
        <v>#REF!</v>
      </c>
      <c r="U73" s="273" t="e">
        <f>(IF('El og plugin hybrid'!Y$24="nej",-IF(100-(100+'El og plugin hybrid'!Y$91)*$B73/'El og plugin hybrid'!Y$60&lt;0,0,100-(100+'El og plugin hybrid'!Y$91)*$B73/'El og plugin hybrid'!Y$60)/100*'El og plugin hybrid'!Y$12,0)+'El og plugin hybrid'!Y$92)*'El og plugin hybrid'!Y$53*(1+'El og plugin hybrid'!#REF!/100)^-$B73</f>
        <v>#REF!</v>
      </c>
      <c r="W73" s="273" t="e">
        <f>(IF('El og plugin hybrid'!AA$24="nej",-IF(100-(100+'El og plugin hybrid'!AA$91)*$B73/'El og plugin hybrid'!AA$60&lt;0,0,100-(100+'El og plugin hybrid'!AA$91)*$B73/'El og plugin hybrid'!AA$60)/100*'El og plugin hybrid'!AA$12,0)+'El og plugin hybrid'!AA$92)*'El og plugin hybrid'!AA$53*(1+'El og plugin hybrid'!#REF!/100)^-$B73</f>
        <v>#REF!</v>
      </c>
    </row>
    <row r="74" spans="1:23" hidden="1" outlineLevel="1">
      <c r="A74" s="249"/>
      <c r="B74" s="272">
        <v>2</v>
      </c>
      <c r="C74" s="272">
        <f t="shared" ref="C74:C92" si="4">B74</f>
        <v>2</v>
      </c>
      <c r="D74" s="249"/>
      <c r="E74" s="273" t="e">
        <f>(IF('El og plugin hybrid'!E$24="nej",-IF(100-(100+'El og plugin hybrid'!E$91)*$B74/'El og plugin hybrid'!E$60&lt;0,0,100-(100+'El og plugin hybrid'!E$91)*$B74/'El og plugin hybrid'!E$60)/100*'El og plugin hybrid'!E$12,0)+'El og plugin hybrid'!E$92)*'El og plugin hybrid'!E$53*(1+'El og plugin hybrid'!#REF!/100)^-$B74</f>
        <v>#REF!</v>
      </c>
      <c r="F74" s="273"/>
      <c r="G74" s="273" t="e">
        <f>(IF('El og plugin hybrid'!G$24="nej",-IF(100-(100+'El og plugin hybrid'!G$91)*$B74/'El og plugin hybrid'!G$60&lt;0,0,100-(100+'El og plugin hybrid'!G$91)*$B74/'El og plugin hybrid'!G$60)/100*'El og plugin hybrid'!G$12,0)+'El og plugin hybrid'!G$92)*'El og plugin hybrid'!G$53*(1+'El og plugin hybrid'!#REF!/100)^-$B74</f>
        <v>#REF!</v>
      </c>
      <c r="H74" s="273"/>
      <c r="I74" s="273" t="e">
        <f>(IF('El og plugin hybrid'!I$24="nej",-IF(100-(100+'El og plugin hybrid'!I$91)*$B74/'El og plugin hybrid'!I$60&lt;0,0,100-(100+'El og plugin hybrid'!I$91)*$B74/'El og plugin hybrid'!I$60)/100*'El og plugin hybrid'!I$12,0)+'El og plugin hybrid'!I$92)*'El og plugin hybrid'!I$53*(1+'El og plugin hybrid'!#REF!/100)^-$B74</f>
        <v>#REF!</v>
      </c>
      <c r="J74" s="273"/>
      <c r="K74" s="273" t="e">
        <f>(IF('El og plugin hybrid'!K$24="nej",-IF(100-(100+'El og plugin hybrid'!K$91)*$B74/'El og plugin hybrid'!K$60&lt;0,0,100-(100+'El og plugin hybrid'!K$91)*$B74/'El og plugin hybrid'!K$60)/100*'El og plugin hybrid'!K$12,0)+'El og plugin hybrid'!K$92)*'El og plugin hybrid'!K$53*(1+'El og plugin hybrid'!#REF!/100)^-$B74</f>
        <v>#REF!</v>
      </c>
      <c r="L74" s="273"/>
      <c r="M74" s="273" t="e">
        <f>(IF('El og plugin hybrid'!M$24="nej",-IF(100-(100+'El og plugin hybrid'!M$91)*$B74/'El og plugin hybrid'!M$60&lt;0,0,100-(100+'El og plugin hybrid'!M$91)*$B74/'El og plugin hybrid'!M$60)/100*'El og plugin hybrid'!M$12,0)+'El og plugin hybrid'!M$92)*'El og plugin hybrid'!M$53*(1+'El og plugin hybrid'!#REF!/100)^-$B74</f>
        <v>#REF!</v>
      </c>
      <c r="N74" s="273"/>
      <c r="O74" s="273" t="e">
        <f>(IF('El og plugin hybrid'!O$24="nej",-IF(100-(100+'El og plugin hybrid'!O$91)*$B74/'El og plugin hybrid'!O$60&lt;0,0,100-(100+'El og plugin hybrid'!O$91)*$B74/'El og plugin hybrid'!O$60)/100*'El og plugin hybrid'!O$12,0)+'El og plugin hybrid'!O$92)*'El og plugin hybrid'!O$53*(1+'El og plugin hybrid'!#REF!/100)^-$B74</f>
        <v>#REF!</v>
      </c>
      <c r="P74" s="273"/>
      <c r="Q74" s="273" t="e">
        <f>(IF('El og plugin hybrid'!Q$24="nej",-IF(100-(100+'El og plugin hybrid'!Q$91)*$B74/'El og plugin hybrid'!Q$60&lt;0,0,100-(100+'El og plugin hybrid'!Q$91)*$B74/'El og plugin hybrid'!Q$60)/100*'El og plugin hybrid'!Q$12,0)+'El og plugin hybrid'!Q$92)*'El og plugin hybrid'!Q$53*(1+'El og plugin hybrid'!#REF!/100)^-$B74</f>
        <v>#REF!</v>
      </c>
      <c r="R74" s="273"/>
      <c r="S74" s="273" t="e">
        <f>(IF('El og plugin hybrid'!S$24="nej",-IF(100-(100+'El og plugin hybrid'!S$91)*$B74/'El og plugin hybrid'!S$60&lt;0,0,100-(100+'El og plugin hybrid'!S$91)*$B74/'El og plugin hybrid'!S$60)/100*'El og plugin hybrid'!S$12,0)+'El og plugin hybrid'!S$92)*'El og plugin hybrid'!S$53*(1+'El og plugin hybrid'!#REF!/100)^-$B74</f>
        <v>#REF!</v>
      </c>
      <c r="U74" s="273" t="e">
        <f>(IF('El og plugin hybrid'!Y$24="nej",-IF(100-(100+'El og plugin hybrid'!Y$91)*$B74/'El og plugin hybrid'!Y$60&lt;0,0,100-(100+'El og plugin hybrid'!Y$91)*$B74/'El og plugin hybrid'!Y$60)/100*'El og plugin hybrid'!Y$12,0)+'El og plugin hybrid'!Y$92)*'El og plugin hybrid'!Y$53*(1+'El og plugin hybrid'!#REF!/100)^-$B74</f>
        <v>#REF!</v>
      </c>
      <c r="W74" s="273" t="e">
        <f>(IF('El og plugin hybrid'!AA$24="nej",-IF(100-(100+'El og plugin hybrid'!AA$91)*$B74/'El og plugin hybrid'!AA$60&lt;0,0,100-(100+'El og plugin hybrid'!AA$91)*$B74/'El og plugin hybrid'!AA$60)/100*'El og plugin hybrid'!AA$12,0)+'El og plugin hybrid'!AA$92)*'El og plugin hybrid'!AA$53*(1+'El og plugin hybrid'!#REF!/100)^-$B74</f>
        <v>#REF!</v>
      </c>
    </row>
    <row r="75" spans="1:23" hidden="1" outlineLevel="1">
      <c r="A75" s="249"/>
      <c r="B75" s="272">
        <v>3</v>
      </c>
      <c r="C75" s="272">
        <f t="shared" si="4"/>
        <v>3</v>
      </c>
      <c r="D75" s="249"/>
      <c r="E75" s="273" t="e">
        <f>(IF('El og plugin hybrid'!E$24="nej",-IF(100-(100+'El og plugin hybrid'!E$91)*$B75/'El og plugin hybrid'!E$60&lt;0,0,100-(100+'El og plugin hybrid'!E$91)*$B75/'El og plugin hybrid'!E$60)/100*'El og plugin hybrid'!E$12,0)+'El og plugin hybrid'!E$92)*'El og plugin hybrid'!E$53*(1+'El og plugin hybrid'!#REF!/100)^-$B75</f>
        <v>#REF!</v>
      </c>
      <c r="F75" s="273"/>
      <c r="G75" s="273" t="e">
        <f>(IF('El og plugin hybrid'!G$24="nej",-IF(100-(100+'El og plugin hybrid'!G$91)*$B75/'El og plugin hybrid'!G$60&lt;0,0,100-(100+'El og plugin hybrid'!G$91)*$B75/'El og plugin hybrid'!G$60)/100*'El og plugin hybrid'!G$12,0)+'El og plugin hybrid'!G$92)*'El og plugin hybrid'!G$53*(1+'El og plugin hybrid'!#REF!/100)^-$B75</f>
        <v>#REF!</v>
      </c>
      <c r="H75" s="273"/>
      <c r="I75" s="273" t="e">
        <f>(IF('El og plugin hybrid'!I$24="nej",-IF(100-(100+'El og plugin hybrid'!I$91)*$B75/'El og plugin hybrid'!I$60&lt;0,0,100-(100+'El og plugin hybrid'!I$91)*$B75/'El og plugin hybrid'!I$60)/100*'El og plugin hybrid'!I$12,0)+'El og plugin hybrid'!I$92)*'El og plugin hybrid'!I$53*(1+'El og plugin hybrid'!#REF!/100)^-$B75</f>
        <v>#REF!</v>
      </c>
      <c r="J75" s="273"/>
      <c r="K75" s="273" t="e">
        <f>(IF('El og plugin hybrid'!K$24="nej",-IF(100-(100+'El og plugin hybrid'!K$91)*$B75/'El og plugin hybrid'!K$60&lt;0,0,100-(100+'El og plugin hybrid'!K$91)*$B75/'El og plugin hybrid'!K$60)/100*'El og plugin hybrid'!K$12,0)+'El og plugin hybrid'!K$92)*'El og plugin hybrid'!K$53*(1+'El og plugin hybrid'!#REF!/100)^-$B75</f>
        <v>#REF!</v>
      </c>
      <c r="L75" s="273"/>
      <c r="M75" s="273" t="e">
        <f>(IF('El og plugin hybrid'!M$24="nej",-IF(100-(100+'El og plugin hybrid'!M$91)*$B75/'El og plugin hybrid'!M$60&lt;0,0,100-(100+'El og plugin hybrid'!M$91)*$B75/'El og plugin hybrid'!M$60)/100*'El og plugin hybrid'!M$12,0)+'El og plugin hybrid'!M$92)*'El og plugin hybrid'!M$53*(1+'El og plugin hybrid'!#REF!/100)^-$B75</f>
        <v>#REF!</v>
      </c>
      <c r="N75" s="273"/>
      <c r="O75" s="273" t="e">
        <f>(IF('El og plugin hybrid'!O$24="nej",-IF(100-(100+'El og plugin hybrid'!O$91)*$B75/'El og plugin hybrid'!O$60&lt;0,0,100-(100+'El og plugin hybrid'!O$91)*$B75/'El og plugin hybrid'!O$60)/100*'El og plugin hybrid'!O$12,0)+'El og plugin hybrid'!O$92)*'El og plugin hybrid'!O$53*(1+'El og plugin hybrid'!#REF!/100)^-$B75</f>
        <v>#REF!</v>
      </c>
      <c r="P75" s="273"/>
      <c r="Q75" s="273" t="e">
        <f>(IF('El og plugin hybrid'!Q$24="nej",-IF(100-(100+'El og plugin hybrid'!Q$91)*$B75/'El og plugin hybrid'!Q$60&lt;0,0,100-(100+'El og plugin hybrid'!Q$91)*$B75/'El og plugin hybrid'!Q$60)/100*'El og plugin hybrid'!Q$12,0)+'El og plugin hybrid'!Q$92)*'El og plugin hybrid'!Q$53*(1+'El og plugin hybrid'!#REF!/100)^-$B75</f>
        <v>#REF!</v>
      </c>
      <c r="R75" s="273"/>
      <c r="S75" s="273" t="e">
        <f>(IF('El og plugin hybrid'!S$24="nej",-IF(100-(100+'El og plugin hybrid'!S$91)*$B75/'El og plugin hybrid'!S$60&lt;0,0,100-(100+'El og plugin hybrid'!S$91)*$B75/'El og plugin hybrid'!S$60)/100*'El og plugin hybrid'!S$12,0)+'El og plugin hybrid'!S$92)*'El og plugin hybrid'!S$53*(1+'El og plugin hybrid'!#REF!/100)^-$B75</f>
        <v>#REF!</v>
      </c>
      <c r="U75" s="273" t="e">
        <f>(IF('El og plugin hybrid'!Y$24="nej",-IF(100-(100+'El og plugin hybrid'!Y$91)*$B75/'El og plugin hybrid'!Y$60&lt;0,0,100-(100+'El og plugin hybrid'!Y$91)*$B75/'El og plugin hybrid'!Y$60)/100*'El og plugin hybrid'!Y$12,0)+'El og plugin hybrid'!Y$92)*'El og plugin hybrid'!Y$53*(1+'El og plugin hybrid'!#REF!/100)^-$B75</f>
        <v>#REF!</v>
      </c>
      <c r="W75" s="273" t="e">
        <f>(IF('El og plugin hybrid'!AA$24="nej",-IF(100-(100+'El og plugin hybrid'!AA$91)*$B75/'El og plugin hybrid'!AA$60&lt;0,0,100-(100+'El og plugin hybrid'!AA$91)*$B75/'El og plugin hybrid'!AA$60)/100*'El og plugin hybrid'!AA$12,0)+'El og plugin hybrid'!AA$92)*'El og plugin hybrid'!AA$53*(1+'El og plugin hybrid'!#REF!/100)^-$B75</f>
        <v>#REF!</v>
      </c>
    </row>
    <row r="76" spans="1:23" hidden="1" outlineLevel="1">
      <c r="A76" s="249"/>
      <c r="B76" s="272">
        <v>4</v>
      </c>
      <c r="C76" s="272">
        <f t="shared" si="4"/>
        <v>4</v>
      </c>
      <c r="D76" s="249"/>
      <c r="E76" s="273" t="e">
        <f>(IF('El og plugin hybrid'!E$24="nej",-IF(100-(100+'El og plugin hybrid'!E$91)*$B76/'El og plugin hybrid'!E$60&lt;0,0,100-(100+'El og plugin hybrid'!E$91)*$B76/'El og plugin hybrid'!E$60)/100*'El og plugin hybrid'!E$12,0)+'El og plugin hybrid'!E$92)*'El og plugin hybrid'!E$53*(1+'El og plugin hybrid'!#REF!/100)^-$B76</f>
        <v>#REF!</v>
      </c>
      <c r="F76" s="273"/>
      <c r="G76" s="273" t="e">
        <f>(IF('El og plugin hybrid'!G$24="nej",-IF(100-(100+'El og plugin hybrid'!G$91)*$B76/'El og plugin hybrid'!G$60&lt;0,0,100-(100+'El og plugin hybrid'!G$91)*$B76/'El og plugin hybrid'!G$60)/100*'El og plugin hybrid'!G$12,0)+'El og plugin hybrid'!G$92)*'El og plugin hybrid'!G$53*(1+'El og plugin hybrid'!#REF!/100)^-$B76</f>
        <v>#REF!</v>
      </c>
      <c r="H76" s="273"/>
      <c r="I76" s="273" t="e">
        <f>(IF('El og plugin hybrid'!I$24="nej",-IF(100-(100+'El og plugin hybrid'!I$91)*$B76/'El og plugin hybrid'!I$60&lt;0,0,100-(100+'El og plugin hybrid'!I$91)*$B76/'El og plugin hybrid'!I$60)/100*'El og plugin hybrid'!I$12,0)+'El og plugin hybrid'!I$92)*'El og plugin hybrid'!I$53*(1+'El og plugin hybrid'!#REF!/100)^-$B76</f>
        <v>#REF!</v>
      </c>
      <c r="J76" s="273"/>
      <c r="K76" s="273" t="e">
        <f>(IF('El og plugin hybrid'!K$24="nej",-IF(100-(100+'El og plugin hybrid'!K$91)*$B76/'El og plugin hybrid'!K$60&lt;0,0,100-(100+'El og plugin hybrid'!K$91)*$B76/'El og plugin hybrid'!K$60)/100*'El og plugin hybrid'!K$12,0)+'El og plugin hybrid'!K$92)*'El og plugin hybrid'!K$53*(1+'El og plugin hybrid'!#REF!/100)^-$B76</f>
        <v>#REF!</v>
      </c>
      <c r="L76" s="273"/>
      <c r="M76" s="273" t="e">
        <f>(IF('El og plugin hybrid'!M$24="nej",-IF(100-(100+'El og plugin hybrid'!M$91)*$B76/'El og plugin hybrid'!M$60&lt;0,0,100-(100+'El og plugin hybrid'!M$91)*$B76/'El og plugin hybrid'!M$60)/100*'El og plugin hybrid'!M$12,0)+'El og plugin hybrid'!M$92)*'El og plugin hybrid'!M$53*(1+'El og plugin hybrid'!#REF!/100)^-$B76</f>
        <v>#REF!</v>
      </c>
      <c r="N76" s="273"/>
      <c r="O76" s="273" t="e">
        <f>(IF('El og plugin hybrid'!O$24="nej",-IF(100-(100+'El og plugin hybrid'!O$91)*$B76/'El og plugin hybrid'!O$60&lt;0,0,100-(100+'El og plugin hybrid'!O$91)*$B76/'El og plugin hybrid'!O$60)/100*'El og plugin hybrid'!O$12,0)+'El og plugin hybrid'!O$92)*'El og plugin hybrid'!O$53*(1+'El og plugin hybrid'!#REF!/100)^-$B76</f>
        <v>#REF!</v>
      </c>
      <c r="P76" s="273"/>
      <c r="Q76" s="273" t="e">
        <f>(IF('El og plugin hybrid'!Q$24="nej",-IF(100-(100+'El og plugin hybrid'!Q$91)*$B76/'El og plugin hybrid'!Q$60&lt;0,0,100-(100+'El og plugin hybrid'!Q$91)*$B76/'El og plugin hybrid'!Q$60)/100*'El og plugin hybrid'!Q$12,0)+'El og plugin hybrid'!Q$92)*'El og plugin hybrid'!Q$53*(1+'El og plugin hybrid'!#REF!/100)^-$B76</f>
        <v>#REF!</v>
      </c>
      <c r="R76" s="273"/>
      <c r="S76" s="273" t="e">
        <f>(IF('El og plugin hybrid'!S$24="nej",-IF(100-(100+'El og plugin hybrid'!S$91)*$B76/'El og plugin hybrid'!S$60&lt;0,0,100-(100+'El og plugin hybrid'!S$91)*$B76/'El og plugin hybrid'!S$60)/100*'El og plugin hybrid'!S$12,0)+'El og plugin hybrid'!S$92)*'El og plugin hybrid'!S$53*(1+'El og plugin hybrid'!#REF!/100)^-$B76</f>
        <v>#REF!</v>
      </c>
      <c r="U76" s="273" t="e">
        <f>(IF('El og plugin hybrid'!Y$24="nej",-IF(100-(100+'El og plugin hybrid'!Y$91)*$B76/'El og plugin hybrid'!Y$60&lt;0,0,100-(100+'El og plugin hybrid'!Y$91)*$B76/'El og plugin hybrid'!Y$60)/100*'El og plugin hybrid'!Y$12,0)+'El og plugin hybrid'!Y$92)*'El og plugin hybrid'!Y$53*(1+'El og plugin hybrid'!#REF!/100)^-$B76</f>
        <v>#REF!</v>
      </c>
      <c r="W76" s="273" t="e">
        <f>(IF('El og plugin hybrid'!AA$24="nej",-IF(100-(100+'El og plugin hybrid'!AA$91)*$B76/'El og plugin hybrid'!AA$60&lt;0,0,100-(100+'El og plugin hybrid'!AA$91)*$B76/'El og plugin hybrid'!AA$60)/100*'El og plugin hybrid'!AA$12,0)+'El og plugin hybrid'!AA$92)*'El og plugin hybrid'!AA$53*(1+'El og plugin hybrid'!#REF!/100)^-$B76</f>
        <v>#REF!</v>
      </c>
    </row>
    <row r="77" spans="1:23" hidden="1" outlineLevel="1">
      <c r="A77" s="249"/>
      <c r="B77" s="272">
        <v>5</v>
      </c>
      <c r="C77" s="272">
        <f t="shared" si="4"/>
        <v>5</v>
      </c>
      <c r="D77" s="249"/>
      <c r="E77" s="273" t="e">
        <f>(IF('El og plugin hybrid'!E$24="nej",-IF(100-(100+'El og plugin hybrid'!E$91)*$B77/'El og plugin hybrid'!E$60&lt;0,0,100-(100+'El og plugin hybrid'!E$91)*$B77/'El og plugin hybrid'!E$60)/100*'El og plugin hybrid'!E$12,0)+'El og plugin hybrid'!E$92)*'El og plugin hybrid'!E$53*(1+'El og plugin hybrid'!#REF!/100)^-$B77</f>
        <v>#REF!</v>
      </c>
      <c r="F77" s="273"/>
      <c r="G77" s="273" t="e">
        <f>(IF('El og plugin hybrid'!G$24="nej",-IF(100-(100+'El og plugin hybrid'!G$91)*$B77/'El og plugin hybrid'!G$60&lt;0,0,100-(100+'El og plugin hybrid'!G$91)*$B77/'El og plugin hybrid'!G$60)/100*'El og plugin hybrid'!G$12,0)+'El og plugin hybrid'!G$92)*'El og plugin hybrid'!G$53*(1+'El og plugin hybrid'!#REF!/100)^-$B77</f>
        <v>#REF!</v>
      </c>
      <c r="H77" s="273"/>
      <c r="I77" s="273" t="e">
        <f>(IF('El og plugin hybrid'!I$24="nej",-IF(100-(100+'El og plugin hybrid'!I$91)*$B77/'El og plugin hybrid'!I$60&lt;0,0,100-(100+'El og plugin hybrid'!I$91)*$B77/'El og plugin hybrid'!I$60)/100*'El og plugin hybrid'!I$12,0)+'El og plugin hybrid'!I$92)*'El og plugin hybrid'!I$53*(1+'El og plugin hybrid'!#REF!/100)^-$B77</f>
        <v>#REF!</v>
      </c>
      <c r="J77" s="273"/>
      <c r="K77" s="273" t="e">
        <f>(IF('El og plugin hybrid'!K$24="nej",-IF(100-(100+'El og plugin hybrid'!K$91)*$B77/'El og plugin hybrid'!K$60&lt;0,0,100-(100+'El og plugin hybrid'!K$91)*$B77/'El og plugin hybrid'!K$60)/100*'El og plugin hybrid'!K$12,0)+'El og plugin hybrid'!K$92)*'El og plugin hybrid'!K$53*(1+'El og plugin hybrid'!#REF!/100)^-$B77</f>
        <v>#REF!</v>
      </c>
      <c r="L77" s="273"/>
      <c r="M77" s="273" t="e">
        <f>(IF('El og plugin hybrid'!M$24="nej",-IF(100-(100+'El og plugin hybrid'!M$91)*$B77/'El og plugin hybrid'!M$60&lt;0,0,100-(100+'El og plugin hybrid'!M$91)*$B77/'El og plugin hybrid'!M$60)/100*'El og plugin hybrid'!M$12,0)+'El og plugin hybrid'!M$92)*'El og plugin hybrid'!M$53*(1+'El og plugin hybrid'!#REF!/100)^-$B77</f>
        <v>#REF!</v>
      </c>
      <c r="N77" s="273"/>
      <c r="O77" s="273" t="e">
        <f>(IF('El og plugin hybrid'!O$24="nej",-IF(100-(100+'El og plugin hybrid'!O$91)*$B77/'El og plugin hybrid'!O$60&lt;0,0,100-(100+'El og plugin hybrid'!O$91)*$B77/'El og plugin hybrid'!O$60)/100*'El og plugin hybrid'!O$12,0)+'El og plugin hybrid'!O$92)*'El og plugin hybrid'!O$53*(1+'El og plugin hybrid'!#REF!/100)^-$B77</f>
        <v>#REF!</v>
      </c>
      <c r="P77" s="273"/>
      <c r="Q77" s="273" t="e">
        <f>(IF('El og plugin hybrid'!Q$24="nej",-IF(100-(100+'El og plugin hybrid'!Q$91)*$B77/'El og plugin hybrid'!Q$60&lt;0,0,100-(100+'El og plugin hybrid'!Q$91)*$B77/'El og plugin hybrid'!Q$60)/100*'El og plugin hybrid'!Q$12,0)+'El og plugin hybrid'!Q$92)*'El og plugin hybrid'!Q$53*(1+'El og plugin hybrid'!#REF!/100)^-$B77</f>
        <v>#REF!</v>
      </c>
      <c r="R77" s="273"/>
      <c r="S77" s="273" t="e">
        <f>(IF('El og plugin hybrid'!S$24="nej",-IF(100-(100+'El og plugin hybrid'!S$91)*$B77/'El og plugin hybrid'!S$60&lt;0,0,100-(100+'El og plugin hybrid'!S$91)*$B77/'El og plugin hybrid'!S$60)/100*'El og plugin hybrid'!S$12,0)+'El og plugin hybrid'!S$92)*'El og plugin hybrid'!S$53*(1+'El og plugin hybrid'!#REF!/100)^-$B77</f>
        <v>#REF!</v>
      </c>
      <c r="U77" s="273" t="e">
        <f>(IF('El og plugin hybrid'!Y$24="nej",-IF(100-(100+'El og plugin hybrid'!Y$91)*$B77/'El og plugin hybrid'!Y$60&lt;0,0,100-(100+'El og plugin hybrid'!Y$91)*$B77/'El og plugin hybrid'!Y$60)/100*'El og plugin hybrid'!Y$12,0)+'El og plugin hybrid'!Y$92)*'El og plugin hybrid'!Y$53*(1+'El og plugin hybrid'!#REF!/100)^-$B77</f>
        <v>#REF!</v>
      </c>
      <c r="W77" s="273" t="e">
        <f>(IF('El og plugin hybrid'!AA$24="nej",-IF(100-(100+'El og plugin hybrid'!AA$91)*$B77/'El og plugin hybrid'!AA$60&lt;0,0,100-(100+'El og plugin hybrid'!AA$91)*$B77/'El og plugin hybrid'!AA$60)/100*'El og plugin hybrid'!AA$12,0)+'El og plugin hybrid'!AA$92)*'El og plugin hybrid'!AA$53*(1+'El og plugin hybrid'!#REF!/100)^-$B77</f>
        <v>#REF!</v>
      </c>
    </row>
    <row r="78" spans="1:23" hidden="1" outlineLevel="1">
      <c r="A78" s="249"/>
      <c r="B78" s="272">
        <v>6</v>
      </c>
      <c r="C78" s="272">
        <f t="shared" si="4"/>
        <v>6</v>
      </c>
      <c r="D78" s="249"/>
      <c r="E78" s="273" t="e">
        <f>(IF('El og plugin hybrid'!E$24="nej",-IF(100-(100+'El og plugin hybrid'!E$91)*$B78/'El og plugin hybrid'!E$60&lt;0,0,100-(100+'El og plugin hybrid'!E$91)*$B78/'El og plugin hybrid'!E$60)/100*'El og plugin hybrid'!E$12,0)+'El og plugin hybrid'!E$92)*'El og plugin hybrid'!E$53*(1+'El og plugin hybrid'!#REF!/100)^-$B78</f>
        <v>#REF!</v>
      </c>
      <c r="F78" s="273"/>
      <c r="G78" s="273" t="e">
        <f>(IF('El og plugin hybrid'!G$24="nej",-IF(100-(100+'El og plugin hybrid'!G$91)*$B78/'El og plugin hybrid'!G$60&lt;0,0,100-(100+'El og plugin hybrid'!G$91)*$B78/'El og plugin hybrid'!G$60)/100*'El og plugin hybrid'!G$12,0)+'El og plugin hybrid'!G$92)*'El og plugin hybrid'!G$53*(1+'El og plugin hybrid'!#REF!/100)^-$B78</f>
        <v>#REF!</v>
      </c>
      <c r="H78" s="273"/>
      <c r="I78" s="273" t="e">
        <f>(IF('El og plugin hybrid'!I$24="nej",-IF(100-(100+'El og plugin hybrid'!I$91)*$B78/'El og plugin hybrid'!I$60&lt;0,0,100-(100+'El og plugin hybrid'!I$91)*$B78/'El og plugin hybrid'!I$60)/100*'El og plugin hybrid'!I$12,0)+'El og plugin hybrid'!I$92)*'El og plugin hybrid'!I$53*(1+'El og plugin hybrid'!#REF!/100)^-$B78</f>
        <v>#REF!</v>
      </c>
      <c r="J78" s="273"/>
      <c r="K78" s="273" t="e">
        <f>(IF('El og plugin hybrid'!K$24="nej",-IF(100-(100+'El og plugin hybrid'!K$91)*$B78/'El og plugin hybrid'!K$60&lt;0,0,100-(100+'El og plugin hybrid'!K$91)*$B78/'El og plugin hybrid'!K$60)/100*'El og plugin hybrid'!K$12,0)+'El og plugin hybrid'!K$92)*'El og plugin hybrid'!K$53*(1+'El og plugin hybrid'!#REF!/100)^-$B78</f>
        <v>#REF!</v>
      </c>
      <c r="L78" s="273"/>
      <c r="M78" s="273" t="e">
        <f>(IF('El og plugin hybrid'!M$24="nej",-IF(100-(100+'El og plugin hybrid'!M$91)*$B78/'El og plugin hybrid'!M$60&lt;0,0,100-(100+'El og plugin hybrid'!M$91)*$B78/'El og plugin hybrid'!M$60)/100*'El og plugin hybrid'!M$12,0)+'El og plugin hybrid'!M$92)*'El og plugin hybrid'!M$53*(1+'El og plugin hybrid'!#REF!/100)^-$B78</f>
        <v>#REF!</v>
      </c>
      <c r="N78" s="273"/>
      <c r="O78" s="273" t="e">
        <f>(IF('El og plugin hybrid'!O$24="nej",-IF(100-(100+'El og plugin hybrid'!O$91)*$B78/'El og plugin hybrid'!O$60&lt;0,0,100-(100+'El og plugin hybrid'!O$91)*$B78/'El og plugin hybrid'!O$60)/100*'El og plugin hybrid'!O$12,0)+'El og plugin hybrid'!O$92)*'El og plugin hybrid'!O$53*(1+'El og plugin hybrid'!#REF!/100)^-$B78</f>
        <v>#REF!</v>
      </c>
      <c r="P78" s="273"/>
      <c r="Q78" s="273" t="e">
        <f>(IF('El og plugin hybrid'!Q$24="nej",-IF(100-(100+'El og plugin hybrid'!Q$91)*$B78/'El og plugin hybrid'!Q$60&lt;0,0,100-(100+'El og plugin hybrid'!Q$91)*$B78/'El og plugin hybrid'!Q$60)/100*'El og plugin hybrid'!Q$12,0)+'El og plugin hybrid'!Q$92)*'El og plugin hybrid'!Q$53*(1+'El og plugin hybrid'!#REF!/100)^-$B78</f>
        <v>#REF!</v>
      </c>
      <c r="R78" s="273"/>
      <c r="S78" s="273" t="e">
        <f>(IF('El og plugin hybrid'!S$24="nej",-IF(100-(100+'El og plugin hybrid'!S$91)*$B78/'El og plugin hybrid'!S$60&lt;0,0,100-(100+'El og plugin hybrid'!S$91)*$B78/'El og plugin hybrid'!S$60)/100*'El og plugin hybrid'!S$12,0)+'El og plugin hybrid'!S$92)*'El og plugin hybrid'!S$53*(1+'El og plugin hybrid'!#REF!/100)^-$B78</f>
        <v>#REF!</v>
      </c>
      <c r="U78" s="273" t="e">
        <f>(IF('El og plugin hybrid'!Y$24="nej",-IF(100-(100+'El og plugin hybrid'!Y$91)*$B78/'El og plugin hybrid'!Y$60&lt;0,0,100-(100+'El og plugin hybrid'!Y$91)*$B78/'El og plugin hybrid'!Y$60)/100*'El og plugin hybrid'!Y$12,0)+'El og plugin hybrid'!Y$92)*'El og plugin hybrid'!Y$53*(1+'El og plugin hybrid'!#REF!/100)^-$B78</f>
        <v>#REF!</v>
      </c>
      <c r="W78" s="273" t="e">
        <f>(IF('El og plugin hybrid'!AA$24="nej",-IF(100-(100+'El og plugin hybrid'!AA$91)*$B78/'El og plugin hybrid'!AA$60&lt;0,0,100-(100+'El og plugin hybrid'!AA$91)*$B78/'El og plugin hybrid'!AA$60)/100*'El og plugin hybrid'!AA$12,0)+'El og plugin hybrid'!AA$92)*'El og plugin hybrid'!AA$53*(1+'El og plugin hybrid'!#REF!/100)^-$B78</f>
        <v>#REF!</v>
      </c>
    </row>
    <row r="79" spans="1:23" hidden="1" outlineLevel="1">
      <c r="A79" s="249"/>
      <c r="B79" s="272">
        <v>7</v>
      </c>
      <c r="C79" s="272">
        <f t="shared" si="4"/>
        <v>7</v>
      </c>
      <c r="D79" s="249"/>
      <c r="E79" s="273" t="e">
        <f>(IF('El og plugin hybrid'!E$24="nej",-IF(100-(100+'El og plugin hybrid'!E$91)*$B79/'El og plugin hybrid'!E$60&lt;0,0,100-(100+'El og plugin hybrid'!E$91)*$B79/'El og plugin hybrid'!E$60)/100*'El og plugin hybrid'!E$12,0)+'El og plugin hybrid'!E$92)*'El og plugin hybrid'!E$53*(1+'El og plugin hybrid'!#REF!/100)^-$B79</f>
        <v>#REF!</v>
      </c>
      <c r="F79" s="273"/>
      <c r="G79" s="273" t="e">
        <f>(IF('El og plugin hybrid'!G$24="nej",-IF(100-(100+'El og plugin hybrid'!G$91)*$B79/'El og plugin hybrid'!G$60&lt;0,0,100-(100+'El og plugin hybrid'!G$91)*$B79/'El og plugin hybrid'!G$60)/100*'El og plugin hybrid'!G$12,0)+'El og plugin hybrid'!G$92)*'El og plugin hybrid'!G$53*(1+'El og plugin hybrid'!#REF!/100)^-$B79</f>
        <v>#REF!</v>
      </c>
      <c r="H79" s="273"/>
      <c r="I79" s="273" t="e">
        <f>(IF('El og plugin hybrid'!I$24="nej",-IF(100-(100+'El og plugin hybrid'!I$91)*$B79/'El og plugin hybrid'!I$60&lt;0,0,100-(100+'El og plugin hybrid'!I$91)*$B79/'El og plugin hybrid'!I$60)/100*'El og plugin hybrid'!I$12,0)+'El og plugin hybrid'!I$92)*'El og plugin hybrid'!I$53*(1+'El og plugin hybrid'!#REF!/100)^-$B79</f>
        <v>#REF!</v>
      </c>
      <c r="J79" s="273"/>
      <c r="K79" s="273" t="e">
        <f>(IF('El og plugin hybrid'!K$24="nej",-IF(100-(100+'El og plugin hybrid'!K$91)*$B79/'El og plugin hybrid'!K$60&lt;0,0,100-(100+'El og plugin hybrid'!K$91)*$B79/'El og plugin hybrid'!K$60)/100*'El og plugin hybrid'!K$12,0)+'El og plugin hybrid'!K$92)*'El og plugin hybrid'!K$53*(1+'El og plugin hybrid'!#REF!/100)^-$B79</f>
        <v>#REF!</v>
      </c>
      <c r="L79" s="273"/>
      <c r="M79" s="273" t="e">
        <f>(IF('El og plugin hybrid'!M$24="nej",-IF(100-(100+'El og plugin hybrid'!M$91)*$B79/'El og plugin hybrid'!M$60&lt;0,0,100-(100+'El og plugin hybrid'!M$91)*$B79/'El og plugin hybrid'!M$60)/100*'El og plugin hybrid'!M$12,0)+'El og plugin hybrid'!M$92)*'El og plugin hybrid'!M$53*(1+'El og plugin hybrid'!#REF!/100)^-$B79</f>
        <v>#REF!</v>
      </c>
      <c r="N79" s="273"/>
      <c r="O79" s="273" t="e">
        <f>(IF('El og plugin hybrid'!O$24="nej",-IF(100-(100+'El og plugin hybrid'!O$91)*$B79/'El og plugin hybrid'!O$60&lt;0,0,100-(100+'El og plugin hybrid'!O$91)*$B79/'El og plugin hybrid'!O$60)/100*'El og plugin hybrid'!O$12,0)+'El og plugin hybrid'!O$92)*'El og plugin hybrid'!O$53*(1+'El og plugin hybrid'!#REF!/100)^-$B79</f>
        <v>#REF!</v>
      </c>
      <c r="P79" s="273"/>
      <c r="Q79" s="273" t="e">
        <f>(IF('El og plugin hybrid'!Q$24="nej",-IF(100-(100+'El og plugin hybrid'!Q$91)*$B79/'El og plugin hybrid'!Q$60&lt;0,0,100-(100+'El og plugin hybrid'!Q$91)*$B79/'El og plugin hybrid'!Q$60)/100*'El og plugin hybrid'!Q$12,0)+'El og plugin hybrid'!Q$92)*'El og plugin hybrid'!Q$53*(1+'El og plugin hybrid'!#REF!/100)^-$B79</f>
        <v>#REF!</v>
      </c>
      <c r="R79" s="273"/>
      <c r="S79" s="273" t="e">
        <f>(IF('El og plugin hybrid'!S$24="nej",-IF(100-(100+'El og plugin hybrid'!S$91)*$B79/'El og plugin hybrid'!S$60&lt;0,0,100-(100+'El og plugin hybrid'!S$91)*$B79/'El og plugin hybrid'!S$60)/100*'El og plugin hybrid'!S$12,0)+'El og plugin hybrid'!S$92)*'El og plugin hybrid'!S$53*(1+'El og plugin hybrid'!#REF!/100)^-$B79</f>
        <v>#REF!</v>
      </c>
      <c r="U79" s="273" t="e">
        <f>(IF('El og plugin hybrid'!Y$24="nej",-IF(100-(100+'El og plugin hybrid'!Y$91)*$B79/'El og plugin hybrid'!Y$60&lt;0,0,100-(100+'El og plugin hybrid'!Y$91)*$B79/'El og plugin hybrid'!Y$60)/100*'El og plugin hybrid'!Y$12,0)+'El og plugin hybrid'!Y$92)*'El og plugin hybrid'!Y$53*(1+'El og plugin hybrid'!#REF!/100)^-$B79</f>
        <v>#REF!</v>
      </c>
      <c r="W79" s="273" t="e">
        <f>(IF('El og plugin hybrid'!AA$24="nej",-IF(100-(100+'El og plugin hybrid'!AA$91)*$B79/'El og plugin hybrid'!AA$60&lt;0,0,100-(100+'El og plugin hybrid'!AA$91)*$B79/'El og plugin hybrid'!AA$60)/100*'El og plugin hybrid'!AA$12,0)+'El og plugin hybrid'!AA$92)*'El og plugin hybrid'!AA$53*(1+'El og plugin hybrid'!#REF!/100)^-$B79</f>
        <v>#REF!</v>
      </c>
    </row>
    <row r="80" spans="1:23" hidden="1" outlineLevel="1">
      <c r="A80" s="249"/>
      <c r="B80" s="272">
        <v>8</v>
      </c>
      <c r="C80" s="272">
        <f t="shared" si="4"/>
        <v>8</v>
      </c>
      <c r="D80" s="249"/>
      <c r="E80" s="273" t="e">
        <f>(IF('El og plugin hybrid'!E$24="nej",-IF(100-(100+'El og plugin hybrid'!E$91)*$B80/'El og plugin hybrid'!E$60&lt;0,0,100-(100+'El og plugin hybrid'!E$91)*$B80/'El og plugin hybrid'!E$60)/100*'El og plugin hybrid'!E$12,0)+'El og plugin hybrid'!E$92)*'El og plugin hybrid'!E$53*(1+'El og plugin hybrid'!#REF!/100)^-$B80</f>
        <v>#REF!</v>
      </c>
      <c r="F80" s="273"/>
      <c r="G80" s="273" t="e">
        <f>(IF('El og plugin hybrid'!G$24="nej",-IF(100-(100+'El og plugin hybrid'!G$91)*$B80/'El og plugin hybrid'!G$60&lt;0,0,100-(100+'El og plugin hybrid'!G$91)*$B80/'El og plugin hybrid'!G$60)/100*'El og plugin hybrid'!G$12,0)+'El og plugin hybrid'!G$92)*'El og plugin hybrid'!G$53*(1+'El og plugin hybrid'!#REF!/100)^-$B80</f>
        <v>#REF!</v>
      </c>
      <c r="H80" s="273"/>
      <c r="I80" s="273" t="e">
        <f>(IF('El og plugin hybrid'!I$24="nej",-IF(100-(100+'El og plugin hybrid'!I$91)*$B80/'El og plugin hybrid'!I$60&lt;0,0,100-(100+'El og plugin hybrid'!I$91)*$B80/'El og plugin hybrid'!I$60)/100*'El og plugin hybrid'!I$12,0)+'El og plugin hybrid'!I$92)*'El og plugin hybrid'!I$53*(1+'El og plugin hybrid'!#REF!/100)^-$B80</f>
        <v>#REF!</v>
      </c>
      <c r="J80" s="273"/>
      <c r="K80" s="273" t="e">
        <f>(IF('El og plugin hybrid'!K$24="nej",-IF(100-(100+'El og plugin hybrid'!K$91)*$B80/'El og plugin hybrid'!K$60&lt;0,0,100-(100+'El og plugin hybrid'!K$91)*$B80/'El og plugin hybrid'!K$60)/100*'El og plugin hybrid'!K$12,0)+'El og plugin hybrid'!K$92)*'El og plugin hybrid'!K$53*(1+'El og plugin hybrid'!#REF!/100)^-$B80</f>
        <v>#REF!</v>
      </c>
      <c r="L80" s="273"/>
      <c r="M80" s="273" t="e">
        <f>(IF('El og plugin hybrid'!M$24="nej",-IF(100-(100+'El og plugin hybrid'!M$91)*$B80/'El og plugin hybrid'!M$60&lt;0,0,100-(100+'El og plugin hybrid'!M$91)*$B80/'El og plugin hybrid'!M$60)/100*'El og plugin hybrid'!M$12,0)+'El og plugin hybrid'!M$92)*'El og plugin hybrid'!M$53*(1+'El og plugin hybrid'!#REF!/100)^-$B80</f>
        <v>#REF!</v>
      </c>
      <c r="N80" s="273"/>
      <c r="O80" s="273" t="e">
        <f>(IF('El og plugin hybrid'!O$24="nej",-IF(100-(100+'El og plugin hybrid'!O$91)*$B80/'El og plugin hybrid'!O$60&lt;0,0,100-(100+'El og plugin hybrid'!O$91)*$B80/'El og plugin hybrid'!O$60)/100*'El og plugin hybrid'!O$12,0)+'El og plugin hybrid'!O$92)*'El og plugin hybrid'!O$53*(1+'El og plugin hybrid'!#REF!/100)^-$B80</f>
        <v>#REF!</v>
      </c>
      <c r="P80" s="273"/>
      <c r="Q80" s="273" t="e">
        <f>(IF('El og plugin hybrid'!Q$24="nej",-IF(100-(100+'El og plugin hybrid'!Q$91)*$B80/'El og plugin hybrid'!Q$60&lt;0,0,100-(100+'El og plugin hybrid'!Q$91)*$B80/'El og plugin hybrid'!Q$60)/100*'El og plugin hybrid'!Q$12,0)+'El og plugin hybrid'!Q$92)*'El og plugin hybrid'!Q$53*(1+'El og plugin hybrid'!#REF!/100)^-$B80</f>
        <v>#REF!</v>
      </c>
      <c r="R80" s="273"/>
      <c r="S80" s="273" t="e">
        <f>(IF('El og plugin hybrid'!S$24="nej",-IF(100-(100+'El og plugin hybrid'!S$91)*$B80/'El og plugin hybrid'!S$60&lt;0,0,100-(100+'El og plugin hybrid'!S$91)*$B80/'El og plugin hybrid'!S$60)/100*'El og plugin hybrid'!S$12,0)+'El og plugin hybrid'!S$92)*'El og plugin hybrid'!S$53*(1+'El og plugin hybrid'!#REF!/100)^-$B80</f>
        <v>#REF!</v>
      </c>
      <c r="U80" s="273" t="e">
        <f>(IF('El og plugin hybrid'!Y$24="nej",-IF(100-(100+'El og plugin hybrid'!Y$91)*$B80/'El og plugin hybrid'!Y$60&lt;0,0,100-(100+'El og plugin hybrid'!Y$91)*$B80/'El og plugin hybrid'!Y$60)/100*'El og plugin hybrid'!Y$12,0)+'El og plugin hybrid'!Y$92)*'El og plugin hybrid'!Y$53*(1+'El og plugin hybrid'!#REF!/100)^-$B80</f>
        <v>#REF!</v>
      </c>
      <c r="W80" s="273" t="e">
        <f>(IF('El og plugin hybrid'!AA$24="nej",-IF(100-(100+'El og plugin hybrid'!AA$91)*$B80/'El og plugin hybrid'!AA$60&lt;0,0,100-(100+'El og plugin hybrid'!AA$91)*$B80/'El og plugin hybrid'!AA$60)/100*'El og plugin hybrid'!AA$12,0)+'El og plugin hybrid'!AA$92)*'El og plugin hybrid'!AA$53*(1+'El og plugin hybrid'!#REF!/100)^-$B80</f>
        <v>#REF!</v>
      </c>
    </row>
    <row r="81" spans="1:23" hidden="1" outlineLevel="1">
      <c r="A81" s="249"/>
      <c r="B81" s="272">
        <v>9</v>
      </c>
      <c r="C81" s="272">
        <f t="shared" si="4"/>
        <v>9</v>
      </c>
      <c r="D81" s="249"/>
      <c r="E81" s="273" t="e">
        <f>(IF('El og plugin hybrid'!E$24="nej",-IF(100-(100+'El og plugin hybrid'!E$91)*$B81/'El og plugin hybrid'!E$60&lt;0,0,100-(100+'El og plugin hybrid'!E$91)*$B81/'El og plugin hybrid'!E$60)/100*'El og plugin hybrid'!E$12,0)+'El og plugin hybrid'!E$92)*'El og plugin hybrid'!E$53*(1+'El og plugin hybrid'!#REF!/100)^-$B81</f>
        <v>#REF!</v>
      </c>
      <c r="F81" s="273"/>
      <c r="G81" s="273" t="e">
        <f>(IF('El og plugin hybrid'!G$24="nej",-IF(100-(100+'El og plugin hybrid'!G$91)*$B81/'El og plugin hybrid'!G$60&lt;0,0,100-(100+'El og plugin hybrid'!G$91)*$B81/'El og plugin hybrid'!G$60)/100*'El og plugin hybrid'!G$12,0)+'El og plugin hybrid'!G$92)*'El og plugin hybrid'!G$53*(1+'El og plugin hybrid'!#REF!/100)^-$B81</f>
        <v>#REF!</v>
      </c>
      <c r="H81" s="273"/>
      <c r="I81" s="273" t="e">
        <f>(IF('El og plugin hybrid'!I$24="nej",-IF(100-(100+'El og plugin hybrid'!I$91)*$B81/'El og plugin hybrid'!I$60&lt;0,0,100-(100+'El og plugin hybrid'!I$91)*$B81/'El og plugin hybrid'!I$60)/100*'El og plugin hybrid'!I$12,0)+'El og plugin hybrid'!I$92)*'El og plugin hybrid'!I$53*(1+'El og plugin hybrid'!#REF!/100)^-$B81</f>
        <v>#REF!</v>
      </c>
      <c r="J81" s="273"/>
      <c r="K81" s="273" t="e">
        <f>(IF('El og plugin hybrid'!K$24="nej",-IF(100-(100+'El og plugin hybrid'!K$91)*$B81/'El og plugin hybrid'!K$60&lt;0,0,100-(100+'El og plugin hybrid'!K$91)*$B81/'El og plugin hybrid'!K$60)/100*'El og plugin hybrid'!K$12,0)+'El og plugin hybrid'!K$92)*'El og plugin hybrid'!K$53*(1+'El og plugin hybrid'!#REF!/100)^-$B81</f>
        <v>#REF!</v>
      </c>
      <c r="L81" s="273"/>
      <c r="M81" s="273" t="e">
        <f>(IF('El og plugin hybrid'!M$24="nej",-IF(100-(100+'El og plugin hybrid'!M$91)*$B81/'El og plugin hybrid'!M$60&lt;0,0,100-(100+'El og plugin hybrid'!M$91)*$B81/'El og plugin hybrid'!M$60)/100*'El og plugin hybrid'!M$12,0)+'El og plugin hybrid'!M$92)*'El og plugin hybrid'!M$53*(1+'El og plugin hybrid'!#REF!/100)^-$B81</f>
        <v>#REF!</v>
      </c>
      <c r="N81" s="273"/>
      <c r="O81" s="273" t="e">
        <f>(IF('El og plugin hybrid'!O$24="nej",-IF(100-(100+'El og plugin hybrid'!O$91)*$B81/'El og plugin hybrid'!O$60&lt;0,0,100-(100+'El og plugin hybrid'!O$91)*$B81/'El og plugin hybrid'!O$60)/100*'El og plugin hybrid'!O$12,0)+'El og plugin hybrid'!O$92)*'El og plugin hybrid'!O$53*(1+'El og plugin hybrid'!#REF!/100)^-$B81</f>
        <v>#REF!</v>
      </c>
      <c r="P81" s="273"/>
      <c r="Q81" s="273" t="e">
        <f>(IF('El og plugin hybrid'!Q$24="nej",-IF(100-(100+'El og plugin hybrid'!Q$91)*$B81/'El og plugin hybrid'!Q$60&lt;0,0,100-(100+'El og plugin hybrid'!Q$91)*$B81/'El og plugin hybrid'!Q$60)/100*'El og plugin hybrid'!Q$12,0)+'El og plugin hybrid'!Q$92)*'El og plugin hybrid'!Q$53*(1+'El og plugin hybrid'!#REF!/100)^-$B81</f>
        <v>#REF!</v>
      </c>
      <c r="R81" s="273"/>
      <c r="S81" s="273" t="e">
        <f>(IF('El og plugin hybrid'!S$24="nej",-IF(100-(100+'El og plugin hybrid'!S$91)*$B81/'El og plugin hybrid'!S$60&lt;0,0,100-(100+'El og plugin hybrid'!S$91)*$B81/'El og plugin hybrid'!S$60)/100*'El og plugin hybrid'!S$12,0)+'El og plugin hybrid'!S$92)*'El og plugin hybrid'!S$53*(1+'El og plugin hybrid'!#REF!/100)^-$B81</f>
        <v>#REF!</v>
      </c>
      <c r="U81" s="273" t="e">
        <f>(IF('El og plugin hybrid'!Y$24="nej",-IF(100-(100+'El og plugin hybrid'!Y$91)*$B81/'El og plugin hybrid'!Y$60&lt;0,0,100-(100+'El og plugin hybrid'!Y$91)*$B81/'El og plugin hybrid'!Y$60)/100*'El og plugin hybrid'!Y$12,0)+'El og plugin hybrid'!Y$92)*'El og plugin hybrid'!Y$53*(1+'El og plugin hybrid'!#REF!/100)^-$B81</f>
        <v>#REF!</v>
      </c>
      <c r="W81" s="273" t="e">
        <f>(IF('El og plugin hybrid'!AA$24="nej",-IF(100-(100+'El og plugin hybrid'!AA$91)*$B81/'El og plugin hybrid'!AA$60&lt;0,0,100-(100+'El og plugin hybrid'!AA$91)*$B81/'El og plugin hybrid'!AA$60)/100*'El og plugin hybrid'!AA$12,0)+'El og plugin hybrid'!AA$92)*'El og plugin hybrid'!AA$53*(1+'El og plugin hybrid'!#REF!/100)^-$B81</f>
        <v>#REF!</v>
      </c>
    </row>
    <row r="82" spans="1:23" hidden="1" outlineLevel="1">
      <c r="A82" s="249"/>
      <c r="B82" s="272">
        <v>10</v>
      </c>
      <c r="C82" s="272">
        <f t="shared" si="4"/>
        <v>10</v>
      </c>
      <c r="D82" s="249"/>
      <c r="E82" s="273" t="e">
        <f>(IF('El og plugin hybrid'!E$24="nej",-IF(100-(100+'El og plugin hybrid'!E$91)*$B82/'El og plugin hybrid'!E$60&lt;0,0,100-(100+'El og plugin hybrid'!E$91)*$B82/'El og plugin hybrid'!E$60)/100*'El og plugin hybrid'!E$12,0)+'El og plugin hybrid'!E$92)*'El og plugin hybrid'!E$53*(1+'El og plugin hybrid'!#REF!/100)^-$B82</f>
        <v>#REF!</v>
      </c>
      <c r="F82" s="273"/>
      <c r="G82" s="273" t="e">
        <f>(IF('El og plugin hybrid'!G$24="nej",-IF(100-(100+'El og plugin hybrid'!G$91)*$B82/'El og plugin hybrid'!G$60&lt;0,0,100-(100+'El og plugin hybrid'!G$91)*$B82/'El og plugin hybrid'!G$60)/100*'El og plugin hybrid'!G$12,0)+'El og plugin hybrid'!G$92)*'El og plugin hybrid'!G$53*(1+'El og plugin hybrid'!#REF!/100)^-$B82</f>
        <v>#REF!</v>
      </c>
      <c r="H82" s="273"/>
      <c r="I82" s="273" t="e">
        <f>(IF('El og plugin hybrid'!I$24="nej",-IF(100-(100+'El og plugin hybrid'!I$91)*$B82/'El og plugin hybrid'!I$60&lt;0,0,100-(100+'El og plugin hybrid'!I$91)*$B82/'El og plugin hybrid'!I$60)/100*'El og plugin hybrid'!I$12,0)+'El og plugin hybrid'!I$92)*'El og plugin hybrid'!I$53*(1+'El og plugin hybrid'!#REF!/100)^-$B82</f>
        <v>#REF!</v>
      </c>
      <c r="J82" s="273"/>
      <c r="K82" s="273" t="e">
        <f>(IF('El og plugin hybrid'!K$24="nej",-IF(100-(100+'El og plugin hybrid'!K$91)*$B82/'El og plugin hybrid'!K$60&lt;0,0,100-(100+'El og plugin hybrid'!K$91)*$B82/'El og plugin hybrid'!K$60)/100*'El og plugin hybrid'!K$12,0)+'El og plugin hybrid'!K$92)*'El og plugin hybrid'!K$53*(1+'El og plugin hybrid'!#REF!/100)^-$B82</f>
        <v>#REF!</v>
      </c>
      <c r="L82" s="273"/>
      <c r="M82" s="273" t="e">
        <f>(IF('El og plugin hybrid'!M$24="nej",-IF(100-(100+'El og plugin hybrid'!M$91)*$B82/'El og plugin hybrid'!M$60&lt;0,0,100-(100+'El og plugin hybrid'!M$91)*$B82/'El og plugin hybrid'!M$60)/100*'El og plugin hybrid'!M$12,0)+'El og plugin hybrid'!M$92)*'El og plugin hybrid'!M$53*(1+'El og plugin hybrid'!#REF!/100)^-$B82</f>
        <v>#REF!</v>
      </c>
      <c r="N82" s="273"/>
      <c r="O82" s="273" t="e">
        <f>(IF('El og plugin hybrid'!O$24="nej",-IF(100-(100+'El og plugin hybrid'!O$91)*$B82/'El og plugin hybrid'!O$60&lt;0,0,100-(100+'El og plugin hybrid'!O$91)*$B82/'El og plugin hybrid'!O$60)/100*'El og plugin hybrid'!O$12,0)+'El og plugin hybrid'!O$92)*'El og plugin hybrid'!O$53*(1+'El og plugin hybrid'!#REF!/100)^-$B82</f>
        <v>#REF!</v>
      </c>
      <c r="P82" s="273"/>
      <c r="Q82" s="273" t="e">
        <f>(IF('El og plugin hybrid'!Q$24="nej",-IF(100-(100+'El og plugin hybrid'!Q$91)*$B82/'El og plugin hybrid'!Q$60&lt;0,0,100-(100+'El og plugin hybrid'!Q$91)*$B82/'El og plugin hybrid'!Q$60)/100*'El og plugin hybrid'!Q$12,0)+'El og plugin hybrid'!Q$92)*'El og plugin hybrid'!Q$53*(1+'El og plugin hybrid'!#REF!/100)^-$B82</f>
        <v>#REF!</v>
      </c>
      <c r="R82" s="273"/>
      <c r="S82" s="273" t="e">
        <f>(IF('El og plugin hybrid'!S$24="nej",-IF(100-(100+'El og plugin hybrid'!S$91)*$B82/'El og plugin hybrid'!S$60&lt;0,0,100-(100+'El og plugin hybrid'!S$91)*$B82/'El og plugin hybrid'!S$60)/100*'El og plugin hybrid'!S$12,0)+'El og plugin hybrid'!S$92)*'El og plugin hybrid'!S$53*(1+'El og plugin hybrid'!#REF!/100)^-$B82</f>
        <v>#REF!</v>
      </c>
      <c r="U82" s="273" t="e">
        <f>(IF('El og plugin hybrid'!Y$24="nej",-IF(100-(100+'El og plugin hybrid'!Y$91)*$B82/'El og plugin hybrid'!Y$60&lt;0,0,100-(100+'El og plugin hybrid'!Y$91)*$B82/'El og plugin hybrid'!Y$60)/100*'El og plugin hybrid'!Y$12,0)+'El og plugin hybrid'!Y$92)*'El og plugin hybrid'!Y$53*(1+'El og plugin hybrid'!#REF!/100)^-$B82</f>
        <v>#REF!</v>
      </c>
      <c r="W82" s="273" t="e">
        <f>(IF('El og plugin hybrid'!AA$24="nej",-IF(100-(100+'El og plugin hybrid'!AA$91)*$B82/'El og plugin hybrid'!AA$60&lt;0,0,100-(100+'El og plugin hybrid'!AA$91)*$B82/'El og plugin hybrid'!AA$60)/100*'El og plugin hybrid'!AA$12,0)+'El og plugin hybrid'!AA$92)*'El og plugin hybrid'!AA$53*(1+'El og plugin hybrid'!#REF!/100)^-$B82</f>
        <v>#REF!</v>
      </c>
    </row>
    <row r="83" spans="1:23" hidden="1" outlineLevel="1">
      <c r="A83" s="249"/>
      <c r="B83" s="272">
        <v>11</v>
      </c>
      <c r="C83" s="272">
        <f t="shared" si="4"/>
        <v>11</v>
      </c>
      <c r="D83" s="249"/>
      <c r="E83" s="273" t="e">
        <f>(IF('El og plugin hybrid'!E$24="nej",-IF(100-(100+'El og plugin hybrid'!E$91)*$B83/'El og plugin hybrid'!E$60&lt;0,0,100-(100+'El og plugin hybrid'!E$91)*$B83/'El og plugin hybrid'!E$60)/100*'El og plugin hybrid'!E$12,0)+'El og plugin hybrid'!E$92)*'El og plugin hybrid'!E$53*(1+'El og plugin hybrid'!#REF!/100)^-$B83</f>
        <v>#REF!</v>
      </c>
      <c r="F83" s="273"/>
      <c r="G83" s="273" t="e">
        <f>(IF('El og plugin hybrid'!G$24="nej",-IF(100-(100+'El og plugin hybrid'!G$91)*$B83/'El og plugin hybrid'!G$60&lt;0,0,100-(100+'El og plugin hybrid'!G$91)*$B83/'El og plugin hybrid'!G$60)/100*'El og plugin hybrid'!G$12,0)+'El og plugin hybrid'!G$92)*'El og plugin hybrid'!G$53*(1+'El og plugin hybrid'!#REF!/100)^-$B83</f>
        <v>#REF!</v>
      </c>
      <c r="H83" s="273"/>
      <c r="I83" s="273" t="e">
        <f>(IF('El og plugin hybrid'!I$24="nej",-IF(100-(100+'El og plugin hybrid'!I$91)*$B83/'El og plugin hybrid'!I$60&lt;0,0,100-(100+'El og plugin hybrid'!I$91)*$B83/'El og plugin hybrid'!I$60)/100*'El og plugin hybrid'!I$12,0)+'El og plugin hybrid'!I$92)*'El og plugin hybrid'!I$53*(1+'El og plugin hybrid'!#REF!/100)^-$B83</f>
        <v>#REF!</v>
      </c>
      <c r="J83" s="273"/>
      <c r="K83" s="273" t="e">
        <f>(IF('El og plugin hybrid'!K$24="nej",-IF(100-(100+'El og plugin hybrid'!K$91)*$B83/'El og plugin hybrid'!K$60&lt;0,0,100-(100+'El og plugin hybrid'!K$91)*$B83/'El og plugin hybrid'!K$60)/100*'El og plugin hybrid'!K$12,0)+'El og plugin hybrid'!K$92)*'El og plugin hybrid'!K$53*(1+'El og plugin hybrid'!#REF!/100)^-$B83</f>
        <v>#REF!</v>
      </c>
      <c r="L83" s="273"/>
      <c r="M83" s="273" t="e">
        <f>(IF('El og plugin hybrid'!M$24="nej",-IF(100-(100+'El og plugin hybrid'!M$91)*$B83/'El og plugin hybrid'!M$60&lt;0,0,100-(100+'El og plugin hybrid'!M$91)*$B83/'El og plugin hybrid'!M$60)/100*'El og plugin hybrid'!M$12,0)+'El og plugin hybrid'!M$92)*'El og plugin hybrid'!M$53*(1+'El og plugin hybrid'!#REF!/100)^-$B83</f>
        <v>#REF!</v>
      </c>
      <c r="N83" s="273"/>
      <c r="O83" s="273" t="e">
        <f>(IF('El og plugin hybrid'!O$24="nej",-IF(100-(100+'El og plugin hybrid'!O$91)*$B83/'El og plugin hybrid'!O$60&lt;0,0,100-(100+'El og plugin hybrid'!O$91)*$B83/'El og plugin hybrid'!O$60)/100*'El og plugin hybrid'!O$12,0)+'El og plugin hybrid'!O$92)*'El og plugin hybrid'!O$53*(1+'El og plugin hybrid'!#REF!/100)^-$B83</f>
        <v>#REF!</v>
      </c>
      <c r="P83" s="273"/>
      <c r="Q83" s="273" t="e">
        <f>(IF('El og plugin hybrid'!Q$24="nej",-IF(100-(100+'El og plugin hybrid'!Q$91)*$B83/'El og plugin hybrid'!Q$60&lt;0,0,100-(100+'El og plugin hybrid'!Q$91)*$B83/'El og plugin hybrid'!Q$60)/100*'El og plugin hybrid'!Q$12,0)+'El og plugin hybrid'!Q$92)*'El og plugin hybrid'!Q$53*(1+'El og plugin hybrid'!#REF!/100)^-$B83</f>
        <v>#REF!</v>
      </c>
      <c r="R83" s="273"/>
      <c r="S83" s="273" t="e">
        <f>(IF('El og plugin hybrid'!S$24="nej",-IF(100-(100+'El og plugin hybrid'!S$91)*$B83/'El og plugin hybrid'!S$60&lt;0,0,100-(100+'El og plugin hybrid'!S$91)*$B83/'El og plugin hybrid'!S$60)/100*'El og plugin hybrid'!S$12,0)+'El og plugin hybrid'!S$92)*'El og plugin hybrid'!S$53*(1+'El og plugin hybrid'!#REF!/100)^-$B83</f>
        <v>#REF!</v>
      </c>
      <c r="U83" s="273" t="e">
        <f>(IF('El og plugin hybrid'!Y$24="nej",-IF(100-(100+'El og plugin hybrid'!Y$91)*$B83/'El og plugin hybrid'!Y$60&lt;0,0,100-(100+'El og plugin hybrid'!Y$91)*$B83/'El og plugin hybrid'!Y$60)/100*'El og plugin hybrid'!Y$12,0)+'El og plugin hybrid'!Y$92)*'El og plugin hybrid'!Y$53*(1+'El og plugin hybrid'!#REF!/100)^-$B83</f>
        <v>#REF!</v>
      </c>
      <c r="W83" s="273" t="e">
        <f>(IF('El og plugin hybrid'!AA$24="nej",-IF(100-(100+'El og plugin hybrid'!AA$91)*$B83/'El og plugin hybrid'!AA$60&lt;0,0,100-(100+'El og plugin hybrid'!AA$91)*$B83/'El og plugin hybrid'!AA$60)/100*'El og plugin hybrid'!AA$12,0)+'El og plugin hybrid'!AA$92)*'El og plugin hybrid'!AA$53*(1+'El og plugin hybrid'!#REF!/100)^-$B83</f>
        <v>#REF!</v>
      </c>
    </row>
    <row r="84" spans="1:23" hidden="1" outlineLevel="1">
      <c r="A84" s="249"/>
      <c r="B84" s="272">
        <v>12</v>
      </c>
      <c r="C84" s="272">
        <f t="shared" si="4"/>
        <v>12</v>
      </c>
      <c r="D84" s="249"/>
      <c r="E84" s="273" t="e">
        <f>(IF('El og plugin hybrid'!E$24="nej",-IF(100-(100+'El og plugin hybrid'!E$91)*$B84/'El og plugin hybrid'!E$60&lt;0,0,100-(100+'El og plugin hybrid'!E$91)*$B84/'El og plugin hybrid'!E$60)/100*'El og plugin hybrid'!E$12,0)+'El og plugin hybrid'!E$92)*'El og plugin hybrid'!E$53*(1+'El og plugin hybrid'!#REF!/100)^-$B84</f>
        <v>#REF!</v>
      </c>
      <c r="F84" s="273"/>
      <c r="G84" s="273" t="e">
        <f>(IF('El og plugin hybrid'!G$24="nej",-IF(100-(100+'El og plugin hybrid'!G$91)*$B84/'El og plugin hybrid'!G$60&lt;0,0,100-(100+'El og plugin hybrid'!G$91)*$B84/'El og plugin hybrid'!G$60)/100*'El og plugin hybrid'!G$12,0)+'El og plugin hybrid'!G$92)*'El og plugin hybrid'!G$53*(1+'El og plugin hybrid'!#REF!/100)^-$B84</f>
        <v>#REF!</v>
      </c>
      <c r="H84" s="273"/>
      <c r="I84" s="273" t="e">
        <f>(IF('El og plugin hybrid'!I$24="nej",-IF(100-(100+'El og plugin hybrid'!I$91)*$B84/'El og plugin hybrid'!I$60&lt;0,0,100-(100+'El og plugin hybrid'!I$91)*$B84/'El og plugin hybrid'!I$60)/100*'El og plugin hybrid'!I$12,0)+'El og plugin hybrid'!I$92)*'El og plugin hybrid'!I$53*(1+'El og plugin hybrid'!#REF!/100)^-$B84</f>
        <v>#REF!</v>
      </c>
      <c r="J84" s="273"/>
      <c r="K84" s="273" t="e">
        <f>(IF('El og plugin hybrid'!K$24="nej",-IF(100-(100+'El og plugin hybrid'!K$91)*$B84/'El og plugin hybrid'!K$60&lt;0,0,100-(100+'El og plugin hybrid'!K$91)*$B84/'El og plugin hybrid'!K$60)/100*'El og plugin hybrid'!K$12,0)+'El og plugin hybrid'!K$92)*'El og plugin hybrid'!K$53*(1+'El og plugin hybrid'!#REF!/100)^-$B84</f>
        <v>#REF!</v>
      </c>
      <c r="L84" s="273"/>
      <c r="M84" s="273" t="e">
        <f>(IF('El og plugin hybrid'!M$24="nej",-IF(100-(100+'El og plugin hybrid'!M$91)*$B84/'El og plugin hybrid'!M$60&lt;0,0,100-(100+'El og plugin hybrid'!M$91)*$B84/'El og plugin hybrid'!M$60)/100*'El og plugin hybrid'!M$12,0)+'El og plugin hybrid'!M$92)*'El og plugin hybrid'!M$53*(1+'El og plugin hybrid'!#REF!/100)^-$B84</f>
        <v>#REF!</v>
      </c>
      <c r="N84" s="273"/>
      <c r="O84" s="273" t="e">
        <f>(IF('El og plugin hybrid'!O$24="nej",-IF(100-(100+'El og plugin hybrid'!O$91)*$B84/'El og plugin hybrid'!O$60&lt;0,0,100-(100+'El og plugin hybrid'!O$91)*$B84/'El og plugin hybrid'!O$60)/100*'El og plugin hybrid'!O$12,0)+'El og plugin hybrid'!O$92)*'El og plugin hybrid'!O$53*(1+'El og plugin hybrid'!#REF!/100)^-$B84</f>
        <v>#REF!</v>
      </c>
      <c r="P84" s="273"/>
      <c r="Q84" s="273" t="e">
        <f>(IF('El og plugin hybrid'!Q$24="nej",-IF(100-(100+'El og plugin hybrid'!Q$91)*$B84/'El og plugin hybrid'!Q$60&lt;0,0,100-(100+'El og plugin hybrid'!Q$91)*$B84/'El og plugin hybrid'!Q$60)/100*'El og plugin hybrid'!Q$12,0)+'El og plugin hybrid'!Q$92)*'El og plugin hybrid'!Q$53*(1+'El og plugin hybrid'!#REF!/100)^-$B84</f>
        <v>#REF!</v>
      </c>
      <c r="R84" s="273"/>
      <c r="S84" s="273" t="e">
        <f>(IF('El og plugin hybrid'!S$24="nej",-IF(100-(100+'El og plugin hybrid'!S$91)*$B84/'El og plugin hybrid'!S$60&lt;0,0,100-(100+'El og plugin hybrid'!S$91)*$B84/'El og plugin hybrid'!S$60)/100*'El og plugin hybrid'!S$12,0)+'El og plugin hybrid'!S$92)*'El og plugin hybrid'!S$53*(1+'El og plugin hybrid'!#REF!/100)^-$B84</f>
        <v>#REF!</v>
      </c>
      <c r="U84" s="273" t="e">
        <f>(IF('El og plugin hybrid'!Y$24="nej",-IF(100-(100+'El og plugin hybrid'!Y$91)*$B84/'El og plugin hybrid'!Y$60&lt;0,0,100-(100+'El og plugin hybrid'!Y$91)*$B84/'El og plugin hybrid'!Y$60)/100*'El og plugin hybrid'!Y$12,0)+'El og plugin hybrid'!Y$92)*'El og plugin hybrid'!Y$53*(1+'El og plugin hybrid'!#REF!/100)^-$B84</f>
        <v>#REF!</v>
      </c>
      <c r="W84" s="273" t="e">
        <f>(IF('El og plugin hybrid'!AA$24="nej",-IF(100-(100+'El og plugin hybrid'!AA$91)*$B84/'El og plugin hybrid'!AA$60&lt;0,0,100-(100+'El og plugin hybrid'!AA$91)*$B84/'El og plugin hybrid'!AA$60)/100*'El og plugin hybrid'!AA$12,0)+'El og plugin hybrid'!AA$92)*'El og plugin hybrid'!AA$53*(1+'El og plugin hybrid'!#REF!/100)^-$B84</f>
        <v>#REF!</v>
      </c>
    </row>
    <row r="85" spans="1:23" hidden="1" outlineLevel="1">
      <c r="A85" s="249"/>
      <c r="B85" s="272">
        <v>13</v>
      </c>
      <c r="C85" s="272">
        <f t="shared" si="4"/>
        <v>13</v>
      </c>
      <c r="D85" s="249"/>
      <c r="E85" s="273" t="e">
        <f>(IF('El og plugin hybrid'!E$24="nej",-IF(100-(100+'El og plugin hybrid'!E$91)*$B85/'El og plugin hybrid'!E$60&lt;0,0,100-(100+'El og plugin hybrid'!E$91)*$B85/'El og plugin hybrid'!E$60)/100*'El og plugin hybrid'!E$12,0)+'El og plugin hybrid'!E$92)*'El og plugin hybrid'!E$53*(1+'El og plugin hybrid'!#REF!/100)^-$B85</f>
        <v>#REF!</v>
      </c>
      <c r="F85" s="273"/>
      <c r="G85" s="273" t="e">
        <f>(IF('El og plugin hybrid'!G$24="nej",-IF(100-(100+'El og plugin hybrid'!G$91)*$B85/'El og plugin hybrid'!G$60&lt;0,0,100-(100+'El og plugin hybrid'!G$91)*$B85/'El og plugin hybrid'!G$60)/100*'El og plugin hybrid'!G$12,0)+'El og plugin hybrid'!G$92)*'El og plugin hybrid'!G$53*(1+'El og plugin hybrid'!#REF!/100)^-$B85</f>
        <v>#REF!</v>
      </c>
      <c r="H85" s="273"/>
      <c r="I85" s="273" t="e">
        <f>(IF('El og plugin hybrid'!I$24="nej",-IF(100-(100+'El og plugin hybrid'!I$91)*$B85/'El og plugin hybrid'!I$60&lt;0,0,100-(100+'El og plugin hybrid'!I$91)*$B85/'El og plugin hybrid'!I$60)/100*'El og plugin hybrid'!I$12,0)+'El og plugin hybrid'!I$92)*'El og plugin hybrid'!I$53*(1+'El og plugin hybrid'!#REF!/100)^-$B85</f>
        <v>#REF!</v>
      </c>
      <c r="J85" s="273"/>
      <c r="K85" s="273" t="e">
        <f>(IF('El og plugin hybrid'!K$24="nej",-IF(100-(100+'El og plugin hybrid'!K$91)*$B85/'El og plugin hybrid'!K$60&lt;0,0,100-(100+'El og plugin hybrid'!K$91)*$B85/'El og plugin hybrid'!K$60)/100*'El og plugin hybrid'!K$12,0)+'El og plugin hybrid'!K$92)*'El og plugin hybrid'!K$53*(1+'El og plugin hybrid'!#REF!/100)^-$B85</f>
        <v>#REF!</v>
      </c>
      <c r="L85" s="273"/>
      <c r="M85" s="273" t="e">
        <f>(IF('El og plugin hybrid'!M$24="nej",-IF(100-(100+'El og plugin hybrid'!M$91)*$B85/'El og plugin hybrid'!M$60&lt;0,0,100-(100+'El og plugin hybrid'!M$91)*$B85/'El og plugin hybrid'!M$60)/100*'El og plugin hybrid'!M$12,0)+'El og plugin hybrid'!M$92)*'El og plugin hybrid'!M$53*(1+'El og plugin hybrid'!#REF!/100)^-$B85</f>
        <v>#REF!</v>
      </c>
      <c r="N85" s="273"/>
      <c r="O85" s="273" t="e">
        <f>(IF('El og plugin hybrid'!O$24="nej",-IF(100-(100+'El og plugin hybrid'!O$91)*$B85/'El og plugin hybrid'!O$60&lt;0,0,100-(100+'El og plugin hybrid'!O$91)*$B85/'El og plugin hybrid'!O$60)/100*'El og plugin hybrid'!O$12,0)+'El og plugin hybrid'!O$92)*'El og plugin hybrid'!O$53*(1+'El og plugin hybrid'!#REF!/100)^-$B85</f>
        <v>#REF!</v>
      </c>
      <c r="P85" s="273"/>
      <c r="Q85" s="273" t="e">
        <f>(IF('El og plugin hybrid'!Q$24="nej",-IF(100-(100+'El og plugin hybrid'!Q$91)*$B85/'El og plugin hybrid'!Q$60&lt;0,0,100-(100+'El og plugin hybrid'!Q$91)*$B85/'El og plugin hybrid'!Q$60)/100*'El og plugin hybrid'!Q$12,0)+'El og plugin hybrid'!Q$92)*'El og plugin hybrid'!Q$53*(1+'El og plugin hybrid'!#REF!/100)^-$B85</f>
        <v>#REF!</v>
      </c>
      <c r="R85" s="273"/>
      <c r="S85" s="273" t="e">
        <f>(IF('El og plugin hybrid'!S$24="nej",-IF(100-(100+'El og plugin hybrid'!S$91)*$B85/'El og plugin hybrid'!S$60&lt;0,0,100-(100+'El og plugin hybrid'!S$91)*$B85/'El og plugin hybrid'!S$60)/100*'El og plugin hybrid'!S$12,0)+'El og plugin hybrid'!S$92)*'El og plugin hybrid'!S$53*(1+'El og plugin hybrid'!#REF!/100)^-$B85</f>
        <v>#REF!</v>
      </c>
      <c r="U85" s="273" t="e">
        <f>(IF('El og plugin hybrid'!Y$24="nej",-IF(100-(100+'El og plugin hybrid'!Y$91)*$B85/'El og plugin hybrid'!Y$60&lt;0,0,100-(100+'El og plugin hybrid'!Y$91)*$B85/'El og plugin hybrid'!Y$60)/100*'El og plugin hybrid'!Y$12,0)+'El og plugin hybrid'!Y$92)*'El og plugin hybrid'!Y$53*(1+'El og plugin hybrid'!#REF!/100)^-$B85</f>
        <v>#REF!</v>
      </c>
      <c r="W85" s="273" t="e">
        <f>(IF('El og plugin hybrid'!AA$24="nej",-IF(100-(100+'El og plugin hybrid'!AA$91)*$B85/'El og plugin hybrid'!AA$60&lt;0,0,100-(100+'El og plugin hybrid'!AA$91)*$B85/'El og plugin hybrid'!AA$60)/100*'El og plugin hybrid'!AA$12,0)+'El og plugin hybrid'!AA$92)*'El og plugin hybrid'!AA$53*(1+'El og plugin hybrid'!#REF!/100)^-$B85</f>
        <v>#REF!</v>
      </c>
    </row>
    <row r="86" spans="1:23" hidden="1" outlineLevel="1">
      <c r="A86" s="249"/>
      <c r="B86" s="272">
        <v>14</v>
      </c>
      <c r="C86" s="272">
        <f t="shared" si="4"/>
        <v>14</v>
      </c>
      <c r="D86" s="249"/>
      <c r="E86" s="273" t="e">
        <f>(IF('El og plugin hybrid'!E$24="nej",-IF(100-(100+'El og plugin hybrid'!E$91)*$B86/'El og plugin hybrid'!E$60&lt;0,0,100-(100+'El og plugin hybrid'!E$91)*$B86/'El og plugin hybrid'!E$60)/100*'El og plugin hybrid'!E$12,0)+'El og plugin hybrid'!E$92)*'El og plugin hybrid'!E$53*(1+'El og plugin hybrid'!#REF!/100)^-$B86</f>
        <v>#REF!</v>
      </c>
      <c r="F86" s="273"/>
      <c r="G86" s="273" t="e">
        <f>(IF('El og plugin hybrid'!G$24="nej",-IF(100-(100+'El og plugin hybrid'!G$91)*$B86/'El og plugin hybrid'!G$60&lt;0,0,100-(100+'El og plugin hybrid'!G$91)*$B86/'El og plugin hybrid'!G$60)/100*'El og plugin hybrid'!G$12,0)+'El og plugin hybrid'!G$92)*'El og plugin hybrid'!G$53*(1+'El og plugin hybrid'!#REF!/100)^-$B86</f>
        <v>#REF!</v>
      </c>
      <c r="H86" s="273"/>
      <c r="I86" s="273" t="e">
        <f>(IF('El og plugin hybrid'!I$24="nej",-IF(100-(100+'El og plugin hybrid'!I$91)*$B86/'El og plugin hybrid'!I$60&lt;0,0,100-(100+'El og plugin hybrid'!I$91)*$B86/'El og plugin hybrid'!I$60)/100*'El og plugin hybrid'!I$12,0)+'El og plugin hybrid'!I$92)*'El og plugin hybrid'!I$53*(1+'El og plugin hybrid'!#REF!/100)^-$B86</f>
        <v>#REF!</v>
      </c>
      <c r="J86" s="273"/>
      <c r="K86" s="273" t="e">
        <f>(IF('El og plugin hybrid'!K$24="nej",-IF(100-(100+'El og plugin hybrid'!K$91)*$B86/'El og plugin hybrid'!K$60&lt;0,0,100-(100+'El og plugin hybrid'!K$91)*$B86/'El og plugin hybrid'!K$60)/100*'El og plugin hybrid'!K$12,0)+'El og plugin hybrid'!K$92)*'El og plugin hybrid'!K$53*(1+'El og plugin hybrid'!#REF!/100)^-$B86</f>
        <v>#REF!</v>
      </c>
      <c r="L86" s="273"/>
      <c r="M86" s="273" t="e">
        <f>(IF('El og plugin hybrid'!M$24="nej",-IF(100-(100+'El og plugin hybrid'!M$91)*$B86/'El og plugin hybrid'!M$60&lt;0,0,100-(100+'El og plugin hybrid'!M$91)*$B86/'El og plugin hybrid'!M$60)/100*'El og plugin hybrid'!M$12,0)+'El og plugin hybrid'!M$92)*'El og plugin hybrid'!M$53*(1+'El og plugin hybrid'!#REF!/100)^-$B86</f>
        <v>#REF!</v>
      </c>
      <c r="N86" s="273"/>
      <c r="O86" s="273" t="e">
        <f>(IF('El og plugin hybrid'!O$24="nej",-IF(100-(100+'El og plugin hybrid'!O$91)*$B86/'El og plugin hybrid'!O$60&lt;0,0,100-(100+'El og plugin hybrid'!O$91)*$B86/'El og plugin hybrid'!O$60)/100*'El og plugin hybrid'!O$12,0)+'El og plugin hybrid'!O$92)*'El og plugin hybrid'!O$53*(1+'El og plugin hybrid'!#REF!/100)^-$B86</f>
        <v>#REF!</v>
      </c>
      <c r="P86" s="273"/>
      <c r="Q86" s="273" t="e">
        <f>(IF('El og plugin hybrid'!Q$24="nej",-IF(100-(100+'El og plugin hybrid'!Q$91)*$B86/'El og plugin hybrid'!Q$60&lt;0,0,100-(100+'El og plugin hybrid'!Q$91)*$B86/'El og plugin hybrid'!Q$60)/100*'El og plugin hybrid'!Q$12,0)+'El og plugin hybrid'!Q$92)*'El og plugin hybrid'!Q$53*(1+'El og plugin hybrid'!#REF!/100)^-$B86</f>
        <v>#REF!</v>
      </c>
      <c r="R86" s="273"/>
      <c r="S86" s="273" t="e">
        <f>(IF('El og plugin hybrid'!S$24="nej",-IF(100-(100+'El og plugin hybrid'!S$91)*$B86/'El og plugin hybrid'!S$60&lt;0,0,100-(100+'El og plugin hybrid'!S$91)*$B86/'El og plugin hybrid'!S$60)/100*'El og plugin hybrid'!S$12,0)+'El og plugin hybrid'!S$92)*'El og plugin hybrid'!S$53*(1+'El og plugin hybrid'!#REF!/100)^-$B86</f>
        <v>#REF!</v>
      </c>
      <c r="U86" s="273" t="e">
        <f>(IF('El og plugin hybrid'!Y$24="nej",-IF(100-(100+'El og plugin hybrid'!Y$91)*$B86/'El og plugin hybrid'!Y$60&lt;0,0,100-(100+'El og plugin hybrid'!Y$91)*$B86/'El og plugin hybrid'!Y$60)/100*'El og plugin hybrid'!Y$12,0)+'El og plugin hybrid'!Y$92)*'El og plugin hybrid'!Y$53*(1+'El og plugin hybrid'!#REF!/100)^-$B86</f>
        <v>#REF!</v>
      </c>
      <c r="W86" s="273" t="e">
        <f>(IF('El og plugin hybrid'!AA$24="nej",-IF(100-(100+'El og plugin hybrid'!AA$91)*$B86/'El og plugin hybrid'!AA$60&lt;0,0,100-(100+'El og plugin hybrid'!AA$91)*$B86/'El og plugin hybrid'!AA$60)/100*'El og plugin hybrid'!AA$12,0)+'El og plugin hybrid'!AA$92)*'El og plugin hybrid'!AA$53*(1+'El og plugin hybrid'!#REF!/100)^-$B86</f>
        <v>#REF!</v>
      </c>
    </row>
    <row r="87" spans="1:23" hidden="1" outlineLevel="1">
      <c r="A87" s="249"/>
      <c r="B87" s="272">
        <v>15</v>
      </c>
      <c r="C87" s="272">
        <f t="shared" si="4"/>
        <v>15</v>
      </c>
      <c r="D87" s="249"/>
      <c r="E87" s="273" t="e">
        <f>(IF('El og plugin hybrid'!E$24="nej",-IF(100-(100+'El og plugin hybrid'!E$91)*$B87/'El og plugin hybrid'!E$60&lt;0,0,100-(100+'El og plugin hybrid'!E$91)*$B87/'El og plugin hybrid'!E$60)/100*'El og plugin hybrid'!E$12,0)+'El og plugin hybrid'!E$92)*'El og plugin hybrid'!E$53*(1+'El og plugin hybrid'!#REF!/100)^-$B87</f>
        <v>#REF!</v>
      </c>
      <c r="F87" s="273"/>
      <c r="G87" s="273" t="e">
        <f>(IF('El og plugin hybrid'!G$24="nej",-IF(100-(100+'El og plugin hybrid'!G$91)*$B87/'El og plugin hybrid'!G$60&lt;0,0,100-(100+'El og plugin hybrid'!G$91)*$B87/'El og plugin hybrid'!G$60)/100*'El og plugin hybrid'!G$12,0)+'El og plugin hybrid'!G$92)*'El og plugin hybrid'!G$53*(1+'El og plugin hybrid'!#REF!/100)^-$B87</f>
        <v>#REF!</v>
      </c>
      <c r="H87" s="273"/>
      <c r="I87" s="273" t="e">
        <f>(IF('El og plugin hybrid'!I$24="nej",-IF(100-(100+'El og plugin hybrid'!I$91)*$B87/'El og plugin hybrid'!I$60&lt;0,0,100-(100+'El og plugin hybrid'!I$91)*$B87/'El og plugin hybrid'!I$60)/100*'El og plugin hybrid'!I$12,0)+'El og plugin hybrid'!I$92)*'El og plugin hybrid'!I$53*(1+'El og plugin hybrid'!#REF!/100)^-$B87</f>
        <v>#REF!</v>
      </c>
      <c r="J87" s="273"/>
      <c r="K87" s="273" t="e">
        <f>(IF('El og plugin hybrid'!K$24="nej",-IF(100-(100+'El og plugin hybrid'!K$91)*$B87/'El og plugin hybrid'!K$60&lt;0,0,100-(100+'El og plugin hybrid'!K$91)*$B87/'El og plugin hybrid'!K$60)/100*'El og plugin hybrid'!K$12,0)+'El og plugin hybrid'!K$92)*'El og plugin hybrid'!K$53*(1+'El og plugin hybrid'!#REF!/100)^-$B87</f>
        <v>#REF!</v>
      </c>
      <c r="L87" s="273"/>
      <c r="M87" s="273" t="e">
        <f>(IF('El og plugin hybrid'!M$24="nej",-IF(100-(100+'El og plugin hybrid'!M$91)*$B87/'El og plugin hybrid'!M$60&lt;0,0,100-(100+'El og plugin hybrid'!M$91)*$B87/'El og plugin hybrid'!M$60)/100*'El og plugin hybrid'!M$12,0)+'El og plugin hybrid'!M$92)*'El og plugin hybrid'!M$53*(1+'El og plugin hybrid'!#REF!/100)^-$B87</f>
        <v>#REF!</v>
      </c>
      <c r="N87" s="273"/>
      <c r="O87" s="273" t="e">
        <f>(IF('El og plugin hybrid'!O$24="nej",-IF(100-(100+'El og plugin hybrid'!O$91)*$B87/'El og plugin hybrid'!O$60&lt;0,0,100-(100+'El og plugin hybrid'!O$91)*$B87/'El og plugin hybrid'!O$60)/100*'El og plugin hybrid'!O$12,0)+'El og plugin hybrid'!O$92)*'El og plugin hybrid'!O$53*(1+'El og plugin hybrid'!#REF!/100)^-$B87</f>
        <v>#REF!</v>
      </c>
      <c r="P87" s="273"/>
      <c r="Q87" s="273" t="e">
        <f>(IF('El og plugin hybrid'!Q$24="nej",-IF(100-(100+'El og plugin hybrid'!Q$91)*$B87/'El og plugin hybrid'!Q$60&lt;0,0,100-(100+'El og plugin hybrid'!Q$91)*$B87/'El og plugin hybrid'!Q$60)/100*'El og plugin hybrid'!Q$12,0)+'El og plugin hybrid'!Q$92)*'El og plugin hybrid'!Q$53*(1+'El og plugin hybrid'!#REF!/100)^-$B87</f>
        <v>#REF!</v>
      </c>
      <c r="R87" s="273"/>
      <c r="S87" s="273" t="e">
        <f>(IF('El og plugin hybrid'!S$24="nej",-IF(100-(100+'El og plugin hybrid'!S$91)*$B87/'El og plugin hybrid'!S$60&lt;0,0,100-(100+'El og plugin hybrid'!S$91)*$B87/'El og plugin hybrid'!S$60)/100*'El og plugin hybrid'!S$12,0)+'El og plugin hybrid'!S$92)*'El og plugin hybrid'!S$53*(1+'El og plugin hybrid'!#REF!/100)^-$B87</f>
        <v>#REF!</v>
      </c>
      <c r="U87" s="273" t="e">
        <f>(IF('El og plugin hybrid'!Y$24="nej",-IF(100-(100+'El og plugin hybrid'!Y$91)*$B87/'El og plugin hybrid'!Y$60&lt;0,0,100-(100+'El og plugin hybrid'!Y$91)*$B87/'El og plugin hybrid'!Y$60)/100*'El og plugin hybrid'!Y$12,0)+'El og plugin hybrid'!Y$92)*'El og plugin hybrid'!Y$53*(1+'El og plugin hybrid'!#REF!/100)^-$B87</f>
        <v>#REF!</v>
      </c>
      <c r="W87" s="273" t="e">
        <f>(IF('El og plugin hybrid'!AA$24="nej",-IF(100-(100+'El og plugin hybrid'!AA$91)*$B87/'El og plugin hybrid'!AA$60&lt;0,0,100-(100+'El og plugin hybrid'!AA$91)*$B87/'El og plugin hybrid'!AA$60)/100*'El og plugin hybrid'!AA$12,0)+'El og plugin hybrid'!AA$92)*'El og plugin hybrid'!AA$53*(1+'El og plugin hybrid'!#REF!/100)^-$B87</f>
        <v>#REF!</v>
      </c>
    </row>
    <row r="88" spans="1:23" hidden="1" outlineLevel="1">
      <c r="A88" s="249"/>
      <c r="B88" s="272">
        <v>16</v>
      </c>
      <c r="C88" s="272">
        <f t="shared" si="4"/>
        <v>16</v>
      </c>
      <c r="D88" s="249"/>
      <c r="E88" s="273" t="e">
        <f>(IF('El og plugin hybrid'!E$24="nej",-IF(100-(100+'El og plugin hybrid'!E$91)*$B88/'El og plugin hybrid'!E$60&lt;0,0,100-(100+'El og plugin hybrid'!E$91)*$B88/'El og plugin hybrid'!E$60)/100*'El og plugin hybrid'!E$12,0)+'El og plugin hybrid'!E$92)*'El og plugin hybrid'!E$53*(1+'El og plugin hybrid'!#REF!/100)^-$B88</f>
        <v>#REF!</v>
      </c>
      <c r="F88" s="273"/>
      <c r="G88" s="273" t="e">
        <f>(IF('El og plugin hybrid'!G$24="nej",-IF(100-(100+'El og plugin hybrid'!G$91)*$B88/'El og plugin hybrid'!G$60&lt;0,0,100-(100+'El og plugin hybrid'!G$91)*$B88/'El og plugin hybrid'!G$60)/100*'El og plugin hybrid'!G$12,0)+'El og plugin hybrid'!G$92)*'El og plugin hybrid'!G$53*(1+'El og plugin hybrid'!#REF!/100)^-$B88</f>
        <v>#REF!</v>
      </c>
      <c r="H88" s="273"/>
      <c r="I88" s="273" t="e">
        <f>(IF('El og plugin hybrid'!I$24="nej",-IF(100-(100+'El og plugin hybrid'!I$91)*$B88/'El og plugin hybrid'!I$60&lt;0,0,100-(100+'El og plugin hybrid'!I$91)*$B88/'El og plugin hybrid'!I$60)/100*'El og plugin hybrid'!I$12,0)+'El og plugin hybrid'!I$92)*'El og plugin hybrid'!I$53*(1+'El og plugin hybrid'!#REF!/100)^-$B88</f>
        <v>#REF!</v>
      </c>
      <c r="J88" s="273"/>
      <c r="K88" s="273" t="e">
        <f>(IF('El og plugin hybrid'!K$24="nej",-IF(100-(100+'El og plugin hybrid'!K$91)*$B88/'El og plugin hybrid'!K$60&lt;0,0,100-(100+'El og plugin hybrid'!K$91)*$B88/'El og plugin hybrid'!K$60)/100*'El og plugin hybrid'!K$12,0)+'El og plugin hybrid'!K$92)*'El og plugin hybrid'!K$53*(1+'El og plugin hybrid'!#REF!/100)^-$B88</f>
        <v>#REF!</v>
      </c>
      <c r="L88" s="273"/>
      <c r="M88" s="273" t="e">
        <f>(IF('El og plugin hybrid'!M$24="nej",-IF(100-(100+'El og plugin hybrid'!M$91)*$B88/'El og plugin hybrid'!M$60&lt;0,0,100-(100+'El og plugin hybrid'!M$91)*$B88/'El og plugin hybrid'!M$60)/100*'El og plugin hybrid'!M$12,0)+'El og plugin hybrid'!M$92)*'El og plugin hybrid'!M$53*(1+'El og plugin hybrid'!#REF!/100)^-$B88</f>
        <v>#REF!</v>
      </c>
      <c r="N88" s="273"/>
      <c r="O88" s="273" t="e">
        <f>(IF('El og plugin hybrid'!O$24="nej",-IF(100-(100+'El og plugin hybrid'!O$91)*$B88/'El og plugin hybrid'!O$60&lt;0,0,100-(100+'El og plugin hybrid'!O$91)*$B88/'El og plugin hybrid'!O$60)/100*'El og plugin hybrid'!O$12,0)+'El og plugin hybrid'!O$92)*'El og plugin hybrid'!O$53*(1+'El og plugin hybrid'!#REF!/100)^-$B88</f>
        <v>#REF!</v>
      </c>
      <c r="P88" s="273"/>
      <c r="Q88" s="273" t="e">
        <f>(IF('El og plugin hybrid'!Q$24="nej",-IF(100-(100+'El og plugin hybrid'!Q$91)*$B88/'El og plugin hybrid'!Q$60&lt;0,0,100-(100+'El og plugin hybrid'!Q$91)*$B88/'El og plugin hybrid'!Q$60)/100*'El og plugin hybrid'!Q$12,0)+'El og plugin hybrid'!Q$92)*'El og plugin hybrid'!Q$53*(1+'El og plugin hybrid'!#REF!/100)^-$B88</f>
        <v>#REF!</v>
      </c>
      <c r="R88" s="273"/>
      <c r="S88" s="273" t="e">
        <f>(IF('El og plugin hybrid'!S$24="nej",-IF(100-(100+'El og plugin hybrid'!S$91)*$B88/'El og plugin hybrid'!S$60&lt;0,0,100-(100+'El og plugin hybrid'!S$91)*$B88/'El og plugin hybrid'!S$60)/100*'El og plugin hybrid'!S$12,0)+'El og plugin hybrid'!S$92)*'El og plugin hybrid'!S$53*(1+'El og plugin hybrid'!#REF!/100)^-$B88</f>
        <v>#REF!</v>
      </c>
      <c r="U88" s="273" t="e">
        <f>(IF('El og plugin hybrid'!Y$24="nej",-IF(100-(100+'El og plugin hybrid'!Y$91)*$B88/'El og plugin hybrid'!Y$60&lt;0,0,100-(100+'El og plugin hybrid'!Y$91)*$B88/'El og plugin hybrid'!Y$60)/100*'El og plugin hybrid'!Y$12,0)+'El og plugin hybrid'!Y$92)*'El og plugin hybrid'!Y$53*(1+'El og plugin hybrid'!#REF!/100)^-$B88</f>
        <v>#REF!</v>
      </c>
      <c r="W88" s="273" t="e">
        <f>(IF('El og plugin hybrid'!AA$24="nej",-IF(100-(100+'El og plugin hybrid'!AA$91)*$B88/'El og plugin hybrid'!AA$60&lt;0,0,100-(100+'El og plugin hybrid'!AA$91)*$B88/'El og plugin hybrid'!AA$60)/100*'El og plugin hybrid'!AA$12,0)+'El og plugin hybrid'!AA$92)*'El og plugin hybrid'!AA$53*(1+'El og plugin hybrid'!#REF!/100)^-$B88</f>
        <v>#REF!</v>
      </c>
    </row>
    <row r="89" spans="1:23" hidden="1" outlineLevel="1">
      <c r="A89" s="249"/>
      <c r="B89" s="272">
        <v>17</v>
      </c>
      <c r="C89" s="272">
        <f t="shared" si="4"/>
        <v>17</v>
      </c>
      <c r="D89" s="249"/>
      <c r="E89" s="273" t="e">
        <f>(IF('El og plugin hybrid'!E$24="nej",-IF(100-(100+'El og plugin hybrid'!E$91)*$B89/'El og plugin hybrid'!E$60&lt;0,0,100-(100+'El og plugin hybrid'!E$91)*$B89/'El og plugin hybrid'!E$60)/100*'El og plugin hybrid'!E$12,0)+'El og plugin hybrid'!E$92)*'El og plugin hybrid'!E$53*(1+'El og plugin hybrid'!#REF!/100)^-$B89</f>
        <v>#REF!</v>
      </c>
      <c r="F89" s="273"/>
      <c r="G89" s="273" t="e">
        <f>(IF('El og plugin hybrid'!G$24="nej",-IF(100-(100+'El og plugin hybrid'!G$91)*$B89/'El og plugin hybrid'!G$60&lt;0,0,100-(100+'El og plugin hybrid'!G$91)*$B89/'El og plugin hybrid'!G$60)/100*'El og plugin hybrid'!G$12,0)+'El og plugin hybrid'!G$92)*'El og plugin hybrid'!G$53*(1+'El og plugin hybrid'!#REF!/100)^-$B89</f>
        <v>#REF!</v>
      </c>
      <c r="H89" s="273"/>
      <c r="I89" s="273" t="e">
        <f>(IF('El og plugin hybrid'!I$24="nej",-IF(100-(100+'El og plugin hybrid'!I$91)*$B89/'El og plugin hybrid'!I$60&lt;0,0,100-(100+'El og plugin hybrid'!I$91)*$B89/'El og plugin hybrid'!I$60)/100*'El og plugin hybrid'!I$12,0)+'El og plugin hybrid'!I$92)*'El og plugin hybrid'!I$53*(1+'El og plugin hybrid'!#REF!/100)^-$B89</f>
        <v>#REF!</v>
      </c>
      <c r="J89" s="273"/>
      <c r="K89" s="273" t="e">
        <f>(IF('El og plugin hybrid'!K$24="nej",-IF(100-(100+'El og plugin hybrid'!K$91)*$B89/'El og plugin hybrid'!K$60&lt;0,0,100-(100+'El og plugin hybrid'!K$91)*$B89/'El og plugin hybrid'!K$60)/100*'El og plugin hybrid'!K$12,0)+'El og plugin hybrid'!K$92)*'El og plugin hybrid'!K$53*(1+'El og plugin hybrid'!#REF!/100)^-$B89</f>
        <v>#REF!</v>
      </c>
      <c r="L89" s="273"/>
      <c r="M89" s="273" t="e">
        <f>(IF('El og plugin hybrid'!M$24="nej",-IF(100-(100+'El og plugin hybrid'!M$91)*$B89/'El og plugin hybrid'!M$60&lt;0,0,100-(100+'El og plugin hybrid'!M$91)*$B89/'El og plugin hybrid'!M$60)/100*'El og plugin hybrid'!M$12,0)+'El og plugin hybrid'!M$92)*'El og plugin hybrid'!M$53*(1+'El og plugin hybrid'!#REF!/100)^-$B89</f>
        <v>#REF!</v>
      </c>
      <c r="N89" s="273"/>
      <c r="O89" s="273" t="e">
        <f>(IF('El og plugin hybrid'!O$24="nej",-IF(100-(100+'El og plugin hybrid'!O$91)*$B89/'El og plugin hybrid'!O$60&lt;0,0,100-(100+'El og plugin hybrid'!O$91)*$B89/'El og plugin hybrid'!O$60)/100*'El og plugin hybrid'!O$12,0)+'El og plugin hybrid'!O$92)*'El og plugin hybrid'!O$53*(1+'El og plugin hybrid'!#REF!/100)^-$B89</f>
        <v>#REF!</v>
      </c>
      <c r="P89" s="273"/>
      <c r="Q89" s="273" t="e">
        <f>(IF('El og plugin hybrid'!Q$24="nej",-IF(100-(100+'El og plugin hybrid'!Q$91)*$B89/'El og plugin hybrid'!Q$60&lt;0,0,100-(100+'El og plugin hybrid'!Q$91)*$B89/'El og plugin hybrid'!Q$60)/100*'El og plugin hybrid'!Q$12,0)+'El og plugin hybrid'!Q$92)*'El og plugin hybrid'!Q$53*(1+'El og plugin hybrid'!#REF!/100)^-$B89</f>
        <v>#REF!</v>
      </c>
      <c r="R89" s="273"/>
      <c r="S89" s="273" t="e">
        <f>(IF('El og plugin hybrid'!S$24="nej",-IF(100-(100+'El og plugin hybrid'!S$91)*$B89/'El og plugin hybrid'!S$60&lt;0,0,100-(100+'El og plugin hybrid'!S$91)*$B89/'El og plugin hybrid'!S$60)/100*'El og plugin hybrid'!S$12,0)+'El og plugin hybrid'!S$92)*'El og plugin hybrid'!S$53*(1+'El og plugin hybrid'!#REF!/100)^-$B89</f>
        <v>#REF!</v>
      </c>
      <c r="U89" s="273" t="e">
        <f>(IF('El og plugin hybrid'!Y$24="nej",-IF(100-(100+'El og plugin hybrid'!Y$91)*$B89/'El og plugin hybrid'!Y$60&lt;0,0,100-(100+'El og plugin hybrid'!Y$91)*$B89/'El og plugin hybrid'!Y$60)/100*'El og plugin hybrid'!Y$12,0)+'El og plugin hybrid'!Y$92)*'El og plugin hybrid'!Y$53*(1+'El og plugin hybrid'!#REF!/100)^-$B89</f>
        <v>#REF!</v>
      </c>
      <c r="W89" s="273" t="e">
        <f>(IF('El og plugin hybrid'!AA$24="nej",-IF(100-(100+'El og plugin hybrid'!AA$91)*$B89/'El og plugin hybrid'!AA$60&lt;0,0,100-(100+'El og plugin hybrid'!AA$91)*$B89/'El og plugin hybrid'!AA$60)/100*'El og plugin hybrid'!AA$12,0)+'El og plugin hybrid'!AA$92)*'El og plugin hybrid'!AA$53*(1+'El og plugin hybrid'!#REF!/100)^-$B89</f>
        <v>#REF!</v>
      </c>
    </row>
    <row r="90" spans="1:23" hidden="1" outlineLevel="1">
      <c r="A90" s="249"/>
      <c r="B90" s="272">
        <v>18</v>
      </c>
      <c r="C90" s="272">
        <f t="shared" si="4"/>
        <v>18</v>
      </c>
      <c r="D90" s="249"/>
      <c r="E90" s="273" t="e">
        <f>(IF('El og plugin hybrid'!E$24="nej",-IF(100-(100+'El og plugin hybrid'!E$91)*$B90/'El og plugin hybrid'!E$60&lt;0,0,100-(100+'El og plugin hybrid'!E$91)*$B90/'El og plugin hybrid'!E$60)/100*'El og plugin hybrid'!E$12,0)+'El og plugin hybrid'!E$92)*'El og plugin hybrid'!E$53*(1+'El og plugin hybrid'!#REF!/100)^-$B90</f>
        <v>#REF!</v>
      </c>
      <c r="F90" s="273"/>
      <c r="G90" s="273" t="e">
        <f>(IF('El og plugin hybrid'!G$24="nej",-IF(100-(100+'El og plugin hybrid'!G$91)*$B90/'El og plugin hybrid'!G$60&lt;0,0,100-(100+'El og plugin hybrid'!G$91)*$B90/'El og plugin hybrid'!G$60)/100*'El og plugin hybrid'!G$12,0)+'El og plugin hybrid'!G$92)*'El og plugin hybrid'!G$53*(1+'El og plugin hybrid'!#REF!/100)^-$B90</f>
        <v>#REF!</v>
      </c>
      <c r="H90" s="273"/>
      <c r="I90" s="273" t="e">
        <f>(IF('El og plugin hybrid'!I$24="nej",-IF(100-(100+'El og plugin hybrid'!I$91)*$B90/'El og plugin hybrid'!I$60&lt;0,0,100-(100+'El og plugin hybrid'!I$91)*$B90/'El og plugin hybrid'!I$60)/100*'El og plugin hybrid'!I$12,0)+'El og plugin hybrid'!I$92)*'El og plugin hybrid'!I$53*(1+'El og plugin hybrid'!#REF!/100)^-$B90</f>
        <v>#REF!</v>
      </c>
      <c r="J90" s="273"/>
      <c r="K90" s="273" t="e">
        <f>(IF('El og plugin hybrid'!K$24="nej",-IF(100-(100+'El og plugin hybrid'!K$91)*$B90/'El og plugin hybrid'!K$60&lt;0,0,100-(100+'El og plugin hybrid'!K$91)*$B90/'El og plugin hybrid'!K$60)/100*'El og plugin hybrid'!K$12,0)+'El og plugin hybrid'!K$92)*'El og plugin hybrid'!K$53*(1+'El og plugin hybrid'!#REF!/100)^-$B90</f>
        <v>#REF!</v>
      </c>
      <c r="L90" s="273"/>
      <c r="M90" s="273" t="e">
        <f>(IF('El og plugin hybrid'!M$24="nej",-IF(100-(100+'El og plugin hybrid'!M$91)*$B90/'El og plugin hybrid'!M$60&lt;0,0,100-(100+'El og plugin hybrid'!M$91)*$B90/'El og plugin hybrid'!M$60)/100*'El og plugin hybrid'!M$12,0)+'El og plugin hybrid'!M$92)*'El og plugin hybrid'!M$53*(1+'El og plugin hybrid'!#REF!/100)^-$B90</f>
        <v>#REF!</v>
      </c>
      <c r="N90" s="273"/>
      <c r="O90" s="273" t="e">
        <f>(IF('El og plugin hybrid'!O$24="nej",-IF(100-(100+'El og plugin hybrid'!O$91)*$B90/'El og plugin hybrid'!O$60&lt;0,0,100-(100+'El og plugin hybrid'!O$91)*$B90/'El og plugin hybrid'!O$60)/100*'El og plugin hybrid'!O$12,0)+'El og plugin hybrid'!O$92)*'El og plugin hybrid'!O$53*(1+'El og plugin hybrid'!#REF!/100)^-$B90</f>
        <v>#REF!</v>
      </c>
      <c r="P90" s="273"/>
      <c r="Q90" s="273" t="e">
        <f>(IF('El og plugin hybrid'!Q$24="nej",-IF(100-(100+'El og plugin hybrid'!Q$91)*$B90/'El og plugin hybrid'!Q$60&lt;0,0,100-(100+'El og plugin hybrid'!Q$91)*$B90/'El og plugin hybrid'!Q$60)/100*'El og plugin hybrid'!Q$12,0)+'El og plugin hybrid'!Q$92)*'El og plugin hybrid'!Q$53*(1+'El og plugin hybrid'!#REF!/100)^-$B90</f>
        <v>#REF!</v>
      </c>
      <c r="R90" s="273"/>
      <c r="S90" s="273" t="e">
        <f>(IF('El og plugin hybrid'!S$24="nej",-IF(100-(100+'El og plugin hybrid'!S$91)*$B90/'El og plugin hybrid'!S$60&lt;0,0,100-(100+'El og plugin hybrid'!S$91)*$B90/'El og plugin hybrid'!S$60)/100*'El og plugin hybrid'!S$12,0)+'El og plugin hybrid'!S$92)*'El og plugin hybrid'!S$53*(1+'El og plugin hybrid'!#REF!/100)^-$B90</f>
        <v>#REF!</v>
      </c>
      <c r="U90" s="273" t="e">
        <f>(IF('El og plugin hybrid'!Y$24="nej",-IF(100-(100+'El og plugin hybrid'!Y$91)*$B90/'El og plugin hybrid'!Y$60&lt;0,0,100-(100+'El og plugin hybrid'!Y$91)*$B90/'El og plugin hybrid'!Y$60)/100*'El og plugin hybrid'!Y$12,0)+'El og plugin hybrid'!Y$92)*'El og plugin hybrid'!Y$53*(1+'El og plugin hybrid'!#REF!/100)^-$B90</f>
        <v>#REF!</v>
      </c>
      <c r="W90" s="273" t="e">
        <f>(IF('El og plugin hybrid'!AA$24="nej",-IF(100-(100+'El og plugin hybrid'!AA$91)*$B90/'El og plugin hybrid'!AA$60&lt;0,0,100-(100+'El og plugin hybrid'!AA$91)*$B90/'El og plugin hybrid'!AA$60)/100*'El og plugin hybrid'!AA$12,0)+'El og plugin hybrid'!AA$92)*'El og plugin hybrid'!AA$53*(1+'El og plugin hybrid'!#REF!/100)^-$B90</f>
        <v>#REF!</v>
      </c>
    </row>
    <row r="91" spans="1:23" hidden="1" outlineLevel="1">
      <c r="A91" s="249"/>
      <c r="B91" s="272">
        <v>19</v>
      </c>
      <c r="C91" s="272">
        <f t="shared" si="4"/>
        <v>19</v>
      </c>
      <c r="D91" s="249"/>
      <c r="E91" s="273" t="e">
        <f>(IF('El og plugin hybrid'!E$24="nej",-IF(100-(100+'El og plugin hybrid'!E$91)*$B91/'El og plugin hybrid'!E$60&lt;0,0,100-(100+'El og plugin hybrid'!E$91)*$B91/'El og plugin hybrid'!E$60)/100*'El og plugin hybrid'!E$12,0)+'El og plugin hybrid'!E$92)*'El og plugin hybrid'!E$53*(1+'El og plugin hybrid'!#REF!/100)^-$B91</f>
        <v>#REF!</v>
      </c>
      <c r="F91" s="273"/>
      <c r="G91" s="273" t="e">
        <f>(IF('El og plugin hybrid'!G$24="nej",-IF(100-(100+'El og plugin hybrid'!G$91)*$B91/'El og plugin hybrid'!G$60&lt;0,0,100-(100+'El og plugin hybrid'!G$91)*$B91/'El og plugin hybrid'!G$60)/100*'El og plugin hybrid'!G$12,0)+'El og plugin hybrid'!G$92)*'El og plugin hybrid'!G$53*(1+'El og plugin hybrid'!#REF!/100)^-$B91</f>
        <v>#REF!</v>
      </c>
      <c r="H91" s="273"/>
      <c r="I91" s="273" t="e">
        <f>(IF('El og plugin hybrid'!I$24="nej",-IF(100-(100+'El og plugin hybrid'!I$91)*$B91/'El og plugin hybrid'!I$60&lt;0,0,100-(100+'El og plugin hybrid'!I$91)*$B91/'El og plugin hybrid'!I$60)/100*'El og plugin hybrid'!I$12,0)+'El og plugin hybrid'!I$92)*'El og plugin hybrid'!I$53*(1+'El og plugin hybrid'!#REF!/100)^-$B91</f>
        <v>#REF!</v>
      </c>
      <c r="J91" s="273"/>
      <c r="K91" s="273" t="e">
        <f>(IF('El og plugin hybrid'!K$24="nej",-IF(100-(100+'El og plugin hybrid'!K$91)*$B91/'El og plugin hybrid'!K$60&lt;0,0,100-(100+'El og plugin hybrid'!K$91)*$B91/'El og plugin hybrid'!K$60)/100*'El og plugin hybrid'!K$12,0)+'El og plugin hybrid'!K$92)*'El og plugin hybrid'!K$53*(1+'El og plugin hybrid'!#REF!/100)^-$B91</f>
        <v>#REF!</v>
      </c>
      <c r="L91" s="273"/>
      <c r="M91" s="273" t="e">
        <f>(IF('El og plugin hybrid'!M$24="nej",-IF(100-(100+'El og plugin hybrid'!M$91)*$B91/'El og plugin hybrid'!M$60&lt;0,0,100-(100+'El og plugin hybrid'!M$91)*$B91/'El og plugin hybrid'!M$60)/100*'El og plugin hybrid'!M$12,0)+'El og plugin hybrid'!M$92)*'El og plugin hybrid'!M$53*(1+'El og plugin hybrid'!#REF!/100)^-$B91</f>
        <v>#REF!</v>
      </c>
      <c r="N91" s="273"/>
      <c r="O91" s="273" t="e">
        <f>(IF('El og plugin hybrid'!O$24="nej",-IF(100-(100+'El og plugin hybrid'!O$91)*$B91/'El og plugin hybrid'!O$60&lt;0,0,100-(100+'El og plugin hybrid'!O$91)*$B91/'El og plugin hybrid'!O$60)/100*'El og plugin hybrid'!O$12,0)+'El og plugin hybrid'!O$92)*'El og plugin hybrid'!O$53*(1+'El og plugin hybrid'!#REF!/100)^-$B91</f>
        <v>#REF!</v>
      </c>
      <c r="P91" s="273"/>
      <c r="Q91" s="273" t="e">
        <f>(IF('El og plugin hybrid'!Q$24="nej",-IF(100-(100+'El og plugin hybrid'!Q$91)*$B91/'El og plugin hybrid'!Q$60&lt;0,0,100-(100+'El og plugin hybrid'!Q$91)*$B91/'El og plugin hybrid'!Q$60)/100*'El og plugin hybrid'!Q$12,0)+'El og plugin hybrid'!Q$92)*'El og plugin hybrid'!Q$53*(1+'El og plugin hybrid'!#REF!/100)^-$B91</f>
        <v>#REF!</v>
      </c>
      <c r="R91" s="273"/>
      <c r="S91" s="273" t="e">
        <f>(IF('El og plugin hybrid'!S$24="nej",-IF(100-(100+'El og plugin hybrid'!S$91)*$B91/'El og plugin hybrid'!S$60&lt;0,0,100-(100+'El og plugin hybrid'!S$91)*$B91/'El og plugin hybrid'!S$60)/100*'El og plugin hybrid'!S$12,0)+'El og plugin hybrid'!S$92)*'El og plugin hybrid'!S$53*(1+'El og plugin hybrid'!#REF!/100)^-$B91</f>
        <v>#REF!</v>
      </c>
      <c r="U91" s="273" t="e">
        <f>(IF('El og plugin hybrid'!Y$24="nej",-IF(100-(100+'El og plugin hybrid'!Y$91)*$B91/'El og plugin hybrid'!Y$60&lt;0,0,100-(100+'El og plugin hybrid'!Y$91)*$B91/'El og plugin hybrid'!Y$60)/100*'El og plugin hybrid'!Y$12,0)+'El og plugin hybrid'!Y$92)*'El og plugin hybrid'!Y$53*(1+'El og plugin hybrid'!#REF!/100)^-$B91</f>
        <v>#REF!</v>
      </c>
      <c r="W91" s="273" t="e">
        <f>(IF('El og plugin hybrid'!AA$24="nej",-IF(100-(100+'El og plugin hybrid'!AA$91)*$B91/'El og plugin hybrid'!AA$60&lt;0,0,100-(100+'El og plugin hybrid'!AA$91)*$B91/'El og plugin hybrid'!AA$60)/100*'El og plugin hybrid'!AA$12,0)+'El og plugin hybrid'!AA$92)*'El og plugin hybrid'!AA$53*(1+'El og plugin hybrid'!#REF!/100)^-$B91</f>
        <v>#REF!</v>
      </c>
    </row>
    <row r="92" spans="1:23" hidden="1" outlineLevel="1">
      <c r="A92" s="249"/>
      <c r="B92" s="272">
        <v>20</v>
      </c>
      <c r="C92" s="272">
        <f t="shared" si="4"/>
        <v>20</v>
      </c>
      <c r="D92" s="249"/>
      <c r="E92" s="273" t="e">
        <f>(IF('El og plugin hybrid'!E$24="nej",-IF(100-(100+'El og plugin hybrid'!E$91)*$B92/'El og plugin hybrid'!E$60&lt;0,0,100-(100+'El og plugin hybrid'!E$91)*$B92/'El og plugin hybrid'!E$60)/100*'El og plugin hybrid'!E$12,0)+'El og plugin hybrid'!E$92)*'El og plugin hybrid'!E$53*(1+'El og plugin hybrid'!#REF!/100)^-$B92</f>
        <v>#REF!</v>
      </c>
      <c r="F92" s="273"/>
      <c r="G92" s="273" t="e">
        <f>(IF('El og plugin hybrid'!G$24="nej",-IF(100-(100+'El og plugin hybrid'!G$91)*$B92/'El og plugin hybrid'!G$60&lt;0,0,100-(100+'El og plugin hybrid'!G$91)*$B92/'El og plugin hybrid'!G$60)/100*'El og plugin hybrid'!G$12,0)+'El og plugin hybrid'!G$92)*'El og plugin hybrid'!G$53*(1+'El og plugin hybrid'!#REF!/100)^-$B92</f>
        <v>#REF!</v>
      </c>
      <c r="H92" s="273"/>
      <c r="I92" s="273" t="e">
        <f>(IF('El og plugin hybrid'!I$24="nej",-IF(100-(100+'El og plugin hybrid'!I$91)*$B92/'El og plugin hybrid'!I$60&lt;0,0,100-(100+'El og plugin hybrid'!I$91)*$B92/'El og plugin hybrid'!I$60)/100*'El og plugin hybrid'!I$12,0)+'El og plugin hybrid'!I$92)*'El og plugin hybrid'!I$53*(1+'El og plugin hybrid'!#REF!/100)^-$B92</f>
        <v>#REF!</v>
      </c>
      <c r="J92" s="273"/>
      <c r="K92" s="273" t="e">
        <f>(IF('El og plugin hybrid'!K$24="nej",-IF(100-(100+'El og plugin hybrid'!K$91)*$B92/'El og plugin hybrid'!K$60&lt;0,0,100-(100+'El og plugin hybrid'!K$91)*$B92/'El og plugin hybrid'!K$60)/100*'El og plugin hybrid'!K$12,0)+'El og plugin hybrid'!K$92)*'El og plugin hybrid'!K$53*(1+'El og plugin hybrid'!#REF!/100)^-$B92</f>
        <v>#REF!</v>
      </c>
      <c r="L92" s="273"/>
      <c r="M92" s="273" t="e">
        <f>(IF('El og plugin hybrid'!M$24="nej",-IF(100-(100+'El og plugin hybrid'!M$91)*$B92/'El og plugin hybrid'!M$60&lt;0,0,100-(100+'El og plugin hybrid'!M$91)*$B92/'El og plugin hybrid'!M$60)/100*'El og plugin hybrid'!M$12,0)+'El og plugin hybrid'!M$92)*'El og plugin hybrid'!M$53*(1+'El og plugin hybrid'!#REF!/100)^-$B92</f>
        <v>#REF!</v>
      </c>
      <c r="N92" s="273"/>
      <c r="O92" s="273" t="e">
        <f>(IF('El og plugin hybrid'!O$24="nej",-IF(100-(100+'El og plugin hybrid'!O$91)*$B92/'El og plugin hybrid'!O$60&lt;0,0,100-(100+'El og plugin hybrid'!O$91)*$B92/'El og plugin hybrid'!O$60)/100*'El og plugin hybrid'!O$12,0)+'El og plugin hybrid'!O$92)*'El og plugin hybrid'!O$53*(1+'El og plugin hybrid'!#REF!/100)^-$B92</f>
        <v>#REF!</v>
      </c>
      <c r="P92" s="273"/>
      <c r="Q92" s="273" t="e">
        <f>(IF('El og plugin hybrid'!Q$24="nej",-IF(100-(100+'El og plugin hybrid'!Q$91)*$B92/'El og plugin hybrid'!Q$60&lt;0,0,100-(100+'El og plugin hybrid'!Q$91)*$B92/'El og plugin hybrid'!Q$60)/100*'El og plugin hybrid'!Q$12,0)+'El og plugin hybrid'!Q$92)*'El og plugin hybrid'!Q$53*(1+'El og plugin hybrid'!#REF!/100)^-$B92</f>
        <v>#REF!</v>
      </c>
      <c r="R92" s="273"/>
      <c r="S92" s="273" t="e">
        <f>(IF('El og plugin hybrid'!S$24="nej",-IF(100-(100+'El og plugin hybrid'!S$91)*$B92/'El og plugin hybrid'!S$60&lt;0,0,100-(100+'El og plugin hybrid'!S$91)*$B92/'El og plugin hybrid'!S$60)/100*'El og plugin hybrid'!S$12,0)+'El og plugin hybrid'!S$92)*'El og plugin hybrid'!S$53*(1+'El og plugin hybrid'!#REF!/100)^-$B92</f>
        <v>#REF!</v>
      </c>
      <c r="U92" s="273" t="e">
        <f>(IF('El og plugin hybrid'!Y$24="nej",-IF(100-(100+'El og plugin hybrid'!Y$91)*$B92/'El og plugin hybrid'!Y$60&lt;0,0,100-(100+'El og plugin hybrid'!Y$91)*$B92/'El og plugin hybrid'!Y$60)/100*'El og plugin hybrid'!Y$12,0)+'El og plugin hybrid'!Y$92)*'El og plugin hybrid'!Y$53*(1+'El og plugin hybrid'!#REF!/100)^-$B92</f>
        <v>#REF!</v>
      </c>
      <c r="W92" s="273" t="e">
        <f>(IF('El og plugin hybrid'!AA$24="nej",-IF(100-(100+'El og plugin hybrid'!AA$91)*$B92/'El og plugin hybrid'!AA$60&lt;0,0,100-(100+'El og plugin hybrid'!AA$91)*$B92/'El og plugin hybrid'!AA$60)/100*'El og plugin hybrid'!AA$12,0)+'El og plugin hybrid'!AA$92)*'El og plugin hybrid'!AA$53*(1+'El og plugin hybrid'!#REF!/100)^-$B92</f>
        <v>#REF!</v>
      </c>
    </row>
    <row r="93" spans="1:23" hidden="1" outlineLevel="1">
      <c r="A93" s="249"/>
      <c r="B93" s="272"/>
      <c r="C93" s="272"/>
      <c r="D93" s="249"/>
      <c r="E93" s="249"/>
      <c r="F93" s="249"/>
      <c r="G93" s="249"/>
      <c r="H93" s="249"/>
      <c r="I93" s="249"/>
      <c r="J93" s="249"/>
      <c r="K93" s="249"/>
      <c r="L93" s="249"/>
      <c r="M93" s="249"/>
      <c r="N93" s="249"/>
      <c r="O93" s="249"/>
      <c r="P93" s="249"/>
      <c r="Q93" s="249"/>
      <c r="R93" s="249"/>
      <c r="S93" s="249"/>
      <c r="U93" s="249"/>
      <c r="W93" s="249"/>
    </row>
    <row r="94" spans="1:23" collapsed="1">
      <c r="A94" s="137" t="s">
        <v>34</v>
      </c>
      <c r="B94" s="1"/>
      <c r="C94" s="1"/>
      <c r="D94" s="1"/>
      <c r="E94" s="1"/>
      <c r="F94" s="1"/>
      <c r="G94" s="1"/>
      <c r="H94" s="1"/>
      <c r="I94" s="1"/>
      <c r="J94" s="1"/>
      <c r="K94" s="1"/>
      <c r="L94" s="1"/>
      <c r="M94" s="1"/>
      <c r="N94" s="1"/>
      <c r="O94" s="1"/>
      <c r="P94" s="1"/>
      <c r="Q94" s="1"/>
      <c r="R94" s="1"/>
      <c r="S94" s="1"/>
      <c r="U94" s="1"/>
      <c r="W94" s="1"/>
    </row>
    <row r="95" spans="1:23">
      <c r="A95" s="1"/>
      <c r="B95" s="506" t="s">
        <v>20</v>
      </c>
      <c r="C95" s="1"/>
      <c r="D95" s="1" t="s">
        <v>21</v>
      </c>
      <c r="E95" s="504" t="str">
        <f>E25</f>
        <v>PRODUKT 1 EL</v>
      </c>
      <c r="G95" s="504" t="str">
        <f>G25</f>
        <v>PRODUKT 2 EL</v>
      </c>
      <c r="I95" s="504" t="str">
        <f>I25</f>
        <v>PRODUKT 3 EL</v>
      </c>
      <c r="K95" s="504" t="str">
        <f>K25</f>
        <v>PRODUKT 4 EL</v>
      </c>
      <c r="M95" s="504" t="str">
        <f>M25</f>
        <v>PRODUKT 5 EL</v>
      </c>
      <c r="O95" s="504" t="str">
        <f>O25</f>
        <v>PRODUKT 6 EL</v>
      </c>
      <c r="Q95" s="504" t="str">
        <f>Q25</f>
        <v>PRODUKT 7 EL</v>
      </c>
      <c r="S95" s="504" t="str">
        <f>S25</f>
        <v>PRODUKT 8 EL</v>
      </c>
      <c r="U95" s="504" t="str">
        <f>U25</f>
        <v>PRODUKT 9 EL</v>
      </c>
      <c r="W95" s="504" t="str">
        <f>W25</f>
        <v>PRODUKT 10 EL</v>
      </c>
    </row>
    <row r="96" spans="1:23">
      <c r="A96" s="1"/>
      <c r="B96" s="140">
        <v>1</v>
      </c>
      <c r="C96" s="140">
        <f>B96</f>
        <v>1</v>
      </c>
      <c r="D96" s="140"/>
      <c r="E96" s="507">
        <f>PMT('El og plugin hybrid'!E$61,$B96,IF($B96='El og plugin hybrid'!E$60,-E$26,-(E$26+'El og plugin hybrid'!E$102)))</f>
        <v>0</v>
      </c>
      <c r="F96" s="507"/>
      <c r="G96" s="507">
        <f>PMT('El og plugin hybrid'!G$61,$B96,IF($B96='El og plugin hybrid'!G$60,-G$26,-(G$26+'El og plugin hybrid'!G$102)))</f>
        <v>0</v>
      </c>
      <c r="H96" s="507"/>
      <c r="I96" s="507">
        <f>PMT('El og plugin hybrid'!I$61,$B96,IF($B96='El og plugin hybrid'!I$60,-I$26,-(I$26+'El og plugin hybrid'!I$102)))</f>
        <v>0</v>
      </c>
      <c r="J96" s="507"/>
      <c r="K96" s="507">
        <f>PMT('El og plugin hybrid'!K$61,$B96,IF($B96='El og plugin hybrid'!K$60,-K$26,-(K$26+'El og plugin hybrid'!K$102)))</f>
        <v>0</v>
      </c>
      <c r="L96" s="507"/>
      <c r="M96" s="507">
        <f>PMT('El og plugin hybrid'!M$61,$B96,IF($B96='El og plugin hybrid'!M$60,-M$26,-(M$26+'El og plugin hybrid'!M$102)))</f>
        <v>0</v>
      </c>
      <c r="N96" s="507"/>
      <c r="O96" s="507">
        <f>PMT('El og plugin hybrid'!O$61,$B96,IF($B96='El og plugin hybrid'!O$60,-O$26,-(O$26+'El og plugin hybrid'!O$102)))</f>
        <v>0</v>
      </c>
      <c r="P96" s="507"/>
      <c r="Q96" s="507">
        <f>PMT('El og plugin hybrid'!Q$61,$B96,IF($B96='El og plugin hybrid'!Q$60,-Q$26,-(Q$26+'El og plugin hybrid'!Q$102)))</f>
        <v>0</v>
      </c>
      <c r="R96" s="507"/>
      <c r="S96" s="507">
        <f>PMT('El og plugin hybrid'!S$61,$B96,IF($B96='El og plugin hybrid'!S$60,-S$26,-(S$26+'El og plugin hybrid'!S$102)))</f>
        <v>0</v>
      </c>
      <c r="U96" s="507">
        <f>PMT('El og plugin hybrid'!U$61,$B96,IF($B96='El og plugin hybrid'!U$60,-U$26,-(U$26+'El og plugin hybrid'!U$102)))</f>
        <v>0</v>
      </c>
      <c r="W96" s="507">
        <f>PMT('El og plugin hybrid'!W$61,$B96,IF($B96='El og plugin hybrid'!W$60,-W$26,-(W$26+'El og plugin hybrid'!W$102)))</f>
        <v>0</v>
      </c>
    </row>
    <row r="97" spans="1:23">
      <c r="A97" s="1"/>
      <c r="B97" s="140">
        <v>2</v>
      </c>
      <c r="C97" s="140">
        <f t="shared" ref="C97:C115" si="5">B97</f>
        <v>2</v>
      </c>
      <c r="D97" s="140"/>
      <c r="E97" s="507">
        <f>PMT('El og plugin hybrid'!E$61,$B97,IF($B97='El og plugin hybrid'!E$60,-E$26,-(E$26+'El og plugin hybrid'!E$102)))</f>
        <v>0</v>
      </c>
      <c r="F97" s="507"/>
      <c r="G97" s="507">
        <f>PMT('El og plugin hybrid'!G$61,$B97,IF($B97='El og plugin hybrid'!G$60,-G$26,-(G$26+'El og plugin hybrid'!G$102)))</f>
        <v>0</v>
      </c>
      <c r="H97" s="507"/>
      <c r="I97" s="507">
        <f>PMT('El og plugin hybrid'!I$61,$B97,IF($B97='El og plugin hybrid'!I$60,-I$26,-(I$26+'El og plugin hybrid'!I$102)))</f>
        <v>0</v>
      </c>
      <c r="J97" s="507"/>
      <c r="K97" s="507">
        <f>PMT('El og plugin hybrid'!K$61,$B97,IF($B97='El og plugin hybrid'!K$60,-K$26,-(K$26+'El og plugin hybrid'!K$102)))</f>
        <v>0</v>
      </c>
      <c r="L97" s="507"/>
      <c r="M97" s="507">
        <f>PMT('El og plugin hybrid'!M$61,$B97,IF($B97='El og plugin hybrid'!M$60,-M$26,-(M$26+'El og plugin hybrid'!M$102)))</f>
        <v>0</v>
      </c>
      <c r="N97" s="507"/>
      <c r="O97" s="507">
        <f>PMT('El og plugin hybrid'!O$61,$B97,IF($B97='El og plugin hybrid'!O$60,-O$26,-(O$26+'El og plugin hybrid'!O$102)))</f>
        <v>0</v>
      </c>
      <c r="P97" s="507"/>
      <c r="Q97" s="507">
        <f>PMT('El og plugin hybrid'!Q$61,$B97,IF($B97='El og plugin hybrid'!Q$60,-Q$26,-(Q$26+'El og plugin hybrid'!Q$102)))</f>
        <v>0</v>
      </c>
      <c r="R97" s="507"/>
      <c r="S97" s="507">
        <f>PMT('El og plugin hybrid'!S$61,$B97,IF($B97='El og plugin hybrid'!S$60,-S$26,-(S$26+'El og plugin hybrid'!S$102)))</f>
        <v>0</v>
      </c>
      <c r="U97" s="507">
        <f>PMT('El og plugin hybrid'!U$61,$B97,IF($B97='El og plugin hybrid'!U$60,-U$26,-(U$26+'El og plugin hybrid'!U$102)))</f>
        <v>0</v>
      </c>
      <c r="W97" s="507">
        <f>PMT('El og plugin hybrid'!W$61,$B97,IF($B97='El og plugin hybrid'!W$60,-W$26,-(W$26+'El og plugin hybrid'!W$102)))</f>
        <v>0</v>
      </c>
    </row>
    <row r="98" spans="1:23">
      <c r="A98" s="1"/>
      <c r="B98" s="140">
        <v>3</v>
      </c>
      <c r="C98" s="140">
        <f t="shared" si="5"/>
        <v>3</v>
      </c>
      <c r="D98" s="140"/>
      <c r="E98" s="507">
        <f>PMT('El og plugin hybrid'!E$61,$B98,IF($B98='El og plugin hybrid'!E$60,-E$26,-(E$26+'El og plugin hybrid'!E$102)))</f>
        <v>0</v>
      </c>
      <c r="F98" s="507"/>
      <c r="G98" s="507">
        <f>PMT('El og plugin hybrid'!G$61,$B98,IF($B98='El og plugin hybrid'!G$60,-G$26,-(G$26+'El og plugin hybrid'!G$102)))</f>
        <v>0</v>
      </c>
      <c r="H98" s="507"/>
      <c r="I98" s="507">
        <f>PMT('El og plugin hybrid'!I$61,$B98,IF($B98='El og plugin hybrid'!I$60,-I$26,-(I$26+'El og plugin hybrid'!I$102)))</f>
        <v>0</v>
      </c>
      <c r="J98" s="507"/>
      <c r="K98" s="507">
        <f>PMT('El og plugin hybrid'!K$61,$B98,IF($B98='El og plugin hybrid'!K$60,-K$26,-(K$26+'El og plugin hybrid'!K$102)))</f>
        <v>0</v>
      </c>
      <c r="L98" s="507"/>
      <c r="M98" s="507">
        <f>PMT('El og plugin hybrid'!M$61,$B98,IF($B98='El og plugin hybrid'!M$60,-M$26,-(M$26+'El og plugin hybrid'!M$102)))</f>
        <v>0</v>
      </c>
      <c r="N98" s="507"/>
      <c r="O98" s="507">
        <f>PMT('El og plugin hybrid'!O$61,$B98,IF($B98='El og plugin hybrid'!O$60,-O$26,-(O$26+'El og plugin hybrid'!O$102)))</f>
        <v>0</v>
      </c>
      <c r="P98" s="507"/>
      <c r="Q98" s="507">
        <f>PMT('El og plugin hybrid'!Q$61,$B98,IF($B98='El og plugin hybrid'!Q$60,-Q$26,-(Q$26+'El og plugin hybrid'!Q$102)))</f>
        <v>0</v>
      </c>
      <c r="R98" s="507"/>
      <c r="S98" s="507">
        <f>PMT('El og plugin hybrid'!S$61,$B98,IF($B98='El og plugin hybrid'!S$60,-S$26,-(S$26+'El og plugin hybrid'!S$102)))</f>
        <v>0</v>
      </c>
      <c r="U98" s="507">
        <f>PMT('El og plugin hybrid'!U$61,$B98,IF($B98='El og plugin hybrid'!U$60,-U$26,-(U$26+'El og plugin hybrid'!U$102)))</f>
        <v>0</v>
      </c>
      <c r="W98" s="507">
        <f>PMT('El og plugin hybrid'!W$61,$B98,IF($B98='El og plugin hybrid'!W$60,-W$26,-(W$26+'El og plugin hybrid'!W$102)))</f>
        <v>0</v>
      </c>
    </row>
    <row r="99" spans="1:23">
      <c r="A99" s="1"/>
      <c r="B99" s="140">
        <v>4</v>
      </c>
      <c r="C99" s="140">
        <f t="shared" si="5"/>
        <v>4</v>
      </c>
      <c r="D99" s="140"/>
      <c r="E99" s="507">
        <f>PMT('El og plugin hybrid'!E$61,$B99,IF($B99='El og plugin hybrid'!E$60,-E$26,-(E$26+'El og plugin hybrid'!E$102)))</f>
        <v>0</v>
      </c>
      <c r="F99" s="507"/>
      <c r="G99" s="507">
        <f>PMT('El og plugin hybrid'!G$61,$B99,IF($B99='El og plugin hybrid'!G$60,-G$26,-(G$26+'El og plugin hybrid'!G$102)))</f>
        <v>0</v>
      </c>
      <c r="H99" s="507"/>
      <c r="I99" s="507">
        <f>PMT('El og plugin hybrid'!I$61,$B99,IF($B99='El og plugin hybrid'!I$60,-I$26,-(I$26+'El og plugin hybrid'!I$102)))</f>
        <v>0</v>
      </c>
      <c r="J99" s="507"/>
      <c r="K99" s="507">
        <f>PMT('El og plugin hybrid'!K$61,$B99,IF($B99='El og plugin hybrid'!K$60,-K$26,-(K$26+'El og plugin hybrid'!K$102)))</f>
        <v>0</v>
      </c>
      <c r="L99" s="507"/>
      <c r="M99" s="507">
        <f>PMT('El og plugin hybrid'!M$61,$B99,IF($B99='El og plugin hybrid'!M$60,-M$26,-(M$26+'El og plugin hybrid'!M$102)))</f>
        <v>0</v>
      </c>
      <c r="N99" s="507"/>
      <c r="O99" s="507">
        <f>PMT('El og plugin hybrid'!O$61,$B99,IF($B99='El og plugin hybrid'!O$60,-O$26,-(O$26+'El og plugin hybrid'!O$102)))</f>
        <v>0</v>
      </c>
      <c r="P99" s="507"/>
      <c r="Q99" s="507">
        <f>PMT('El og plugin hybrid'!Q$61,$B99,IF($B99='El og plugin hybrid'!Q$60,-Q$26,-(Q$26+'El og plugin hybrid'!Q$102)))</f>
        <v>0</v>
      </c>
      <c r="R99" s="507"/>
      <c r="S99" s="507">
        <f>PMT('El og plugin hybrid'!S$61,$B99,IF($B99='El og plugin hybrid'!S$60,-S$26,-(S$26+'El og plugin hybrid'!S$102)))</f>
        <v>0</v>
      </c>
      <c r="U99" s="507">
        <f>PMT('El og plugin hybrid'!U$61,$B99,IF($B99='El og plugin hybrid'!U$60,-U$26,-(U$26+'El og plugin hybrid'!U$102)))</f>
        <v>0</v>
      </c>
      <c r="W99" s="507">
        <f>PMT('El og plugin hybrid'!W$61,$B99,IF($B99='El og plugin hybrid'!W$60,-W$26,-(W$26+'El og plugin hybrid'!W$102)))</f>
        <v>0</v>
      </c>
    </row>
    <row r="100" spans="1:23">
      <c r="A100" s="1"/>
      <c r="B100" s="140">
        <v>5</v>
      </c>
      <c r="C100" s="140">
        <f t="shared" si="5"/>
        <v>5</v>
      </c>
      <c r="D100" s="140"/>
      <c r="E100" s="507">
        <f>PMT('El og plugin hybrid'!E$61,$B100,IF($B100='El og plugin hybrid'!E$60,-E$26,-(E$26+'El og plugin hybrid'!E$102)))</f>
        <v>0</v>
      </c>
      <c r="F100" s="507"/>
      <c r="G100" s="507">
        <f>PMT('El og plugin hybrid'!G$61,$B100,IF($B100='El og plugin hybrid'!G$60,-G$26,-(G$26+'El og plugin hybrid'!G$102)))</f>
        <v>0</v>
      </c>
      <c r="H100" s="507"/>
      <c r="I100" s="507">
        <f>PMT('El og plugin hybrid'!I$61,$B100,IF($B100='El og plugin hybrid'!I$60,-I$26,-(I$26+'El og plugin hybrid'!I$102)))</f>
        <v>0</v>
      </c>
      <c r="J100" s="507"/>
      <c r="K100" s="507">
        <f>PMT('El og plugin hybrid'!K$61,$B100,IF($B100='El og plugin hybrid'!K$60,-K$26,-(K$26+'El og plugin hybrid'!K$102)))</f>
        <v>0</v>
      </c>
      <c r="L100" s="507"/>
      <c r="M100" s="507">
        <f>PMT('El og plugin hybrid'!M$61,$B100,IF($B100='El og plugin hybrid'!M$60,-M$26,-(M$26+'El og plugin hybrid'!M$102)))</f>
        <v>0</v>
      </c>
      <c r="N100" s="507"/>
      <c r="O100" s="507">
        <f>PMT('El og plugin hybrid'!O$61,$B100,IF($B100='El og plugin hybrid'!O$60,-O$26,-(O$26+'El og plugin hybrid'!O$102)))</f>
        <v>0</v>
      </c>
      <c r="P100" s="507"/>
      <c r="Q100" s="507">
        <f>PMT('El og plugin hybrid'!Q$61,$B100,IF($B100='El og plugin hybrid'!Q$60,-Q$26,-(Q$26+'El og plugin hybrid'!Q$102)))</f>
        <v>0</v>
      </c>
      <c r="R100" s="507"/>
      <c r="S100" s="507">
        <f>PMT('El og plugin hybrid'!S$61,$B100,IF($B100='El og plugin hybrid'!S$60,-S$26,-(S$26+'El og plugin hybrid'!S$102)))</f>
        <v>0</v>
      </c>
      <c r="U100" s="507">
        <f>PMT('El og plugin hybrid'!U$61,$B100,IF($B100='El og plugin hybrid'!U$60,-U$26,-(U$26+'El og plugin hybrid'!U$102)))</f>
        <v>0</v>
      </c>
      <c r="W100" s="507">
        <f>PMT('El og plugin hybrid'!W$61,$B100,IF($B100='El og plugin hybrid'!W$60,-W$26,-(W$26+'El og plugin hybrid'!W$102)))</f>
        <v>0</v>
      </c>
    </row>
    <row r="101" spans="1:23">
      <c r="A101" s="1"/>
      <c r="B101" s="140">
        <v>6</v>
      </c>
      <c r="C101" s="140">
        <f t="shared" si="5"/>
        <v>6</v>
      </c>
      <c r="D101" s="140"/>
      <c r="E101" s="507">
        <f>PMT('El og plugin hybrid'!E$61,$B101,IF($B101='El og plugin hybrid'!E$60,-E$26,-(E$26+'El og plugin hybrid'!E$102)))</f>
        <v>0</v>
      </c>
      <c r="F101" s="507"/>
      <c r="G101" s="507">
        <f>PMT('El og plugin hybrid'!G$61,$B101,IF($B101='El og plugin hybrid'!G$60,-G$26,-(G$26+'El og plugin hybrid'!G$102)))</f>
        <v>0</v>
      </c>
      <c r="H101" s="507"/>
      <c r="I101" s="507">
        <f>PMT('El og plugin hybrid'!I$61,$B101,IF($B101='El og plugin hybrid'!I$60,-I$26,-(I$26+'El og plugin hybrid'!I$102)))</f>
        <v>0</v>
      </c>
      <c r="J101" s="507"/>
      <c r="K101" s="507">
        <f>PMT('El og plugin hybrid'!K$61,$B101,IF($B101='El og plugin hybrid'!K$60,-K$26,-(K$26+'El og plugin hybrid'!K$102)))</f>
        <v>0</v>
      </c>
      <c r="L101" s="507"/>
      <c r="M101" s="507">
        <f>PMT('El og plugin hybrid'!M$61,$B101,IF($B101='El og plugin hybrid'!M$60,-M$26,-(M$26+'El og plugin hybrid'!M$102)))</f>
        <v>0</v>
      </c>
      <c r="N101" s="507"/>
      <c r="O101" s="507">
        <f>PMT('El og plugin hybrid'!O$61,$B101,IF($B101='El og plugin hybrid'!O$60,-O$26,-(O$26+'El og plugin hybrid'!O$102)))</f>
        <v>0</v>
      </c>
      <c r="P101" s="507"/>
      <c r="Q101" s="507">
        <f>PMT('El og plugin hybrid'!Q$61,$B101,IF($B101='El og plugin hybrid'!Q$60,-Q$26,-(Q$26+'El og plugin hybrid'!Q$102)))</f>
        <v>0</v>
      </c>
      <c r="R101" s="507"/>
      <c r="S101" s="507">
        <f>PMT('El og plugin hybrid'!S$61,$B101,IF($B101='El og plugin hybrid'!S$60,-S$26,-(S$26+'El og plugin hybrid'!S$102)))</f>
        <v>0</v>
      </c>
      <c r="U101" s="507">
        <f>PMT('El og plugin hybrid'!U$61,$B101,IF($B101='El og plugin hybrid'!U$60,-U$26,-(U$26+'El og plugin hybrid'!U$102)))</f>
        <v>0</v>
      </c>
      <c r="W101" s="507">
        <f>PMT('El og plugin hybrid'!W$61,$B101,IF($B101='El og plugin hybrid'!W$60,-W$26,-(W$26+'El og plugin hybrid'!W$102)))</f>
        <v>0</v>
      </c>
    </row>
    <row r="102" spans="1:23">
      <c r="A102" s="1"/>
      <c r="B102" s="140">
        <v>7</v>
      </c>
      <c r="C102" s="140">
        <f t="shared" si="5"/>
        <v>7</v>
      </c>
      <c r="D102" s="140"/>
      <c r="E102" s="507">
        <f>PMT('El og plugin hybrid'!E$61,$B102,IF($B102='El og plugin hybrid'!E$60,-E$26,-(E$26+'El og plugin hybrid'!E$102)))</f>
        <v>0</v>
      </c>
      <c r="F102" s="507"/>
      <c r="G102" s="507">
        <f>PMT('El og plugin hybrid'!G$61,$B102,IF($B102='El og plugin hybrid'!G$60,-G$26,-(G$26+'El og plugin hybrid'!G$102)))</f>
        <v>0</v>
      </c>
      <c r="H102" s="507"/>
      <c r="I102" s="507">
        <f>PMT('El og plugin hybrid'!I$61,$B102,IF($B102='El og plugin hybrid'!I$60,-I$26,-(I$26+'El og plugin hybrid'!I$102)))</f>
        <v>0</v>
      </c>
      <c r="J102" s="507"/>
      <c r="K102" s="507">
        <f>PMT('El og plugin hybrid'!K$61,$B102,IF($B102='El og plugin hybrid'!K$60,-K$26,-(K$26+'El og plugin hybrid'!K$102)))</f>
        <v>0</v>
      </c>
      <c r="L102" s="507"/>
      <c r="M102" s="507">
        <f>PMT('El og plugin hybrid'!M$61,$B102,IF($B102='El og plugin hybrid'!M$60,-M$26,-(M$26+'El og plugin hybrid'!M$102)))</f>
        <v>0</v>
      </c>
      <c r="N102" s="507"/>
      <c r="O102" s="507">
        <f>PMT('El og plugin hybrid'!O$61,$B102,IF($B102='El og plugin hybrid'!O$60,-O$26,-(O$26+'El og plugin hybrid'!O$102)))</f>
        <v>0</v>
      </c>
      <c r="P102" s="507"/>
      <c r="Q102" s="507">
        <f>PMT('El og plugin hybrid'!Q$61,$B102,IF($B102='El og plugin hybrid'!Q$60,-Q$26,-(Q$26+'El og plugin hybrid'!Q$102)))</f>
        <v>0</v>
      </c>
      <c r="R102" s="507"/>
      <c r="S102" s="507">
        <f>PMT('El og plugin hybrid'!S$61,$B102,IF($B102='El og plugin hybrid'!S$60,-S$26,-(S$26+'El og plugin hybrid'!S$102)))</f>
        <v>0</v>
      </c>
      <c r="U102" s="507">
        <f>PMT('El og plugin hybrid'!U$61,$B102,IF($B102='El og plugin hybrid'!U$60,-U$26,-(U$26+'El og plugin hybrid'!U$102)))</f>
        <v>0</v>
      </c>
      <c r="W102" s="507">
        <f>PMT('El og plugin hybrid'!W$61,$B102,IF($B102='El og plugin hybrid'!W$60,-W$26,-(W$26+'El og plugin hybrid'!W$102)))</f>
        <v>0</v>
      </c>
    </row>
    <row r="103" spans="1:23">
      <c r="A103" s="1"/>
      <c r="B103" s="140">
        <v>8</v>
      </c>
      <c r="C103" s="140">
        <f t="shared" si="5"/>
        <v>8</v>
      </c>
      <c r="D103" s="140"/>
      <c r="E103" s="507">
        <f>PMT('El og plugin hybrid'!E$61,$B103,IF($B103='El og plugin hybrid'!E$60,-E$26,-(E$26+'El og plugin hybrid'!E$102)))</f>
        <v>0</v>
      </c>
      <c r="F103" s="507"/>
      <c r="G103" s="507">
        <f>PMT('El og plugin hybrid'!G$61,$B103,IF($B103='El og plugin hybrid'!G$60,-G$26,-(G$26+'El og plugin hybrid'!G$102)))</f>
        <v>0</v>
      </c>
      <c r="H103" s="507"/>
      <c r="I103" s="507">
        <f>PMT('El og plugin hybrid'!I$61,$B103,IF($B103='El og plugin hybrid'!I$60,-I$26,-(I$26+'El og plugin hybrid'!I$102)))</f>
        <v>0</v>
      </c>
      <c r="J103" s="507"/>
      <c r="K103" s="507">
        <f>PMT('El og plugin hybrid'!K$61,$B103,IF($B103='El og plugin hybrid'!K$60,-K$26,-(K$26+'El og plugin hybrid'!K$102)))</f>
        <v>0</v>
      </c>
      <c r="L103" s="507"/>
      <c r="M103" s="507">
        <f>PMT('El og plugin hybrid'!M$61,$B103,IF($B103='El og plugin hybrid'!M$60,-M$26,-(M$26+'El og plugin hybrid'!M$102)))</f>
        <v>0</v>
      </c>
      <c r="N103" s="507"/>
      <c r="O103" s="507">
        <f>PMT('El og plugin hybrid'!O$61,$B103,IF($B103='El og plugin hybrid'!O$60,-O$26,-(O$26+'El og plugin hybrid'!O$102)))</f>
        <v>0</v>
      </c>
      <c r="P103" s="507"/>
      <c r="Q103" s="507">
        <f>PMT('El og plugin hybrid'!Q$61,$B103,IF($B103='El og plugin hybrid'!Q$60,-Q$26,-(Q$26+'El og plugin hybrid'!Q$102)))</f>
        <v>0</v>
      </c>
      <c r="R103" s="507"/>
      <c r="S103" s="507">
        <f>PMT('El og plugin hybrid'!S$61,$B103,IF($B103='El og plugin hybrid'!S$60,-S$26,-(S$26+'El og plugin hybrid'!S$102)))</f>
        <v>0</v>
      </c>
      <c r="U103" s="507">
        <f>PMT('El og plugin hybrid'!U$61,$B103,IF($B103='El og plugin hybrid'!U$60,-U$26,-(U$26+'El og plugin hybrid'!U$102)))</f>
        <v>0</v>
      </c>
      <c r="W103" s="507">
        <f>PMT('El og plugin hybrid'!W$61,$B103,IF($B103='El og plugin hybrid'!W$60,-W$26,-(W$26+'El og plugin hybrid'!W$102)))</f>
        <v>0</v>
      </c>
    </row>
    <row r="104" spans="1:23">
      <c r="A104" s="1"/>
      <c r="B104" s="140">
        <v>9</v>
      </c>
      <c r="C104" s="140">
        <f t="shared" si="5"/>
        <v>9</v>
      </c>
      <c r="D104" s="140"/>
      <c r="E104" s="507">
        <f>PMT('El og plugin hybrid'!E$61,$B104,IF($B104='El og plugin hybrid'!E$60,-E$26,-(E$26+'El og plugin hybrid'!E$102)))</f>
        <v>0</v>
      </c>
      <c r="F104" s="507"/>
      <c r="G104" s="507">
        <f>PMT('El og plugin hybrid'!G$61,$B104,IF($B104='El og plugin hybrid'!G$60,-G$26,-(G$26+'El og plugin hybrid'!G$102)))</f>
        <v>0</v>
      </c>
      <c r="H104" s="507"/>
      <c r="I104" s="507">
        <f>PMT('El og plugin hybrid'!I$61,$B104,IF($B104='El og plugin hybrid'!I$60,-I$26,-(I$26+'El og plugin hybrid'!I$102)))</f>
        <v>0</v>
      </c>
      <c r="J104" s="507"/>
      <c r="K104" s="507">
        <f>PMT('El og plugin hybrid'!K$61,$B104,IF($B104='El og plugin hybrid'!K$60,-K$26,-(K$26+'El og plugin hybrid'!K$102)))</f>
        <v>0</v>
      </c>
      <c r="L104" s="507"/>
      <c r="M104" s="507">
        <f>PMT('El og plugin hybrid'!M$61,$B104,IF($B104='El og plugin hybrid'!M$60,-M$26,-(M$26+'El og plugin hybrid'!M$102)))</f>
        <v>0</v>
      </c>
      <c r="N104" s="507"/>
      <c r="O104" s="507">
        <f>PMT('El og plugin hybrid'!O$61,$B104,IF($B104='El og plugin hybrid'!O$60,-O$26,-(O$26+'El og plugin hybrid'!O$102)))</f>
        <v>0</v>
      </c>
      <c r="P104" s="507"/>
      <c r="Q104" s="507">
        <f>PMT('El og plugin hybrid'!Q$61,$B104,IF($B104='El og plugin hybrid'!Q$60,-Q$26,-(Q$26+'El og plugin hybrid'!Q$102)))</f>
        <v>0</v>
      </c>
      <c r="R104" s="507"/>
      <c r="S104" s="507">
        <f>PMT('El og plugin hybrid'!S$61,$B104,IF($B104='El og plugin hybrid'!S$60,-S$26,-(S$26+'El og plugin hybrid'!S$102)))</f>
        <v>0</v>
      </c>
      <c r="U104" s="507">
        <f>PMT('El og plugin hybrid'!U$61,$B104,IF($B104='El og plugin hybrid'!U$60,-U$26,-(U$26+'El og plugin hybrid'!U$102)))</f>
        <v>0</v>
      </c>
      <c r="W104" s="507">
        <f>PMT('El og plugin hybrid'!W$61,$B104,IF($B104='El og plugin hybrid'!W$60,-W$26,-(W$26+'El og plugin hybrid'!W$102)))</f>
        <v>0</v>
      </c>
    </row>
    <row r="105" spans="1:23">
      <c r="A105" s="1"/>
      <c r="B105" s="140">
        <v>10</v>
      </c>
      <c r="C105" s="140">
        <f t="shared" si="5"/>
        <v>10</v>
      </c>
      <c r="D105" s="140"/>
      <c r="E105" s="507">
        <f>PMT('El og plugin hybrid'!E$61,$B105,IF($B105='El og plugin hybrid'!E$60,-E$26,-(E$26+'El og plugin hybrid'!E$102)))</f>
        <v>0</v>
      </c>
      <c r="F105" s="507"/>
      <c r="G105" s="507">
        <f>PMT('El og plugin hybrid'!G$61,$B105,IF($B105='El og plugin hybrid'!G$60,-G$26,-(G$26+'El og plugin hybrid'!G$102)))</f>
        <v>0</v>
      </c>
      <c r="H105" s="507"/>
      <c r="I105" s="507">
        <f>PMT('El og plugin hybrid'!I$61,$B105,IF($B105='El og plugin hybrid'!I$60,-I$26,-(I$26+'El og plugin hybrid'!I$102)))</f>
        <v>0</v>
      </c>
      <c r="J105" s="507"/>
      <c r="K105" s="507">
        <f>PMT('El og plugin hybrid'!K$61,$B105,IF($B105='El og plugin hybrid'!K$60,-K$26,-(K$26+'El og plugin hybrid'!K$102)))</f>
        <v>0</v>
      </c>
      <c r="L105" s="507"/>
      <c r="M105" s="507">
        <f>PMT('El og plugin hybrid'!M$61,$B105,IF($B105='El og plugin hybrid'!M$60,-M$26,-(M$26+'El og plugin hybrid'!M$102)))</f>
        <v>0</v>
      </c>
      <c r="N105" s="507"/>
      <c r="O105" s="507">
        <f>PMT('El og plugin hybrid'!O$61,$B105,IF($B105='El og plugin hybrid'!O$60,-O$26,-(O$26+'El og plugin hybrid'!O$102)))</f>
        <v>0</v>
      </c>
      <c r="P105" s="507"/>
      <c r="Q105" s="507">
        <f>PMT('El og plugin hybrid'!Q$61,$B105,IF($B105='El og plugin hybrid'!Q$60,-Q$26,-(Q$26+'El og plugin hybrid'!Q$102)))</f>
        <v>0</v>
      </c>
      <c r="R105" s="507"/>
      <c r="S105" s="507">
        <f>PMT('El og plugin hybrid'!S$61,$B105,IF($B105='El og plugin hybrid'!S$60,-S$26,-(S$26+'El og plugin hybrid'!S$102)))</f>
        <v>0</v>
      </c>
      <c r="U105" s="507">
        <f>PMT('El og plugin hybrid'!U$61,$B105,IF($B105='El og plugin hybrid'!U$60,-U$26,-(U$26+'El og plugin hybrid'!U$102)))</f>
        <v>0</v>
      </c>
      <c r="W105" s="507">
        <f>PMT('El og plugin hybrid'!W$61,$B105,IF($B105='El og plugin hybrid'!W$60,-W$26,-(W$26+'El og plugin hybrid'!W$102)))</f>
        <v>0</v>
      </c>
    </row>
    <row r="106" spans="1:23">
      <c r="A106" s="1"/>
      <c r="B106" s="140">
        <v>11</v>
      </c>
      <c r="C106" s="140">
        <f t="shared" si="5"/>
        <v>11</v>
      </c>
      <c r="D106" s="140"/>
      <c r="E106" s="507">
        <f>PMT('El og plugin hybrid'!E$61,$B106,IF($B106='El og plugin hybrid'!E$60,-E$26,-(E$26+'El og plugin hybrid'!E$102)))</f>
        <v>0</v>
      </c>
      <c r="F106" s="507"/>
      <c r="G106" s="507">
        <f>PMT('El og plugin hybrid'!G$61,$B106,IF($B106='El og plugin hybrid'!G$60,-G$26,-(G$26+'El og plugin hybrid'!G$102)))</f>
        <v>0</v>
      </c>
      <c r="H106" s="507"/>
      <c r="I106" s="507">
        <f>PMT('El og plugin hybrid'!I$61,$B106,IF($B106='El og plugin hybrid'!I$60,-I$26,-(I$26+'El og plugin hybrid'!I$102)))</f>
        <v>0</v>
      </c>
      <c r="J106" s="507"/>
      <c r="K106" s="507">
        <f>PMT('El og plugin hybrid'!K$61,$B106,IF($B106='El og plugin hybrid'!K$60,-K$26,-(K$26+'El og plugin hybrid'!K$102)))</f>
        <v>0</v>
      </c>
      <c r="L106" s="507"/>
      <c r="M106" s="507">
        <f>PMT('El og plugin hybrid'!M$61,$B106,IF($B106='El og plugin hybrid'!M$60,-M$26,-(M$26+'El og plugin hybrid'!M$102)))</f>
        <v>0</v>
      </c>
      <c r="N106" s="507"/>
      <c r="O106" s="507">
        <f>PMT('El og plugin hybrid'!O$61,$B106,IF($B106='El og plugin hybrid'!O$60,-O$26,-(O$26+'El og plugin hybrid'!O$102)))</f>
        <v>0</v>
      </c>
      <c r="P106" s="507"/>
      <c r="Q106" s="507">
        <f>PMT('El og plugin hybrid'!Q$61,$B106,IF($B106='El og plugin hybrid'!Q$60,-Q$26,-(Q$26+'El og plugin hybrid'!Q$102)))</f>
        <v>0</v>
      </c>
      <c r="R106" s="507"/>
      <c r="S106" s="507">
        <f>PMT('El og plugin hybrid'!S$61,$B106,IF($B106='El og plugin hybrid'!S$60,-S$26,-(S$26+'El og plugin hybrid'!S$102)))</f>
        <v>0</v>
      </c>
      <c r="U106" s="507">
        <f>PMT('El og plugin hybrid'!U$61,$B106,IF($B106='El og plugin hybrid'!U$60,-U$26,-(U$26+'El og plugin hybrid'!U$102)))</f>
        <v>0</v>
      </c>
      <c r="W106" s="507">
        <f>PMT('El og plugin hybrid'!W$61,$B106,IF($B106='El og plugin hybrid'!W$60,-W$26,-(W$26+'El og plugin hybrid'!W$102)))</f>
        <v>0</v>
      </c>
    </row>
    <row r="107" spans="1:23">
      <c r="A107" s="1"/>
      <c r="B107" s="140">
        <v>12</v>
      </c>
      <c r="C107" s="140">
        <f t="shared" si="5"/>
        <v>12</v>
      </c>
      <c r="D107" s="140"/>
      <c r="E107" s="507">
        <f>PMT('El og plugin hybrid'!E$61,$B107,IF($B107='El og plugin hybrid'!E$60,-E$26,-(E$26+'El og plugin hybrid'!E$102)))</f>
        <v>0</v>
      </c>
      <c r="F107" s="507"/>
      <c r="G107" s="507">
        <f>PMT('El og plugin hybrid'!G$61,$B107,IF($B107='El og plugin hybrid'!G$60,-G$26,-(G$26+'El og plugin hybrid'!G$102)))</f>
        <v>0</v>
      </c>
      <c r="H107" s="507"/>
      <c r="I107" s="507">
        <f>PMT('El og plugin hybrid'!I$61,$B107,IF($B107='El og plugin hybrid'!I$60,-I$26,-(I$26+'El og plugin hybrid'!I$102)))</f>
        <v>0</v>
      </c>
      <c r="J107" s="507"/>
      <c r="K107" s="507">
        <f>PMT('El og plugin hybrid'!K$61,$B107,IF($B107='El og plugin hybrid'!K$60,-K$26,-(K$26+'El og plugin hybrid'!K$102)))</f>
        <v>0</v>
      </c>
      <c r="L107" s="507"/>
      <c r="M107" s="507">
        <f>PMT('El og plugin hybrid'!M$61,$B107,IF($B107='El og plugin hybrid'!M$60,-M$26,-(M$26+'El og plugin hybrid'!M$102)))</f>
        <v>0</v>
      </c>
      <c r="N107" s="507"/>
      <c r="O107" s="507">
        <f>PMT('El og plugin hybrid'!O$61,$B107,IF($B107='El og plugin hybrid'!O$60,-O$26,-(O$26+'El og plugin hybrid'!O$102)))</f>
        <v>0</v>
      </c>
      <c r="P107" s="507"/>
      <c r="Q107" s="507">
        <f>PMT('El og plugin hybrid'!Q$61,$B107,IF($B107='El og plugin hybrid'!Q$60,-Q$26,-(Q$26+'El og plugin hybrid'!Q$102)))</f>
        <v>0</v>
      </c>
      <c r="R107" s="507"/>
      <c r="S107" s="507">
        <f>PMT('El og plugin hybrid'!S$61,$B107,IF($B107='El og plugin hybrid'!S$60,-S$26,-(S$26+'El og plugin hybrid'!S$102)))</f>
        <v>0</v>
      </c>
      <c r="U107" s="507">
        <f>PMT('El og plugin hybrid'!U$61,$B107,IF($B107='El og plugin hybrid'!U$60,-U$26,-(U$26+'El og plugin hybrid'!U$102)))</f>
        <v>0</v>
      </c>
      <c r="W107" s="507">
        <f>PMT('El og plugin hybrid'!W$61,$B107,IF($B107='El og plugin hybrid'!W$60,-W$26,-(W$26+'El og plugin hybrid'!W$102)))</f>
        <v>0</v>
      </c>
    </row>
    <row r="108" spans="1:23">
      <c r="A108" s="1"/>
      <c r="B108" s="140">
        <v>13</v>
      </c>
      <c r="C108" s="140">
        <f t="shared" si="5"/>
        <v>13</v>
      </c>
      <c r="D108" s="140"/>
      <c r="E108" s="507">
        <f>PMT('El og plugin hybrid'!E$61,$B108,IF($B108='El og plugin hybrid'!E$60,-E$26,-(E$26+'El og plugin hybrid'!E$102)))</f>
        <v>0</v>
      </c>
      <c r="F108" s="507"/>
      <c r="G108" s="507">
        <f>PMT('El og plugin hybrid'!G$61,$B108,IF($B108='El og plugin hybrid'!G$60,-G$26,-(G$26+'El og plugin hybrid'!G$102)))</f>
        <v>0</v>
      </c>
      <c r="H108" s="507"/>
      <c r="I108" s="507">
        <f>PMT('El og plugin hybrid'!I$61,$B108,IF($B108='El og plugin hybrid'!I$60,-I$26,-(I$26+'El og plugin hybrid'!I$102)))</f>
        <v>0</v>
      </c>
      <c r="J108" s="507"/>
      <c r="K108" s="507">
        <f>PMT('El og plugin hybrid'!K$61,$B108,IF($B108='El og plugin hybrid'!K$60,-K$26,-(K$26+'El og plugin hybrid'!K$102)))</f>
        <v>0</v>
      </c>
      <c r="L108" s="507"/>
      <c r="M108" s="507">
        <f>PMT('El og plugin hybrid'!M$61,$B108,IF($B108='El og plugin hybrid'!M$60,-M$26,-(M$26+'El og plugin hybrid'!M$102)))</f>
        <v>0</v>
      </c>
      <c r="N108" s="507"/>
      <c r="O108" s="507">
        <f>PMT('El og plugin hybrid'!O$61,$B108,IF($B108='El og plugin hybrid'!O$60,-O$26,-(O$26+'El og plugin hybrid'!O$102)))</f>
        <v>0</v>
      </c>
      <c r="P108" s="507"/>
      <c r="Q108" s="507">
        <f>PMT('El og plugin hybrid'!Q$61,$B108,IF($B108='El og plugin hybrid'!Q$60,-Q$26,-(Q$26+'El og plugin hybrid'!Q$102)))</f>
        <v>0</v>
      </c>
      <c r="R108" s="507"/>
      <c r="S108" s="507">
        <f>PMT('El og plugin hybrid'!S$61,$B108,IF($B108='El og plugin hybrid'!S$60,-S$26,-(S$26+'El og plugin hybrid'!S$102)))</f>
        <v>0</v>
      </c>
      <c r="U108" s="507">
        <f>PMT('El og plugin hybrid'!U$61,$B108,IF($B108='El og plugin hybrid'!U$60,-U$26,-(U$26+'El og plugin hybrid'!U$102)))</f>
        <v>0</v>
      </c>
      <c r="W108" s="507">
        <f>PMT('El og plugin hybrid'!W$61,$B108,IF($B108='El og plugin hybrid'!W$60,-W$26,-(W$26+'El og plugin hybrid'!W$102)))</f>
        <v>0</v>
      </c>
    </row>
    <row r="109" spans="1:23">
      <c r="A109" s="1"/>
      <c r="B109" s="140">
        <v>14</v>
      </c>
      <c r="C109" s="140">
        <f t="shared" si="5"/>
        <v>14</v>
      </c>
      <c r="D109" s="140"/>
      <c r="E109" s="507">
        <f>PMT('El og plugin hybrid'!E$61,$B109,IF($B109='El og plugin hybrid'!E$60,-E$26,-(E$26+'El og plugin hybrid'!E$102)))</f>
        <v>0</v>
      </c>
      <c r="F109" s="507"/>
      <c r="G109" s="507">
        <f>PMT('El og plugin hybrid'!G$61,$B109,IF($B109='El og plugin hybrid'!G$60,-G$26,-(G$26+'El og plugin hybrid'!G$102)))</f>
        <v>0</v>
      </c>
      <c r="H109" s="507"/>
      <c r="I109" s="507">
        <f>PMT('El og plugin hybrid'!I$61,$B109,IF($B109='El og plugin hybrid'!I$60,-I$26,-(I$26+'El og plugin hybrid'!I$102)))</f>
        <v>0</v>
      </c>
      <c r="J109" s="507"/>
      <c r="K109" s="507">
        <f>PMT('El og plugin hybrid'!K$61,$B109,IF($B109='El og plugin hybrid'!K$60,-K$26,-(K$26+'El og plugin hybrid'!K$102)))</f>
        <v>0</v>
      </c>
      <c r="L109" s="507"/>
      <c r="M109" s="507">
        <f>PMT('El og plugin hybrid'!M$61,$B109,IF($B109='El og plugin hybrid'!M$60,-M$26,-(M$26+'El og plugin hybrid'!M$102)))</f>
        <v>0</v>
      </c>
      <c r="N109" s="507"/>
      <c r="O109" s="507">
        <f>PMT('El og plugin hybrid'!O$61,$B109,IF($B109='El og plugin hybrid'!O$60,-O$26,-(O$26+'El og plugin hybrid'!O$102)))</f>
        <v>0</v>
      </c>
      <c r="P109" s="507"/>
      <c r="Q109" s="507">
        <f>PMT('El og plugin hybrid'!Q$61,$B109,IF($B109='El og plugin hybrid'!Q$60,-Q$26,-(Q$26+'El og plugin hybrid'!Q$102)))</f>
        <v>0</v>
      </c>
      <c r="R109" s="507"/>
      <c r="S109" s="507">
        <f>PMT('El og plugin hybrid'!S$61,$B109,IF($B109='El og plugin hybrid'!S$60,-S$26,-(S$26+'El og plugin hybrid'!S$102)))</f>
        <v>0</v>
      </c>
      <c r="U109" s="507">
        <f>PMT('El og plugin hybrid'!U$61,$B109,IF($B109='El og plugin hybrid'!U$60,-U$26,-(U$26+'El og plugin hybrid'!U$102)))</f>
        <v>0</v>
      </c>
      <c r="W109" s="507">
        <f>PMT('El og plugin hybrid'!W$61,$B109,IF($B109='El og plugin hybrid'!W$60,-W$26,-(W$26+'El og plugin hybrid'!W$102)))</f>
        <v>0</v>
      </c>
    </row>
    <row r="110" spans="1:23">
      <c r="A110" s="1"/>
      <c r="B110" s="140">
        <v>15</v>
      </c>
      <c r="C110" s="140">
        <f t="shared" si="5"/>
        <v>15</v>
      </c>
      <c r="D110" s="140"/>
      <c r="E110" s="507">
        <f>PMT('El og plugin hybrid'!E$61,$B110,IF($B110='El og plugin hybrid'!E$60,-E$26,-(E$26+'El og plugin hybrid'!E$102)))</f>
        <v>0</v>
      </c>
      <c r="F110" s="507"/>
      <c r="G110" s="507">
        <f>PMT('El og plugin hybrid'!G$61,$B110,IF($B110='El og plugin hybrid'!G$60,-G$26,-(G$26+'El og plugin hybrid'!G$102)))</f>
        <v>0</v>
      </c>
      <c r="H110" s="507"/>
      <c r="I110" s="507">
        <f>PMT('El og plugin hybrid'!I$61,$B110,IF($B110='El og plugin hybrid'!I$60,-I$26,-(I$26+'El og plugin hybrid'!I$102)))</f>
        <v>0</v>
      </c>
      <c r="J110" s="507"/>
      <c r="K110" s="507">
        <f>PMT('El og plugin hybrid'!K$61,$B110,IF($B110='El og plugin hybrid'!K$60,-K$26,-(K$26+'El og plugin hybrid'!K$102)))</f>
        <v>0</v>
      </c>
      <c r="L110" s="507"/>
      <c r="M110" s="507">
        <f>PMT('El og plugin hybrid'!M$61,$B110,IF($B110='El og plugin hybrid'!M$60,-M$26,-(M$26+'El og plugin hybrid'!M$102)))</f>
        <v>0</v>
      </c>
      <c r="N110" s="507"/>
      <c r="O110" s="507">
        <f>PMT('El og plugin hybrid'!O$61,$B110,IF($B110='El og plugin hybrid'!O$60,-O$26,-(O$26+'El og plugin hybrid'!O$102)))</f>
        <v>0</v>
      </c>
      <c r="P110" s="507"/>
      <c r="Q110" s="507">
        <f>PMT('El og plugin hybrid'!Q$61,$B110,IF($B110='El og plugin hybrid'!Q$60,-Q$26,-(Q$26+'El og plugin hybrid'!Q$102)))</f>
        <v>0</v>
      </c>
      <c r="R110" s="507"/>
      <c r="S110" s="507">
        <f>PMT('El og plugin hybrid'!S$61,$B110,IF($B110='El og plugin hybrid'!S$60,-S$26,-(S$26+'El og plugin hybrid'!S$102)))</f>
        <v>0</v>
      </c>
      <c r="U110" s="507">
        <f>PMT('El og plugin hybrid'!U$61,$B110,IF($B110='El og plugin hybrid'!U$60,-U$26,-(U$26+'El og plugin hybrid'!U$102)))</f>
        <v>0</v>
      </c>
      <c r="W110" s="507">
        <f>PMT('El og plugin hybrid'!W$61,$B110,IF($B110='El og plugin hybrid'!W$60,-W$26,-(W$26+'El og plugin hybrid'!W$102)))</f>
        <v>0</v>
      </c>
    </row>
    <row r="111" spans="1:23">
      <c r="B111" s="140">
        <v>16</v>
      </c>
      <c r="C111" s="140">
        <f t="shared" si="5"/>
        <v>16</v>
      </c>
      <c r="E111" s="507">
        <f>PMT('El og plugin hybrid'!E$61,$B111,IF($B111='El og plugin hybrid'!E$60,-E$26,-(E$26+'El og plugin hybrid'!E$102)))</f>
        <v>0</v>
      </c>
      <c r="F111" s="507"/>
      <c r="G111" s="507">
        <f>PMT('El og plugin hybrid'!G$61,$B111,IF($B111='El og plugin hybrid'!G$60,-G$26,-(G$26+'El og plugin hybrid'!G$102)))</f>
        <v>0</v>
      </c>
      <c r="H111" s="507"/>
      <c r="I111" s="507">
        <f>PMT('El og plugin hybrid'!I$61,$B111,IF($B111='El og plugin hybrid'!I$60,-I$26,-(I$26+'El og plugin hybrid'!I$102)))</f>
        <v>0</v>
      </c>
      <c r="J111" s="507"/>
      <c r="K111" s="507">
        <f>PMT('El og plugin hybrid'!K$61,$B111,IF($B111='El og plugin hybrid'!K$60,-K$26,-(K$26+'El og plugin hybrid'!K$102)))</f>
        <v>0</v>
      </c>
      <c r="L111" s="507"/>
      <c r="M111" s="507">
        <f>PMT('El og plugin hybrid'!M$61,$B111,IF($B111='El og plugin hybrid'!M$60,-M$26,-(M$26+'El og plugin hybrid'!M$102)))</f>
        <v>0</v>
      </c>
      <c r="N111" s="507"/>
      <c r="O111" s="507">
        <f>PMT('El og plugin hybrid'!O$61,$B111,IF($B111='El og plugin hybrid'!O$60,-O$26,-(O$26+'El og plugin hybrid'!O$102)))</f>
        <v>0</v>
      </c>
      <c r="P111" s="507"/>
      <c r="Q111" s="507">
        <f>PMT('El og plugin hybrid'!Q$61,$B111,IF($B111='El og plugin hybrid'!Q$60,-Q$26,-(Q$26+'El og plugin hybrid'!Q$102)))</f>
        <v>0</v>
      </c>
      <c r="R111" s="507"/>
      <c r="S111" s="507">
        <f>PMT('El og plugin hybrid'!S$61,$B111,IF($B111='El og plugin hybrid'!S$60,-S$26,-(S$26+'El og plugin hybrid'!S$102)))</f>
        <v>0</v>
      </c>
      <c r="U111" s="507">
        <f>PMT('El og plugin hybrid'!U$61,$B111,IF($B111='El og plugin hybrid'!U$60,-U$26,-(U$26+'El og plugin hybrid'!U$102)))</f>
        <v>0</v>
      </c>
      <c r="W111" s="507">
        <f>PMT('El og plugin hybrid'!W$61,$B111,IF($B111='El og plugin hybrid'!W$60,-W$26,-(W$26+'El og plugin hybrid'!W$102)))</f>
        <v>0</v>
      </c>
    </row>
    <row r="112" spans="1:23">
      <c r="B112" s="140">
        <v>17</v>
      </c>
      <c r="C112" s="140">
        <f t="shared" si="5"/>
        <v>17</v>
      </c>
      <c r="E112" s="507">
        <f>PMT('El og plugin hybrid'!E$61,$B112,IF($B112='El og plugin hybrid'!E$60,-E$26,-(E$26+'El og plugin hybrid'!E$102)))</f>
        <v>0</v>
      </c>
      <c r="F112" s="507"/>
      <c r="G112" s="507">
        <f>PMT('El og plugin hybrid'!G$61,$B112,IF($B112='El og plugin hybrid'!G$60,-G$26,-(G$26+'El og plugin hybrid'!G$102)))</f>
        <v>0</v>
      </c>
      <c r="H112" s="507"/>
      <c r="I112" s="507">
        <f>PMT('El og plugin hybrid'!I$61,$B112,IF($B112='El og plugin hybrid'!I$60,-I$26,-(I$26+'El og plugin hybrid'!I$102)))</f>
        <v>0</v>
      </c>
      <c r="J112" s="507"/>
      <c r="K112" s="507">
        <f>PMT('El og plugin hybrid'!K$61,$B112,IF($B112='El og plugin hybrid'!K$60,-K$26,-(K$26+'El og plugin hybrid'!K$102)))</f>
        <v>0</v>
      </c>
      <c r="L112" s="507"/>
      <c r="M112" s="507">
        <f>PMT('El og plugin hybrid'!M$61,$B112,IF($B112='El og plugin hybrid'!M$60,-M$26,-(M$26+'El og plugin hybrid'!M$102)))</f>
        <v>0</v>
      </c>
      <c r="N112" s="507"/>
      <c r="O112" s="507">
        <f>PMT('El og plugin hybrid'!O$61,$B112,IF($B112='El og plugin hybrid'!O$60,-O$26,-(O$26+'El og plugin hybrid'!O$102)))</f>
        <v>0</v>
      </c>
      <c r="P112" s="507"/>
      <c r="Q112" s="507">
        <f>PMT('El og plugin hybrid'!Q$61,$B112,IF($B112='El og plugin hybrid'!Q$60,-Q$26,-(Q$26+'El og plugin hybrid'!Q$102)))</f>
        <v>0</v>
      </c>
      <c r="R112" s="507"/>
      <c r="S112" s="507">
        <f>PMT('El og plugin hybrid'!S$61,$B112,IF($B112='El og plugin hybrid'!S$60,-S$26,-(S$26+'El og plugin hybrid'!S$102)))</f>
        <v>0</v>
      </c>
      <c r="U112" s="507">
        <f>PMT('El og plugin hybrid'!U$61,$B112,IF($B112='El og plugin hybrid'!U$60,-U$26,-(U$26+'El og plugin hybrid'!U$102)))</f>
        <v>0</v>
      </c>
      <c r="W112" s="507">
        <f>PMT('El og plugin hybrid'!W$61,$B112,IF($B112='El og plugin hybrid'!W$60,-W$26,-(W$26+'El og plugin hybrid'!W$102)))</f>
        <v>0</v>
      </c>
    </row>
    <row r="113" spans="1:24">
      <c r="B113" s="140">
        <v>18</v>
      </c>
      <c r="C113" s="140">
        <f t="shared" si="5"/>
        <v>18</v>
      </c>
      <c r="E113" s="507">
        <f>PMT('El og plugin hybrid'!E$61,$B113,IF($B113='El og plugin hybrid'!E$60,-E$26,-(E$26+'El og plugin hybrid'!E$102)))</f>
        <v>0</v>
      </c>
      <c r="F113" s="507"/>
      <c r="G113" s="507">
        <f>PMT('El og plugin hybrid'!G$61,$B113,IF($B113='El og plugin hybrid'!G$60,-G$26,-(G$26+'El og plugin hybrid'!G$102)))</f>
        <v>0</v>
      </c>
      <c r="H113" s="507"/>
      <c r="I113" s="507">
        <f>PMT('El og plugin hybrid'!I$61,$B113,IF($B113='El og plugin hybrid'!I$60,-I$26,-(I$26+'El og plugin hybrid'!I$102)))</f>
        <v>0</v>
      </c>
      <c r="J113" s="507"/>
      <c r="K113" s="507">
        <f>PMT('El og plugin hybrid'!K$61,$B113,IF($B113='El og plugin hybrid'!K$60,-K$26,-(K$26+'El og plugin hybrid'!K$102)))</f>
        <v>0</v>
      </c>
      <c r="L113" s="507"/>
      <c r="M113" s="507">
        <f>PMT('El og plugin hybrid'!M$61,$B113,IF($B113='El og plugin hybrid'!M$60,-M$26,-(M$26+'El og plugin hybrid'!M$102)))</f>
        <v>0</v>
      </c>
      <c r="N113" s="507"/>
      <c r="O113" s="507">
        <f>PMT('El og plugin hybrid'!O$61,$B113,IF($B113='El og plugin hybrid'!O$60,-O$26,-(O$26+'El og plugin hybrid'!O$102)))</f>
        <v>0</v>
      </c>
      <c r="P113" s="507"/>
      <c r="Q113" s="507">
        <f>PMT('El og plugin hybrid'!Q$61,$B113,IF($B113='El og plugin hybrid'!Q$60,-Q$26,-(Q$26+'El og plugin hybrid'!Q$102)))</f>
        <v>0</v>
      </c>
      <c r="R113" s="507"/>
      <c r="S113" s="507">
        <f>PMT('El og plugin hybrid'!S$61,$B113,IF($B113='El og plugin hybrid'!S$60,-S$26,-(S$26+'El og plugin hybrid'!S$102)))</f>
        <v>0</v>
      </c>
      <c r="U113" s="507">
        <f>PMT('El og plugin hybrid'!U$61,$B113,IF($B113='El og plugin hybrid'!U$60,-U$26,-(U$26+'El og plugin hybrid'!U$102)))</f>
        <v>0</v>
      </c>
      <c r="W113" s="507">
        <f>PMT('El og plugin hybrid'!W$61,$B113,IF($B113='El og plugin hybrid'!W$60,-W$26,-(W$26+'El og plugin hybrid'!W$102)))</f>
        <v>0</v>
      </c>
    </row>
    <row r="114" spans="1:24">
      <c r="B114" s="140">
        <v>19</v>
      </c>
      <c r="C114" s="140">
        <f t="shared" si="5"/>
        <v>19</v>
      </c>
      <c r="E114" s="507">
        <f>PMT('El og plugin hybrid'!E$61,$B114,IF($B114='El og plugin hybrid'!E$60,-E$26,-(E$26+'El og plugin hybrid'!E$102)))</f>
        <v>0</v>
      </c>
      <c r="F114" s="507"/>
      <c r="G114" s="507">
        <f>PMT('El og plugin hybrid'!G$61,$B114,IF($B114='El og plugin hybrid'!G$60,-G$26,-(G$26+'El og plugin hybrid'!G$102)))</f>
        <v>0</v>
      </c>
      <c r="H114" s="507"/>
      <c r="I114" s="507">
        <f>PMT('El og plugin hybrid'!I$61,$B114,IF($B114='El og plugin hybrid'!I$60,-I$26,-(I$26+'El og plugin hybrid'!I$102)))</f>
        <v>0</v>
      </c>
      <c r="J114" s="507"/>
      <c r="K114" s="507">
        <f>PMT('El og plugin hybrid'!K$61,$B114,IF($B114='El og plugin hybrid'!K$60,-K$26,-(K$26+'El og plugin hybrid'!K$102)))</f>
        <v>0</v>
      </c>
      <c r="L114" s="507"/>
      <c r="M114" s="507">
        <f>PMT('El og plugin hybrid'!M$61,$B114,IF($B114='El og plugin hybrid'!M$60,-M$26,-(M$26+'El og plugin hybrid'!M$102)))</f>
        <v>0</v>
      </c>
      <c r="N114" s="507"/>
      <c r="O114" s="507">
        <f>PMT('El og plugin hybrid'!O$61,$B114,IF($B114='El og plugin hybrid'!O$60,-O$26,-(O$26+'El og plugin hybrid'!O$102)))</f>
        <v>0</v>
      </c>
      <c r="P114" s="507"/>
      <c r="Q114" s="507">
        <f>PMT('El og plugin hybrid'!Q$61,$B114,IF($B114='El og plugin hybrid'!Q$60,-Q$26,-(Q$26+'El og plugin hybrid'!Q$102)))</f>
        <v>0</v>
      </c>
      <c r="R114" s="507"/>
      <c r="S114" s="507">
        <f>PMT('El og plugin hybrid'!S$61,$B114,IF($B114='El og plugin hybrid'!S$60,-S$26,-(S$26+'El og plugin hybrid'!S$102)))</f>
        <v>0</v>
      </c>
      <c r="U114" s="507">
        <f>PMT('El og plugin hybrid'!U$61,$B114,IF($B114='El og plugin hybrid'!U$60,-U$26,-(U$26+'El og plugin hybrid'!U$102)))</f>
        <v>0</v>
      </c>
      <c r="W114" s="507">
        <f>PMT('El og plugin hybrid'!W$61,$B114,IF($B114='El og plugin hybrid'!W$60,-W$26,-(W$26+'El og plugin hybrid'!W$102)))</f>
        <v>0</v>
      </c>
    </row>
    <row r="115" spans="1:24">
      <c r="B115" s="140">
        <v>20</v>
      </c>
      <c r="C115" s="140">
        <f t="shared" si="5"/>
        <v>20</v>
      </c>
      <c r="E115" s="507">
        <f>PMT('El og plugin hybrid'!E$61,$B115,IF($B115='El og plugin hybrid'!E$60,-E$26,-(E$26+'El og plugin hybrid'!E$102)))</f>
        <v>0</v>
      </c>
      <c r="F115" s="507"/>
      <c r="G115" s="507">
        <f>PMT('El og plugin hybrid'!G$61,$B115,IF($B115='El og plugin hybrid'!G$60,-G$26,-(G$26+'El og plugin hybrid'!G$102)))</f>
        <v>0</v>
      </c>
      <c r="H115" s="507"/>
      <c r="I115" s="507">
        <f>PMT('El og plugin hybrid'!I$61,$B115,IF($B115='El og plugin hybrid'!I$60,-I$26,-(I$26+'El og plugin hybrid'!I$102)))</f>
        <v>0</v>
      </c>
      <c r="J115" s="507"/>
      <c r="K115" s="507">
        <f>PMT('El og plugin hybrid'!K$61,$B115,IF($B115='El og plugin hybrid'!K$60,-K$26,-(K$26+'El og plugin hybrid'!K$102)))</f>
        <v>0</v>
      </c>
      <c r="L115" s="507"/>
      <c r="M115" s="507">
        <f>PMT('El og plugin hybrid'!M$61,$B115,IF($B115='El og plugin hybrid'!M$60,-M$26,-(M$26+'El og plugin hybrid'!M$102)))</f>
        <v>0</v>
      </c>
      <c r="N115" s="507"/>
      <c r="O115" s="507">
        <f>PMT('El og plugin hybrid'!O$61,$B115,IF($B115='El og plugin hybrid'!O$60,-O$26,-(O$26+'El og plugin hybrid'!O$102)))</f>
        <v>0</v>
      </c>
      <c r="P115" s="507"/>
      <c r="Q115" s="507">
        <f>PMT('El og plugin hybrid'!Q$61,$B115,IF($B115='El og plugin hybrid'!Q$60,-Q$26,-(Q$26+'El og plugin hybrid'!Q$102)))</f>
        <v>0</v>
      </c>
      <c r="R115" s="507"/>
      <c r="S115" s="507">
        <f>PMT('El og plugin hybrid'!S$61,$B115,IF($B115='El og plugin hybrid'!S$60,-S$26,-(S$26+'El og plugin hybrid'!S$102)))</f>
        <v>0</v>
      </c>
      <c r="U115" s="507">
        <f>PMT('El og plugin hybrid'!U$61,$B115,IF($B115='El og plugin hybrid'!U$60,-U$26,-(U$26+'El og plugin hybrid'!U$102)))</f>
        <v>0</v>
      </c>
      <c r="W115" s="507">
        <f>PMT('El og plugin hybrid'!W$61,$B115,IF($B115='El og plugin hybrid'!W$60,-W$26,-(W$26+'El og plugin hybrid'!W$102)))</f>
        <v>0</v>
      </c>
    </row>
    <row r="117" spans="1:24">
      <c r="A117" s="280" t="s">
        <v>91</v>
      </c>
      <c r="B117" s="244"/>
      <c r="C117" s="244"/>
      <c r="D117" s="244"/>
      <c r="E117" s="244"/>
      <c r="F117" s="244"/>
      <c r="G117" s="244"/>
      <c r="H117" s="244"/>
      <c r="I117" s="244"/>
      <c r="J117" s="244"/>
      <c r="K117" s="244"/>
      <c r="L117" s="244"/>
      <c r="M117" s="244"/>
      <c r="N117" s="244"/>
      <c r="O117" s="244"/>
      <c r="P117" s="244"/>
      <c r="Q117" s="244"/>
      <c r="R117" s="244"/>
      <c r="S117" s="244"/>
      <c r="T117" s="281"/>
      <c r="U117" s="244"/>
      <c r="V117" s="281"/>
      <c r="W117" s="244"/>
      <c r="X117" s="281"/>
    </row>
    <row r="118" spans="1:24" ht="54.45">
      <c r="A118" s="282"/>
      <c r="B118" s="283" t="s">
        <v>20</v>
      </c>
      <c r="C118" s="309"/>
      <c r="D118" s="309" t="s">
        <v>21</v>
      </c>
      <c r="E118" s="284" t="str">
        <f>'El og plugin hybrid'!E8</f>
        <v>PRODUKT 1 EL</v>
      </c>
      <c r="F118" s="310" t="str">
        <f>E118&amp;" - Årligt strømforbrug (kWh/år/produkt)"</f>
        <v>PRODUKT 1 EL - Årligt strømforbrug (kWh/år/produkt)</v>
      </c>
      <c r="G118" s="284" t="str">
        <f>'El og plugin hybrid'!G8</f>
        <v>PRODUKT 2 EL</v>
      </c>
      <c r="H118" s="310" t="str">
        <f>G118&amp;" - Årligt strømforbrug (kWh/år/produkt)"</f>
        <v>PRODUKT 2 EL - Årligt strømforbrug (kWh/år/produkt)</v>
      </c>
      <c r="I118" s="284" t="str">
        <f>'El og plugin hybrid'!I8</f>
        <v>PRODUKT 3 EL</v>
      </c>
      <c r="J118" s="310" t="str">
        <f>I118&amp;" - Årligt strømforbrug (kWh/år/produkt)"</f>
        <v>PRODUKT 3 EL - Årligt strømforbrug (kWh/år/produkt)</v>
      </c>
      <c r="K118" s="284" t="str">
        <f>'El og plugin hybrid'!K8</f>
        <v>PRODUKT 4 EL</v>
      </c>
      <c r="L118" s="310" t="str">
        <f>K118&amp;" - Årligt strømforbrug (kWh/år/produkt)"</f>
        <v>PRODUKT 4 EL - Årligt strømforbrug (kWh/år/produkt)</v>
      </c>
      <c r="M118" s="284" t="str">
        <f>'El og plugin hybrid'!M8</f>
        <v>PRODUKT 5 EL</v>
      </c>
      <c r="N118" s="310" t="str">
        <f>M118&amp;" - Årligt strømforbrug (kWh/år/produkt)"</f>
        <v>PRODUKT 5 EL - Årligt strømforbrug (kWh/år/produkt)</v>
      </c>
      <c r="O118" s="284" t="str">
        <f>'El og plugin hybrid'!O8</f>
        <v>PRODUKT 6 EL</v>
      </c>
      <c r="P118" s="310" t="str">
        <f>O118&amp;" - Årligt strømforbrug (kWh/år/produkt)"</f>
        <v>PRODUKT 6 EL - Årligt strømforbrug (kWh/år/produkt)</v>
      </c>
      <c r="Q118" s="284" t="str">
        <f>'El og plugin hybrid'!Q8</f>
        <v>PRODUKT 7 EL</v>
      </c>
      <c r="R118" s="310" t="str">
        <f>Q118&amp;" - Årligt strømforbrug (kWh/år/produkt)"</f>
        <v>PRODUKT 7 EL - Årligt strømforbrug (kWh/år/produkt)</v>
      </c>
      <c r="S118" s="284" t="str">
        <f>'El og plugin hybrid'!S8</f>
        <v>PRODUKT 8 EL</v>
      </c>
      <c r="T118" s="310" t="str">
        <f>S118&amp;" - Årligt strømforbrug (kWh/år/produkt)"</f>
        <v>PRODUKT 8 EL - Årligt strømforbrug (kWh/år/produkt)</v>
      </c>
      <c r="U118" s="284" t="str">
        <f>U95</f>
        <v>PRODUKT 9 EL</v>
      </c>
      <c r="V118" s="310" t="str">
        <f>U118&amp;" - Årligt strømforbrug (kWh/år/produkt)"</f>
        <v>PRODUKT 9 EL - Årligt strømforbrug (kWh/år/produkt)</v>
      </c>
      <c r="W118" s="284" t="str">
        <f>W95</f>
        <v>PRODUKT 10 EL</v>
      </c>
      <c r="X118" s="310" t="str">
        <f>W118&amp;" - Årligt strømforbrug (kWh/år/produkt)"</f>
        <v>PRODUKT 10 EL - Årligt strømforbrug (kWh/år/produkt)</v>
      </c>
    </row>
    <row r="119" spans="1:24">
      <c r="A119" s="312"/>
      <c r="B119" s="285">
        <v>1</v>
      </c>
      <c r="C119" s="285">
        <f>B119</f>
        <v>1</v>
      </c>
      <c r="D119" s="285"/>
      <c r="E119" s="291">
        <f>'El og plugin hybrid'!E$53*F119*IF('El og plugin hybrid'!E$34="nej","",IF('El og plugin hybrid'!E$36="ja",VLOOKUP('El og plugin hybrid'!E$59+($C119-1),Fremskrivninger!$A$9:$L$38,12),'El og plugin hybrid'!E$38))/1000</f>
        <v>0</v>
      </c>
      <c r="F119" s="313">
        <f>'El og plugin hybrid'!E$16/1000*'El og plugin hybrid'!E$54</f>
        <v>0</v>
      </c>
      <c r="G119" s="291">
        <f>'El og plugin hybrid'!G$53*H119*IF('El og plugin hybrid'!G$34="nej","",IF('El og plugin hybrid'!G$36="ja",VLOOKUP('El og plugin hybrid'!G$59+($C119-1),Fremskrivninger!$A$9:$L$38,12),'El og plugin hybrid'!G$38))/1000</f>
        <v>0</v>
      </c>
      <c r="H119" s="313">
        <f>'El og plugin hybrid'!G$16/1000*'El og plugin hybrid'!G$54</f>
        <v>0</v>
      </c>
      <c r="I119" s="291">
        <f>'El og plugin hybrid'!I$53*J119*IF('El og plugin hybrid'!I$34="nej","",IF('El og plugin hybrid'!I$36="ja",VLOOKUP('El og plugin hybrid'!I$59+($C119-1),Fremskrivninger!$A$9:$L$38,12),'El og plugin hybrid'!I$38))/1000</f>
        <v>0</v>
      </c>
      <c r="J119" s="313">
        <f>'El og plugin hybrid'!I$16/1000*'El og plugin hybrid'!I$54</f>
        <v>0</v>
      </c>
      <c r="K119" s="291">
        <f>'El og plugin hybrid'!K$53*L119*IF('El og plugin hybrid'!K$34="nej","",IF('El og plugin hybrid'!K$36="ja",VLOOKUP('El og plugin hybrid'!K$59+($C119-1),Fremskrivninger!$A$9:$L$38,12),'El og plugin hybrid'!K$38))/1000</f>
        <v>0</v>
      </c>
      <c r="L119" s="313">
        <f>'El og plugin hybrid'!K$16/1000*'El og plugin hybrid'!K$54</f>
        <v>0</v>
      </c>
      <c r="M119" s="291">
        <f>'El og plugin hybrid'!M$53*N119*IF('El og plugin hybrid'!M$34="nej","",IF('El og plugin hybrid'!M$36="ja",VLOOKUP('El og plugin hybrid'!M$59+($C119-1),Fremskrivninger!$A$9:$L$38,12),'El og plugin hybrid'!M$38))/1000</f>
        <v>0</v>
      </c>
      <c r="N119" s="313">
        <f>'El og plugin hybrid'!M$16/1000*'El og plugin hybrid'!M$54</f>
        <v>0</v>
      </c>
      <c r="O119" s="291">
        <f>'El og plugin hybrid'!O$53*P119*IF('El og plugin hybrid'!O$34="nej","",IF('El og plugin hybrid'!O$36="ja",VLOOKUP('El og plugin hybrid'!O$59+($C119-1),Fremskrivninger!$A$9:$L$38,12),'El og plugin hybrid'!O$38))/1000</f>
        <v>0</v>
      </c>
      <c r="P119" s="313">
        <f>'El og plugin hybrid'!O$16/1000*'El og plugin hybrid'!O$54</f>
        <v>0</v>
      </c>
      <c r="Q119" s="291">
        <f>'El og plugin hybrid'!Q$53*R119*IF('El og plugin hybrid'!Q$34="nej","",IF('El og plugin hybrid'!Q$36="ja",VLOOKUP('El og plugin hybrid'!Q$59+($C119-1),Fremskrivninger!$A$9:$L$38,12),'El og plugin hybrid'!Q$38))/1000</f>
        <v>0</v>
      </c>
      <c r="R119" s="313">
        <f>'El og plugin hybrid'!Q$16/1000*'El og plugin hybrid'!Q$54</f>
        <v>0</v>
      </c>
      <c r="S119" s="291">
        <f>'El og plugin hybrid'!S$53*T119*IF('El og plugin hybrid'!S$34="nej","",IF('El og plugin hybrid'!S$36="ja",VLOOKUP('El og plugin hybrid'!S$59+($C119-1),Fremskrivninger!$A$9:$L$38,12),'El og plugin hybrid'!S$38))/1000</f>
        <v>0</v>
      </c>
      <c r="T119" s="313">
        <f>'El og plugin hybrid'!S$16/1000*'El og plugin hybrid'!S$54</f>
        <v>0</v>
      </c>
      <c r="U119" s="291">
        <f>'El og plugin hybrid'!U$53*V119*IF('El og plugin hybrid'!U$34="nej","",IF('El og plugin hybrid'!U$36="ja",VLOOKUP('El og plugin hybrid'!U$59+($C119-1),Fremskrivninger!$A$9:$L$38,12),'El og plugin hybrid'!U$38))/1000</f>
        <v>0</v>
      </c>
      <c r="V119" s="313">
        <f>'El og plugin hybrid'!U$16/1000*'El og plugin hybrid'!U$54</f>
        <v>0</v>
      </c>
      <c r="W119" s="291">
        <f>'El og plugin hybrid'!W$53*X119*IF('El og plugin hybrid'!W$34="nej","",IF('El og plugin hybrid'!W$36="ja",VLOOKUP('El og plugin hybrid'!W$59+($C119-1),Fremskrivninger!$A$9:$L$38,12),'El og plugin hybrid'!W$38))/1000</f>
        <v>0</v>
      </c>
      <c r="X119" s="313">
        <f>'El og plugin hybrid'!W$16/1000*'El og plugin hybrid'!W$54</f>
        <v>0</v>
      </c>
    </row>
    <row r="120" spans="1:24">
      <c r="A120" s="312"/>
      <c r="B120" s="285">
        <v>2</v>
      </c>
      <c r="C120" s="285">
        <f t="shared" ref="C120:C138" si="6">B120</f>
        <v>2</v>
      </c>
      <c r="D120" s="285"/>
      <c r="E120" s="291">
        <f>'El og plugin hybrid'!E$53*F120*IF('El og plugin hybrid'!E$34="nej","",IF('El og plugin hybrid'!E$36="ja",VLOOKUP('El og plugin hybrid'!E$59+($C120-1),Fremskrivninger!$A$9:$L$38,12),'El og plugin hybrid'!E$38))/1000</f>
        <v>0</v>
      </c>
      <c r="F120" s="313">
        <f>'El og plugin hybrid'!E$16/1000*'El og plugin hybrid'!E$54</f>
        <v>0</v>
      </c>
      <c r="G120" s="291">
        <f>'El og plugin hybrid'!G$53*H120*IF('El og plugin hybrid'!G$34="nej","",IF('El og plugin hybrid'!G$36="ja",VLOOKUP('El og plugin hybrid'!G$59+($C120-1),Fremskrivninger!$A$9:$L$38,12),'El og plugin hybrid'!G$38))/1000</f>
        <v>0</v>
      </c>
      <c r="H120" s="313">
        <f>'El og plugin hybrid'!G$16/1000*'El og plugin hybrid'!G$54</f>
        <v>0</v>
      </c>
      <c r="I120" s="291">
        <f>'El og plugin hybrid'!I$53*J120*IF('El og plugin hybrid'!I$34="nej","",IF('El og plugin hybrid'!I$36="ja",VLOOKUP('El og plugin hybrid'!I$59+($C120-1),Fremskrivninger!$A$9:$L$38,12),'El og plugin hybrid'!I$38))/1000</f>
        <v>0</v>
      </c>
      <c r="J120" s="313">
        <f>'El og plugin hybrid'!I$16/1000*'El og plugin hybrid'!I$54</f>
        <v>0</v>
      </c>
      <c r="K120" s="291">
        <f>'El og plugin hybrid'!K$53*L120*IF('El og plugin hybrid'!K$34="nej","",IF('El og plugin hybrid'!K$36="ja",VLOOKUP('El og plugin hybrid'!K$59+($C120-1),Fremskrivninger!$A$9:$L$38,12),'El og plugin hybrid'!K$38))/1000</f>
        <v>0</v>
      </c>
      <c r="L120" s="313">
        <f>'El og plugin hybrid'!K$16/1000*'El og plugin hybrid'!K$54</f>
        <v>0</v>
      </c>
      <c r="M120" s="291">
        <f>'El og plugin hybrid'!M$53*N120*IF('El og plugin hybrid'!M$34="nej","",IF('El og plugin hybrid'!M$36="ja",VLOOKUP('El og plugin hybrid'!M$59+($C120-1),Fremskrivninger!$A$9:$L$38,12),'El og plugin hybrid'!M$38))/1000</f>
        <v>0</v>
      </c>
      <c r="N120" s="313">
        <f>'El og plugin hybrid'!M$16/1000*'El og plugin hybrid'!M$54</f>
        <v>0</v>
      </c>
      <c r="O120" s="291">
        <f>'El og plugin hybrid'!O$53*P120*IF('El og plugin hybrid'!O$34="nej","",IF('El og plugin hybrid'!O$36="ja",VLOOKUP('El og plugin hybrid'!O$59+($C120-1),Fremskrivninger!$A$9:$L$38,12),'El og plugin hybrid'!O$38))/1000</f>
        <v>0</v>
      </c>
      <c r="P120" s="313">
        <f>'El og plugin hybrid'!O$16/1000*'El og plugin hybrid'!O$54</f>
        <v>0</v>
      </c>
      <c r="Q120" s="291">
        <f>'El og plugin hybrid'!Q$53*R120*IF('El og plugin hybrid'!Q$34="nej","",IF('El og plugin hybrid'!Q$36="ja",VLOOKUP('El og plugin hybrid'!Q$59+($C120-1),Fremskrivninger!$A$9:$L$38,12),'El og plugin hybrid'!Q$38))/1000</f>
        <v>0</v>
      </c>
      <c r="R120" s="313">
        <f>'El og plugin hybrid'!Q$16/1000*'El og plugin hybrid'!Q$54</f>
        <v>0</v>
      </c>
      <c r="S120" s="291">
        <f>'El og plugin hybrid'!S$53*T120*IF('El og plugin hybrid'!S$34="nej","",IF('El og plugin hybrid'!S$36="ja",VLOOKUP('El og plugin hybrid'!S$59+($C120-1),Fremskrivninger!$A$9:$L$38,12),'El og plugin hybrid'!S$38))/1000</f>
        <v>0</v>
      </c>
      <c r="T120" s="313">
        <f>'El og plugin hybrid'!S$16/1000*'El og plugin hybrid'!S$54</f>
        <v>0</v>
      </c>
      <c r="U120" s="291">
        <f>'El og plugin hybrid'!U$53*V120*IF('El og plugin hybrid'!U$34="nej","",IF('El og plugin hybrid'!U$36="ja",VLOOKUP('El og plugin hybrid'!U$59+($C120-1),Fremskrivninger!$A$9:$L$38,12),'El og plugin hybrid'!U$38))/1000</f>
        <v>0</v>
      </c>
      <c r="V120" s="313">
        <f>'El og plugin hybrid'!U$16/1000*'El og plugin hybrid'!U$54</f>
        <v>0</v>
      </c>
      <c r="W120" s="291">
        <f>'El og plugin hybrid'!W$53*X120*IF('El og plugin hybrid'!W$34="nej","",IF('El og plugin hybrid'!W$36="ja",VLOOKUP('El og plugin hybrid'!W$59+($C120-1),Fremskrivninger!$A$9:$L$38,12),'El og plugin hybrid'!W$38))/1000</f>
        <v>0</v>
      </c>
      <c r="X120" s="313">
        <f>'El og plugin hybrid'!W$16/1000*'El og plugin hybrid'!W$54</f>
        <v>0</v>
      </c>
    </row>
    <row r="121" spans="1:24">
      <c r="A121" s="312"/>
      <c r="B121" s="285">
        <v>3</v>
      </c>
      <c r="C121" s="285">
        <f t="shared" si="6"/>
        <v>3</v>
      </c>
      <c r="D121" s="285"/>
      <c r="E121" s="291">
        <f>'El og plugin hybrid'!E$53*F121*IF('El og plugin hybrid'!E$34="nej","",IF('El og plugin hybrid'!E$36="ja",VLOOKUP('El og plugin hybrid'!E$59+($C121-1),Fremskrivninger!$A$9:$L$38,12),'El og plugin hybrid'!E$38))/1000</f>
        <v>0</v>
      </c>
      <c r="F121" s="313">
        <f>'El og plugin hybrid'!E$16/1000*'El og plugin hybrid'!E$54</f>
        <v>0</v>
      </c>
      <c r="G121" s="291">
        <f>'El og plugin hybrid'!G$53*H121*IF('El og plugin hybrid'!G$34="nej","",IF('El og plugin hybrid'!G$36="ja",VLOOKUP('El og plugin hybrid'!G$59+($C121-1),Fremskrivninger!$A$9:$L$38,12),'El og plugin hybrid'!G$38))/1000</f>
        <v>0</v>
      </c>
      <c r="H121" s="313">
        <f>'El og plugin hybrid'!G$16/1000*'El og plugin hybrid'!G$54</f>
        <v>0</v>
      </c>
      <c r="I121" s="291">
        <f>'El og plugin hybrid'!I$53*J121*IF('El og plugin hybrid'!I$34="nej","",IF('El og plugin hybrid'!I$36="ja",VLOOKUP('El og plugin hybrid'!I$59+($C121-1),Fremskrivninger!$A$9:$L$38,12),'El og plugin hybrid'!I$38))/1000</f>
        <v>0</v>
      </c>
      <c r="J121" s="313">
        <f>'El og plugin hybrid'!I$16/1000*'El og plugin hybrid'!I$54</f>
        <v>0</v>
      </c>
      <c r="K121" s="291">
        <f>'El og plugin hybrid'!K$53*L121*IF('El og plugin hybrid'!K$34="nej","",IF('El og plugin hybrid'!K$36="ja",VLOOKUP('El og plugin hybrid'!K$59+($C121-1),Fremskrivninger!$A$9:$L$38,12),'El og plugin hybrid'!K$38))/1000</f>
        <v>0</v>
      </c>
      <c r="L121" s="313">
        <f>'El og plugin hybrid'!K$16/1000*'El og plugin hybrid'!K$54</f>
        <v>0</v>
      </c>
      <c r="M121" s="291">
        <f>'El og plugin hybrid'!M$53*N121*IF('El og plugin hybrid'!M$34="nej","",IF('El og plugin hybrid'!M$36="ja",VLOOKUP('El og plugin hybrid'!M$59+($C121-1),Fremskrivninger!$A$9:$L$38,12),'El og plugin hybrid'!M$38))/1000</f>
        <v>0</v>
      </c>
      <c r="N121" s="313">
        <f>'El og plugin hybrid'!M$16/1000*'El og plugin hybrid'!M$54</f>
        <v>0</v>
      </c>
      <c r="O121" s="291">
        <f>'El og plugin hybrid'!O$53*P121*IF('El og plugin hybrid'!O$34="nej","",IF('El og plugin hybrid'!O$36="ja",VLOOKUP('El og plugin hybrid'!O$59+($C121-1),Fremskrivninger!$A$9:$L$38,12),'El og plugin hybrid'!O$38))/1000</f>
        <v>0</v>
      </c>
      <c r="P121" s="313">
        <f>'El og plugin hybrid'!O$16/1000*'El og plugin hybrid'!O$54</f>
        <v>0</v>
      </c>
      <c r="Q121" s="291">
        <f>'El og plugin hybrid'!Q$53*R121*IF('El og plugin hybrid'!Q$34="nej","",IF('El og plugin hybrid'!Q$36="ja",VLOOKUP('El og plugin hybrid'!Q$59+($C121-1),Fremskrivninger!$A$9:$L$38,12),'El og plugin hybrid'!Q$38))/1000</f>
        <v>0</v>
      </c>
      <c r="R121" s="313">
        <f>'El og plugin hybrid'!Q$16/1000*'El og plugin hybrid'!Q$54</f>
        <v>0</v>
      </c>
      <c r="S121" s="291">
        <f>'El og plugin hybrid'!S$53*T121*IF('El og plugin hybrid'!S$34="nej","",IF('El og plugin hybrid'!S$36="ja",VLOOKUP('El og plugin hybrid'!S$59+($C121-1),Fremskrivninger!$A$9:$L$38,12),'El og plugin hybrid'!S$38))/1000</f>
        <v>0</v>
      </c>
      <c r="T121" s="313">
        <f>'El og plugin hybrid'!S$16/1000*'El og plugin hybrid'!S$54</f>
        <v>0</v>
      </c>
      <c r="U121" s="291">
        <f>'El og plugin hybrid'!U$53*V121*IF('El og plugin hybrid'!U$34="nej","",IF('El og plugin hybrid'!U$36="ja",VLOOKUP('El og plugin hybrid'!U$59+($C121-1),Fremskrivninger!$A$9:$L$38,12),'El og plugin hybrid'!U$38))/1000</f>
        <v>0</v>
      </c>
      <c r="V121" s="313">
        <f>'El og plugin hybrid'!U$16/1000*'El og plugin hybrid'!U$54</f>
        <v>0</v>
      </c>
      <c r="W121" s="291">
        <f>'El og plugin hybrid'!W$53*X121*IF('El og plugin hybrid'!W$34="nej","",IF('El og plugin hybrid'!W$36="ja",VLOOKUP('El og plugin hybrid'!W$59+($C121-1),Fremskrivninger!$A$9:$L$38,12),'El og plugin hybrid'!W$38))/1000</f>
        <v>0</v>
      </c>
      <c r="X121" s="313">
        <f>'El og plugin hybrid'!W$16/1000*'El og plugin hybrid'!W$54</f>
        <v>0</v>
      </c>
    </row>
    <row r="122" spans="1:24">
      <c r="A122" s="312"/>
      <c r="B122" s="285">
        <v>4</v>
      </c>
      <c r="C122" s="285">
        <f t="shared" si="6"/>
        <v>4</v>
      </c>
      <c r="D122" s="285"/>
      <c r="E122" s="291">
        <f>'El og plugin hybrid'!E$53*F122*IF('El og plugin hybrid'!E$34="nej","",IF('El og plugin hybrid'!E$36="ja",VLOOKUP('El og plugin hybrid'!E$59+($C122-1),Fremskrivninger!$A$9:$L$38,12),'El og plugin hybrid'!E$38))/1000</f>
        <v>0</v>
      </c>
      <c r="F122" s="313">
        <f>'El og plugin hybrid'!E$16/1000*'El og plugin hybrid'!E$54</f>
        <v>0</v>
      </c>
      <c r="G122" s="291">
        <f>'El og plugin hybrid'!G$53*H122*IF('El og plugin hybrid'!G$34="nej","",IF('El og plugin hybrid'!G$36="ja",VLOOKUP('El og plugin hybrid'!G$59+($C122-1),Fremskrivninger!$A$9:$L$38,12),'El og plugin hybrid'!G$38))/1000</f>
        <v>0</v>
      </c>
      <c r="H122" s="313">
        <f>'El og plugin hybrid'!G$16/1000*'El og plugin hybrid'!G$54</f>
        <v>0</v>
      </c>
      <c r="I122" s="291">
        <f>'El og plugin hybrid'!I$53*J122*IF('El og plugin hybrid'!I$34="nej","",IF('El og plugin hybrid'!I$36="ja",VLOOKUP('El og plugin hybrid'!I$59+($C122-1),Fremskrivninger!$A$9:$L$38,12),'El og plugin hybrid'!I$38))/1000</f>
        <v>0</v>
      </c>
      <c r="J122" s="313">
        <f>'El og plugin hybrid'!I$16/1000*'El og plugin hybrid'!I$54</f>
        <v>0</v>
      </c>
      <c r="K122" s="291">
        <f>'El og plugin hybrid'!K$53*L122*IF('El og plugin hybrid'!K$34="nej","",IF('El og plugin hybrid'!K$36="ja",VLOOKUP('El og plugin hybrid'!K$59+($C122-1),Fremskrivninger!$A$9:$L$38,12),'El og plugin hybrid'!K$38))/1000</f>
        <v>0</v>
      </c>
      <c r="L122" s="313">
        <f>'El og plugin hybrid'!K$16/1000*'El og plugin hybrid'!K$54</f>
        <v>0</v>
      </c>
      <c r="M122" s="291">
        <f>'El og plugin hybrid'!M$53*N122*IF('El og plugin hybrid'!M$34="nej","",IF('El og plugin hybrid'!M$36="ja",VLOOKUP('El og plugin hybrid'!M$59+($C122-1),Fremskrivninger!$A$9:$L$38,12),'El og plugin hybrid'!M$38))/1000</f>
        <v>0</v>
      </c>
      <c r="N122" s="313">
        <f>'El og plugin hybrid'!M$16/1000*'El og plugin hybrid'!M$54</f>
        <v>0</v>
      </c>
      <c r="O122" s="291">
        <f>'El og plugin hybrid'!O$53*P122*IF('El og plugin hybrid'!O$34="nej","",IF('El og plugin hybrid'!O$36="ja",VLOOKUP('El og plugin hybrid'!O$59+($C122-1),Fremskrivninger!$A$9:$L$38,12),'El og plugin hybrid'!O$38))/1000</f>
        <v>0</v>
      </c>
      <c r="P122" s="313">
        <f>'El og plugin hybrid'!O$16/1000*'El og plugin hybrid'!O$54</f>
        <v>0</v>
      </c>
      <c r="Q122" s="291">
        <f>'El og plugin hybrid'!Q$53*R122*IF('El og plugin hybrid'!Q$34="nej","",IF('El og plugin hybrid'!Q$36="ja",VLOOKUP('El og plugin hybrid'!Q$59+($C122-1),Fremskrivninger!$A$9:$L$38,12),'El og plugin hybrid'!Q$38))/1000</f>
        <v>0</v>
      </c>
      <c r="R122" s="313">
        <f>'El og plugin hybrid'!Q$16/1000*'El og plugin hybrid'!Q$54</f>
        <v>0</v>
      </c>
      <c r="S122" s="291">
        <f>'El og plugin hybrid'!S$53*T122*IF('El og plugin hybrid'!S$34="nej","",IF('El og plugin hybrid'!S$36="ja",VLOOKUP('El og plugin hybrid'!S$59+($C122-1),Fremskrivninger!$A$9:$L$38,12),'El og plugin hybrid'!S$38))/1000</f>
        <v>0</v>
      </c>
      <c r="T122" s="313">
        <f>'El og plugin hybrid'!S$16/1000*'El og plugin hybrid'!S$54</f>
        <v>0</v>
      </c>
      <c r="U122" s="291">
        <f>'El og plugin hybrid'!U$53*V122*IF('El og plugin hybrid'!U$34="nej","",IF('El og plugin hybrid'!U$36="ja",VLOOKUP('El og plugin hybrid'!U$59+($C122-1),Fremskrivninger!$A$9:$L$38,12),'El og plugin hybrid'!U$38))/1000</f>
        <v>0</v>
      </c>
      <c r="V122" s="313">
        <f>'El og plugin hybrid'!U$16/1000*'El og plugin hybrid'!U$54</f>
        <v>0</v>
      </c>
      <c r="W122" s="291">
        <f>'El og plugin hybrid'!W$53*X122*IF('El og plugin hybrid'!W$34="nej","",IF('El og plugin hybrid'!W$36="ja",VLOOKUP('El og plugin hybrid'!W$59+($C122-1),Fremskrivninger!$A$9:$L$38,12),'El og plugin hybrid'!W$38))/1000</f>
        <v>0</v>
      </c>
      <c r="X122" s="313">
        <f>'El og plugin hybrid'!W$16/1000*'El og plugin hybrid'!W$54</f>
        <v>0</v>
      </c>
    </row>
    <row r="123" spans="1:24">
      <c r="A123" s="312"/>
      <c r="B123" s="285">
        <v>5</v>
      </c>
      <c r="C123" s="285">
        <f t="shared" si="6"/>
        <v>5</v>
      </c>
      <c r="D123" s="285"/>
      <c r="E123" s="291">
        <f>'El og plugin hybrid'!E$53*F123*IF('El og plugin hybrid'!E$34="nej","",IF('El og plugin hybrid'!E$36="ja",VLOOKUP('El og plugin hybrid'!E$59+($C123-1),Fremskrivninger!$A$9:$L$38,12),'El og plugin hybrid'!E$38))/1000</f>
        <v>0</v>
      </c>
      <c r="F123" s="313">
        <f>'El og plugin hybrid'!E$16/1000*'El og plugin hybrid'!E$54</f>
        <v>0</v>
      </c>
      <c r="G123" s="291">
        <f>'El og plugin hybrid'!G$53*H123*IF('El og plugin hybrid'!G$34="nej","",IF('El og plugin hybrid'!G$36="ja",VLOOKUP('El og plugin hybrid'!G$59+($C123-1),Fremskrivninger!$A$9:$L$38,12),'El og plugin hybrid'!G$38))/1000</f>
        <v>0</v>
      </c>
      <c r="H123" s="313">
        <f>'El og plugin hybrid'!G$16/1000*'El og plugin hybrid'!G$54</f>
        <v>0</v>
      </c>
      <c r="I123" s="291">
        <f>'El og plugin hybrid'!I$53*J123*IF('El og plugin hybrid'!I$34="nej","",IF('El og plugin hybrid'!I$36="ja",VLOOKUP('El og plugin hybrid'!I$59+($C123-1),Fremskrivninger!$A$9:$L$38,12),'El og plugin hybrid'!I$38))/1000</f>
        <v>0</v>
      </c>
      <c r="J123" s="313">
        <f>'El og plugin hybrid'!I$16/1000*'El og plugin hybrid'!I$54</f>
        <v>0</v>
      </c>
      <c r="K123" s="291">
        <f>'El og plugin hybrid'!K$53*L123*IF('El og plugin hybrid'!K$34="nej","",IF('El og plugin hybrid'!K$36="ja",VLOOKUP('El og plugin hybrid'!K$59+($C123-1),Fremskrivninger!$A$9:$L$38,12),'El og plugin hybrid'!K$38))/1000</f>
        <v>0</v>
      </c>
      <c r="L123" s="313">
        <f>'El og plugin hybrid'!K$16/1000*'El og plugin hybrid'!K$54</f>
        <v>0</v>
      </c>
      <c r="M123" s="291">
        <f>'El og plugin hybrid'!M$53*N123*IF('El og plugin hybrid'!M$34="nej","",IF('El og plugin hybrid'!M$36="ja",VLOOKUP('El og plugin hybrid'!M$59+($C123-1),Fremskrivninger!$A$9:$L$38,12),'El og plugin hybrid'!M$38))/1000</f>
        <v>0</v>
      </c>
      <c r="N123" s="313">
        <f>'El og plugin hybrid'!M$16/1000*'El og plugin hybrid'!M$54</f>
        <v>0</v>
      </c>
      <c r="O123" s="291">
        <f>'El og plugin hybrid'!O$53*P123*IF('El og plugin hybrid'!O$34="nej","",IF('El og plugin hybrid'!O$36="ja",VLOOKUP('El og plugin hybrid'!O$59+($C123-1),Fremskrivninger!$A$9:$L$38,12),'El og plugin hybrid'!O$38))/1000</f>
        <v>0</v>
      </c>
      <c r="P123" s="313">
        <f>'El og plugin hybrid'!O$16/1000*'El og plugin hybrid'!O$54</f>
        <v>0</v>
      </c>
      <c r="Q123" s="291">
        <f>'El og plugin hybrid'!Q$53*R123*IF('El og plugin hybrid'!Q$34="nej","",IF('El og plugin hybrid'!Q$36="ja",VLOOKUP('El og plugin hybrid'!Q$59+($C123-1),Fremskrivninger!$A$9:$L$38,12),'El og plugin hybrid'!Q$38))/1000</f>
        <v>0</v>
      </c>
      <c r="R123" s="313">
        <f>'El og plugin hybrid'!Q$16/1000*'El og plugin hybrid'!Q$54</f>
        <v>0</v>
      </c>
      <c r="S123" s="291">
        <f>'El og plugin hybrid'!S$53*T123*IF('El og plugin hybrid'!S$34="nej","",IF('El og plugin hybrid'!S$36="ja",VLOOKUP('El og plugin hybrid'!S$59+($C123-1),Fremskrivninger!$A$9:$L$38,12),'El og plugin hybrid'!S$38))/1000</f>
        <v>0</v>
      </c>
      <c r="T123" s="313">
        <f>'El og plugin hybrid'!S$16/1000*'El og plugin hybrid'!S$54</f>
        <v>0</v>
      </c>
      <c r="U123" s="291">
        <f>'El og plugin hybrid'!U$53*V123*IF('El og plugin hybrid'!U$34="nej","",IF('El og plugin hybrid'!U$36="ja",VLOOKUP('El og plugin hybrid'!U$59+($C123-1),Fremskrivninger!$A$9:$L$38,12),'El og plugin hybrid'!U$38))/1000</f>
        <v>0</v>
      </c>
      <c r="V123" s="313">
        <f>'El og plugin hybrid'!U$16/1000*'El og plugin hybrid'!U$54</f>
        <v>0</v>
      </c>
      <c r="W123" s="291">
        <f>'El og plugin hybrid'!W$53*X123*IF('El og plugin hybrid'!W$34="nej","",IF('El og plugin hybrid'!W$36="ja",VLOOKUP('El og plugin hybrid'!W$59+($C123-1),Fremskrivninger!$A$9:$L$38,12),'El og plugin hybrid'!W$38))/1000</f>
        <v>0</v>
      </c>
      <c r="X123" s="313">
        <f>'El og plugin hybrid'!W$16/1000*'El og plugin hybrid'!W$54</f>
        <v>0</v>
      </c>
    </row>
    <row r="124" spans="1:24">
      <c r="A124" s="312"/>
      <c r="B124" s="285">
        <v>6</v>
      </c>
      <c r="C124" s="285">
        <f t="shared" si="6"/>
        <v>6</v>
      </c>
      <c r="D124" s="285"/>
      <c r="E124" s="291">
        <f>'El og plugin hybrid'!E$53*F124*IF('El og plugin hybrid'!E$34="nej","",IF('El og plugin hybrid'!E$36="ja",VLOOKUP('El og plugin hybrid'!E$59+($C124-1),Fremskrivninger!$A$9:$L$38,12),'El og plugin hybrid'!E$38))/1000</f>
        <v>0</v>
      </c>
      <c r="F124" s="313">
        <f>'El og plugin hybrid'!E$16/1000*'El og plugin hybrid'!E$54</f>
        <v>0</v>
      </c>
      <c r="G124" s="291">
        <f>'El og plugin hybrid'!G$53*H124*IF('El og plugin hybrid'!G$34="nej","",IF('El og plugin hybrid'!G$36="ja",VLOOKUP('El og plugin hybrid'!G$59+($C124-1),Fremskrivninger!$A$9:$L$38,12),'El og plugin hybrid'!G$38))/1000</f>
        <v>0</v>
      </c>
      <c r="H124" s="313">
        <f>'El og plugin hybrid'!G$16/1000*'El og plugin hybrid'!G$54</f>
        <v>0</v>
      </c>
      <c r="I124" s="291">
        <f>'El og plugin hybrid'!I$53*J124*IF('El og plugin hybrid'!I$34="nej","",IF('El og plugin hybrid'!I$36="ja",VLOOKUP('El og plugin hybrid'!I$59+($C124-1),Fremskrivninger!$A$9:$L$38,12),'El og plugin hybrid'!I$38))/1000</f>
        <v>0</v>
      </c>
      <c r="J124" s="313">
        <f>'El og plugin hybrid'!I$16/1000*'El og plugin hybrid'!I$54</f>
        <v>0</v>
      </c>
      <c r="K124" s="291">
        <f>'El og plugin hybrid'!K$53*L124*IF('El og plugin hybrid'!K$34="nej","",IF('El og plugin hybrid'!K$36="ja",VLOOKUP('El og plugin hybrid'!K$59+($C124-1),Fremskrivninger!$A$9:$L$38,12),'El og plugin hybrid'!K$38))/1000</f>
        <v>0</v>
      </c>
      <c r="L124" s="313">
        <f>'El og plugin hybrid'!K$16/1000*'El og plugin hybrid'!K$54</f>
        <v>0</v>
      </c>
      <c r="M124" s="291">
        <f>'El og plugin hybrid'!M$53*N124*IF('El og plugin hybrid'!M$34="nej","",IF('El og plugin hybrid'!M$36="ja",VLOOKUP('El og plugin hybrid'!M$59+($C124-1),Fremskrivninger!$A$9:$L$38,12),'El og plugin hybrid'!M$38))/1000</f>
        <v>0</v>
      </c>
      <c r="N124" s="313">
        <f>'El og plugin hybrid'!M$16/1000*'El og plugin hybrid'!M$54</f>
        <v>0</v>
      </c>
      <c r="O124" s="291">
        <f>'El og plugin hybrid'!O$53*P124*IF('El og plugin hybrid'!O$34="nej","",IF('El og plugin hybrid'!O$36="ja",VLOOKUP('El og plugin hybrid'!O$59+($C124-1),Fremskrivninger!$A$9:$L$38,12),'El og plugin hybrid'!O$38))/1000</f>
        <v>0</v>
      </c>
      <c r="P124" s="313">
        <f>'El og plugin hybrid'!O$16/1000*'El og plugin hybrid'!O$54</f>
        <v>0</v>
      </c>
      <c r="Q124" s="291">
        <f>'El og plugin hybrid'!Q$53*R124*IF('El og plugin hybrid'!Q$34="nej","",IF('El og plugin hybrid'!Q$36="ja",VLOOKUP('El og plugin hybrid'!Q$59+($C124-1),Fremskrivninger!$A$9:$L$38,12),'El og plugin hybrid'!Q$38))/1000</f>
        <v>0</v>
      </c>
      <c r="R124" s="313">
        <f>'El og plugin hybrid'!Q$16/1000*'El og plugin hybrid'!Q$54</f>
        <v>0</v>
      </c>
      <c r="S124" s="291">
        <f>'El og plugin hybrid'!S$53*T124*IF('El og plugin hybrid'!S$34="nej","",IF('El og plugin hybrid'!S$36="ja",VLOOKUP('El og plugin hybrid'!S$59+($C124-1),Fremskrivninger!$A$9:$L$38,12),'El og plugin hybrid'!S$38))/1000</f>
        <v>0</v>
      </c>
      <c r="T124" s="313">
        <f>'El og plugin hybrid'!S$16/1000*'El og plugin hybrid'!S$54</f>
        <v>0</v>
      </c>
      <c r="U124" s="291">
        <f>'El og plugin hybrid'!U$53*V124*IF('El og plugin hybrid'!U$34="nej","",IF('El og plugin hybrid'!U$36="ja",VLOOKUP('El og plugin hybrid'!U$59+($C124-1),Fremskrivninger!$A$9:$L$38,12),'El og plugin hybrid'!U$38))/1000</f>
        <v>0</v>
      </c>
      <c r="V124" s="313">
        <f>'El og plugin hybrid'!U$16/1000*'El og plugin hybrid'!U$54</f>
        <v>0</v>
      </c>
      <c r="W124" s="291">
        <f>'El og plugin hybrid'!W$53*X124*IF('El og plugin hybrid'!W$34="nej","",IF('El og plugin hybrid'!W$36="ja",VLOOKUP('El og plugin hybrid'!W$59+($C124-1),Fremskrivninger!$A$9:$L$38,12),'El og plugin hybrid'!W$38))/1000</f>
        <v>0</v>
      </c>
      <c r="X124" s="313">
        <f>'El og plugin hybrid'!W$16/1000*'El og plugin hybrid'!W$54</f>
        <v>0</v>
      </c>
    </row>
    <row r="125" spans="1:24">
      <c r="A125" s="312"/>
      <c r="B125" s="285">
        <v>7</v>
      </c>
      <c r="C125" s="285">
        <f t="shared" si="6"/>
        <v>7</v>
      </c>
      <c r="D125" s="285"/>
      <c r="E125" s="291">
        <f>'El og plugin hybrid'!E$53*F125*IF('El og plugin hybrid'!E$34="nej","",IF('El og plugin hybrid'!E$36="ja",VLOOKUP('El og plugin hybrid'!E$59+($C125-1),Fremskrivninger!$A$9:$L$38,12),'El og plugin hybrid'!E$38))/1000</f>
        <v>0</v>
      </c>
      <c r="F125" s="313">
        <f>'El og plugin hybrid'!E$16/1000*'El og plugin hybrid'!E$54</f>
        <v>0</v>
      </c>
      <c r="G125" s="291">
        <f>'El og plugin hybrid'!G$53*H125*IF('El og plugin hybrid'!G$34="nej","",IF('El og plugin hybrid'!G$36="ja",VLOOKUP('El og plugin hybrid'!G$59+($C125-1),Fremskrivninger!$A$9:$L$38,12),'El og plugin hybrid'!G$38))/1000</f>
        <v>0</v>
      </c>
      <c r="H125" s="313">
        <f>'El og plugin hybrid'!G$16/1000*'El og plugin hybrid'!G$54</f>
        <v>0</v>
      </c>
      <c r="I125" s="291">
        <f>'El og plugin hybrid'!I$53*J125*IF('El og plugin hybrid'!I$34="nej","",IF('El og plugin hybrid'!I$36="ja",VLOOKUP('El og plugin hybrid'!I$59+($C125-1),Fremskrivninger!$A$9:$L$38,12),'El og plugin hybrid'!I$38))/1000</f>
        <v>0</v>
      </c>
      <c r="J125" s="313">
        <f>'El og plugin hybrid'!I$16/1000*'El og plugin hybrid'!I$54</f>
        <v>0</v>
      </c>
      <c r="K125" s="291">
        <f>'El og plugin hybrid'!K$53*L125*IF('El og plugin hybrid'!K$34="nej","",IF('El og plugin hybrid'!K$36="ja",VLOOKUP('El og plugin hybrid'!K$59+($C125-1),Fremskrivninger!$A$9:$L$38,12),'El og plugin hybrid'!K$38))/1000</f>
        <v>0</v>
      </c>
      <c r="L125" s="313">
        <f>'El og plugin hybrid'!K$16/1000*'El og plugin hybrid'!K$54</f>
        <v>0</v>
      </c>
      <c r="M125" s="291">
        <f>'El og plugin hybrid'!M$53*N125*IF('El og plugin hybrid'!M$34="nej","",IF('El og plugin hybrid'!M$36="ja",VLOOKUP('El og plugin hybrid'!M$59+($C125-1),Fremskrivninger!$A$9:$L$38,12),'El og plugin hybrid'!M$38))/1000</f>
        <v>0</v>
      </c>
      <c r="N125" s="313">
        <f>'El og plugin hybrid'!M$16/1000*'El og plugin hybrid'!M$54</f>
        <v>0</v>
      </c>
      <c r="O125" s="291">
        <f>'El og plugin hybrid'!O$53*P125*IF('El og plugin hybrid'!O$34="nej","",IF('El og plugin hybrid'!O$36="ja",VLOOKUP('El og plugin hybrid'!O$59+($C125-1),Fremskrivninger!$A$9:$L$38,12),'El og plugin hybrid'!O$38))/1000</f>
        <v>0</v>
      </c>
      <c r="P125" s="313">
        <f>'El og plugin hybrid'!O$16/1000*'El og plugin hybrid'!O$54</f>
        <v>0</v>
      </c>
      <c r="Q125" s="291">
        <f>'El og plugin hybrid'!Q$53*R125*IF('El og plugin hybrid'!Q$34="nej","",IF('El og plugin hybrid'!Q$36="ja",VLOOKUP('El og plugin hybrid'!Q$59+($C125-1),Fremskrivninger!$A$9:$L$38,12),'El og plugin hybrid'!Q$38))/1000</f>
        <v>0</v>
      </c>
      <c r="R125" s="313">
        <f>'El og plugin hybrid'!Q$16/1000*'El og plugin hybrid'!Q$54</f>
        <v>0</v>
      </c>
      <c r="S125" s="291">
        <f>'El og plugin hybrid'!S$53*T125*IF('El og plugin hybrid'!S$34="nej","",IF('El og plugin hybrid'!S$36="ja",VLOOKUP('El og plugin hybrid'!S$59+($C125-1),Fremskrivninger!$A$9:$L$38,12),'El og plugin hybrid'!S$38))/1000</f>
        <v>0</v>
      </c>
      <c r="T125" s="313">
        <f>'El og plugin hybrid'!S$16/1000*'El og plugin hybrid'!S$54</f>
        <v>0</v>
      </c>
      <c r="U125" s="291">
        <f>'El og plugin hybrid'!U$53*V125*IF('El og plugin hybrid'!U$34="nej","",IF('El og plugin hybrid'!U$36="ja",VLOOKUP('El og plugin hybrid'!U$59+($C125-1),Fremskrivninger!$A$9:$L$38,12),'El og plugin hybrid'!U$38))/1000</f>
        <v>0</v>
      </c>
      <c r="V125" s="313">
        <f>'El og plugin hybrid'!U$16/1000*'El og plugin hybrid'!U$54</f>
        <v>0</v>
      </c>
      <c r="W125" s="291">
        <f>'El og plugin hybrid'!W$53*X125*IF('El og plugin hybrid'!W$34="nej","",IF('El og plugin hybrid'!W$36="ja",VLOOKUP('El og plugin hybrid'!W$59+($C125-1),Fremskrivninger!$A$9:$L$38,12),'El og plugin hybrid'!W$38))/1000</f>
        <v>0</v>
      </c>
      <c r="X125" s="313">
        <f>'El og plugin hybrid'!W$16/1000*'El og plugin hybrid'!W$54</f>
        <v>0</v>
      </c>
    </row>
    <row r="126" spans="1:24">
      <c r="A126" s="312"/>
      <c r="B126" s="285">
        <v>8</v>
      </c>
      <c r="C126" s="285">
        <f t="shared" si="6"/>
        <v>8</v>
      </c>
      <c r="D126" s="285"/>
      <c r="E126" s="291">
        <f>'El og plugin hybrid'!E$53*F126*IF('El og plugin hybrid'!E$34="nej","",IF('El og plugin hybrid'!E$36="ja",VLOOKUP('El og plugin hybrid'!E$59+($C126-1),Fremskrivninger!$A$9:$L$38,12),'El og plugin hybrid'!E$38))/1000</f>
        <v>0</v>
      </c>
      <c r="F126" s="313">
        <f>'El og plugin hybrid'!E$16/1000*'El og plugin hybrid'!E$54</f>
        <v>0</v>
      </c>
      <c r="G126" s="291">
        <f>'El og plugin hybrid'!G$53*H126*IF('El og plugin hybrid'!G$34="nej","",IF('El og plugin hybrid'!G$36="ja",VLOOKUP('El og plugin hybrid'!G$59+($C126-1),Fremskrivninger!$A$9:$L$38,12),'El og plugin hybrid'!G$38))/1000</f>
        <v>0</v>
      </c>
      <c r="H126" s="313">
        <f>'El og plugin hybrid'!G$16/1000*'El og plugin hybrid'!G$54</f>
        <v>0</v>
      </c>
      <c r="I126" s="291">
        <f>'El og plugin hybrid'!I$53*J126*IF('El og plugin hybrid'!I$34="nej","",IF('El og plugin hybrid'!I$36="ja",VLOOKUP('El og plugin hybrid'!I$59+($C126-1),Fremskrivninger!$A$9:$L$38,12),'El og plugin hybrid'!I$38))/1000</f>
        <v>0</v>
      </c>
      <c r="J126" s="313">
        <f>'El og plugin hybrid'!I$16/1000*'El og plugin hybrid'!I$54</f>
        <v>0</v>
      </c>
      <c r="K126" s="291">
        <f>'El og plugin hybrid'!K$53*L126*IF('El og plugin hybrid'!K$34="nej","",IF('El og plugin hybrid'!K$36="ja",VLOOKUP('El og plugin hybrid'!K$59+($C126-1),Fremskrivninger!$A$9:$L$38,12),'El og plugin hybrid'!K$38))/1000</f>
        <v>0</v>
      </c>
      <c r="L126" s="313">
        <f>'El og plugin hybrid'!K$16/1000*'El og plugin hybrid'!K$54</f>
        <v>0</v>
      </c>
      <c r="M126" s="291">
        <f>'El og plugin hybrid'!M$53*N126*IF('El og plugin hybrid'!M$34="nej","",IF('El og plugin hybrid'!M$36="ja",VLOOKUP('El og plugin hybrid'!M$59+($C126-1),Fremskrivninger!$A$9:$L$38,12),'El og plugin hybrid'!M$38))/1000</f>
        <v>0</v>
      </c>
      <c r="N126" s="313">
        <f>'El og plugin hybrid'!M$16/1000*'El og plugin hybrid'!M$54</f>
        <v>0</v>
      </c>
      <c r="O126" s="291">
        <f>'El og plugin hybrid'!O$53*P126*IF('El og plugin hybrid'!O$34="nej","",IF('El og plugin hybrid'!O$36="ja",VLOOKUP('El og plugin hybrid'!O$59+($C126-1),Fremskrivninger!$A$9:$L$38,12),'El og plugin hybrid'!O$38))/1000</f>
        <v>0</v>
      </c>
      <c r="P126" s="313">
        <f>'El og plugin hybrid'!O$16/1000*'El og plugin hybrid'!O$54</f>
        <v>0</v>
      </c>
      <c r="Q126" s="291">
        <f>'El og plugin hybrid'!Q$53*R126*IF('El og plugin hybrid'!Q$34="nej","",IF('El og plugin hybrid'!Q$36="ja",VLOOKUP('El og plugin hybrid'!Q$59+($C126-1),Fremskrivninger!$A$9:$L$38,12),'El og plugin hybrid'!Q$38))/1000</f>
        <v>0</v>
      </c>
      <c r="R126" s="313">
        <f>'El og plugin hybrid'!Q$16/1000*'El og plugin hybrid'!Q$54</f>
        <v>0</v>
      </c>
      <c r="S126" s="291">
        <f>'El og plugin hybrid'!S$53*T126*IF('El og plugin hybrid'!S$34="nej","",IF('El og plugin hybrid'!S$36="ja",VLOOKUP('El og plugin hybrid'!S$59+($C126-1),Fremskrivninger!$A$9:$L$38,12),'El og plugin hybrid'!S$38))/1000</f>
        <v>0</v>
      </c>
      <c r="T126" s="313">
        <f>'El og plugin hybrid'!S$16/1000*'El og plugin hybrid'!S$54</f>
        <v>0</v>
      </c>
      <c r="U126" s="291">
        <f>'El og plugin hybrid'!U$53*V126*IF('El og plugin hybrid'!U$34="nej","",IF('El og plugin hybrid'!U$36="ja",VLOOKUP('El og plugin hybrid'!U$59+($C126-1),Fremskrivninger!$A$9:$L$38,12),'El og plugin hybrid'!U$38))/1000</f>
        <v>0</v>
      </c>
      <c r="V126" s="313">
        <f>'El og plugin hybrid'!U$16/1000*'El og plugin hybrid'!U$54</f>
        <v>0</v>
      </c>
      <c r="W126" s="291">
        <f>'El og plugin hybrid'!W$53*X126*IF('El og plugin hybrid'!W$34="nej","",IF('El og plugin hybrid'!W$36="ja",VLOOKUP('El og plugin hybrid'!W$59+($C126-1),Fremskrivninger!$A$9:$L$38,12),'El og plugin hybrid'!W$38))/1000</f>
        <v>0</v>
      </c>
      <c r="X126" s="313">
        <f>'El og plugin hybrid'!W$16/1000*'El og plugin hybrid'!W$54</f>
        <v>0</v>
      </c>
    </row>
    <row r="127" spans="1:24">
      <c r="A127" s="312"/>
      <c r="B127" s="285">
        <v>9</v>
      </c>
      <c r="C127" s="285">
        <f t="shared" si="6"/>
        <v>9</v>
      </c>
      <c r="D127" s="285"/>
      <c r="E127" s="291">
        <f>'El og plugin hybrid'!E$53*F127*IF('El og plugin hybrid'!E$34="nej","",IF('El og plugin hybrid'!E$36="ja",VLOOKUP('El og plugin hybrid'!E$59+($C127-1),Fremskrivninger!$A$9:$L$38,12),'El og plugin hybrid'!E$38))/1000</f>
        <v>0</v>
      </c>
      <c r="F127" s="313">
        <f>'El og plugin hybrid'!E$16/1000*'El og plugin hybrid'!E$54</f>
        <v>0</v>
      </c>
      <c r="G127" s="291">
        <f>'El og plugin hybrid'!G$53*H127*IF('El og plugin hybrid'!G$34="nej","",IF('El og plugin hybrid'!G$36="ja",VLOOKUP('El og plugin hybrid'!G$59+($C127-1),Fremskrivninger!$A$9:$L$38,12),'El og plugin hybrid'!G$38))/1000</f>
        <v>0</v>
      </c>
      <c r="H127" s="313">
        <f>'El og plugin hybrid'!G$16/1000*'El og plugin hybrid'!G$54</f>
        <v>0</v>
      </c>
      <c r="I127" s="291">
        <f>'El og plugin hybrid'!I$53*J127*IF('El og plugin hybrid'!I$34="nej","",IF('El og plugin hybrid'!I$36="ja",VLOOKUP('El og plugin hybrid'!I$59+($C127-1),Fremskrivninger!$A$9:$L$38,12),'El og plugin hybrid'!I$38))/1000</f>
        <v>0</v>
      </c>
      <c r="J127" s="313">
        <f>'El og plugin hybrid'!I$16/1000*'El og plugin hybrid'!I$54</f>
        <v>0</v>
      </c>
      <c r="K127" s="291">
        <f>'El og plugin hybrid'!K$53*L127*IF('El og plugin hybrid'!K$34="nej","",IF('El og plugin hybrid'!K$36="ja",VLOOKUP('El og plugin hybrid'!K$59+($C127-1),Fremskrivninger!$A$9:$L$38,12),'El og plugin hybrid'!K$38))/1000</f>
        <v>0</v>
      </c>
      <c r="L127" s="313">
        <f>'El og plugin hybrid'!K$16/1000*'El og plugin hybrid'!K$54</f>
        <v>0</v>
      </c>
      <c r="M127" s="291">
        <f>'El og plugin hybrid'!M$53*N127*IF('El og plugin hybrid'!M$34="nej","",IF('El og plugin hybrid'!M$36="ja",VLOOKUP('El og plugin hybrid'!M$59+($C127-1),Fremskrivninger!$A$9:$L$38,12),'El og plugin hybrid'!M$38))/1000</f>
        <v>0</v>
      </c>
      <c r="N127" s="313">
        <f>'El og plugin hybrid'!M$16/1000*'El og plugin hybrid'!M$54</f>
        <v>0</v>
      </c>
      <c r="O127" s="291">
        <f>'El og plugin hybrid'!O$53*P127*IF('El og plugin hybrid'!O$34="nej","",IF('El og plugin hybrid'!O$36="ja",VLOOKUP('El og plugin hybrid'!O$59+($C127-1),Fremskrivninger!$A$9:$L$38,12),'El og plugin hybrid'!O$38))/1000</f>
        <v>0</v>
      </c>
      <c r="P127" s="313">
        <f>'El og plugin hybrid'!O$16/1000*'El og plugin hybrid'!O$54</f>
        <v>0</v>
      </c>
      <c r="Q127" s="291">
        <f>'El og plugin hybrid'!Q$53*R127*IF('El og plugin hybrid'!Q$34="nej","",IF('El og plugin hybrid'!Q$36="ja",VLOOKUP('El og plugin hybrid'!Q$59+($C127-1),Fremskrivninger!$A$9:$L$38,12),'El og plugin hybrid'!Q$38))/1000</f>
        <v>0</v>
      </c>
      <c r="R127" s="313">
        <f>'El og plugin hybrid'!Q$16/1000*'El og plugin hybrid'!Q$54</f>
        <v>0</v>
      </c>
      <c r="S127" s="291">
        <f>'El og plugin hybrid'!S$53*T127*IF('El og plugin hybrid'!S$34="nej","",IF('El og plugin hybrid'!S$36="ja",VLOOKUP('El og plugin hybrid'!S$59+($C127-1),Fremskrivninger!$A$9:$L$38,12),'El og plugin hybrid'!S$38))/1000</f>
        <v>0</v>
      </c>
      <c r="T127" s="313">
        <f>'El og plugin hybrid'!S$16/1000*'El og plugin hybrid'!S$54</f>
        <v>0</v>
      </c>
      <c r="U127" s="291">
        <f>'El og plugin hybrid'!U$53*V127*IF('El og plugin hybrid'!U$34="nej","",IF('El og plugin hybrid'!U$36="ja",VLOOKUP('El og plugin hybrid'!U$59+($C127-1),Fremskrivninger!$A$9:$L$38,12),'El og plugin hybrid'!U$38))/1000</f>
        <v>0</v>
      </c>
      <c r="V127" s="313">
        <f>'El og plugin hybrid'!U$16/1000*'El og plugin hybrid'!U$54</f>
        <v>0</v>
      </c>
      <c r="W127" s="291">
        <f>'El og plugin hybrid'!W$53*X127*IF('El og plugin hybrid'!W$34="nej","",IF('El og plugin hybrid'!W$36="ja",VLOOKUP('El og plugin hybrid'!W$59+($C127-1),Fremskrivninger!$A$9:$L$38,12),'El og plugin hybrid'!W$38))/1000</f>
        <v>0</v>
      </c>
      <c r="X127" s="313">
        <f>'El og plugin hybrid'!W$16/1000*'El og plugin hybrid'!W$54</f>
        <v>0</v>
      </c>
    </row>
    <row r="128" spans="1:24">
      <c r="A128" s="312"/>
      <c r="B128" s="285">
        <v>10</v>
      </c>
      <c r="C128" s="285">
        <f t="shared" si="6"/>
        <v>10</v>
      </c>
      <c r="D128" s="285"/>
      <c r="E128" s="291">
        <f>'El og plugin hybrid'!E$53*F128*IF('El og plugin hybrid'!E$34="nej","",IF('El og plugin hybrid'!E$36="ja",VLOOKUP('El og plugin hybrid'!E$59+($C128-1),Fremskrivninger!$A$9:$L$38,12),'El og plugin hybrid'!E$38))/1000</f>
        <v>0</v>
      </c>
      <c r="F128" s="313">
        <f>'El og plugin hybrid'!E$16/1000*'El og plugin hybrid'!E$54</f>
        <v>0</v>
      </c>
      <c r="G128" s="291">
        <f>'El og plugin hybrid'!G$53*H128*IF('El og plugin hybrid'!G$34="nej","",IF('El og plugin hybrid'!G$36="ja",VLOOKUP('El og plugin hybrid'!G$59+($C128-1),Fremskrivninger!$A$9:$L$38,12),'El og plugin hybrid'!G$38))/1000</f>
        <v>0</v>
      </c>
      <c r="H128" s="313">
        <f>'El og plugin hybrid'!G$16/1000*'El og plugin hybrid'!G$54</f>
        <v>0</v>
      </c>
      <c r="I128" s="291">
        <f>'El og plugin hybrid'!I$53*J128*IF('El og plugin hybrid'!I$34="nej","",IF('El og plugin hybrid'!I$36="ja",VLOOKUP('El og plugin hybrid'!I$59+($C128-1),Fremskrivninger!$A$9:$L$38,12),'El og plugin hybrid'!I$38))/1000</f>
        <v>0</v>
      </c>
      <c r="J128" s="313">
        <f>'El og plugin hybrid'!I$16/1000*'El og plugin hybrid'!I$54</f>
        <v>0</v>
      </c>
      <c r="K128" s="291">
        <f>'El og plugin hybrid'!K$53*L128*IF('El og plugin hybrid'!K$34="nej","",IF('El og plugin hybrid'!K$36="ja",VLOOKUP('El og plugin hybrid'!K$59+($C128-1),Fremskrivninger!$A$9:$L$38,12),'El og plugin hybrid'!K$38))/1000</f>
        <v>0</v>
      </c>
      <c r="L128" s="313">
        <f>'El og plugin hybrid'!K$16/1000*'El og plugin hybrid'!K$54</f>
        <v>0</v>
      </c>
      <c r="M128" s="291">
        <f>'El og plugin hybrid'!M$53*N128*IF('El og plugin hybrid'!M$34="nej","",IF('El og plugin hybrid'!M$36="ja",VLOOKUP('El og plugin hybrid'!M$59+($C128-1),Fremskrivninger!$A$9:$L$38,12),'El og plugin hybrid'!M$38))/1000</f>
        <v>0</v>
      </c>
      <c r="N128" s="313">
        <f>'El og plugin hybrid'!M$16/1000*'El og plugin hybrid'!M$54</f>
        <v>0</v>
      </c>
      <c r="O128" s="291">
        <f>'El og plugin hybrid'!O$53*P128*IF('El og plugin hybrid'!O$34="nej","",IF('El og plugin hybrid'!O$36="ja",VLOOKUP('El og plugin hybrid'!O$59+($C128-1),Fremskrivninger!$A$9:$L$38,12),'El og plugin hybrid'!O$38))/1000</f>
        <v>0</v>
      </c>
      <c r="P128" s="313">
        <f>'El og plugin hybrid'!O$16/1000*'El og plugin hybrid'!O$54</f>
        <v>0</v>
      </c>
      <c r="Q128" s="291">
        <f>'El og plugin hybrid'!Q$53*R128*IF('El og plugin hybrid'!Q$34="nej","",IF('El og plugin hybrid'!Q$36="ja",VLOOKUP('El og plugin hybrid'!Q$59+($C128-1),Fremskrivninger!$A$9:$L$38,12),'El og plugin hybrid'!Q$38))/1000</f>
        <v>0</v>
      </c>
      <c r="R128" s="313">
        <f>'El og plugin hybrid'!Q$16/1000*'El og plugin hybrid'!Q$54</f>
        <v>0</v>
      </c>
      <c r="S128" s="291">
        <f>'El og plugin hybrid'!S$53*T128*IF('El og plugin hybrid'!S$34="nej","",IF('El og plugin hybrid'!S$36="ja",VLOOKUP('El og plugin hybrid'!S$59+($C128-1),Fremskrivninger!$A$9:$L$38,12),'El og plugin hybrid'!S$38))/1000</f>
        <v>0</v>
      </c>
      <c r="T128" s="313">
        <f>'El og plugin hybrid'!S$16/1000*'El og plugin hybrid'!S$54</f>
        <v>0</v>
      </c>
      <c r="U128" s="291">
        <f>'El og plugin hybrid'!U$53*V128*IF('El og plugin hybrid'!U$34="nej","",IF('El og plugin hybrid'!U$36="ja",VLOOKUP('El og plugin hybrid'!U$59+($C128-1),Fremskrivninger!$A$9:$L$38,12),'El og plugin hybrid'!U$38))/1000</f>
        <v>0</v>
      </c>
      <c r="V128" s="313">
        <f>'El og plugin hybrid'!U$16/1000*'El og plugin hybrid'!U$54</f>
        <v>0</v>
      </c>
      <c r="W128" s="291">
        <f>'El og plugin hybrid'!W$53*X128*IF('El og plugin hybrid'!W$34="nej","",IF('El og plugin hybrid'!W$36="ja",VLOOKUP('El og plugin hybrid'!W$59+($C128-1),Fremskrivninger!$A$9:$L$38,12),'El og plugin hybrid'!W$38))/1000</f>
        <v>0</v>
      </c>
      <c r="X128" s="313">
        <f>'El og plugin hybrid'!W$16/1000*'El og plugin hybrid'!W$54</f>
        <v>0</v>
      </c>
    </row>
    <row r="129" spans="1:24">
      <c r="A129" s="312"/>
      <c r="B129" s="285">
        <v>11</v>
      </c>
      <c r="C129" s="285">
        <f t="shared" si="6"/>
        <v>11</v>
      </c>
      <c r="D129" s="285"/>
      <c r="E129" s="291">
        <f>'El og plugin hybrid'!E$53*F129*IF('El og plugin hybrid'!E$34="nej","",IF('El og plugin hybrid'!E$36="ja",VLOOKUP('El og plugin hybrid'!E$59+($C129-1),Fremskrivninger!$A$9:$L$38,12),'El og plugin hybrid'!E$38))/1000</f>
        <v>0</v>
      </c>
      <c r="F129" s="313">
        <f>'El og plugin hybrid'!E$16/1000*'El og plugin hybrid'!E$54</f>
        <v>0</v>
      </c>
      <c r="G129" s="291">
        <f>'El og plugin hybrid'!G$53*H129*IF('El og plugin hybrid'!G$34="nej","",IF('El og plugin hybrid'!G$36="ja",VLOOKUP('El og plugin hybrid'!G$59+($C129-1),Fremskrivninger!$A$9:$L$38,12),'El og plugin hybrid'!G$38))/1000</f>
        <v>0</v>
      </c>
      <c r="H129" s="313">
        <f>'El og plugin hybrid'!G$16/1000*'El og plugin hybrid'!G$54</f>
        <v>0</v>
      </c>
      <c r="I129" s="291">
        <f>'El og plugin hybrid'!I$53*J129*IF('El og plugin hybrid'!I$34="nej","",IF('El og plugin hybrid'!I$36="ja",VLOOKUP('El og plugin hybrid'!I$59+($C129-1),Fremskrivninger!$A$9:$L$38,12),'El og plugin hybrid'!I$38))/1000</f>
        <v>0</v>
      </c>
      <c r="J129" s="313">
        <f>'El og plugin hybrid'!I$16/1000*'El og plugin hybrid'!I$54</f>
        <v>0</v>
      </c>
      <c r="K129" s="291">
        <f>'El og plugin hybrid'!K$53*L129*IF('El og plugin hybrid'!K$34="nej","",IF('El og plugin hybrid'!K$36="ja",VLOOKUP('El og plugin hybrid'!K$59+($C129-1),Fremskrivninger!$A$9:$L$38,12),'El og plugin hybrid'!K$38))/1000</f>
        <v>0</v>
      </c>
      <c r="L129" s="313">
        <f>'El og plugin hybrid'!K$16/1000*'El og plugin hybrid'!K$54</f>
        <v>0</v>
      </c>
      <c r="M129" s="291">
        <f>'El og plugin hybrid'!M$53*N129*IF('El og plugin hybrid'!M$34="nej","",IF('El og plugin hybrid'!M$36="ja",VLOOKUP('El og plugin hybrid'!M$59+($C129-1),Fremskrivninger!$A$9:$L$38,12),'El og plugin hybrid'!M$38))/1000</f>
        <v>0</v>
      </c>
      <c r="N129" s="313">
        <f>'El og plugin hybrid'!M$16/1000*'El og plugin hybrid'!M$54</f>
        <v>0</v>
      </c>
      <c r="O129" s="291">
        <f>'El og plugin hybrid'!O$53*P129*IF('El og plugin hybrid'!O$34="nej","",IF('El og plugin hybrid'!O$36="ja",VLOOKUP('El og plugin hybrid'!O$59+($C129-1),Fremskrivninger!$A$9:$L$38,12),'El og plugin hybrid'!O$38))/1000</f>
        <v>0</v>
      </c>
      <c r="P129" s="313">
        <f>'El og plugin hybrid'!O$16/1000*'El og plugin hybrid'!O$54</f>
        <v>0</v>
      </c>
      <c r="Q129" s="291">
        <f>'El og plugin hybrid'!Q$53*R129*IF('El og plugin hybrid'!Q$34="nej","",IF('El og plugin hybrid'!Q$36="ja",VLOOKUP('El og plugin hybrid'!Q$59+($C129-1),Fremskrivninger!$A$9:$L$38,12),'El og plugin hybrid'!Q$38))/1000</f>
        <v>0</v>
      </c>
      <c r="R129" s="313">
        <f>'El og plugin hybrid'!Q$16/1000*'El og plugin hybrid'!Q$54</f>
        <v>0</v>
      </c>
      <c r="S129" s="291">
        <f>'El og plugin hybrid'!S$53*T129*IF('El og plugin hybrid'!S$34="nej","",IF('El og plugin hybrid'!S$36="ja",VLOOKUP('El og plugin hybrid'!S$59+($C129-1),Fremskrivninger!$A$9:$L$38,12),'El og plugin hybrid'!S$38))/1000</f>
        <v>0</v>
      </c>
      <c r="T129" s="313">
        <f>'El og plugin hybrid'!S$16/1000*'El og plugin hybrid'!S$54</f>
        <v>0</v>
      </c>
      <c r="U129" s="291">
        <f>'El og plugin hybrid'!U$53*V129*IF('El og plugin hybrid'!U$34="nej","",IF('El og plugin hybrid'!U$36="ja",VLOOKUP('El og plugin hybrid'!U$59+($C129-1),Fremskrivninger!$A$9:$L$38,12),'El og plugin hybrid'!U$38))/1000</f>
        <v>0</v>
      </c>
      <c r="V129" s="313">
        <f>'El og plugin hybrid'!U$16/1000*'El og plugin hybrid'!U$54</f>
        <v>0</v>
      </c>
      <c r="W129" s="291">
        <f>'El og plugin hybrid'!W$53*X129*IF('El og plugin hybrid'!W$34="nej","",IF('El og plugin hybrid'!W$36="ja",VLOOKUP('El og plugin hybrid'!W$59+($C129-1),Fremskrivninger!$A$9:$L$38,12),'El og plugin hybrid'!W$38))/1000</f>
        <v>0</v>
      </c>
      <c r="X129" s="313">
        <f>'El og plugin hybrid'!W$16/1000*'El og plugin hybrid'!W$54</f>
        <v>0</v>
      </c>
    </row>
    <row r="130" spans="1:24">
      <c r="A130" s="312"/>
      <c r="B130" s="285">
        <v>12</v>
      </c>
      <c r="C130" s="285">
        <f t="shared" si="6"/>
        <v>12</v>
      </c>
      <c r="D130" s="285"/>
      <c r="E130" s="291">
        <f>'El og plugin hybrid'!E$53*F130*IF('El og plugin hybrid'!E$34="nej","",IF('El og plugin hybrid'!E$36="ja",VLOOKUP('El og plugin hybrid'!E$59+($C130-1),Fremskrivninger!$A$9:$L$38,12),'El og plugin hybrid'!E$38))/1000</f>
        <v>0</v>
      </c>
      <c r="F130" s="313">
        <f>'El og plugin hybrid'!E$16/1000*'El og plugin hybrid'!E$54</f>
        <v>0</v>
      </c>
      <c r="G130" s="291">
        <f>'El og plugin hybrid'!G$53*H130*IF('El og plugin hybrid'!G$34="nej","",IF('El og plugin hybrid'!G$36="ja",VLOOKUP('El og plugin hybrid'!G$59+($C130-1),Fremskrivninger!$A$9:$L$38,12),'El og plugin hybrid'!G$38))/1000</f>
        <v>0</v>
      </c>
      <c r="H130" s="313">
        <f>'El og plugin hybrid'!G$16/1000*'El og plugin hybrid'!G$54</f>
        <v>0</v>
      </c>
      <c r="I130" s="291">
        <f>'El og plugin hybrid'!I$53*J130*IF('El og plugin hybrid'!I$34="nej","",IF('El og plugin hybrid'!I$36="ja",VLOOKUP('El og plugin hybrid'!I$59+($C130-1),Fremskrivninger!$A$9:$L$38,12),'El og plugin hybrid'!I$38))/1000</f>
        <v>0</v>
      </c>
      <c r="J130" s="313">
        <f>'El og plugin hybrid'!I$16/1000*'El og plugin hybrid'!I$54</f>
        <v>0</v>
      </c>
      <c r="K130" s="291">
        <f>'El og plugin hybrid'!K$53*L130*IF('El og plugin hybrid'!K$34="nej","",IF('El og plugin hybrid'!K$36="ja",VLOOKUP('El og plugin hybrid'!K$59+($C130-1),Fremskrivninger!$A$9:$L$38,12),'El og plugin hybrid'!K$38))/1000</f>
        <v>0</v>
      </c>
      <c r="L130" s="313">
        <f>'El og plugin hybrid'!K$16/1000*'El og plugin hybrid'!K$54</f>
        <v>0</v>
      </c>
      <c r="M130" s="291">
        <f>'El og plugin hybrid'!M$53*N130*IF('El og plugin hybrid'!M$34="nej","",IF('El og plugin hybrid'!M$36="ja",VLOOKUP('El og plugin hybrid'!M$59+($C130-1),Fremskrivninger!$A$9:$L$38,12),'El og plugin hybrid'!M$38))/1000</f>
        <v>0</v>
      </c>
      <c r="N130" s="313">
        <f>'El og plugin hybrid'!M$16/1000*'El og plugin hybrid'!M$54</f>
        <v>0</v>
      </c>
      <c r="O130" s="291">
        <f>'El og plugin hybrid'!O$53*P130*IF('El og plugin hybrid'!O$34="nej","",IF('El og plugin hybrid'!O$36="ja",VLOOKUP('El og plugin hybrid'!O$59+($C130-1),Fremskrivninger!$A$9:$L$38,12),'El og plugin hybrid'!O$38))/1000</f>
        <v>0</v>
      </c>
      <c r="P130" s="313">
        <f>'El og plugin hybrid'!O$16/1000*'El og plugin hybrid'!O$54</f>
        <v>0</v>
      </c>
      <c r="Q130" s="291">
        <f>'El og plugin hybrid'!Q$53*R130*IF('El og plugin hybrid'!Q$34="nej","",IF('El og plugin hybrid'!Q$36="ja",VLOOKUP('El og plugin hybrid'!Q$59+($C130-1),Fremskrivninger!$A$9:$L$38,12),'El og plugin hybrid'!Q$38))/1000</f>
        <v>0</v>
      </c>
      <c r="R130" s="313">
        <f>'El og plugin hybrid'!Q$16/1000*'El og plugin hybrid'!Q$54</f>
        <v>0</v>
      </c>
      <c r="S130" s="291">
        <f>'El og plugin hybrid'!S$53*T130*IF('El og plugin hybrid'!S$34="nej","",IF('El og plugin hybrid'!S$36="ja",VLOOKUP('El og plugin hybrid'!S$59+($C130-1),Fremskrivninger!$A$9:$L$38,12),'El og plugin hybrid'!S$38))/1000</f>
        <v>0</v>
      </c>
      <c r="T130" s="313">
        <f>'El og plugin hybrid'!S$16/1000*'El og plugin hybrid'!S$54</f>
        <v>0</v>
      </c>
      <c r="U130" s="291">
        <f>'El og plugin hybrid'!U$53*V130*IF('El og plugin hybrid'!U$34="nej","",IF('El og plugin hybrid'!U$36="ja",VLOOKUP('El og plugin hybrid'!U$59+($C130-1),Fremskrivninger!$A$9:$L$38,12),'El og plugin hybrid'!U$38))/1000</f>
        <v>0</v>
      </c>
      <c r="V130" s="313">
        <f>'El og plugin hybrid'!U$16/1000*'El og plugin hybrid'!U$54</f>
        <v>0</v>
      </c>
      <c r="W130" s="291">
        <f>'El og plugin hybrid'!W$53*X130*IF('El og plugin hybrid'!W$34="nej","",IF('El og plugin hybrid'!W$36="ja",VLOOKUP('El og plugin hybrid'!W$59+($C130-1),Fremskrivninger!$A$9:$L$38,12),'El og plugin hybrid'!W$38))/1000</f>
        <v>0</v>
      </c>
      <c r="X130" s="313">
        <f>'El og plugin hybrid'!W$16/1000*'El og plugin hybrid'!W$54</f>
        <v>0</v>
      </c>
    </row>
    <row r="131" spans="1:24">
      <c r="A131" s="312"/>
      <c r="B131" s="285">
        <v>13</v>
      </c>
      <c r="C131" s="285">
        <f t="shared" si="6"/>
        <v>13</v>
      </c>
      <c r="D131" s="285"/>
      <c r="E131" s="291">
        <f>'El og plugin hybrid'!E$53*F131*IF('El og plugin hybrid'!E$34="nej","",IF('El og plugin hybrid'!E$36="ja",VLOOKUP('El og plugin hybrid'!E$59+($C131-1),Fremskrivninger!$A$9:$L$38,12),'El og plugin hybrid'!E$38))/1000</f>
        <v>0</v>
      </c>
      <c r="F131" s="313">
        <f>'El og plugin hybrid'!E$16/1000*'El og plugin hybrid'!E$54</f>
        <v>0</v>
      </c>
      <c r="G131" s="291">
        <f>'El og plugin hybrid'!G$53*H131*IF('El og plugin hybrid'!G$34="nej","",IF('El og plugin hybrid'!G$36="ja",VLOOKUP('El og plugin hybrid'!G$59+($C131-1),Fremskrivninger!$A$9:$L$38,12),'El og plugin hybrid'!G$38))/1000</f>
        <v>0</v>
      </c>
      <c r="H131" s="313">
        <f>'El og plugin hybrid'!G$16/1000*'El og plugin hybrid'!G$54</f>
        <v>0</v>
      </c>
      <c r="I131" s="291">
        <f>'El og plugin hybrid'!I$53*J131*IF('El og plugin hybrid'!I$34="nej","",IF('El og plugin hybrid'!I$36="ja",VLOOKUP('El og plugin hybrid'!I$59+($C131-1),Fremskrivninger!$A$9:$L$38,12),'El og plugin hybrid'!I$38))/1000</f>
        <v>0</v>
      </c>
      <c r="J131" s="313">
        <f>'El og plugin hybrid'!I$16/1000*'El og plugin hybrid'!I$54</f>
        <v>0</v>
      </c>
      <c r="K131" s="291">
        <f>'El og plugin hybrid'!K$53*L131*IF('El og plugin hybrid'!K$34="nej","",IF('El og plugin hybrid'!K$36="ja",VLOOKUP('El og plugin hybrid'!K$59+($C131-1),Fremskrivninger!$A$9:$L$38,12),'El og plugin hybrid'!K$38))/1000</f>
        <v>0</v>
      </c>
      <c r="L131" s="313">
        <f>'El og plugin hybrid'!K$16/1000*'El og plugin hybrid'!K$54</f>
        <v>0</v>
      </c>
      <c r="M131" s="291">
        <f>'El og plugin hybrid'!M$53*N131*IF('El og plugin hybrid'!M$34="nej","",IF('El og plugin hybrid'!M$36="ja",VLOOKUP('El og plugin hybrid'!M$59+($C131-1),Fremskrivninger!$A$9:$L$38,12),'El og plugin hybrid'!M$38))/1000</f>
        <v>0</v>
      </c>
      <c r="N131" s="313">
        <f>'El og plugin hybrid'!M$16/1000*'El og plugin hybrid'!M$54</f>
        <v>0</v>
      </c>
      <c r="O131" s="291">
        <f>'El og plugin hybrid'!O$53*P131*IF('El og plugin hybrid'!O$34="nej","",IF('El og plugin hybrid'!O$36="ja",VLOOKUP('El og plugin hybrid'!O$59+($C131-1),Fremskrivninger!$A$9:$L$38,12),'El og plugin hybrid'!O$38))/1000</f>
        <v>0</v>
      </c>
      <c r="P131" s="313">
        <f>'El og plugin hybrid'!O$16/1000*'El og plugin hybrid'!O$54</f>
        <v>0</v>
      </c>
      <c r="Q131" s="291">
        <f>'El og plugin hybrid'!Q$53*R131*IF('El og plugin hybrid'!Q$34="nej","",IF('El og plugin hybrid'!Q$36="ja",VLOOKUP('El og plugin hybrid'!Q$59+($C131-1),Fremskrivninger!$A$9:$L$38,12),'El og plugin hybrid'!Q$38))/1000</f>
        <v>0</v>
      </c>
      <c r="R131" s="313">
        <f>'El og plugin hybrid'!Q$16/1000*'El og plugin hybrid'!Q$54</f>
        <v>0</v>
      </c>
      <c r="S131" s="291">
        <f>'El og plugin hybrid'!S$53*T131*IF('El og plugin hybrid'!S$34="nej","",IF('El og plugin hybrid'!S$36="ja",VLOOKUP('El og plugin hybrid'!S$59+($C131-1),Fremskrivninger!$A$9:$L$38,12),'El og plugin hybrid'!S$38))/1000</f>
        <v>0</v>
      </c>
      <c r="T131" s="313">
        <f>'El og plugin hybrid'!S$16/1000*'El og plugin hybrid'!S$54</f>
        <v>0</v>
      </c>
      <c r="U131" s="291">
        <f>'El og plugin hybrid'!U$53*V131*IF('El og plugin hybrid'!U$34="nej","",IF('El og plugin hybrid'!U$36="ja",VLOOKUP('El og plugin hybrid'!U$59+($C131-1),Fremskrivninger!$A$9:$L$38,12),'El og plugin hybrid'!U$38))/1000</f>
        <v>0</v>
      </c>
      <c r="V131" s="313">
        <f>'El og plugin hybrid'!U$16/1000*'El og plugin hybrid'!U$54</f>
        <v>0</v>
      </c>
      <c r="W131" s="291">
        <f>'El og plugin hybrid'!W$53*X131*IF('El og plugin hybrid'!W$34="nej","",IF('El og plugin hybrid'!W$36="ja",VLOOKUP('El og plugin hybrid'!W$59+($C131-1),Fremskrivninger!$A$9:$L$38,12),'El og plugin hybrid'!W$38))/1000</f>
        <v>0</v>
      </c>
      <c r="X131" s="313">
        <f>'El og plugin hybrid'!W$16/1000*'El og plugin hybrid'!W$54</f>
        <v>0</v>
      </c>
    </row>
    <row r="132" spans="1:24">
      <c r="A132" s="312"/>
      <c r="B132" s="285">
        <v>14</v>
      </c>
      <c r="C132" s="285">
        <f t="shared" si="6"/>
        <v>14</v>
      </c>
      <c r="D132" s="285"/>
      <c r="E132" s="291">
        <f>'El og plugin hybrid'!E$53*F132*IF('El og plugin hybrid'!E$34="nej","",IF('El og plugin hybrid'!E$36="ja",VLOOKUP('El og plugin hybrid'!E$59+($C132-1),Fremskrivninger!$A$9:$L$38,12),'El og plugin hybrid'!E$38))/1000</f>
        <v>0</v>
      </c>
      <c r="F132" s="313">
        <f>'El og plugin hybrid'!E$16/1000*'El og plugin hybrid'!E$54</f>
        <v>0</v>
      </c>
      <c r="G132" s="291">
        <f>'El og plugin hybrid'!G$53*H132*IF('El og plugin hybrid'!G$34="nej","",IF('El og plugin hybrid'!G$36="ja",VLOOKUP('El og plugin hybrid'!G$59+($C132-1),Fremskrivninger!$A$9:$L$38,12),'El og plugin hybrid'!G$38))/1000</f>
        <v>0</v>
      </c>
      <c r="H132" s="313">
        <f>'El og plugin hybrid'!G$16/1000*'El og plugin hybrid'!G$54</f>
        <v>0</v>
      </c>
      <c r="I132" s="291">
        <f>'El og plugin hybrid'!I$53*J132*IF('El og plugin hybrid'!I$34="nej","",IF('El og plugin hybrid'!I$36="ja",VLOOKUP('El og plugin hybrid'!I$59+($C132-1),Fremskrivninger!$A$9:$L$38,12),'El og plugin hybrid'!I$38))/1000</f>
        <v>0</v>
      </c>
      <c r="J132" s="313">
        <f>'El og plugin hybrid'!I$16/1000*'El og plugin hybrid'!I$54</f>
        <v>0</v>
      </c>
      <c r="K132" s="291">
        <f>'El og plugin hybrid'!K$53*L132*IF('El og plugin hybrid'!K$34="nej","",IF('El og plugin hybrid'!K$36="ja",VLOOKUP('El og plugin hybrid'!K$59+($C132-1),Fremskrivninger!$A$9:$L$38,12),'El og plugin hybrid'!K$38))/1000</f>
        <v>0</v>
      </c>
      <c r="L132" s="313">
        <f>'El og plugin hybrid'!K$16/1000*'El og plugin hybrid'!K$54</f>
        <v>0</v>
      </c>
      <c r="M132" s="291">
        <f>'El og plugin hybrid'!M$53*N132*IF('El og plugin hybrid'!M$34="nej","",IF('El og plugin hybrid'!M$36="ja",VLOOKUP('El og plugin hybrid'!M$59+($C132-1),Fremskrivninger!$A$9:$L$38,12),'El og plugin hybrid'!M$38))/1000</f>
        <v>0</v>
      </c>
      <c r="N132" s="313">
        <f>'El og plugin hybrid'!M$16/1000*'El og plugin hybrid'!M$54</f>
        <v>0</v>
      </c>
      <c r="O132" s="291">
        <f>'El og plugin hybrid'!O$53*P132*IF('El og plugin hybrid'!O$34="nej","",IF('El og plugin hybrid'!O$36="ja",VLOOKUP('El og plugin hybrid'!O$59+($C132-1),Fremskrivninger!$A$9:$L$38,12),'El og plugin hybrid'!O$38))/1000</f>
        <v>0</v>
      </c>
      <c r="P132" s="313">
        <f>'El og plugin hybrid'!O$16/1000*'El og plugin hybrid'!O$54</f>
        <v>0</v>
      </c>
      <c r="Q132" s="291">
        <f>'El og plugin hybrid'!Q$53*R132*IF('El og plugin hybrid'!Q$34="nej","",IF('El og plugin hybrid'!Q$36="ja",VLOOKUP('El og plugin hybrid'!Q$59+($C132-1),Fremskrivninger!$A$9:$L$38,12),'El og plugin hybrid'!Q$38))/1000</f>
        <v>0</v>
      </c>
      <c r="R132" s="313">
        <f>'El og plugin hybrid'!Q$16/1000*'El og plugin hybrid'!Q$54</f>
        <v>0</v>
      </c>
      <c r="S132" s="291">
        <f>'El og plugin hybrid'!S$53*T132*IF('El og plugin hybrid'!S$34="nej","",IF('El og plugin hybrid'!S$36="ja",VLOOKUP('El og plugin hybrid'!S$59+($C132-1),Fremskrivninger!$A$9:$L$38,12),'El og plugin hybrid'!S$38))/1000</f>
        <v>0</v>
      </c>
      <c r="T132" s="313">
        <f>'El og plugin hybrid'!S$16/1000*'El og plugin hybrid'!S$54</f>
        <v>0</v>
      </c>
      <c r="U132" s="291">
        <f>'El og plugin hybrid'!U$53*V132*IF('El og plugin hybrid'!U$34="nej","",IF('El og plugin hybrid'!U$36="ja",VLOOKUP('El og plugin hybrid'!U$59+($C132-1),Fremskrivninger!$A$9:$L$38,12),'El og plugin hybrid'!U$38))/1000</f>
        <v>0</v>
      </c>
      <c r="V132" s="313">
        <f>'El og plugin hybrid'!U$16/1000*'El og plugin hybrid'!U$54</f>
        <v>0</v>
      </c>
      <c r="W132" s="291">
        <f>'El og plugin hybrid'!W$53*X132*IF('El og plugin hybrid'!W$34="nej","",IF('El og plugin hybrid'!W$36="ja",VLOOKUP('El og plugin hybrid'!W$59+($C132-1),Fremskrivninger!$A$9:$L$38,12),'El og plugin hybrid'!W$38))/1000</f>
        <v>0</v>
      </c>
      <c r="X132" s="313">
        <f>'El og plugin hybrid'!W$16/1000*'El og plugin hybrid'!W$54</f>
        <v>0</v>
      </c>
    </row>
    <row r="133" spans="1:24">
      <c r="A133" s="312"/>
      <c r="B133" s="285">
        <v>15</v>
      </c>
      <c r="C133" s="285">
        <f t="shared" si="6"/>
        <v>15</v>
      </c>
      <c r="D133" s="285"/>
      <c r="E133" s="291">
        <f>'El og plugin hybrid'!E$53*F133*IF('El og plugin hybrid'!E$34="nej","",IF('El og plugin hybrid'!E$36="ja",VLOOKUP('El og plugin hybrid'!E$59+($C133-1),Fremskrivninger!$A$9:$L$38,12),'El og plugin hybrid'!E$38))/1000</f>
        <v>0</v>
      </c>
      <c r="F133" s="313">
        <f>'El og plugin hybrid'!E$16/1000*'El og plugin hybrid'!E$54</f>
        <v>0</v>
      </c>
      <c r="G133" s="291">
        <f>'El og plugin hybrid'!G$53*H133*IF('El og plugin hybrid'!G$34="nej","",IF('El og plugin hybrid'!G$36="ja",VLOOKUP('El og plugin hybrid'!G$59+($C133-1),Fremskrivninger!$A$9:$L$38,12),'El og plugin hybrid'!G$38))/1000</f>
        <v>0</v>
      </c>
      <c r="H133" s="313">
        <f>'El og plugin hybrid'!G$16/1000*'El og plugin hybrid'!G$54</f>
        <v>0</v>
      </c>
      <c r="I133" s="291">
        <f>'El og plugin hybrid'!I$53*J133*IF('El og plugin hybrid'!I$34="nej","",IF('El og plugin hybrid'!I$36="ja",VLOOKUP('El og plugin hybrid'!I$59+($C133-1),Fremskrivninger!$A$9:$L$38,12),'El og plugin hybrid'!I$38))/1000</f>
        <v>0</v>
      </c>
      <c r="J133" s="313">
        <f>'El og plugin hybrid'!I$16/1000*'El og plugin hybrid'!I$54</f>
        <v>0</v>
      </c>
      <c r="K133" s="291">
        <f>'El og plugin hybrid'!K$53*L133*IF('El og plugin hybrid'!K$34="nej","",IF('El og plugin hybrid'!K$36="ja",VLOOKUP('El og plugin hybrid'!K$59+($C133-1),Fremskrivninger!$A$9:$L$38,12),'El og plugin hybrid'!K$38))/1000</f>
        <v>0</v>
      </c>
      <c r="L133" s="313">
        <f>'El og plugin hybrid'!K$16/1000*'El og plugin hybrid'!K$54</f>
        <v>0</v>
      </c>
      <c r="M133" s="291">
        <f>'El og plugin hybrid'!M$53*N133*IF('El og plugin hybrid'!M$34="nej","",IF('El og plugin hybrid'!M$36="ja",VLOOKUP('El og plugin hybrid'!M$59+($C133-1),Fremskrivninger!$A$9:$L$38,12),'El og plugin hybrid'!M$38))/1000</f>
        <v>0</v>
      </c>
      <c r="N133" s="313">
        <f>'El og plugin hybrid'!M$16/1000*'El og plugin hybrid'!M$54</f>
        <v>0</v>
      </c>
      <c r="O133" s="291">
        <f>'El og plugin hybrid'!O$53*P133*IF('El og plugin hybrid'!O$34="nej","",IF('El og plugin hybrid'!O$36="ja",VLOOKUP('El og plugin hybrid'!O$59+($C133-1),Fremskrivninger!$A$9:$L$38,12),'El og plugin hybrid'!O$38))/1000</f>
        <v>0</v>
      </c>
      <c r="P133" s="313">
        <f>'El og plugin hybrid'!O$16/1000*'El og plugin hybrid'!O$54</f>
        <v>0</v>
      </c>
      <c r="Q133" s="291">
        <f>'El og plugin hybrid'!Q$53*R133*IF('El og plugin hybrid'!Q$34="nej","",IF('El og plugin hybrid'!Q$36="ja",VLOOKUP('El og plugin hybrid'!Q$59+($C133-1),Fremskrivninger!$A$9:$L$38,12),'El og plugin hybrid'!Q$38))/1000</f>
        <v>0</v>
      </c>
      <c r="R133" s="313">
        <f>'El og plugin hybrid'!Q$16/1000*'El og plugin hybrid'!Q$54</f>
        <v>0</v>
      </c>
      <c r="S133" s="291">
        <f>'El og plugin hybrid'!S$53*T133*IF('El og plugin hybrid'!S$34="nej","",IF('El og plugin hybrid'!S$36="ja",VLOOKUP('El og plugin hybrid'!S$59+($C133-1),Fremskrivninger!$A$9:$L$38,12),'El og plugin hybrid'!S$38))/1000</f>
        <v>0</v>
      </c>
      <c r="T133" s="313">
        <f>'El og plugin hybrid'!S$16/1000*'El og plugin hybrid'!S$54</f>
        <v>0</v>
      </c>
      <c r="U133" s="291">
        <f>'El og plugin hybrid'!U$53*V133*IF('El og plugin hybrid'!U$34="nej","",IF('El og plugin hybrid'!U$36="ja",VLOOKUP('El og plugin hybrid'!U$59+($C133-1),Fremskrivninger!$A$9:$L$38,12),'El og plugin hybrid'!U$38))/1000</f>
        <v>0</v>
      </c>
      <c r="V133" s="313">
        <f>'El og plugin hybrid'!U$16/1000*'El og plugin hybrid'!U$54</f>
        <v>0</v>
      </c>
      <c r="W133" s="291">
        <f>'El og plugin hybrid'!W$53*X133*IF('El og plugin hybrid'!W$34="nej","",IF('El og plugin hybrid'!W$36="ja",VLOOKUP('El og plugin hybrid'!W$59+($C133-1),Fremskrivninger!$A$9:$L$38,12),'El og plugin hybrid'!W$38))/1000</f>
        <v>0</v>
      </c>
      <c r="X133" s="313">
        <f>'El og plugin hybrid'!W$16/1000*'El og plugin hybrid'!W$54</f>
        <v>0</v>
      </c>
    </row>
    <row r="134" spans="1:24">
      <c r="A134" s="312"/>
      <c r="B134" s="285">
        <v>16</v>
      </c>
      <c r="C134" s="285">
        <f t="shared" si="6"/>
        <v>16</v>
      </c>
      <c r="D134" s="285"/>
      <c r="E134" s="291">
        <f>'El og plugin hybrid'!E$53*F134*IF('El og plugin hybrid'!E$34="nej","",IF('El og plugin hybrid'!E$36="ja",VLOOKUP('El og plugin hybrid'!E$59+($C134-1),Fremskrivninger!$A$9:$L$38,12),'El og plugin hybrid'!E$38))/1000</f>
        <v>0</v>
      </c>
      <c r="F134" s="313">
        <f>'El og plugin hybrid'!E$16/1000*'El og plugin hybrid'!E$54</f>
        <v>0</v>
      </c>
      <c r="G134" s="291">
        <f>'El og plugin hybrid'!G$53*H134*IF('El og plugin hybrid'!G$34="nej","",IF('El og plugin hybrid'!G$36="ja",VLOOKUP('El og plugin hybrid'!G$59+($C134-1),Fremskrivninger!$A$9:$L$38,12),'El og plugin hybrid'!G$38))/1000</f>
        <v>0</v>
      </c>
      <c r="H134" s="313">
        <f>'El og plugin hybrid'!G$16/1000*'El og plugin hybrid'!G$54</f>
        <v>0</v>
      </c>
      <c r="I134" s="291">
        <f>'El og plugin hybrid'!I$53*J134*IF('El og plugin hybrid'!I$34="nej","",IF('El og plugin hybrid'!I$36="ja",VLOOKUP('El og plugin hybrid'!I$59+($C134-1),Fremskrivninger!$A$9:$L$38,12),'El og plugin hybrid'!I$38))/1000</f>
        <v>0</v>
      </c>
      <c r="J134" s="313">
        <f>'El og plugin hybrid'!I$16/1000*'El og plugin hybrid'!I$54</f>
        <v>0</v>
      </c>
      <c r="K134" s="291">
        <f>'El og plugin hybrid'!K$53*L134*IF('El og plugin hybrid'!K$34="nej","",IF('El og plugin hybrid'!K$36="ja",VLOOKUP('El og plugin hybrid'!K$59+($C134-1),Fremskrivninger!$A$9:$L$38,12),'El og plugin hybrid'!K$38))/1000</f>
        <v>0</v>
      </c>
      <c r="L134" s="313">
        <f>'El og plugin hybrid'!K$16/1000*'El og plugin hybrid'!K$54</f>
        <v>0</v>
      </c>
      <c r="M134" s="291">
        <f>'El og plugin hybrid'!M$53*N134*IF('El og plugin hybrid'!M$34="nej","",IF('El og plugin hybrid'!M$36="ja",VLOOKUP('El og plugin hybrid'!M$59+($C134-1),Fremskrivninger!$A$9:$L$38,12),'El og plugin hybrid'!M$38))/1000</f>
        <v>0</v>
      </c>
      <c r="N134" s="313">
        <f>'El og plugin hybrid'!M$16/1000*'El og plugin hybrid'!M$54</f>
        <v>0</v>
      </c>
      <c r="O134" s="291">
        <f>'El og plugin hybrid'!O$53*P134*IF('El og plugin hybrid'!O$34="nej","",IF('El og plugin hybrid'!O$36="ja",VLOOKUP('El og plugin hybrid'!O$59+($C134-1),Fremskrivninger!$A$9:$L$38,12),'El og plugin hybrid'!O$38))/1000</f>
        <v>0</v>
      </c>
      <c r="P134" s="313">
        <f>'El og plugin hybrid'!O$16/1000*'El og plugin hybrid'!O$54</f>
        <v>0</v>
      </c>
      <c r="Q134" s="291">
        <f>'El og plugin hybrid'!Q$53*R134*IF('El og plugin hybrid'!Q$34="nej","",IF('El og plugin hybrid'!Q$36="ja",VLOOKUP('El og plugin hybrid'!Q$59+($C134-1),Fremskrivninger!$A$9:$L$38,12),'El og plugin hybrid'!Q$38))/1000</f>
        <v>0</v>
      </c>
      <c r="R134" s="313">
        <f>'El og plugin hybrid'!Q$16/1000*'El og plugin hybrid'!Q$54</f>
        <v>0</v>
      </c>
      <c r="S134" s="291">
        <f>'El og plugin hybrid'!S$53*T134*IF('El og plugin hybrid'!S$34="nej","",IF('El og plugin hybrid'!S$36="ja",VLOOKUP('El og plugin hybrid'!S$59+($C134-1),Fremskrivninger!$A$9:$L$38,12),'El og plugin hybrid'!S$38))/1000</f>
        <v>0</v>
      </c>
      <c r="T134" s="313">
        <f>'El og plugin hybrid'!S$16/1000*'El og plugin hybrid'!S$54</f>
        <v>0</v>
      </c>
      <c r="U134" s="291">
        <f>'El og plugin hybrid'!U$53*V134*IF('El og plugin hybrid'!U$34="nej","",IF('El og plugin hybrid'!U$36="ja",VLOOKUP('El og plugin hybrid'!U$59+($C134-1),Fremskrivninger!$A$9:$L$38,12),'El og plugin hybrid'!U$38))/1000</f>
        <v>0</v>
      </c>
      <c r="V134" s="313">
        <f>'El og plugin hybrid'!U$16/1000*'El og plugin hybrid'!U$54</f>
        <v>0</v>
      </c>
      <c r="W134" s="291">
        <f>'El og plugin hybrid'!W$53*X134*IF('El og plugin hybrid'!W$34="nej","",IF('El og plugin hybrid'!W$36="ja",VLOOKUP('El og plugin hybrid'!W$59+($C134-1),Fremskrivninger!$A$9:$L$38,12),'El og plugin hybrid'!W$38))/1000</f>
        <v>0</v>
      </c>
      <c r="X134" s="313">
        <f>'El og plugin hybrid'!W$16/1000*'El og plugin hybrid'!W$54</f>
        <v>0</v>
      </c>
    </row>
    <row r="135" spans="1:24">
      <c r="A135" s="312"/>
      <c r="B135" s="285">
        <v>17</v>
      </c>
      <c r="C135" s="285">
        <f t="shared" si="6"/>
        <v>17</v>
      </c>
      <c r="D135" s="285"/>
      <c r="E135" s="291">
        <f>'El og plugin hybrid'!E$53*F135*IF('El og plugin hybrid'!E$34="nej","",IF('El og plugin hybrid'!E$36="ja",VLOOKUP('El og plugin hybrid'!E$59+($C135-1),Fremskrivninger!$A$9:$L$38,12),'El og plugin hybrid'!E$38))/1000</f>
        <v>0</v>
      </c>
      <c r="F135" s="313">
        <f>'El og plugin hybrid'!E$16/1000*'El og plugin hybrid'!E$54</f>
        <v>0</v>
      </c>
      <c r="G135" s="291">
        <f>'El og plugin hybrid'!G$53*H135*IF('El og plugin hybrid'!G$34="nej","",IF('El og plugin hybrid'!G$36="ja",VLOOKUP('El og plugin hybrid'!G$59+($C135-1),Fremskrivninger!$A$9:$L$38,12),'El og plugin hybrid'!G$38))/1000</f>
        <v>0</v>
      </c>
      <c r="H135" s="313">
        <f>'El og plugin hybrid'!G$16/1000*'El og plugin hybrid'!G$54</f>
        <v>0</v>
      </c>
      <c r="I135" s="291">
        <f>'El og plugin hybrid'!I$53*J135*IF('El og plugin hybrid'!I$34="nej","",IF('El og plugin hybrid'!I$36="ja",VLOOKUP('El og plugin hybrid'!I$59+($C135-1),Fremskrivninger!$A$9:$L$38,12),'El og plugin hybrid'!I$38))/1000</f>
        <v>0</v>
      </c>
      <c r="J135" s="313">
        <f>'El og plugin hybrid'!I$16/1000*'El og plugin hybrid'!I$54</f>
        <v>0</v>
      </c>
      <c r="K135" s="291">
        <f>'El og plugin hybrid'!K$53*L135*IF('El og plugin hybrid'!K$34="nej","",IF('El og plugin hybrid'!K$36="ja",VLOOKUP('El og plugin hybrid'!K$59+($C135-1),Fremskrivninger!$A$9:$L$38,12),'El og plugin hybrid'!K$38))/1000</f>
        <v>0</v>
      </c>
      <c r="L135" s="313">
        <f>'El og plugin hybrid'!K$16/1000*'El og plugin hybrid'!K$54</f>
        <v>0</v>
      </c>
      <c r="M135" s="291">
        <f>'El og plugin hybrid'!M$53*N135*IF('El og plugin hybrid'!M$34="nej","",IF('El og plugin hybrid'!M$36="ja",VLOOKUP('El og plugin hybrid'!M$59+($C135-1),Fremskrivninger!$A$9:$L$38,12),'El og plugin hybrid'!M$38))/1000</f>
        <v>0</v>
      </c>
      <c r="N135" s="313">
        <f>'El og plugin hybrid'!M$16/1000*'El og plugin hybrid'!M$54</f>
        <v>0</v>
      </c>
      <c r="O135" s="291">
        <f>'El og plugin hybrid'!O$53*P135*IF('El og plugin hybrid'!O$34="nej","",IF('El og plugin hybrid'!O$36="ja",VLOOKUP('El og plugin hybrid'!O$59+($C135-1),Fremskrivninger!$A$9:$L$38,12),'El og plugin hybrid'!O$38))/1000</f>
        <v>0</v>
      </c>
      <c r="P135" s="313">
        <f>'El og plugin hybrid'!O$16/1000*'El og plugin hybrid'!O$54</f>
        <v>0</v>
      </c>
      <c r="Q135" s="291">
        <f>'El og plugin hybrid'!Q$53*R135*IF('El og plugin hybrid'!Q$34="nej","",IF('El og plugin hybrid'!Q$36="ja",VLOOKUP('El og plugin hybrid'!Q$59+($C135-1),Fremskrivninger!$A$9:$L$38,12),'El og plugin hybrid'!Q$38))/1000</f>
        <v>0</v>
      </c>
      <c r="R135" s="313">
        <f>'El og plugin hybrid'!Q$16/1000*'El og plugin hybrid'!Q$54</f>
        <v>0</v>
      </c>
      <c r="S135" s="291">
        <f>'El og plugin hybrid'!S$53*T135*IF('El og plugin hybrid'!S$34="nej","",IF('El og plugin hybrid'!S$36="ja",VLOOKUP('El og plugin hybrid'!S$59+($C135-1),Fremskrivninger!$A$9:$L$38,12),'El og plugin hybrid'!S$38))/1000</f>
        <v>0</v>
      </c>
      <c r="T135" s="313">
        <f>'El og plugin hybrid'!S$16/1000*'El og plugin hybrid'!S$54</f>
        <v>0</v>
      </c>
      <c r="U135" s="291">
        <f>'El og plugin hybrid'!U$53*V135*IF('El og plugin hybrid'!U$34="nej","",IF('El og plugin hybrid'!U$36="ja",VLOOKUP('El og plugin hybrid'!U$59+($C135-1),Fremskrivninger!$A$9:$L$38,12),'El og plugin hybrid'!U$38))/1000</f>
        <v>0</v>
      </c>
      <c r="V135" s="313">
        <f>'El og plugin hybrid'!U$16/1000*'El og plugin hybrid'!U$54</f>
        <v>0</v>
      </c>
      <c r="W135" s="291">
        <f>'El og plugin hybrid'!W$53*X135*IF('El og plugin hybrid'!W$34="nej","",IF('El og plugin hybrid'!W$36="ja",VLOOKUP('El og plugin hybrid'!W$59+($C135-1),Fremskrivninger!$A$9:$L$38,12),'El og plugin hybrid'!W$38))/1000</f>
        <v>0</v>
      </c>
      <c r="X135" s="313">
        <f>'El og plugin hybrid'!W$16/1000*'El og plugin hybrid'!W$54</f>
        <v>0</v>
      </c>
    </row>
    <row r="136" spans="1:24">
      <c r="A136" s="312"/>
      <c r="B136" s="285">
        <v>18</v>
      </c>
      <c r="C136" s="285">
        <f t="shared" si="6"/>
        <v>18</v>
      </c>
      <c r="D136" s="285"/>
      <c r="E136" s="291">
        <f>'El og plugin hybrid'!E$53*F136*IF('El og plugin hybrid'!E$34="nej","",IF('El og plugin hybrid'!E$36="ja",VLOOKUP('El og plugin hybrid'!E$59+($C136-1),Fremskrivninger!$A$9:$L$38,12),'El og plugin hybrid'!E$38))/1000</f>
        <v>0</v>
      </c>
      <c r="F136" s="313">
        <f>'El og plugin hybrid'!E$16/1000*'El og plugin hybrid'!E$54</f>
        <v>0</v>
      </c>
      <c r="G136" s="291">
        <f>'El og plugin hybrid'!G$53*H136*IF('El og plugin hybrid'!G$34="nej","",IF('El og plugin hybrid'!G$36="ja",VLOOKUP('El og plugin hybrid'!G$59+($C136-1),Fremskrivninger!$A$9:$L$38,12),'El og plugin hybrid'!G$38))/1000</f>
        <v>0</v>
      </c>
      <c r="H136" s="313">
        <f>'El og plugin hybrid'!G$16/1000*'El og plugin hybrid'!G$54</f>
        <v>0</v>
      </c>
      <c r="I136" s="291">
        <f>'El og plugin hybrid'!I$53*J136*IF('El og plugin hybrid'!I$34="nej","",IF('El og plugin hybrid'!I$36="ja",VLOOKUP('El og plugin hybrid'!I$59+($C136-1),Fremskrivninger!$A$9:$L$38,12),'El og plugin hybrid'!I$38))/1000</f>
        <v>0</v>
      </c>
      <c r="J136" s="313">
        <f>'El og plugin hybrid'!I$16/1000*'El og plugin hybrid'!I$54</f>
        <v>0</v>
      </c>
      <c r="K136" s="291">
        <f>'El og plugin hybrid'!K$53*L136*IF('El og plugin hybrid'!K$34="nej","",IF('El og plugin hybrid'!K$36="ja",VLOOKUP('El og plugin hybrid'!K$59+($C136-1),Fremskrivninger!$A$9:$L$38,12),'El og plugin hybrid'!K$38))/1000</f>
        <v>0</v>
      </c>
      <c r="L136" s="313">
        <f>'El og plugin hybrid'!K$16/1000*'El og plugin hybrid'!K$54</f>
        <v>0</v>
      </c>
      <c r="M136" s="291">
        <f>'El og plugin hybrid'!M$53*N136*IF('El og plugin hybrid'!M$34="nej","",IF('El og plugin hybrid'!M$36="ja",VLOOKUP('El og plugin hybrid'!M$59+($C136-1),Fremskrivninger!$A$9:$L$38,12),'El og plugin hybrid'!M$38))/1000</f>
        <v>0</v>
      </c>
      <c r="N136" s="313">
        <f>'El og plugin hybrid'!M$16/1000*'El og plugin hybrid'!M$54</f>
        <v>0</v>
      </c>
      <c r="O136" s="291">
        <f>'El og plugin hybrid'!O$53*P136*IF('El og plugin hybrid'!O$34="nej","",IF('El og plugin hybrid'!O$36="ja",VLOOKUP('El og plugin hybrid'!O$59+($C136-1),Fremskrivninger!$A$9:$L$38,12),'El og plugin hybrid'!O$38))/1000</f>
        <v>0</v>
      </c>
      <c r="P136" s="313">
        <f>'El og plugin hybrid'!O$16/1000*'El og plugin hybrid'!O$54</f>
        <v>0</v>
      </c>
      <c r="Q136" s="291">
        <f>'El og plugin hybrid'!Q$53*R136*IF('El og plugin hybrid'!Q$34="nej","",IF('El og plugin hybrid'!Q$36="ja",VLOOKUP('El og plugin hybrid'!Q$59+($C136-1),Fremskrivninger!$A$9:$L$38,12),'El og plugin hybrid'!Q$38))/1000</f>
        <v>0</v>
      </c>
      <c r="R136" s="313">
        <f>'El og plugin hybrid'!Q$16/1000*'El og plugin hybrid'!Q$54</f>
        <v>0</v>
      </c>
      <c r="S136" s="291">
        <f>'El og plugin hybrid'!S$53*T136*IF('El og plugin hybrid'!S$34="nej","",IF('El og plugin hybrid'!S$36="ja",VLOOKUP('El og plugin hybrid'!S$59+($C136-1),Fremskrivninger!$A$9:$L$38,12),'El og plugin hybrid'!S$38))/1000</f>
        <v>0</v>
      </c>
      <c r="T136" s="313">
        <f>'El og plugin hybrid'!S$16/1000*'El og plugin hybrid'!S$54</f>
        <v>0</v>
      </c>
      <c r="U136" s="291">
        <f>'El og plugin hybrid'!U$53*V136*IF('El og plugin hybrid'!U$34="nej","",IF('El og plugin hybrid'!U$36="ja",VLOOKUP('El og plugin hybrid'!U$59+($C136-1),Fremskrivninger!$A$9:$L$38,12),'El og plugin hybrid'!U$38))/1000</f>
        <v>0</v>
      </c>
      <c r="V136" s="313">
        <f>'El og plugin hybrid'!U$16/1000*'El og plugin hybrid'!U$54</f>
        <v>0</v>
      </c>
      <c r="W136" s="291">
        <f>'El og plugin hybrid'!W$53*X136*IF('El og plugin hybrid'!W$34="nej","",IF('El og plugin hybrid'!W$36="ja",VLOOKUP('El og plugin hybrid'!W$59+($C136-1),Fremskrivninger!$A$9:$L$38,12),'El og plugin hybrid'!W$38))/1000</f>
        <v>0</v>
      </c>
      <c r="X136" s="313">
        <f>'El og plugin hybrid'!W$16/1000*'El og plugin hybrid'!W$54</f>
        <v>0</v>
      </c>
    </row>
    <row r="137" spans="1:24">
      <c r="A137" s="312"/>
      <c r="B137" s="285">
        <v>19</v>
      </c>
      <c r="C137" s="285">
        <f t="shared" si="6"/>
        <v>19</v>
      </c>
      <c r="D137" s="285"/>
      <c r="E137" s="291">
        <f>'El og plugin hybrid'!E$53*F137*IF('El og plugin hybrid'!E$34="nej","",IF('El og plugin hybrid'!E$36="ja",VLOOKUP('El og plugin hybrid'!E$59+($C137-1),Fremskrivninger!$A$9:$L$38,12),'El og plugin hybrid'!E$38))/1000</f>
        <v>0</v>
      </c>
      <c r="F137" s="313">
        <f>'El og plugin hybrid'!E$16/1000*'El og plugin hybrid'!E$54</f>
        <v>0</v>
      </c>
      <c r="G137" s="291">
        <f>'El og plugin hybrid'!G$53*H137*IF('El og plugin hybrid'!G$34="nej","",IF('El og plugin hybrid'!G$36="ja",VLOOKUP('El og plugin hybrid'!G$59+($C137-1),Fremskrivninger!$A$9:$L$38,12),'El og plugin hybrid'!G$38))/1000</f>
        <v>0</v>
      </c>
      <c r="H137" s="313">
        <f>'El og plugin hybrid'!G$16/1000*'El og plugin hybrid'!G$54</f>
        <v>0</v>
      </c>
      <c r="I137" s="291">
        <f>'El og plugin hybrid'!I$53*J137*IF('El og plugin hybrid'!I$34="nej","",IF('El og plugin hybrid'!I$36="ja",VLOOKUP('El og plugin hybrid'!I$59+($C137-1),Fremskrivninger!$A$9:$L$38,12),'El og plugin hybrid'!I$38))/1000</f>
        <v>0</v>
      </c>
      <c r="J137" s="313">
        <f>'El og plugin hybrid'!I$16/1000*'El og plugin hybrid'!I$54</f>
        <v>0</v>
      </c>
      <c r="K137" s="291">
        <f>'El og plugin hybrid'!K$53*L137*IF('El og plugin hybrid'!K$34="nej","",IF('El og plugin hybrid'!K$36="ja",VLOOKUP('El og plugin hybrid'!K$59+($C137-1),Fremskrivninger!$A$9:$L$38,12),'El og plugin hybrid'!K$38))/1000</f>
        <v>0</v>
      </c>
      <c r="L137" s="313">
        <f>'El og plugin hybrid'!K$16/1000*'El og plugin hybrid'!K$54</f>
        <v>0</v>
      </c>
      <c r="M137" s="291">
        <f>'El og plugin hybrid'!M$53*N137*IF('El og plugin hybrid'!M$34="nej","",IF('El og plugin hybrid'!M$36="ja",VLOOKUP('El og plugin hybrid'!M$59+($C137-1),Fremskrivninger!$A$9:$L$38,12),'El og plugin hybrid'!M$38))/1000</f>
        <v>0</v>
      </c>
      <c r="N137" s="313">
        <f>'El og plugin hybrid'!M$16/1000*'El og plugin hybrid'!M$54</f>
        <v>0</v>
      </c>
      <c r="O137" s="291">
        <f>'El og plugin hybrid'!O$53*P137*IF('El og plugin hybrid'!O$34="nej","",IF('El og plugin hybrid'!O$36="ja",VLOOKUP('El og plugin hybrid'!O$59+($C137-1),Fremskrivninger!$A$9:$L$38,12),'El og plugin hybrid'!O$38))/1000</f>
        <v>0</v>
      </c>
      <c r="P137" s="313">
        <f>'El og plugin hybrid'!O$16/1000*'El og plugin hybrid'!O$54</f>
        <v>0</v>
      </c>
      <c r="Q137" s="291">
        <f>'El og plugin hybrid'!Q$53*R137*IF('El og plugin hybrid'!Q$34="nej","",IF('El og plugin hybrid'!Q$36="ja",VLOOKUP('El og plugin hybrid'!Q$59+($C137-1),Fremskrivninger!$A$9:$L$38,12),'El og plugin hybrid'!Q$38))/1000</f>
        <v>0</v>
      </c>
      <c r="R137" s="313">
        <f>'El og plugin hybrid'!Q$16/1000*'El og plugin hybrid'!Q$54</f>
        <v>0</v>
      </c>
      <c r="S137" s="291">
        <f>'El og plugin hybrid'!S$53*T137*IF('El og plugin hybrid'!S$34="nej","",IF('El og plugin hybrid'!S$36="ja",VLOOKUP('El og plugin hybrid'!S$59+($C137-1),Fremskrivninger!$A$9:$L$38,12),'El og plugin hybrid'!S$38))/1000</f>
        <v>0</v>
      </c>
      <c r="T137" s="313">
        <f>'El og plugin hybrid'!S$16/1000*'El og plugin hybrid'!S$54</f>
        <v>0</v>
      </c>
      <c r="U137" s="291">
        <f>'El og plugin hybrid'!U$53*V137*IF('El og plugin hybrid'!U$34="nej","",IF('El og plugin hybrid'!U$36="ja",VLOOKUP('El og plugin hybrid'!U$59+($C137-1),Fremskrivninger!$A$9:$L$38,12),'El og plugin hybrid'!U$38))/1000</f>
        <v>0</v>
      </c>
      <c r="V137" s="313">
        <f>'El og plugin hybrid'!U$16/1000*'El og plugin hybrid'!U$54</f>
        <v>0</v>
      </c>
      <c r="W137" s="291">
        <f>'El og plugin hybrid'!W$53*X137*IF('El og plugin hybrid'!W$34="nej","",IF('El og plugin hybrid'!W$36="ja",VLOOKUP('El og plugin hybrid'!W$59+($C137-1),Fremskrivninger!$A$9:$L$38,12),'El og plugin hybrid'!W$38))/1000</f>
        <v>0</v>
      </c>
      <c r="X137" s="313">
        <f>'El og plugin hybrid'!W$16/1000*'El og plugin hybrid'!W$54</f>
        <v>0</v>
      </c>
    </row>
    <row r="138" spans="1:24">
      <c r="A138" s="312"/>
      <c r="B138" s="285">
        <v>20</v>
      </c>
      <c r="C138" s="285">
        <f t="shared" si="6"/>
        <v>20</v>
      </c>
      <c r="D138" s="285"/>
      <c r="E138" s="291">
        <f>'El og plugin hybrid'!E$53*F138*IF('El og plugin hybrid'!E$34="nej","",IF('El og plugin hybrid'!E$36="ja",VLOOKUP('El og plugin hybrid'!E$59+($C138-1),Fremskrivninger!$A$9:$L$38,12),'El og plugin hybrid'!E$38))/1000</f>
        <v>0</v>
      </c>
      <c r="F138" s="313">
        <f>'El og plugin hybrid'!E$16/1000*'El og plugin hybrid'!E$54</f>
        <v>0</v>
      </c>
      <c r="G138" s="291">
        <f>'El og plugin hybrid'!G$53*H138*IF('El og plugin hybrid'!G$34="nej","",IF('El og plugin hybrid'!G$36="ja",VLOOKUP('El og plugin hybrid'!G$59+($C138-1),Fremskrivninger!$A$9:$L$38,12),'El og plugin hybrid'!G$38))/1000</f>
        <v>0</v>
      </c>
      <c r="H138" s="313">
        <f>'El og plugin hybrid'!G$16/1000*'El og plugin hybrid'!G$54</f>
        <v>0</v>
      </c>
      <c r="I138" s="291">
        <f>'El og plugin hybrid'!I$53*J138*IF('El og plugin hybrid'!I$34="nej","",IF('El og plugin hybrid'!I$36="ja",VLOOKUP('El og plugin hybrid'!I$59+($C138-1),Fremskrivninger!$A$9:$L$38,12),'El og plugin hybrid'!I$38))/1000</f>
        <v>0</v>
      </c>
      <c r="J138" s="313">
        <f>'El og plugin hybrid'!I$16/1000*'El og plugin hybrid'!I$54</f>
        <v>0</v>
      </c>
      <c r="K138" s="291">
        <f>'El og plugin hybrid'!K$53*L138*IF('El og plugin hybrid'!K$34="nej","",IF('El og plugin hybrid'!K$36="ja",VLOOKUP('El og plugin hybrid'!K$59+($C138-1),Fremskrivninger!$A$9:$L$38,12),'El og plugin hybrid'!K$38))/1000</f>
        <v>0</v>
      </c>
      <c r="L138" s="313">
        <f>'El og plugin hybrid'!K$16/1000*'El og plugin hybrid'!K$54</f>
        <v>0</v>
      </c>
      <c r="M138" s="291">
        <f>'El og plugin hybrid'!M$53*N138*IF('El og plugin hybrid'!M$34="nej","",IF('El og plugin hybrid'!M$36="ja",VLOOKUP('El og plugin hybrid'!M$59+($C138-1),Fremskrivninger!$A$9:$L$38,12),'El og plugin hybrid'!M$38))/1000</f>
        <v>0</v>
      </c>
      <c r="N138" s="313">
        <f>'El og plugin hybrid'!M$16/1000*'El og plugin hybrid'!M$54</f>
        <v>0</v>
      </c>
      <c r="O138" s="291">
        <f>'El og plugin hybrid'!O$53*P138*IF('El og plugin hybrid'!O$34="nej","",IF('El og plugin hybrid'!O$36="ja",VLOOKUP('El og plugin hybrid'!O$59+($C138-1),Fremskrivninger!$A$9:$L$38,12),'El og plugin hybrid'!O$38))/1000</f>
        <v>0</v>
      </c>
      <c r="P138" s="313">
        <f>'El og plugin hybrid'!O$16/1000*'El og plugin hybrid'!O$54</f>
        <v>0</v>
      </c>
      <c r="Q138" s="291">
        <f>'El og plugin hybrid'!Q$53*R138*IF('El og plugin hybrid'!Q$34="nej","",IF('El og plugin hybrid'!Q$36="ja",VLOOKUP('El og plugin hybrid'!Q$59+($C138-1),Fremskrivninger!$A$9:$L$38,12),'El og plugin hybrid'!Q$38))/1000</f>
        <v>0</v>
      </c>
      <c r="R138" s="313">
        <f>'El og plugin hybrid'!Q$16/1000*'El og plugin hybrid'!Q$54</f>
        <v>0</v>
      </c>
      <c r="S138" s="291">
        <f>'El og plugin hybrid'!S$53*T138*IF('El og plugin hybrid'!S$34="nej","",IF('El og plugin hybrid'!S$36="ja",VLOOKUP('El og plugin hybrid'!S$59+($C138-1),Fremskrivninger!$A$9:$L$38,12),'El og plugin hybrid'!S$38))/1000</f>
        <v>0</v>
      </c>
      <c r="T138" s="313">
        <f>'El og plugin hybrid'!S$16/1000*'El og plugin hybrid'!S$54</f>
        <v>0</v>
      </c>
      <c r="U138" s="291">
        <f>'El og plugin hybrid'!U$53*V138*IF('El og plugin hybrid'!U$34="nej","",IF('El og plugin hybrid'!U$36="ja",VLOOKUP('El og plugin hybrid'!U$59+($C138-1),Fremskrivninger!$A$9:$L$38,12),'El og plugin hybrid'!U$38))/1000</f>
        <v>0</v>
      </c>
      <c r="V138" s="313">
        <f>'El og plugin hybrid'!U$16/1000*'El og plugin hybrid'!U$54</f>
        <v>0</v>
      </c>
      <c r="W138" s="291">
        <f>'El og plugin hybrid'!W$53*X138*IF('El og plugin hybrid'!W$34="nej","",IF('El og plugin hybrid'!W$36="ja",VLOOKUP('El og plugin hybrid'!W$59+($C138-1),Fremskrivninger!$A$9:$L$38,12),'El og plugin hybrid'!W$38))/1000</f>
        <v>0</v>
      </c>
      <c r="X138" s="313">
        <f>'El og plugin hybrid'!W$16/1000*'El og plugin hybrid'!W$54</f>
        <v>0</v>
      </c>
    </row>
    <row r="139" spans="1:24" outlineLevel="1">
      <c r="A139" s="286"/>
      <c r="B139" s="287"/>
      <c r="C139" s="287"/>
      <c r="D139" s="287"/>
      <c r="E139" s="287"/>
      <c r="F139" s="287"/>
      <c r="G139" s="287"/>
      <c r="H139" s="287"/>
      <c r="I139" s="287"/>
      <c r="J139" s="287"/>
      <c r="K139" s="287"/>
      <c r="L139" s="287"/>
      <c r="M139" s="287"/>
      <c r="N139" s="287"/>
      <c r="O139" s="287"/>
      <c r="P139" s="287"/>
      <c r="Q139" s="287"/>
      <c r="R139" s="287"/>
      <c r="S139" s="287"/>
      <c r="T139" s="288"/>
      <c r="U139" s="287"/>
      <c r="V139" s="288"/>
      <c r="W139" s="287"/>
      <c r="X139" s="288"/>
    </row>
    <row r="140" spans="1:24">
      <c r="A140" s="289" t="s">
        <v>192</v>
      </c>
      <c r="B140" s="309"/>
      <c r="C140" s="309"/>
      <c r="D140" s="309"/>
      <c r="E140" s="309"/>
      <c r="F140" s="309"/>
      <c r="G140" s="309"/>
      <c r="H140" s="309"/>
      <c r="I140" s="309"/>
      <c r="J140" s="309"/>
      <c r="K140" s="309"/>
      <c r="L140" s="309"/>
      <c r="M140" s="309"/>
      <c r="N140" s="309"/>
      <c r="O140" s="309"/>
      <c r="P140" s="309"/>
      <c r="Q140" s="309"/>
      <c r="R140" s="309"/>
      <c r="S140" s="309"/>
      <c r="T140" s="314"/>
      <c r="U140" s="309"/>
      <c r="V140" s="314"/>
      <c r="W140" s="309"/>
      <c r="X140" s="314"/>
    </row>
    <row r="141" spans="1:24" ht="65.150000000000006">
      <c r="A141" s="282"/>
      <c r="B141" s="283" t="s">
        <v>20</v>
      </c>
      <c r="C141" s="309"/>
      <c r="D141" s="309" t="s">
        <v>21</v>
      </c>
      <c r="E141" s="284" t="str">
        <f>'El og plugin hybrid'!E8</f>
        <v>PRODUKT 1 EL</v>
      </c>
      <c r="F141" s="310" t="str">
        <f>E141&amp;" - Årligt benzinforbrug (liter/år/produkt)"</f>
        <v>PRODUKT 1 EL - Årligt benzinforbrug (liter/år/produkt)</v>
      </c>
      <c r="G141" s="284" t="str">
        <f>'El og plugin hybrid'!G8</f>
        <v>PRODUKT 2 EL</v>
      </c>
      <c r="H141" s="310" t="str">
        <f>G141&amp;" - Årligt benzinforbrug (liter/år/produkt)"</f>
        <v>PRODUKT 2 EL - Årligt benzinforbrug (liter/år/produkt)</v>
      </c>
      <c r="I141" s="284" t="str">
        <f>'El og plugin hybrid'!I8</f>
        <v>PRODUKT 3 EL</v>
      </c>
      <c r="J141" s="310" t="str">
        <f>I141&amp;" - Årligt benzinforbrug (liter/år/produkt)"</f>
        <v>PRODUKT 3 EL - Årligt benzinforbrug (liter/år/produkt)</v>
      </c>
      <c r="K141" s="284" t="str">
        <f>'El og plugin hybrid'!K8</f>
        <v>PRODUKT 4 EL</v>
      </c>
      <c r="L141" s="310" t="str">
        <f>K141&amp;" - Årligt benzinforbrug (liter/år/produkt)"</f>
        <v>PRODUKT 4 EL - Årligt benzinforbrug (liter/år/produkt)</v>
      </c>
      <c r="M141" s="284" t="str">
        <f>'El og plugin hybrid'!M8</f>
        <v>PRODUKT 5 EL</v>
      </c>
      <c r="N141" s="310" t="str">
        <f>M141&amp;" - Årligt benzinforbrug (liter/år/produkt)"</f>
        <v>PRODUKT 5 EL - Årligt benzinforbrug (liter/år/produkt)</v>
      </c>
      <c r="O141" s="284" t="str">
        <f>'El og plugin hybrid'!O8</f>
        <v>PRODUKT 6 EL</v>
      </c>
      <c r="P141" s="310" t="str">
        <f>O141&amp;" - Årligt benzinforbrug (liter/år/produkt)"</f>
        <v>PRODUKT 6 EL - Årligt benzinforbrug (liter/år/produkt)</v>
      </c>
      <c r="Q141" s="284" t="str">
        <f>'El og plugin hybrid'!Q8</f>
        <v>PRODUKT 7 EL</v>
      </c>
      <c r="R141" s="310" t="str">
        <f>Q141&amp;" - Årligt benzinforbrug (liter/år/produkt)"</f>
        <v>PRODUKT 7 EL - Årligt benzinforbrug (liter/år/produkt)</v>
      </c>
      <c r="S141" s="284" t="str">
        <f>'El og plugin hybrid'!S8</f>
        <v>PRODUKT 8 EL</v>
      </c>
      <c r="T141" s="310" t="str">
        <f>S141&amp;" - Årligt benzinforbrug (liter/år/produkt)"</f>
        <v>PRODUKT 8 EL - Årligt benzinforbrug (liter/år/produkt)</v>
      </c>
      <c r="U141" s="284" t="str">
        <f>U25</f>
        <v>PRODUKT 9 EL</v>
      </c>
      <c r="V141" s="310" t="str">
        <f>U141&amp;" - Årligt benzinforbrug (liter/år/produkt)"</f>
        <v>PRODUKT 9 EL - Årligt benzinforbrug (liter/år/produkt)</v>
      </c>
      <c r="W141" s="284" t="str">
        <f>W25</f>
        <v>PRODUKT 10 EL</v>
      </c>
      <c r="X141" s="310" t="str">
        <f>W141&amp;" - Årligt benzinforbrug (liter/år/produkt)"</f>
        <v>PRODUKT 10 EL - Årligt benzinforbrug (liter/år/produkt)</v>
      </c>
    </row>
    <row r="142" spans="1:24">
      <c r="A142" s="312"/>
      <c r="B142" s="285">
        <v>1</v>
      </c>
      <c r="C142" s="285">
        <f>B142</f>
        <v>1</v>
      </c>
      <c r="D142" s="285"/>
      <c r="E142" s="291">
        <f>F142*'El og plugin hybrid'!E$53*VLOOKUP('El og plugin hybrid'!E$59+($B142-1),Fremskrivninger!$A$48:$H$77,8)/1000</f>
        <v>0</v>
      </c>
      <c r="F142" s="313">
        <f>IFERROR('El og plugin hybrid'!E$54/'El og plugin hybrid'!E$16,0)</f>
        <v>0</v>
      </c>
      <c r="G142" s="291">
        <f>H142*'El og plugin hybrid'!G$53*VLOOKUP('El og plugin hybrid'!G$59+($B142-1),Fremskrivninger!$A$48:$H$77,8)/1000</f>
        <v>0</v>
      </c>
      <c r="H142" s="313">
        <f>IFERROR('El og plugin hybrid'!G$54/'El og plugin hybrid'!G$16,0)</f>
        <v>0</v>
      </c>
      <c r="I142" s="291">
        <f>J142*'El og plugin hybrid'!I$53*VLOOKUP('El og plugin hybrid'!I$59+($B142-1),Fremskrivninger!$A$48:$H$77,8)/1000</f>
        <v>0</v>
      </c>
      <c r="J142" s="313">
        <f>IFERROR('El og plugin hybrid'!I$54/'El og plugin hybrid'!I$16,0)</f>
        <v>0</v>
      </c>
      <c r="K142" s="291">
        <f>L142*'El og plugin hybrid'!K$53*VLOOKUP('El og plugin hybrid'!K$59+($B142-1),Fremskrivninger!$A$48:$H$77,8)/1000</f>
        <v>0</v>
      </c>
      <c r="L142" s="313">
        <f>IFERROR('El og plugin hybrid'!K$54/'El og plugin hybrid'!K$16,0)</f>
        <v>0</v>
      </c>
      <c r="M142" s="291">
        <f>N142*'El og plugin hybrid'!M$53*VLOOKUP('El og plugin hybrid'!M$59+($B142-1),Fremskrivninger!$A$48:$H$77,8)/1000</f>
        <v>0</v>
      </c>
      <c r="N142" s="313">
        <f>IFERROR('El og plugin hybrid'!M$54/'El og plugin hybrid'!M$16,0)</f>
        <v>0</v>
      </c>
      <c r="O142" s="291">
        <f>P142*'El og plugin hybrid'!O$53*VLOOKUP('El og plugin hybrid'!O$59+($B142-1),Fremskrivninger!$A$48:$H$77,8)/1000</f>
        <v>0</v>
      </c>
      <c r="P142" s="313">
        <f>IFERROR('El og plugin hybrid'!O$54/'El og plugin hybrid'!O$16,0)</f>
        <v>0</v>
      </c>
      <c r="Q142" s="291">
        <f>R142*'El og plugin hybrid'!Q$53*VLOOKUP('El og plugin hybrid'!Q$59+($B142-1),Fremskrivninger!$A$48:$H$77,8)/1000</f>
        <v>0</v>
      </c>
      <c r="R142" s="313">
        <f>IFERROR('El og plugin hybrid'!Q$54/'El og plugin hybrid'!Q$16,0)</f>
        <v>0</v>
      </c>
      <c r="S142" s="291">
        <f>T142*'El og plugin hybrid'!S$53*VLOOKUP('El og plugin hybrid'!S$59+($B142-1),Fremskrivninger!$A$48:$H$77,8)/1000</f>
        <v>0</v>
      </c>
      <c r="T142" s="313">
        <f>IFERROR('El og plugin hybrid'!S$54/'El og plugin hybrid'!S$16,0)</f>
        <v>0</v>
      </c>
      <c r="U142" s="291">
        <f>V142*'El og plugin hybrid'!U$53*VLOOKUP('El og plugin hybrid'!U$59+($B142-1),Fremskrivninger!$A$48:$H$77,8)/1000</f>
        <v>0</v>
      </c>
      <c r="V142" s="313">
        <f>IFERROR('El og plugin hybrid'!U$54/'El og plugin hybrid'!U$16,0)</f>
        <v>0</v>
      </c>
      <c r="W142" s="291">
        <f>X142*'El og plugin hybrid'!W$53*VLOOKUP('El og plugin hybrid'!W$59+($B142-1),Fremskrivninger!$A$48:$H$77,8)/1000</f>
        <v>0</v>
      </c>
      <c r="X142" s="313">
        <f>IFERROR('El og plugin hybrid'!W$54/'El og plugin hybrid'!W$16,0)</f>
        <v>0</v>
      </c>
    </row>
    <row r="143" spans="1:24">
      <c r="A143" s="312"/>
      <c r="B143" s="285">
        <v>2</v>
      </c>
      <c r="C143" s="285">
        <f t="shared" ref="C143:C161" si="7">B143</f>
        <v>2</v>
      </c>
      <c r="D143" s="285"/>
      <c r="E143" s="291">
        <f>F143*'El og plugin hybrid'!E$53*VLOOKUP('El og plugin hybrid'!E$59+($B143-1),Fremskrivninger!$A$48:$H$77,8)/1000</f>
        <v>0</v>
      </c>
      <c r="F143" s="313">
        <f>IFERROR('El og plugin hybrid'!E$54/'El og plugin hybrid'!E$16,0)</f>
        <v>0</v>
      </c>
      <c r="G143" s="291">
        <f>H143*'El og plugin hybrid'!G$53*VLOOKUP('El og plugin hybrid'!G$59+($B143-1),Fremskrivninger!$A$48:$H$77,8)/1000</f>
        <v>0</v>
      </c>
      <c r="H143" s="313">
        <f>IFERROR('El og plugin hybrid'!G$54/'El og plugin hybrid'!G$16,0)</f>
        <v>0</v>
      </c>
      <c r="I143" s="291">
        <f>J143*'El og plugin hybrid'!I$53*VLOOKUP('El og plugin hybrid'!I$59+($B143-1),Fremskrivninger!$A$48:$H$77,8)/1000</f>
        <v>0</v>
      </c>
      <c r="J143" s="313">
        <f>IFERROR('El og plugin hybrid'!I$54/'El og plugin hybrid'!I$16,0)</f>
        <v>0</v>
      </c>
      <c r="K143" s="291">
        <f>L143*'El og plugin hybrid'!K$53*VLOOKUP('El og plugin hybrid'!K$59+($B143-1),Fremskrivninger!$A$48:$H$77,8)/1000</f>
        <v>0</v>
      </c>
      <c r="L143" s="313">
        <f>IFERROR('El og plugin hybrid'!K$54/'El og plugin hybrid'!K$16,0)</f>
        <v>0</v>
      </c>
      <c r="M143" s="291">
        <f>N143*'El og plugin hybrid'!M$53*VLOOKUP('El og plugin hybrid'!M$59+($B143-1),Fremskrivninger!$A$48:$H$77,8)/1000</f>
        <v>0</v>
      </c>
      <c r="N143" s="313">
        <f>IFERROR('El og plugin hybrid'!M$54/'El og plugin hybrid'!M$16,0)</f>
        <v>0</v>
      </c>
      <c r="O143" s="291">
        <f>P143*'El og plugin hybrid'!O$53*VLOOKUP('El og plugin hybrid'!O$59+($B143-1),Fremskrivninger!$A$48:$H$77,8)/1000</f>
        <v>0</v>
      </c>
      <c r="P143" s="313">
        <f>IFERROR('El og plugin hybrid'!O$54/'El og plugin hybrid'!O$16,0)</f>
        <v>0</v>
      </c>
      <c r="Q143" s="291">
        <f>R143*'El og plugin hybrid'!Q$53*VLOOKUP('El og plugin hybrid'!Q$59+($B143-1),Fremskrivninger!$A$48:$H$77,8)/1000</f>
        <v>0</v>
      </c>
      <c r="R143" s="313">
        <f>IFERROR('El og plugin hybrid'!Q$54/'El og plugin hybrid'!Q$16,0)</f>
        <v>0</v>
      </c>
      <c r="S143" s="291">
        <f>T143*'El og plugin hybrid'!S$53*VLOOKUP('El og plugin hybrid'!S$59+($B143-1),Fremskrivninger!$A$48:$H$77,8)/1000</f>
        <v>0</v>
      </c>
      <c r="T143" s="313">
        <f>IFERROR('El og plugin hybrid'!S$54/'El og plugin hybrid'!S$16,0)</f>
        <v>0</v>
      </c>
      <c r="U143" s="291">
        <f>V143*'El og plugin hybrid'!U$53*VLOOKUP('El og plugin hybrid'!U$59+($B143-1),Fremskrivninger!$A$48:$H$77,8)/1000</f>
        <v>0</v>
      </c>
      <c r="V143" s="313">
        <f>IFERROR('El og plugin hybrid'!U$54/'El og plugin hybrid'!U$16,0)</f>
        <v>0</v>
      </c>
      <c r="W143" s="291">
        <f>X143*'El og plugin hybrid'!W$53*VLOOKUP('El og plugin hybrid'!W$59+($B143-1),Fremskrivninger!$A$48:$H$77,8)/1000</f>
        <v>0</v>
      </c>
      <c r="X143" s="313">
        <f>IFERROR('El og plugin hybrid'!W$54/'El og plugin hybrid'!W$16,0)</f>
        <v>0</v>
      </c>
    </row>
    <row r="144" spans="1:24">
      <c r="A144" s="312"/>
      <c r="B144" s="285">
        <v>3</v>
      </c>
      <c r="C144" s="285">
        <f t="shared" si="7"/>
        <v>3</v>
      </c>
      <c r="D144" s="285"/>
      <c r="E144" s="291">
        <f>F144*'El og plugin hybrid'!E$53*VLOOKUP('El og plugin hybrid'!E$59+($B144-1),Fremskrivninger!$A$48:$H$77,8)/1000</f>
        <v>0</v>
      </c>
      <c r="F144" s="313">
        <f>IFERROR('El og plugin hybrid'!E$54/'El og plugin hybrid'!E$16,0)</f>
        <v>0</v>
      </c>
      <c r="G144" s="291">
        <f>H144*'El og plugin hybrid'!G$53*VLOOKUP('El og plugin hybrid'!G$59+($B144-1),Fremskrivninger!$A$48:$H$77,8)/1000</f>
        <v>0</v>
      </c>
      <c r="H144" s="313">
        <f>IFERROR('El og plugin hybrid'!G$54/'El og plugin hybrid'!G$16,0)</f>
        <v>0</v>
      </c>
      <c r="I144" s="291">
        <f>J144*'El og plugin hybrid'!I$53*VLOOKUP('El og plugin hybrid'!I$59+($B144-1),Fremskrivninger!$A$48:$H$77,8)/1000</f>
        <v>0</v>
      </c>
      <c r="J144" s="313">
        <f>IFERROR('El og plugin hybrid'!I$54/'El og plugin hybrid'!I$16,0)</f>
        <v>0</v>
      </c>
      <c r="K144" s="291">
        <f>L144*'El og plugin hybrid'!K$53*VLOOKUP('El og plugin hybrid'!K$59+($B144-1),Fremskrivninger!$A$48:$H$77,8)/1000</f>
        <v>0</v>
      </c>
      <c r="L144" s="313">
        <f>IFERROR('El og plugin hybrid'!K$54/'El og plugin hybrid'!K$16,0)</f>
        <v>0</v>
      </c>
      <c r="M144" s="291">
        <f>N144*'El og plugin hybrid'!M$53*VLOOKUP('El og plugin hybrid'!M$59+($B144-1),Fremskrivninger!$A$48:$H$77,8)/1000</f>
        <v>0</v>
      </c>
      <c r="N144" s="313">
        <f>IFERROR('El og plugin hybrid'!M$54/'El og plugin hybrid'!M$16,0)</f>
        <v>0</v>
      </c>
      <c r="O144" s="291">
        <f>P144*'El og plugin hybrid'!O$53*VLOOKUP('El og plugin hybrid'!O$59+($B144-1),Fremskrivninger!$A$48:$H$77,8)/1000</f>
        <v>0</v>
      </c>
      <c r="P144" s="313">
        <f>IFERROR('El og plugin hybrid'!O$54/'El og plugin hybrid'!O$16,0)</f>
        <v>0</v>
      </c>
      <c r="Q144" s="291">
        <f>R144*'El og plugin hybrid'!Q$53*VLOOKUP('El og plugin hybrid'!Q$59+($B144-1),Fremskrivninger!$A$48:$H$77,8)/1000</f>
        <v>0</v>
      </c>
      <c r="R144" s="313">
        <f>IFERROR('El og plugin hybrid'!Q$54/'El og plugin hybrid'!Q$16,0)</f>
        <v>0</v>
      </c>
      <c r="S144" s="291">
        <f>T144*'El og plugin hybrid'!S$53*VLOOKUP('El og plugin hybrid'!S$59+($B144-1),Fremskrivninger!$A$48:$H$77,8)/1000</f>
        <v>0</v>
      </c>
      <c r="T144" s="313">
        <f>IFERROR('El og plugin hybrid'!S$54/'El og plugin hybrid'!S$16,0)</f>
        <v>0</v>
      </c>
      <c r="U144" s="291">
        <f>V144*'El og plugin hybrid'!U$53*VLOOKUP('El og plugin hybrid'!U$59+($B144-1),Fremskrivninger!$A$48:$H$77,8)/1000</f>
        <v>0</v>
      </c>
      <c r="V144" s="313">
        <f>IFERROR('El og plugin hybrid'!U$54/'El og plugin hybrid'!U$16,0)</f>
        <v>0</v>
      </c>
      <c r="W144" s="291">
        <f>X144*'El og plugin hybrid'!W$53*VLOOKUP('El og plugin hybrid'!W$59+($B144-1),Fremskrivninger!$A$48:$H$77,8)/1000</f>
        <v>0</v>
      </c>
      <c r="X144" s="313">
        <f>IFERROR('El og plugin hybrid'!W$54/'El og plugin hybrid'!W$16,0)</f>
        <v>0</v>
      </c>
    </row>
    <row r="145" spans="1:24">
      <c r="A145" s="312"/>
      <c r="B145" s="285">
        <v>4</v>
      </c>
      <c r="C145" s="285">
        <f t="shared" si="7"/>
        <v>4</v>
      </c>
      <c r="D145" s="285"/>
      <c r="E145" s="291">
        <f>F145*'El og plugin hybrid'!E$53*VLOOKUP('El og plugin hybrid'!E$59+($B145-1),Fremskrivninger!$A$48:$H$77,8)/1000</f>
        <v>0</v>
      </c>
      <c r="F145" s="313">
        <f>IFERROR('El og plugin hybrid'!E$54/'El og plugin hybrid'!E$16,0)</f>
        <v>0</v>
      </c>
      <c r="G145" s="291">
        <f>H145*'El og plugin hybrid'!G$53*VLOOKUP('El og plugin hybrid'!G$59+($B145-1),Fremskrivninger!$A$48:$H$77,8)/1000</f>
        <v>0</v>
      </c>
      <c r="H145" s="313">
        <f>IFERROR('El og plugin hybrid'!G$54/'El og plugin hybrid'!G$16,0)</f>
        <v>0</v>
      </c>
      <c r="I145" s="291">
        <f>J145*'El og plugin hybrid'!I$53*VLOOKUP('El og plugin hybrid'!I$59+($B145-1),Fremskrivninger!$A$48:$H$77,8)/1000</f>
        <v>0</v>
      </c>
      <c r="J145" s="313">
        <f>IFERROR('El og plugin hybrid'!I$54/'El og plugin hybrid'!I$16,0)</f>
        <v>0</v>
      </c>
      <c r="K145" s="291">
        <f>L145*'El og plugin hybrid'!K$53*VLOOKUP('El og plugin hybrid'!K$59+($B145-1),Fremskrivninger!$A$48:$H$77,8)/1000</f>
        <v>0</v>
      </c>
      <c r="L145" s="313">
        <f>IFERROR('El og plugin hybrid'!K$54/'El og plugin hybrid'!K$16,0)</f>
        <v>0</v>
      </c>
      <c r="M145" s="291">
        <f>N145*'El og plugin hybrid'!M$53*VLOOKUP('El og plugin hybrid'!M$59+($B145-1),Fremskrivninger!$A$48:$H$77,8)/1000</f>
        <v>0</v>
      </c>
      <c r="N145" s="313">
        <f>IFERROR('El og plugin hybrid'!M$54/'El og plugin hybrid'!M$16,0)</f>
        <v>0</v>
      </c>
      <c r="O145" s="291">
        <f>P145*'El og plugin hybrid'!O$53*VLOOKUP('El og plugin hybrid'!O$59+($B145-1),Fremskrivninger!$A$48:$H$77,8)/1000</f>
        <v>0</v>
      </c>
      <c r="P145" s="313">
        <f>IFERROR('El og plugin hybrid'!O$54/'El og plugin hybrid'!O$16,0)</f>
        <v>0</v>
      </c>
      <c r="Q145" s="291">
        <f>R145*'El og plugin hybrid'!Q$53*VLOOKUP('El og plugin hybrid'!Q$59+($B145-1),Fremskrivninger!$A$48:$H$77,8)/1000</f>
        <v>0</v>
      </c>
      <c r="R145" s="313">
        <f>IFERROR('El og plugin hybrid'!Q$54/'El og plugin hybrid'!Q$16,0)</f>
        <v>0</v>
      </c>
      <c r="S145" s="291">
        <f>T145*'El og plugin hybrid'!S$53*VLOOKUP('El og plugin hybrid'!S$59+($B145-1),Fremskrivninger!$A$48:$H$77,8)/1000</f>
        <v>0</v>
      </c>
      <c r="T145" s="313">
        <f>IFERROR('El og plugin hybrid'!S$54/'El og plugin hybrid'!S$16,0)</f>
        <v>0</v>
      </c>
      <c r="U145" s="291">
        <f>V145*'El og plugin hybrid'!U$53*VLOOKUP('El og plugin hybrid'!U$59+($B145-1),Fremskrivninger!$A$48:$H$77,8)/1000</f>
        <v>0</v>
      </c>
      <c r="V145" s="313">
        <f>IFERROR('El og plugin hybrid'!U$54/'El og plugin hybrid'!U$16,0)</f>
        <v>0</v>
      </c>
      <c r="W145" s="291">
        <f>X145*'El og plugin hybrid'!W$53*VLOOKUP('El og plugin hybrid'!W$59+($B145-1),Fremskrivninger!$A$48:$H$77,8)/1000</f>
        <v>0</v>
      </c>
      <c r="X145" s="313">
        <f>IFERROR('El og plugin hybrid'!W$54/'El og plugin hybrid'!W$16,0)</f>
        <v>0</v>
      </c>
    </row>
    <row r="146" spans="1:24">
      <c r="A146" s="312"/>
      <c r="B146" s="285">
        <v>5</v>
      </c>
      <c r="C146" s="285">
        <f t="shared" si="7"/>
        <v>5</v>
      </c>
      <c r="D146" s="285"/>
      <c r="E146" s="291">
        <f>F146*'El og plugin hybrid'!E$53*VLOOKUP('El og plugin hybrid'!E$59+($B146-1),Fremskrivninger!$A$48:$H$77,8)/1000</f>
        <v>0</v>
      </c>
      <c r="F146" s="313">
        <f>IFERROR('El og plugin hybrid'!E$54/'El og plugin hybrid'!E$16,0)</f>
        <v>0</v>
      </c>
      <c r="G146" s="291">
        <f>H146*'El og plugin hybrid'!G$53*VLOOKUP('El og plugin hybrid'!G$59+($B146-1),Fremskrivninger!$A$48:$H$77,8)/1000</f>
        <v>0</v>
      </c>
      <c r="H146" s="313">
        <f>IFERROR('El og plugin hybrid'!G$54/'El og plugin hybrid'!G$16,0)</f>
        <v>0</v>
      </c>
      <c r="I146" s="291">
        <f>J146*'El og plugin hybrid'!I$53*VLOOKUP('El og plugin hybrid'!I$59+($B146-1),Fremskrivninger!$A$48:$H$77,8)/1000</f>
        <v>0</v>
      </c>
      <c r="J146" s="313">
        <f>IFERROR('El og plugin hybrid'!I$54/'El og plugin hybrid'!I$16,0)</f>
        <v>0</v>
      </c>
      <c r="K146" s="291">
        <f>L146*'El og plugin hybrid'!K$53*VLOOKUP('El og plugin hybrid'!K$59+($B146-1),Fremskrivninger!$A$48:$H$77,8)/1000</f>
        <v>0</v>
      </c>
      <c r="L146" s="313">
        <f>IFERROR('El og plugin hybrid'!K$54/'El og plugin hybrid'!K$16,0)</f>
        <v>0</v>
      </c>
      <c r="M146" s="291">
        <f>N146*'El og plugin hybrid'!M$53*VLOOKUP('El og plugin hybrid'!M$59+($B146-1),Fremskrivninger!$A$48:$H$77,8)/1000</f>
        <v>0</v>
      </c>
      <c r="N146" s="313">
        <f>IFERROR('El og plugin hybrid'!M$54/'El og plugin hybrid'!M$16,0)</f>
        <v>0</v>
      </c>
      <c r="O146" s="291">
        <f>P146*'El og plugin hybrid'!O$53*VLOOKUP('El og plugin hybrid'!O$59+($B146-1),Fremskrivninger!$A$48:$H$77,8)/1000</f>
        <v>0</v>
      </c>
      <c r="P146" s="313">
        <f>IFERROR('El og plugin hybrid'!O$54/'El og plugin hybrid'!O$16,0)</f>
        <v>0</v>
      </c>
      <c r="Q146" s="291">
        <f>R146*'El og plugin hybrid'!Q$53*VLOOKUP('El og plugin hybrid'!Q$59+($B146-1),Fremskrivninger!$A$48:$H$77,8)/1000</f>
        <v>0</v>
      </c>
      <c r="R146" s="313">
        <f>IFERROR('El og plugin hybrid'!Q$54/'El og plugin hybrid'!Q$16,0)</f>
        <v>0</v>
      </c>
      <c r="S146" s="291">
        <f>T146*'El og plugin hybrid'!S$53*VLOOKUP('El og plugin hybrid'!S$59+($B146-1),Fremskrivninger!$A$48:$H$77,8)/1000</f>
        <v>0</v>
      </c>
      <c r="T146" s="313">
        <f>IFERROR('El og plugin hybrid'!S$54/'El og plugin hybrid'!S$16,0)</f>
        <v>0</v>
      </c>
      <c r="U146" s="291">
        <f>V146*'El og plugin hybrid'!U$53*VLOOKUP('El og plugin hybrid'!U$59+($B146-1),Fremskrivninger!$A$48:$H$77,8)/1000</f>
        <v>0</v>
      </c>
      <c r="V146" s="313">
        <f>IFERROR('El og plugin hybrid'!U$54/'El og plugin hybrid'!U$16,0)</f>
        <v>0</v>
      </c>
      <c r="W146" s="291">
        <f>X146*'El og plugin hybrid'!W$53*VLOOKUP('El og plugin hybrid'!W$59+($B146-1),Fremskrivninger!$A$48:$H$77,8)/1000</f>
        <v>0</v>
      </c>
      <c r="X146" s="313">
        <f>IFERROR('El og plugin hybrid'!W$54/'El og plugin hybrid'!W$16,0)</f>
        <v>0</v>
      </c>
    </row>
    <row r="147" spans="1:24">
      <c r="A147" s="312"/>
      <c r="B147" s="285">
        <v>6</v>
      </c>
      <c r="C147" s="285">
        <f t="shared" si="7"/>
        <v>6</v>
      </c>
      <c r="D147" s="285"/>
      <c r="E147" s="291">
        <f>F147*'El og plugin hybrid'!E$53*VLOOKUP('El og plugin hybrid'!E$59+($B147-1),Fremskrivninger!$A$48:$H$77,8)/1000</f>
        <v>0</v>
      </c>
      <c r="F147" s="313">
        <f>IFERROR('El og plugin hybrid'!E$54/'El og plugin hybrid'!E$16,0)</f>
        <v>0</v>
      </c>
      <c r="G147" s="291">
        <f>H147*'El og plugin hybrid'!G$53*VLOOKUP('El og plugin hybrid'!G$59+($B147-1),Fremskrivninger!$A$48:$H$77,8)/1000</f>
        <v>0</v>
      </c>
      <c r="H147" s="313">
        <f>IFERROR('El og plugin hybrid'!G$54/'El og plugin hybrid'!G$16,0)</f>
        <v>0</v>
      </c>
      <c r="I147" s="291">
        <f>J147*'El og plugin hybrid'!I$53*VLOOKUP('El og plugin hybrid'!I$59+($B147-1),Fremskrivninger!$A$48:$H$77,8)/1000</f>
        <v>0</v>
      </c>
      <c r="J147" s="313">
        <f>IFERROR('El og plugin hybrid'!I$54/'El og plugin hybrid'!I$16,0)</f>
        <v>0</v>
      </c>
      <c r="K147" s="291">
        <f>L147*'El og plugin hybrid'!K$53*VLOOKUP('El og plugin hybrid'!K$59+($B147-1),Fremskrivninger!$A$48:$H$77,8)/1000</f>
        <v>0</v>
      </c>
      <c r="L147" s="313">
        <f>IFERROR('El og plugin hybrid'!K$54/'El og plugin hybrid'!K$16,0)</f>
        <v>0</v>
      </c>
      <c r="M147" s="291">
        <f>N147*'El og plugin hybrid'!M$53*VLOOKUP('El og plugin hybrid'!M$59+($B147-1),Fremskrivninger!$A$48:$H$77,8)/1000</f>
        <v>0</v>
      </c>
      <c r="N147" s="313">
        <f>IFERROR('El og plugin hybrid'!M$54/'El og plugin hybrid'!M$16,0)</f>
        <v>0</v>
      </c>
      <c r="O147" s="291">
        <f>P147*'El og plugin hybrid'!O$53*VLOOKUP('El og plugin hybrid'!O$59+($B147-1),Fremskrivninger!$A$48:$H$77,8)/1000</f>
        <v>0</v>
      </c>
      <c r="P147" s="313">
        <f>IFERROR('El og plugin hybrid'!O$54/'El og plugin hybrid'!O$16,0)</f>
        <v>0</v>
      </c>
      <c r="Q147" s="291">
        <f>R147*'El og plugin hybrid'!Q$53*VLOOKUP('El og plugin hybrid'!Q$59+($B147-1),Fremskrivninger!$A$48:$H$77,8)/1000</f>
        <v>0</v>
      </c>
      <c r="R147" s="313">
        <f>IFERROR('El og plugin hybrid'!Q$54/'El og plugin hybrid'!Q$16,0)</f>
        <v>0</v>
      </c>
      <c r="S147" s="291">
        <f>T147*'El og plugin hybrid'!S$53*VLOOKUP('El og plugin hybrid'!S$59+($B147-1),Fremskrivninger!$A$48:$H$77,8)/1000</f>
        <v>0</v>
      </c>
      <c r="T147" s="313">
        <f>IFERROR('El og plugin hybrid'!S$54/'El og plugin hybrid'!S$16,0)</f>
        <v>0</v>
      </c>
      <c r="U147" s="291">
        <f>V147*'El og plugin hybrid'!U$53*VLOOKUP('El og plugin hybrid'!U$59+($B147-1),Fremskrivninger!$A$48:$H$77,8)/1000</f>
        <v>0</v>
      </c>
      <c r="V147" s="313">
        <f>IFERROR('El og plugin hybrid'!U$54/'El og plugin hybrid'!U$16,0)</f>
        <v>0</v>
      </c>
      <c r="W147" s="291">
        <f>X147*'El og plugin hybrid'!W$53*VLOOKUP('El og plugin hybrid'!W$59+($B147-1),Fremskrivninger!$A$48:$H$77,8)/1000</f>
        <v>0</v>
      </c>
      <c r="X147" s="313">
        <f>IFERROR('El og plugin hybrid'!W$54/'El og plugin hybrid'!W$16,0)</f>
        <v>0</v>
      </c>
    </row>
    <row r="148" spans="1:24">
      <c r="A148" s="312"/>
      <c r="B148" s="285">
        <v>7</v>
      </c>
      <c r="C148" s="285">
        <f t="shared" si="7"/>
        <v>7</v>
      </c>
      <c r="D148" s="285"/>
      <c r="E148" s="291">
        <f>F148*'El og plugin hybrid'!E$53*VLOOKUP('El og plugin hybrid'!E$59+($B148-1),Fremskrivninger!$A$48:$H$77,8)/1000</f>
        <v>0</v>
      </c>
      <c r="F148" s="313">
        <f>IFERROR('El og plugin hybrid'!E$54/'El og plugin hybrid'!E$16,0)</f>
        <v>0</v>
      </c>
      <c r="G148" s="291">
        <f>H148*'El og plugin hybrid'!G$53*VLOOKUP('El og plugin hybrid'!G$59+($B148-1),Fremskrivninger!$A$48:$H$77,8)/1000</f>
        <v>0</v>
      </c>
      <c r="H148" s="313">
        <f>IFERROR('El og plugin hybrid'!G$54/'El og plugin hybrid'!G$16,0)</f>
        <v>0</v>
      </c>
      <c r="I148" s="291">
        <f>J148*'El og plugin hybrid'!I$53*VLOOKUP('El og plugin hybrid'!I$59+($B148-1),Fremskrivninger!$A$48:$H$77,8)/1000</f>
        <v>0</v>
      </c>
      <c r="J148" s="313">
        <f>IFERROR('El og plugin hybrid'!I$54/'El og plugin hybrid'!I$16,0)</f>
        <v>0</v>
      </c>
      <c r="K148" s="291">
        <f>L148*'El og plugin hybrid'!K$53*VLOOKUP('El og plugin hybrid'!K$59+($B148-1),Fremskrivninger!$A$48:$H$77,8)/1000</f>
        <v>0</v>
      </c>
      <c r="L148" s="313">
        <f>IFERROR('El og plugin hybrid'!K$54/'El og plugin hybrid'!K$16,0)</f>
        <v>0</v>
      </c>
      <c r="M148" s="291">
        <f>N148*'El og plugin hybrid'!M$53*VLOOKUP('El og plugin hybrid'!M$59+($B148-1),Fremskrivninger!$A$48:$H$77,8)/1000</f>
        <v>0</v>
      </c>
      <c r="N148" s="313">
        <f>IFERROR('El og plugin hybrid'!M$54/'El og plugin hybrid'!M$16,0)</f>
        <v>0</v>
      </c>
      <c r="O148" s="291">
        <f>P148*'El og plugin hybrid'!O$53*VLOOKUP('El og plugin hybrid'!O$59+($B148-1),Fremskrivninger!$A$48:$H$77,8)/1000</f>
        <v>0</v>
      </c>
      <c r="P148" s="313">
        <f>IFERROR('El og plugin hybrid'!O$54/'El og plugin hybrid'!O$16,0)</f>
        <v>0</v>
      </c>
      <c r="Q148" s="291">
        <f>R148*'El og plugin hybrid'!Q$53*VLOOKUP('El og plugin hybrid'!Q$59+($B148-1),Fremskrivninger!$A$48:$H$77,8)/1000</f>
        <v>0</v>
      </c>
      <c r="R148" s="313">
        <f>IFERROR('El og plugin hybrid'!Q$54/'El og plugin hybrid'!Q$16,0)</f>
        <v>0</v>
      </c>
      <c r="S148" s="291">
        <f>T148*'El og plugin hybrid'!S$53*VLOOKUP('El og plugin hybrid'!S$59+($B148-1),Fremskrivninger!$A$48:$H$77,8)/1000</f>
        <v>0</v>
      </c>
      <c r="T148" s="313">
        <f>IFERROR('El og plugin hybrid'!S$54/'El og plugin hybrid'!S$16,0)</f>
        <v>0</v>
      </c>
      <c r="U148" s="291">
        <f>V148*'El og plugin hybrid'!U$53*VLOOKUP('El og plugin hybrid'!U$59+($B148-1),Fremskrivninger!$A$48:$H$77,8)/1000</f>
        <v>0</v>
      </c>
      <c r="V148" s="313">
        <f>IFERROR('El og plugin hybrid'!U$54/'El og plugin hybrid'!U$16,0)</f>
        <v>0</v>
      </c>
      <c r="W148" s="291">
        <f>X148*'El og plugin hybrid'!W$53*VLOOKUP('El og plugin hybrid'!W$59+($B148-1),Fremskrivninger!$A$48:$H$77,8)/1000</f>
        <v>0</v>
      </c>
      <c r="X148" s="313">
        <f>IFERROR('El og plugin hybrid'!W$54/'El og plugin hybrid'!W$16,0)</f>
        <v>0</v>
      </c>
    </row>
    <row r="149" spans="1:24">
      <c r="A149" s="312"/>
      <c r="B149" s="285">
        <v>8</v>
      </c>
      <c r="C149" s="285">
        <f t="shared" si="7"/>
        <v>8</v>
      </c>
      <c r="D149" s="285"/>
      <c r="E149" s="291">
        <f>F149*'El og plugin hybrid'!E$53*VLOOKUP('El og plugin hybrid'!E$59+($B149-1),Fremskrivninger!$A$48:$H$77,8)/1000</f>
        <v>0</v>
      </c>
      <c r="F149" s="313">
        <f>IFERROR('El og plugin hybrid'!E$54/'El og plugin hybrid'!E$16,0)</f>
        <v>0</v>
      </c>
      <c r="G149" s="291">
        <f>H149*'El og plugin hybrid'!G$53*VLOOKUP('El og plugin hybrid'!G$59+($B149-1),Fremskrivninger!$A$48:$H$77,8)/1000</f>
        <v>0</v>
      </c>
      <c r="H149" s="313">
        <f>IFERROR('El og plugin hybrid'!G$54/'El og plugin hybrid'!G$16,0)</f>
        <v>0</v>
      </c>
      <c r="I149" s="291">
        <f>J149*'El og plugin hybrid'!I$53*VLOOKUP('El og plugin hybrid'!I$59+($B149-1),Fremskrivninger!$A$48:$H$77,8)/1000</f>
        <v>0</v>
      </c>
      <c r="J149" s="313">
        <f>IFERROR('El og plugin hybrid'!I$54/'El og plugin hybrid'!I$16,0)</f>
        <v>0</v>
      </c>
      <c r="K149" s="291">
        <f>L149*'El og plugin hybrid'!K$53*VLOOKUP('El og plugin hybrid'!K$59+($B149-1),Fremskrivninger!$A$48:$H$77,8)/1000</f>
        <v>0</v>
      </c>
      <c r="L149" s="313">
        <f>IFERROR('El og plugin hybrid'!K$54/'El og plugin hybrid'!K$16,0)</f>
        <v>0</v>
      </c>
      <c r="M149" s="291">
        <f>N149*'El og plugin hybrid'!M$53*VLOOKUP('El og plugin hybrid'!M$59+($B149-1),Fremskrivninger!$A$48:$H$77,8)/1000</f>
        <v>0</v>
      </c>
      <c r="N149" s="313">
        <f>IFERROR('El og plugin hybrid'!M$54/'El og plugin hybrid'!M$16,0)</f>
        <v>0</v>
      </c>
      <c r="O149" s="291">
        <f>P149*'El og plugin hybrid'!O$53*VLOOKUP('El og plugin hybrid'!O$59+($B149-1),Fremskrivninger!$A$48:$H$77,8)/1000</f>
        <v>0</v>
      </c>
      <c r="P149" s="313">
        <f>IFERROR('El og plugin hybrid'!O$54/'El og plugin hybrid'!O$16,0)</f>
        <v>0</v>
      </c>
      <c r="Q149" s="291">
        <f>R149*'El og plugin hybrid'!Q$53*VLOOKUP('El og plugin hybrid'!Q$59+($B149-1),Fremskrivninger!$A$48:$H$77,8)/1000</f>
        <v>0</v>
      </c>
      <c r="R149" s="313">
        <f>IFERROR('El og plugin hybrid'!Q$54/'El og plugin hybrid'!Q$16,0)</f>
        <v>0</v>
      </c>
      <c r="S149" s="291">
        <f>T149*'El og plugin hybrid'!S$53*VLOOKUP('El og plugin hybrid'!S$59+($B149-1),Fremskrivninger!$A$48:$H$77,8)/1000</f>
        <v>0</v>
      </c>
      <c r="T149" s="313">
        <f>IFERROR('El og plugin hybrid'!S$54/'El og plugin hybrid'!S$16,0)</f>
        <v>0</v>
      </c>
      <c r="U149" s="291">
        <f>V149*'El og plugin hybrid'!U$53*VLOOKUP('El og plugin hybrid'!U$59+($B149-1),Fremskrivninger!$A$48:$H$77,8)/1000</f>
        <v>0</v>
      </c>
      <c r="V149" s="313">
        <f>IFERROR('El og plugin hybrid'!U$54/'El og plugin hybrid'!U$16,0)</f>
        <v>0</v>
      </c>
      <c r="W149" s="291">
        <f>X149*'El og plugin hybrid'!W$53*VLOOKUP('El og plugin hybrid'!W$59+($B149-1),Fremskrivninger!$A$48:$H$77,8)/1000</f>
        <v>0</v>
      </c>
      <c r="X149" s="313">
        <f>IFERROR('El og plugin hybrid'!W$54/'El og plugin hybrid'!W$16,0)</f>
        <v>0</v>
      </c>
    </row>
    <row r="150" spans="1:24">
      <c r="A150" s="312"/>
      <c r="B150" s="285">
        <v>9</v>
      </c>
      <c r="C150" s="285">
        <f t="shared" si="7"/>
        <v>9</v>
      </c>
      <c r="D150" s="285"/>
      <c r="E150" s="291">
        <f>F150*'El og plugin hybrid'!E$53*VLOOKUP('El og plugin hybrid'!E$59+($B150-1),Fremskrivninger!$A$48:$H$77,8)/1000</f>
        <v>0</v>
      </c>
      <c r="F150" s="313">
        <f>IFERROR('El og plugin hybrid'!E$54/'El og plugin hybrid'!E$16,0)</f>
        <v>0</v>
      </c>
      <c r="G150" s="291">
        <f>H150*'El og plugin hybrid'!G$53*VLOOKUP('El og plugin hybrid'!G$59+($B150-1),Fremskrivninger!$A$48:$H$77,8)/1000</f>
        <v>0</v>
      </c>
      <c r="H150" s="313">
        <f>IFERROR('El og plugin hybrid'!G$54/'El og plugin hybrid'!G$16,0)</f>
        <v>0</v>
      </c>
      <c r="I150" s="291">
        <f>J150*'El og plugin hybrid'!I$53*VLOOKUP('El og plugin hybrid'!I$59+($B150-1),Fremskrivninger!$A$48:$H$77,8)/1000</f>
        <v>0</v>
      </c>
      <c r="J150" s="313">
        <f>IFERROR('El og plugin hybrid'!I$54/'El og plugin hybrid'!I$16,0)</f>
        <v>0</v>
      </c>
      <c r="K150" s="291">
        <f>L150*'El og plugin hybrid'!K$53*VLOOKUP('El og plugin hybrid'!K$59+($B150-1),Fremskrivninger!$A$48:$H$77,8)/1000</f>
        <v>0</v>
      </c>
      <c r="L150" s="313">
        <f>IFERROR('El og plugin hybrid'!K$54/'El og plugin hybrid'!K$16,0)</f>
        <v>0</v>
      </c>
      <c r="M150" s="291">
        <f>N150*'El og plugin hybrid'!M$53*VLOOKUP('El og plugin hybrid'!M$59+($B150-1),Fremskrivninger!$A$48:$H$77,8)/1000</f>
        <v>0</v>
      </c>
      <c r="N150" s="313">
        <f>IFERROR('El og plugin hybrid'!M$54/'El og plugin hybrid'!M$16,0)</f>
        <v>0</v>
      </c>
      <c r="O150" s="291">
        <f>P150*'El og plugin hybrid'!O$53*VLOOKUP('El og plugin hybrid'!O$59+($B150-1),Fremskrivninger!$A$48:$H$77,8)/1000</f>
        <v>0</v>
      </c>
      <c r="P150" s="313">
        <f>IFERROR('El og plugin hybrid'!O$54/'El og plugin hybrid'!O$16,0)</f>
        <v>0</v>
      </c>
      <c r="Q150" s="291">
        <f>R150*'El og plugin hybrid'!Q$53*VLOOKUP('El og plugin hybrid'!Q$59+($B150-1),Fremskrivninger!$A$48:$H$77,8)/1000</f>
        <v>0</v>
      </c>
      <c r="R150" s="313">
        <f>IFERROR('El og plugin hybrid'!Q$54/'El og plugin hybrid'!Q$16,0)</f>
        <v>0</v>
      </c>
      <c r="S150" s="291">
        <f>T150*'El og plugin hybrid'!S$53*VLOOKUP('El og plugin hybrid'!S$59+($B150-1),Fremskrivninger!$A$48:$H$77,8)/1000</f>
        <v>0</v>
      </c>
      <c r="T150" s="313">
        <f>IFERROR('El og plugin hybrid'!S$54/'El og plugin hybrid'!S$16,0)</f>
        <v>0</v>
      </c>
      <c r="U150" s="291">
        <f>V150*'El og plugin hybrid'!U$53*VLOOKUP('El og plugin hybrid'!U$59+($B150-1),Fremskrivninger!$A$48:$H$77,8)/1000</f>
        <v>0</v>
      </c>
      <c r="V150" s="313">
        <f>IFERROR('El og plugin hybrid'!U$54/'El og plugin hybrid'!U$16,0)</f>
        <v>0</v>
      </c>
      <c r="W150" s="291">
        <f>X150*'El og plugin hybrid'!W$53*VLOOKUP('El og plugin hybrid'!W$59+($B150-1),Fremskrivninger!$A$48:$H$77,8)/1000</f>
        <v>0</v>
      </c>
      <c r="X150" s="313">
        <f>IFERROR('El og plugin hybrid'!W$54/'El og plugin hybrid'!W$16,0)</f>
        <v>0</v>
      </c>
    </row>
    <row r="151" spans="1:24">
      <c r="A151" s="312"/>
      <c r="B151" s="285">
        <v>10</v>
      </c>
      <c r="C151" s="285">
        <f t="shared" si="7"/>
        <v>10</v>
      </c>
      <c r="D151" s="285"/>
      <c r="E151" s="291">
        <f>F151*'El og plugin hybrid'!E$53*VLOOKUP('El og plugin hybrid'!E$59+($B151-1),Fremskrivninger!$A$48:$H$77,8)/1000</f>
        <v>0</v>
      </c>
      <c r="F151" s="313">
        <f>IFERROR('El og plugin hybrid'!E$54/'El og plugin hybrid'!E$16,0)</f>
        <v>0</v>
      </c>
      <c r="G151" s="291">
        <f>H151*'El og plugin hybrid'!G$53*VLOOKUP('El og plugin hybrid'!G$59+($B151-1),Fremskrivninger!$A$48:$H$77,8)/1000</f>
        <v>0</v>
      </c>
      <c r="H151" s="313">
        <f>IFERROR('El og plugin hybrid'!G$54/'El og plugin hybrid'!G$16,0)</f>
        <v>0</v>
      </c>
      <c r="I151" s="291">
        <f>J151*'El og plugin hybrid'!I$53*VLOOKUP('El og plugin hybrid'!I$59+($B151-1),Fremskrivninger!$A$48:$H$77,8)/1000</f>
        <v>0</v>
      </c>
      <c r="J151" s="313">
        <f>IFERROR('El og plugin hybrid'!I$54/'El og plugin hybrid'!I$16,0)</f>
        <v>0</v>
      </c>
      <c r="K151" s="291">
        <f>L151*'El og plugin hybrid'!K$53*VLOOKUP('El og plugin hybrid'!K$59+($B151-1),Fremskrivninger!$A$48:$H$77,8)/1000</f>
        <v>0</v>
      </c>
      <c r="L151" s="313">
        <f>IFERROR('El og plugin hybrid'!K$54/'El og plugin hybrid'!K$16,0)</f>
        <v>0</v>
      </c>
      <c r="M151" s="291">
        <f>N151*'El og plugin hybrid'!M$53*VLOOKUP('El og plugin hybrid'!M$59+($B151-1),Fremskrivninger!$A$48:$H$77,8)/1000</f>
        <v>0</v>
      </c>
      <c r="N151" s="313">
        <f>IFERROR('El og plugin hybrid'!M$54/'El og plugin hybrid'!M$16,0)</f>
        <v>0</v>
      </c>
      <c r="O151" s="291">
        <f>P151*'El og plugin hybrid'!O$53*VLOOKUP('El og plugin hybrid'!O$59+($B151-1),Fremskrivninger!$A$48:$H$77,8)/1000</f>
        <v>0</v>
      </c>
      <c r="P151" s="313">
        <f>IFERROR('El og plugin hybrid'!O$54/'El og plugin hybrid'!O$16,0)</f>
        <v>0</v>
      </c>
      <c r="Q151" s="291">
        <f>R151*'El og plugin hybrid'!Q$53*VLOOKUP('El og plugin hybrid'!Q$59+($B151-1),Fremskrivninger!$A$48:$H$77,8)/1000</f>
        <v>0</v>
      </c>
      <c r="R151" s="313">
        <f>IFERROR('El og plugin hybrid'!Q$54/'El og plugin hybrid'!Q$16,0)</f>
        <v>0</v>
      </c>
      <c r="S151" s="291">
        <f>T151*'El og plugin hybrid'!S$53*VLOOKUP('El og plugin hybrid'!S$59+($B151-1),Fremskrivninger!$A$48:$H$77,8)/1000</f>
        <v>0</v>
      </c>
      <c r="T151" s="313">
        <f>IFERROR('El og plugin hybrid'!S$54/'El og plugin hybrid'!S$16,0)</f>
        <v>0</v>
      </c>
      <c r="U151" s="291">
        <f>V151*'El og plugin hybrid'!U$53*VLOOKUP('El og plugin hybrid'!U$59+($B151-1),Fremskrivninger!$A$48:$H$77,8)/1000</f>
        <v>0</v>
      </c>
      <c r="V151" s="313">
        <f>IFERROR('El og plugin hybrid'!U$54/'El og plugin hybrid'!U$16,0)</f>
        <v>0</v>
      </c>
      <c r="W151" s="291">
        <f>X151*'El og plugin hybrid'!W$53*VLOOKUP('El og plugin hybrid'!W$59+($B151-1),Fremskrivninger!$A$48:$H$77,8)/1000</f>
        <v>0</v>
      </c>
      <c r="X151" s="313">
        <f>IFERROR('El og plugin hybrid'!W$54/'El og plugin hybrid'!W$16,0)</f>
        <v>0</v>
      </c>
    </row>
    <row r="152" spans="1:24">
      <c r="A152" s="312"/>
      <c r="B152" s="285">
        <v>11</v>
      </c>
      <c r="C152" s="285">
        <f t="shared" si="7"/>
        <v>11</v>
      </c>
      <c r="D152" s="285"/>
      <c r="E152" s="291">
        <f>F152*'El og plugin hybrid'!E$53*VLOOKUP('El og plugin hybrid'!E$59+($B152-1),Fremskrivninger!$A$48:$H$77,8)/1000</f>
        <v>0</v>
      </c>
      <c r="F152" s="313">
        <f>IFERROR('El og plugin hybrid'!E$54/'El og plugin hybrid'!E$16,0)</f>
        <v>0</v>
      </c>
      <c r="G152" s="291">
        <f>H152*'El og plugin hybrid'!G$53*VLOOKUP('El og plugin hybrid'!G$59+($B152-1),Fremskrivninger!$A$48:$H$77,8)/1000</f>
        <v>0</v>
      </c>
      <c r="H152" s="313">
        <f>IFERROR('El og plugin hybrid'!G$54/'El og plugin hybrid'!G$16,0)</f>
        <v>0</v>
      </c>
      <c r="I152" s="291">
        <f>J152*'El og plugin hybrid'!I$53*VLOOKUP('El og plugin hybrid'!I$59+($B152-1),Fremskrivninger!$A$48:$H$77,8)/1000</f>
        <v>0</v>
      </c>
      <c r="J152" s="313">
        <f>IFERROR('El og plugin hybrid'!I$54/'El og plugin hybrid'!I$16,0)</f>
        <v>0</v>
      </c>
      <c r="K152" s="291">
        <f>L152*'El og plugin hybrid'!K$53*VLOOKUP('El og plugin hybrid'!K$59+($B152-1),Fremskrivninger!$A$48:$H$77,8)/1000</f>
        <v>0</v>
      </c>
      <c r="L152" s="313">
        <f>IFERROR('El og plugin hybrid'!K$54/'El og plugin hybrid'!K$16,0)</f>
        <v>0</v>
      </c>
      <c r="M152" s="291">
        <f>N152*'El og plugin hybrid'!M$53*VLOOKUP('El og plugin hybrid'!M$59+($B152-1),Fremskrivninger!$A$48:$H$77,8)/1000</f>
        <v>0</v>
      </c>
      <c r="N152" s="313">
        <f>IFERROR('El og plugin hybrid'!M$54/'El og plugin hybrid'!M$16,0)</f>
        <v>0</v>
      </c>
      <c r="O152" s="291">
        <f>P152*'El og plugin hybrid'!O$53*VLOOKUP('El og plugin hybrid'!O$59+($B152-1),Fremskrivninger!$A$48:$H$77,8)/1000</f>
        <v>0</v>
      </c>
      <c r="P152" s="313">
        <f>IFERROR('El og plugin hybrid'!O$54/'El og plugin hybrid'!O$16,0)</f>
        <v>0</v>
      </c>
      <c r="Q152" s="291">
        <f>R152*'El og plugin hybrid'!Q$53*VLOOKUP('El og plugin hybrid'!Q$59+($B152-1),Fremskrivninger!$A$48:$H$77,8)/1000</f>
        <v>0</v>
      </c>
      <c r="R152" s="313">
        <f>IFERROR('El og plugin hybrid'!Q$54/'El og plugin hybrid'!Q$16,0)</f>
        <v>0</v>
      </c>
      <c r="S152" s="291">
        <f>T152*'El og plugin hybrid'!S$53*VLOOKUP('El og plugin hybrid'!S$59+($B152-1),Fremskrivninger!$A$48:$H$77,8)/1000</f>
        <v>0</v>
      </c>
      <c r="T152" s="313">
        <f>IFERROR('El og plugin hybrid'!S$54/'El og plugin hybrid'!S$16,0)</f>
        <v>0</v>
      </c>
      <c r="U152" s="291">
        <f>V152*'El og plugin hybrid'!U$53*VLOOKUP('El og plugin hybrid'!U$59+($B152-1),Fremskrivninger!$A$48:$H$77,8)/1000</f>
        <v>0</v>
      </c>
      <c r="V152" s="313">
        <f>IFERROR('El og plugin hybrid'!U$54/'El og plugin hybrid'!U$16,0)</f>
        <v>0</v>
      </c>
      <c r="W152" s="291">
        <f>X152*'El og plugin hybrid'!W$53*VLOOKUP('El og plugin hybrid'!W$59+($B152-1),Fremskrivninger!$A$48:$H$77,8)/1000</f>
        <v>0</v>
      </c>
      <c r="X152" s="313">
        <f>IFERROR('El og plugin hybrid'!W$54/'El og plugin hybrid'!W$16,0)</f>
        <v>0</v>
      </c>
    </row>
    <row r="153" spans="1:24">
      <c r="A153" s="312"/>
      <c r="B153" s="285">
        <v>12</v>
      </c>
      <c r="C153" s="285">
        <f t="shared" si="7"/>
        <v>12</v>
      </c>
      <c r="D153" s="285"/>
      <c r="E153" s="291">
        <f>F153*'El og plugin hybrid'!E$53*VLOOKUP('El og plugin hybrid'!E$59+($B153-1),Fremskrivninger!$A$48:$H$77,8)/1000</f>
        <v>0</v>
      </c>
      <c r="F153" s="313">
        <f>IFERROR('El og plugin hybrid'!E$54/'El og plugin hybrid'!E$16,0)</f>
        <v>0</v>
      </c>
      <c r="G153" s="291">
        <f>H153*'El og plugin hybrid'!G$53*VLOOKUP('El og plugin hybrid'!G$59+($B153-1),Fremskrivninger!$A$48:$H$77,8)/1000</f>
        <v>0</v>
      </c>
      <c r="H153" s="313">
        <f>IFERROR('El og plugin hybrid'!G$54/'El og plugin hybrid'!G$16,0)</f>
        <v>0</v>
      </c>
      <c r="I153" s="291">
        <f>J153*'El og plugin hybrid'!I$53*VLOOKUP('El og plugin hybrid'!I$59+($B153-1),Fremskrivninger!$A$48:$H$77,8)/1000</f>
        <v>0</v>
      </c>
      <c r="J153" s="313">
        <f>IFERROR('El og plugin hybrid'!I$54/'El og plugin hybrid'!I$16,0)</f>
        <v>0</v>
      </c>
      <c r="K153" s="291">
        <f>L153*'El og plugin hybrid'!K$53*VLOOKUP('El og plugin hybrid'!K$59+($B153-1),Fremskrivninger!$A$48:$H$77,8)/1000</f>
        <v>0</v>
      </c>
      <c r="L153" s="313">
        <f>IFERROR('El og plugin hybrid'!K$54/'El og plugin hybrid'!K$16,0)</f>
        <v>0</v>
      </c>
      <c r="M153" s="291">
        <f>N153*'El og plugin hybrid'!M$53*VLOOKUP('El og plugin hybrid'!M$59+($B153-1),Fremskrivninger!$A$48:$H$77,8)/1000</f>
        <v>0</v>
      </c>
      <c r="N153" s="313">
        <f>IFERROR('El og plugin hybrid'!M$54/'El og plugin hybrid'!M$16,0)</f>
        <v>0</v>
      </c>
      <c r="O153" s="291">
        <f>P153*'El og plugin hybrid'!O$53*VLOOKUP('El og plugin hybrid'!O$59+($B153-1),Fremskrivninger!$A$48:$H$77,8)/1000</f>
        <v>0</v>
      </c>
      <c r="P153" s="313">
        <f>IFERROR('El og plugin hybrid'!O$54/'El og plugin hybrid'!O$16,0)</f>
        <v>0</v>
      </c>
      <c r="Q153" s="291">
        <f>R153*'El og plugin hybrid'!Q$53*VLOOKUP('El og plugin hybrid'!Q$59+($B153-1),Fremskrivninger!$A$48:$H$77,8)/1000</f>
        <v>0</v>
      </c>
      <c r="R153" s="313">
        <f>IFERROR('El og plugin hybrid'!Q$54/'El og plugin hybrid'!Q$16,0)</f>
        <v>0</v>
      </c>
      <c r="S153" s="291">
        <f>T153*'El og plugin hybrid'!S$53*VLOOKUP('El og plugin hybrid'!S$59+($B153-1),Fremskrivninger!$A$48:$H$77,8)/1000</f>
        <v>0</v>
      </c>
      <c r="T153" s="313">
        <f>IFERROR('El og plugin hybrid'!S$54/'El og plugin hybrid'!S$16,0)</f>
        <v>0</v>
      </c>
      <c r="U153" s="291">
        <f>V153*'El og plugin hybrid'!U$53*VLOOKUP('El og plugin hybrid'!U$59+($B153-1),Fremskrivninger!$A$48:$H$77,8)/1000</f>
        <v>0</v>
      </c>
      <c r="V153" s="313">
        <f>IFERROR('El og plugin hybrid'!U$54/'El og plugin hybrid'!U$16,0)</f>
        <v>0</v>
      </c>
      <c r="W153" s="291">
        <f>X153*'El og plugin hybrid'!W$53*VLOOKUP('El og plugin hybrid'!W$59+($B153-1),Fremskrivninger!$A$48:$H$77,8)/1000</f>
        <v>0</v>
      </c>
      <c r="X153" s="313">
        <f>IFERROR('El og plugin hybrid'!W$54/'El og plugin hybrid'!W$16,0)</f>
        <v>0</v>
      </c>
    </row>
    <row r="154" spans="1:24">
      <c r="A154" s="312"/>
      <c r="B154" s="285">
        <v>13</v>
      </c>
      <c r="C154" s="285">
        <f t="shared" si="7"/>
        <v>13</v>
      </c>
      <c r="D154" s="285"/>
      <c r="E154" s="291">
        <f>F154*'El og plugin hybrid'!E$53*VLOOKUP('El og plugin hybrid'!E$59+($B154-1),Fremskrivninger!$A$48:$H$77,8)/1000</f>
        <v>0</v>
      </c>
      <c r="F154" s="313">
        <f>IFERROR('El og plugin hybrid'!E$54/'El og plugin hybrid'!E$16,0)</f>
        <v>0</v>
      </c>
      <c r="G154" s="291">
        <f>H154*'El og plugin hybrid'!G$53*VLOOKUP('El og plugin hybrid'!G$59+($B154-1),Fremskrivninger!$A$48:$H$77,8)/1000</f>
        <v>0</v>
      </c>
      <c r="H154" s="313">
        <f>IFERROR('El og plugin hybrid'!G$54/'El og plugin hybrid'!G$16,0)</f>
        <v>0</v>
      </c>
      <c r="I154" s="291">
        <f>J154*'El og plugin hybrid'!I$53*VLOOKUP('El og plugin hybrid'!I$59+($B154-1),Fremskrivninger!$A$48:$H$77,8)/1000</f>
        <v>0</v>
      </c>
      <c r="J154" s="313">
        <f>IFERROR('El og plugin hybrid'!I$54/'El og plugin hybrid'!I$16,0)</f>
        <v>0</v>
      </c>
      <c r="K154" s="291">
        <f>L154*'El og plugin hybrid'!K$53*VLOOKUP('El og plugin hybrid'!K$59+($B154-1),Fremskrivninger!$A$48:$H$77,8)/1000</f>
        <v>0</v>
      </c>
      <c r="L154" s="313">
        <f>IFERROR('El og plugin hybrid'!K$54/'El og plugin hybrid'!K$16,0)</f>
        <v>0</v>
      </c>
      <c r="M154" s="291">
        <f>N154*'El og plugin hybrid'!M$53*VLOOKUP('El og plugin hybrid'!M$59+($B154-1),Fremskrivninger!$A$48:$H$77,8)/1000</f>
        <v>0</v>
      </c>
      <c r="N154" s="313">
        <f>IFERROR('El og plugin hybrid'!M$54/'El og plugin hybrid'!M$16,0)</f>
        <v>0</v>
      </c>
      <c r="O154" s="291">
        <f>P154*'El og plugin hybrid'!O$53*VLOOKUP('El og plugin hybrid'!O$59+($B154-1),Fremskrivninger!$A$48:$H$77,8)/1000</f>
        <v>0</v>
      </c>
      <c r="P154" s="313">
        <f>IFERROR('El og plugin hybrid'!O$54/'El og plugin hybrid'!O$16,0)</f>
        <v>0</v>
      </c>
      <c r="Q154" s="291">
        <f>R154*'El og plugin hybrid'!Q$53*VLOOKUP('El og plugin hybrid'!Q$59+($B154-1),Fremskrivninger!$A$48:$H$77,8)/1000</f>
        <v>0</v>
      </c>
      <c r="R154" s="313">
        <f>IFERROR('El og plugin hybrid'!Q$54/'El og plugin hybrid'!Q$16,0)</f>
        <v>0</v>
      </c>
      <c r="S154" s="291">
        <f>T154*'El og plugin hybrid'!S$53*VLOOKUP('El og plugin hybrid'!S$59+($B154-1),Fremskrivninger!$A$48:$H$77,8)/1000</f>
        <v>0</v>
      </c>
      <c r="T154" s="313">
        <f>IFERROR('El og plugin hybrid'!S$54/'El og plugin hybrid'!S$16,0)</f>
        <v>0</v>
      </c>
      <c r="U154" s="291">
        <f>V154*'El og plugin hybrid'!U$53*VLOOKUP('El og plugin hybrid'!U$59+($B154-1),Fremskrivninger!$A$48:$H$77,8)/1000</f>
        <v>0</v>
      </c>
      <c r="V154" s="313">
        <f>IFERROR('El og plugin hybrid'!U$54/'El og plugin hybrid'!U$16,0)</f>
        <v>0</v>
      </c>
      <c r="W154" s="291">
        <f>X154*'El og plugin hybrid'!W$53*VLOOKUP('El og plugin hybrid'!W$59+($B154-1),Fremskrivninger!$A$48:$H$77,8)/1000</f>
        <v>0</v>
      </c>
      <c r="X154" s="313">
        <f>IFERROR('El og plugin hybrid'!W$54/'El og plugin hybrid'!W$16,0)</f>
        <v>0</v>
      </c>
    </row>
    <row r="155" spans="1:24">
      <c r="A155" s="312"/>
      <c r="B155" s="285">
        <v>14</v>
      </c>
      <c r="C155" s="285">
        <f t="shared" si="7"/>
        <v>14</v>
      </c>
      <c r="D155" s="285"/>
      <c r="E155" s="291">
        <f>F155*'El og plugin hybrid'!E$53*VLOOKUP('El og plugin hybrid'!E$59+($B155-1),Fremskrivninger!$A$48:$H$77,8)/1000</f>
        <v>0</v>
      </c>
      <c r="F155" s="313">
        <f>IFERROR('El og plugin hybrid'!E$54/'El og plugin hybrid'!E$16,0)</f>
        <v>0</v>
      </c>
      <c r="G155" s="291">
        <f>H155*'El og plugin hybrid'!G$53*VLOOKUP('El og plugin hybrid'!G$59+($B155-1),Fremskrivninger!$A$48:$H$77,8)/1000</f>
        <v>0</v>
      </c>
      <c r="H155" s="313">
        <f>IFERROR('El og plugin hybrid'!G$54/'El og plugin hybrid'!G$16,0)</f>
        <v>0</v>
      </c>
      <c r="I155" s="291">
        <f>J155*'El og plugin hybrid'!I$53*VLOOKUP('El og plugin hybrid'!I$59+($B155-1),Fremskrivninger!$A$48:$H$77,8)/1000</f>
        <v>0</v>
      </c>
      <c r="J155" s="313">
        <f>IFERROR('El og plugin hybrid'!I$54/'El og plugin hybrid'!I$16,0)</f>
        <v>0</v>
      </c>
      <c r="K155" s="291">
        <f>L155*'El og plugin hybrid'!K$53*VLOOKUP('El og plugin hybrid'!K$59+($B155-1),Fremskrivninger!$A$48:$H$77,8)/1000</f>
        <v>0</v>
      </c>
      <c r="L155" s="313">
        <f>IFERROR('El og plugin hybrid'!K$54/'El og plugin hybrid'!K$16,0)</f>
        <v>0</v>
      </c>
      <c r="M155" s="291">
        <f>N155*'El og plugin hybrid'!M$53*VLOOKUP('El og plugin hybrid'!M$59+($B155-1),Fremskrivninger!$A$48:$H$77,8)/1000</f>
        <v>0</v>
      </c>
      <c r="N155" s="313">
        <f>IFERROR('El og plugin hybrid'!M$54/'El og plugin hybrid'!M$16,0)</f>
        <v>0</v>
      </c>
      <c r="O155" s="291">
        <f>P155*'El og plugin hybrid'!O$53*VLOOKUP('El og plugin hybrid'!O$59+($B155-1),Fremskrivninger!$A$48:$H$77,8)/1000</f>
        <v>0</v>
      </c>
      <c r="P155" s="313">
        <f>IFERROR('El og plugin hybrid'!O$54/'El og plugin hybrid'!O$16,0)</f>
        <v>0</v>
      </c>
      <c r="Q155" s="291">
        <f>R155*'El og plugin hybrid'!Q$53*VLOOKUP('El og plugin hybrid'!Q$59+($B155-1),Fremskrivninger!$A$48:$H$77,8)/1000</f>
        <v>0</v>
      </c>
      <c r="R155" s="313">
        <f>IFERROR('El og plugin hybrid'!Q$54/'El og plugin hybrid'!Q$16,0)</f>
        <v>0</v>
      </c>
      <c r="S155" s="291">
        <f>T155*'El og plugin hybrid'!S$53*VLOOKUP('El og plugin hybrid'!S$59+($B155-1),Fremskrivninger!$A$48:$H$77,8)/1000</f>
        <v>0</v>
      </c>
      <c r="T155" s="313">
        <f>IFERROR('El og plugin hybrid'!S$54/'El og plugin hybrid'!S$16,0)</f>
        <v>0</v>
      </c>
      <c r="U155" s="291">
        <f>V155*'El og plugin hybrid'!U$53*VLOOKUP('El og plugin hybrid'!U$59+($B155-1),Fremskrivninger!$A$48:$H$77,8)/1000</f>
        <v>0</v>
      </c>
      <c r="V155" s="313">
        <f>IFERROR('El og plugin hybrid'!U$54/'El og plugin hybrid'!U$16,0)</f>
        <v>0</v>
      </c>
      <c r="W155" s="291">
        <f>X155*'El og plugin hybrid'!W$53*VLOOKUP('El og plugin hybrid'!W$59+($B155-1),Fremskrivninger!$A$48:$H$77,8)/1000</f>
        <v>0</v>
      </c>
      <c r="X155" s="313">
        <f>IFERROR('El og plugin hybrid'!W$54/'El og plugin hybrid'!W$16,0)</f>
        <v>0</v>
      </c>
    </row>
    <row r="156" spans="1:24">
      <c r="A156" s="312"/>
      <c r="B156" s="285">
        <v>15</v>
      </c>
      <c r="C156" s="285">
        <f t="shared" si="7"/>
        <v>15</v>
      </c>
      <c r="D156" s="285"/>
      <c r="E156" s="291">
        <f>F156*'El og plugin hybrid'!E$53*VLOOKUP('El og plugin hybrid'!E$59+($B156-1),Fremskrivninger!$A$48:$H$77,8)/1000</f>
        <v>0</v>
      </c>
      <c r="F156" s="313">
        <f>IFERROR('El og plugin hybrid'!E$54/'El og plugin hybrid'!E$16,0)</f>
        <v>0</v>
      </c>
      <c r="G156" s="291">
        <f>H156*'El og plugin hybrid'!G$53*VLOOKUP('El og plugin hybrid'!G$59+($B156-1),Fremskrivninger!$A$48:$H$77,8)/1000</f>
        <v>0</v>
      </c>
      <c r="H156" s="313">
        <f>IFERROR('El og plugin hybrid'!G$54/'El og plugin hybrid'!G$16,0)</f>
        <v>0</v>
      </c>
      <c r="I156" s="291">
        <f>J156*'El og plugin hybrid'!I$53*VLOOKUP('El og plugin hybrid'!I$59+($B156-1),Fremskrivninger!$A$48:$H$77,8)/1000</f>
        <v>0</v>
      </c>
      <c r="J156" s="313">
        <f>IFERROR('El og plugin hybrid'!I$54/'El og plugin hybrid'!I$16,0)</f>
        <v>0</v>
      </c>
      <c r="K156" s="291">
        <f>L156*'El og plugin hybrid'!K$53*VLOOKUP('El og plugin hybrid'!K$59+($B156-1),Fremskrivninger!$A$48:$H$77,8)/1000</f>
        <v>0</v>
      </c>
      <c r="L156" s="313">
        <f>IFERROR('El og plugin hybrid'!K$54/'El og plugin hybrid'!K$16,0)</f>
        <v>0</v>
      </c>
      <c r="M156" s="291">
        <f>N156*'El og plugin hybrid'!M$53*VLOOKUP('El og plugin hybrid'!M$59+($B156-1),Fremskrivninger!$A$48:$H$77,8)/1000</f>
        <v>0</v>
      </c>
      <c r="N156" s="313">
        <f>IFERROR('El og plugin hybrid'!M$54/'El og plugin hybrid'!M$16,0)</f>
        <v>0</v>
      </c>
      <c r="O156" s="291">
        <f>P156*'El og plugin hybrid'!O$53*VLOOKUP('El og plugin hybrid'!O$59+($B156-1),Fremskrivninger!$A$48:$H$77,8)/1000</f>
        <v>0</v>
      </c>
      <c r="P156" s="313">
        <f>IFERROR('El og plugin hybrid'!O$54/'El og plugin hybrid'!O$16,0)</f>
        <v>0</v>
      </c>
      <c r="Q156" s="291">
        <f>R156*'El og plugin hybrid'!Q$53*VLOOKUP('El og plugin hybrid'!Q$59+($B156-1),Fremskrivninger!$A$48:$H$77,8)/1000</f>
        <v>0</v>
      </c>
      <c r="R156" s="313">
        <f>IFERROR('El og plugin hybrid'!Q$54/'El og plugin hybrid'!Q$16,0)</f>
        <v>0</v>
      </c>
      <c r="S156" s="291">
        <f>T156*'El og plugin hybrid'!S$53*VLOOKUP('El og plugin hybrid'!S$59+($B156-1),Fremskrivninger!$A$48:$H$77,8)/1000</f>
        <v>0</v>
      </c>
      <c r="T156" s="313">
        <f>IFERROR('El og plugin hybrid'!S$54/'El og plugin hybrid'!S$16,0)</f>
        <v>0</v>
      </c>
      <c r="U156" s="291">
        <f>V156*'El og plugin hybrid'!U$53*VLOOKUP('El og plugin hybrid'!U$59+($B156-1),Fremskrivninger!$A$48:$H$77,8)/1000</f>
        <v>0</v>
      </c>
      <c r="V156" s="313">
        <f>IFERROR('El og plugin hybrid'!U$54/'El og plugin hybrid'!U$16,0)</f>
        <v>0</v>
      </c>
      <c r="W156" s="291">
        <f>X156*'El og plugin hybrid'!W$53*VLOOKUP('El og plugin hybrid'!W$59+($B156-1),Fremskrivninger!$A$48:$H$77,8)/1000</f>
        <v>0</v>
      </c>
      <c r="X156" s="313">
        <f>IFERROR('El og plugin hybrid'!W$54/'El og plugin hybrid'!W$16,0)</f>
        <v>0</v>
      </c>
    </row>
    <row r="157" spans="1:24">
      <c r="A157" s="312"/>
      <c r="B157" s="285">
        <v>16</v>
      </c>
      <c r="C157" s="285">
        <f t="shared" si="7"/>
        <v>16</v>
      </c>
      <c r="D157" s="285"/>
      <c r="E157" s="291">
        <f>F157*'El og plugin hybrid'!E$53*VLOOKUP('El og plugin hybrid'!E$59+($B157-1),Fremskrivninger!$A$48:$H$77,8)/1000</f>
        <v>0</v>
      </c>
      <c r="F157" s="313">
        <f>IFERROR('El og plugin hybrid'!E$54/'El og plugin hybrid'!E$16,0)</f>
        <v>0</v>
      </c>
      <c r="G157" s="291">
        <f>H157*'El og plugin hybrid'!G$53*VLOOKUP('El og plugin hybrid'!G$59+($B157-1),Fremskrivninger!$A$48:$H$77,8)/1000</f>
        <v>0</v>
      </c>
      <c r="H157" s="313">
        <f>IFERROR('El og plugin hybrid'!G$54/'El og plugin hybrid'!G$16,0)</f>
        <v>0</v>
      </c>
      <c r="I157" s="291">
        <f>J157*'El og plugin hybrid'!I$53*VLOOKUP('El og plugin hybrid'!I$59+($B157-1),Fremskrivninger!$A$48:$H$77,8)/1000</f>
        <v>0</v>
      </c>
      <c r="J157" s="313">
        <f>IFERROR('El og plugin hybrid'!I$54/'El og plugin hybrid'!I$16,0)</f>
        <v>0</v>
      </c>
      <c r="K157" s="291">
        <f>L157*'El og plugin hybrid'!K$53*VLOOKUP('El og plugin hybrid'!K$59+($B157-1),Fremskrivninger!$A$48:$H$77,8)/1000</f>
        <v>0</v>
      </c>
      <c r="L157" s="313">
        <f>IFERROR('El og plugin hybrid'!K$54/'El og plugin hybrid'!K$16,0)</f>
        <v>0</v>
      </c>
      <c r="M157" s="291">
        <f>N157*'El og plugin hybrid'!M$53*VLOOKUP('El og plugin hybrid'!M$59+($B157-1),Fremskrivninger!$A$48:$H$77,8)/1000</f>
        <v>0</v>
      </c>
      <c r="N157" s="313">
        <f>IFERROR('El og plugin hybrid'!M$54/'El og plugin hybrid'!M$16,0)</f>
        <v>0</v>
      </c>
      <c r="O157" s="291">
        <f>P157*'El og plugin hybrid'!O$53*VLOOKUP('El og plugin hybrid'!O$59+($B157-1),Fremskrivninger!$A$48:$H$77,8)/1000</f>
        <v>0</v>
      </c>
      <c r="P157" s="313">
        <f>IFERROR('El og plugin hybrid'!O$54/'El og plugin hybrid'!O$16,0)</f>
        <v>0</v>
      </c>
      <c r="Q157" s="291">
        <f>R157*'El og plugin hybrid'!Q$53*VLOOKUP('El og plugin hybrid'!Q$59+($B157-1),Fremskrivninger!$A$48:$H$77,8)/1000</f>
        <v>0</v>
      </c>
      <c r="R157" s="313">
        <f>IFERROR('El og plugin hybrid'!Q$54/'El og plugin hybrid'!Q$16,0)</f>
        <v>0</v>
      </c>
      <c r="S157" s="291">
        <f>T157*'El og plugin hybrid'!S$53*VLOOKUP('El og plugin hybrid'!S$59+($B157-1),Fremskrivninger!$A$48:$H$77,8)/1000</f>
        <v>0</v>
      </c>
      <c r="T157" s="313">
        <f>IFERROR('El og plugin hybrid'!S$54/'El og plugin hybrid'!S$16,0)</f>
        <v>0</v>
      </c>
      <c r="U157" s="291">
        <f>V157*'El og plugin hybrid'!U$53*VLOOKUP('El og plugin hybrid'!U$59+($B157-1),Fremskrivninger!$A$48:$H$77,8)/1000</f>
        <v>0</v>
      </c>
      <c r="V157" s="313">
        <f>IFERROR('El og plugin hybrid'!U$54/'El og plugin hybrid'!U$16,0)</f>
        <v>0</v>
      </c>
      <c r="W157" s="291">
        <f>X157*'El og plugin hybrid'!W$53*VLOOKUP('El og plugin hybrid'!W$59+($B157-1),Fremskrivninger!$A$48:$H$77,8)/1000</f>
        <v>0</v>
      </c>
      <c r="X157" s="313">
        <f>IFERROR('El og plugin hybrid'!W$54/'El og plugin hybrid'!W$16,0)</f>
        <v>0</v>
      </c>
    </row>
    <row r="158" spans="1:24">
      <c r="A158" s="312"/>
      <c r="B158" s="285">
        <v>17</v>
      </c>
      <c r="C158" s="285">
        <f t="shared" si="7"/>
        <v>17</v>
      </c>
      <c r="D158" s="285"/>
      <c r="E158" s="291">
        <f>F158*'El og plugin hybrid'!E$53*VLOOKUP('El og plugin hybrid'!E$59+($B158-1),Fremskrivninger!$A$48:$H$77,8)/1000</f>
        <v>0</v>
      </c>
      <c r="F158" s="313">
        <f>IFERROR('El og plugin hybrid'!E$54/'El og plugin hybrid'!E$16,0)</f>
        <v>0</v>
      </c>
      <c r="G158" s="291">
        <f>H158*'El og plugin hybrid'!G$53*VLOOKUP('El og plugin hybrid'!G$59+($B158-1),Fremskrivninger!$A$48:$H$77,8)/1000</f>
        <v>0</v>
      </c>
      <c r="H158" s="313">
        <f>IFERROR('El og plugin hybrid'!G$54/'El og plugin hybrid'!G$16,0)</f>
        <v>0</v>
      </c>
      <c r="I158" s="291">
        <f>J158*'El og plugin hybrid'!I$53*VLOOKUP('El og plugin hybrid'!I$59+($B158-1),Fremskrivninger!$A$48:$H$77,8)/1000</f>
        <v>0</v>
      </c>
      <c r="J158" s="313">
        <f>IFERROR('El og plugin hybrid'!I$54/'El og plugin hybrid'!I$16,0)</f>
        <v>0</v>
      </c>
      <c r="K158" s="291">
        <f>L158*'El og plugin hybrid'!K$53*VLOOKUP('El og plugin hybrid'!K$59+($B158-1),Fremskrivninger!$A$48:$H$77,8)/1000</f>
        <v>0</v>
      </c>
      <c r="L158" s="313">
        <f>IFERROR('El og plugin hybrid'!K$54/'El og plugin hybrid'!K$16,0)</f>
        <v>0</v>
      </c>
      <c r="M158" s="291">
        <f>N158*'El og plugin hybrid'!M$53*VLOOKUP('El og plugin hybrid'!M$59+($B158-1),Fremskrivninger!$A$48:$H$77,8)/1000</f>
        <v>0</v>
      </c>
      <c r="N158" s="313">
        <f>IFERROR('El og plugin hybrid'!M$54/'El og plugin hybrid'!M$16,0)</f>
        <v>0</v>
      </c>
      <c r="O158" s="291">
        <f>P158*'El og plugin hybrid'!O$53*VLOOKUP('El og plugin hybrid'!O$59+($B158-1),Fremskrivninger!$A$48:$H$77,8)/1000</f>
        <v>0</v>
      </c>
      <c r="P158" s="313">
        <f>IFERROR('El og plugin hybrid'!O$54/'El og plugin hybrid'!O$16,0)</f>
        <v>0</v>
      </c>
      <c r="Q158" s="291">
        <f>R158*'El og plugin hybrid'!Q$53*VLOOKUP('El og plugin hybrid'!Q$59+($B158-1),Fremskrivninger!$A$48:$H$77,8)/1000</f>
        <v>0</v>
      </c>
      <c r="R158" s="313">
        <f>IFERROR('El og plugin hybrid'!Q$54/'El og plugin hybrid'!Q$16,0)</f>
        <v>0</v>
      </c>
      <c r="S158" s="291">
        <f>T158*'El og plugin hybrid'!S$53*VLOOKUP('El og plugin hybrid'!S$59+($B158-1),Fremskrivninger!$A$48:$H$77,8)/1000</f>
        <v>0</v>
      </c>
      <c r="T158" s="313">
        <f>IFERROR('El og plugin hybrid'!S$54/'El og plugin hybrid'!S$16,0)</f>
        <v>0</v>
      </c>
      <c r="U158" s="291">
        <f>V158*'El og plugin hybrid'!U$53*VLOOKUP('El og plugin hybrid'!U$59+($B158-1),Fremskrivninger!$A$48:$H$77,8)/1000</f>
        <v>0</v>
      </c>
      <c r="V158" s="313">
        <f>IFERROR('El og plugin hybrid'!U$54/'El og plugin hybrid'!U$16,0)</f>
        <v>0</v>
      </c>
      <c r="W158" s="291">
        <f>X158*'El og plugin hybrid'!W$53*VLOOKUP('El og plugin hybrid'!W$59+($B158-1),Fremskrivninger!$A$48:$H$77,8)/1000</f>
        <v>0</v>
      </c>
      <c r="X158" s="313">
        <f>IFERROR('El og plugin hybrid'!W$54/'El og plugin hybrid'!W$16,0)</f>
        <v>0</v>
      </c>
    </row>
    <row r="159" spans="1:24">
      <c r="A159" s="312"/>
      <c r="B159" s="285">
        <v>18</v>
      </c>
      <c r="C159" s="285">
        <f t="shared" si="7"/>
        <v>18</v>
      </c>
      <c r="D159" s="285"/>
      <c r="E159" s="291">
        <f>F159*'El og plugin hybrid'!E$53*VLOOKUP('El og plugin hybrid'!E$59+($B159-1),Fremskrivninger!$A$48:$H$77,8)/1000</f>
        <v>0</v>
      </c>
      <c r="F159" s="313">
        <f>IFERROR('El og plugin hybrid'!E$54/'El og plugin hybrid'!E$16,0)</f>
        <v>0</v>
      </c>
      <c r="G159" s="291">
        <f>H159*'El og plugin hybrid'!G$53*VLOOKUP('El og plugin hybrid'!G$59+($B159-1),Fremskrivninger!$A$48:$H$77,8)/1000</f>
        <v>0</v>
      </c>
      <c r="H159" s="313">
        <f>IFERROR('El og plugin hybrid'!G$54/'El og plugin hybrid'!G$16,0)</f>
        <v>0</v>
      </c>
      <c r="I159" s="291">
        <f>J159*'El og plugin hybrid'!I$53*VLOOKUP('El og plugin hybrid'!I$59+($B159-1),Fremskrivninger!$A$48:$H$77,8)/1000</f>
        <v>0</v>
      </c>
      <c r="J159" s="313">
        <f>IFERROR('El og plugin hybrid'!I$54/'El og plugin hybrid'!I$16,0)</f>
        <v>0</v>
      </c>
      <c r="K159" s="291">
        <f>L159*'El og plugin hybrid'!K$53*VLOOKUP('El og plugin hybrid'!K$59+($B159-1),Fremskrivninger!$A$48:$H$77,8)/1000</f>
        <v>0</v>
      </c>
      <c r="L159" s="313">
        <f>IFERROR('El og plugin hybrid'!K$54/'El og plugin hybrid'!K$16,0)</f>
        <v>0</v>
      </c>
      <c r="M159" s="291">
        <f>N159*'El og plugin hybrid'!M$53*VLOOKUP('El og plugin hybrid'!M$59+($B159-1),Fremskrivninger!$A$48:$H$77,8)/1000</f>
        <v>0</v>
      </c>
      <c r="N159" s="313">
        <f>IFERROR('El og plugin hybrid'!M$54/'El og plugin hybrid'!M$16,0)</f>
        <v>0</v>
      </c>
      <c r="O159" s="291">
        <f>P159*'El og plugin hybrid'!O$53*VLOOKUP('El og plugin hybrid'!O$59+($B159-1),Fremskrivninger!$A$48:$H$77,8)/1000</f>
        <v>0</v>
      </c>
      <c r="P159" s="313">
        <f>IFERROR('El og plugin hybrid'!O$54/'El og plugin hybrid'!O$16,0)</f>
        <v>0</v>
      </c>
      <c r="Q159" s="291">
        <f>R159*'El og plugin hybrid'!Q$53*VLOOKUP('El og plugin hybrid'!Q$59+($B159-1),Fremskrivninger!$A$48:$H$77,8)/1000</f>
        <v>0</v>
      </c>
      <c r="R159" s="313">
        <f>IFERROR('El og plugin hybrid'!Q$54/'El og plugin hybrid'!Q$16,0)</f>
        <v>0</v>
      </c>
      <c r="S159" s="291">
        <f>T159*'El og plugin hybrid'!S$53*VLOOKUP('El og plugin hybrid'!S$59+($B159-1),Fremskrivninger!$A$48:$H$77,8)/1000</f>
        <v>0</v>
      </c>
      <c r="T159" s="313">
        <f>IFERROR('El og plugin hybrid'!S$54/'El og plugin hybrid'!S$16,0)</f>
        <v>0</v>
      </c>
      <c r="U159" s="291">
        <f>V159*'El og plugin hybrid'!U$53*VLOOKUP('El og plugin hybrid'!U$59+($B159-1),Fremskrivninger!$A$48:$H$77,8)/1000</f>
        <v>0</v>
      </c>
      <c r="V159" s="313">
        <f>IFERROR('El og plugin hybrid'!U$54/'El og plugin hybrid'!U$16,0)</f>
        <v>0</v>
      </c>
      <c r="W159" s="291">
        <f>X159*'El og plugin hybrid'!W$53*VLOOKUP('El og plugin hybrid'!W$59+($B159-1),Fremskrivninger!$A$48:$H$77,8)/1000</f>
        <v>0</v>
      </c>
      <c r="X159" s="313">
        <f>IFERROR('El og plugin hybrid'!W$54/'El og plugin hybrid'!W$16,0)</f>
        <v>0</v>
      </c>
    </row>
    <row r="160" spans="1:24">
      <c r="A160" s="312"/>
      <c r="B160" s="285">
        <v>19</v>
      </c>
      <c r="C160" s="285">
        <f t="shared" si="7"/>
        <v>19</v>
      </c>
      <c r="D160" s="285"/>
      <c r="E160" s="291">
        <f>F160*'El og plugin hybrid'!E$53*VLOOKUP('El og plugin hybrid'!E$59+($B160-1),Fremskrivninger!$A$48:$H$77,8)/1000</f>
        <v>0</v>
      </c>
      <c r="F160" s="313">
        <f>IFERROR('El og plugin hybrid'!E$54/'El og plugin hybrid'!E$16,0)</f>
        <v>0</v>
      </c>
      <c r="G160" s="291">
        <f>H160*'El og plugin hybrid'!G$53*VLOOKUP('El og plugin hybrid'!G$59+($B160-1),Fremskrivninger!$A$48:$H$77,8)/1000</f>
        <v>0</v>
      </c>
      <c r="H160" s="313">
        <f>IFERROR('El og plugin hybrid'!G$54/'El og plugin hybrid'!G$16,0)</f>
        <v>0</v>
      </c>
      <c r="I160" s="291">
        <f>J160*'El og plugin hybrid'!I$53*VLOOKUP('El og plugin hybrid'!I$59+($B160-1),Fremskrivninger!$A$48:$H$77,8)/1000</f>
        <v>0</v>
      </c>
      <c r="J160" s="313">
        <f>IFERROR('El og plugin hybrid'!I$54/'El og plugin hybrid'!I$16,0)</f>
        <v>0</v>
      </c>
      <c r="K160" s="291">
        <f>L160*'El og plugin hybrid'!K$53*VLOOKUP('El og plugin hybrid'!K$59+($B160-1),Fremskrivninger!$A$48:$H$77,8)/1000</f>
        <v>0</v>
      </c>
      <c r="L160" s="313">
        <f>IFERROR('El og plugin hybrid'!K$54/'El og plugin hybrid'!K$16,0)</f>
        <v>0</v>
      </c>
      <c r="M160" s="291">
        <f>N160*'El og plugin hybrid'!M$53*VLOOKUP('El og plugin hybrid'!M$59+($B160-1),Fremskrivninger!$A$48:$H$77,8)/1000</f>
        <v>0</v>
      </c>
      <c r="N160" s="313">
        <f>IFERROR('El og plugin hybrid'!M$54/'El og plugin hybrid'!M$16,0)</f>
        <v>0</v>
      </c>
      <c r="O160" s="291">
        <f>P160*'El og plugin hybrid'!O$53*VLOOKUP('El og plugin hybrid'!O$59+($B160-1),Fremskrivninger!$A$48:$H$77,8)/1000</f>
        <v>0</v>
      </c>
      <c r="P160" s="313">
        <f>IFERROR('El og plugin hybrid'!O$54/'El og plugin hybrid'!O$16,0)</f>
        <v>0</v>
      </c>
      <c r="Q160" s="291">
        <f>R160*'El og plugin hybrid'!Q$53*VLOOKUP('El og plugin hybrid'!Q$59+($B160-1),Fremskrivninger!$A$48:$H$77,8)/1000</f>
        <v>0</v>
      </c>
      <c r="R160" s="313">
        <f>IFERROR('El og plugin hybrid'!Q$54/'El og plugin hybrid'!Q$16,0)</f>
        <v>0</v>
      </c>
      <c r="S160" s="291">
        <f>T160*'El og plugin hybrid'!S$53*VLOOKUP('El og plugin hybrid'!S$59+($B160-1),Fremskrivninger!$A$48:$H$77,8)/1000</f>
        <v>0</v>
      </c>
      <c r="T160" s="313">
        <f>IFERROR('El og plugin hybrid'!S$54/'El og plugin hybrid'!S$16,0)</f>
        <v>0</v>
      </c>
      <c r="U160" s="291">
        <f>V160*'El og plugin hybrid'!U$53*VLOOKUP('El og plugin hybrid'!U$59+($B160-1),Fremskrivninger!$A$48:$H$77,8)/1000</f>
        <v>0</v>
      </c>
      <c r="V160" s="313">
        <f>IFERROR('El og plugin hybrid'!U$54/'El og plugin hybrid'!U$16,0)</f>
        <v>0</v>
      </c>
      <c r="W160" s="291">
        <f>X160*'El og plugin hybrid'!W$53*VLOOKUP('El og plugin hybrid'!W$59+($B160-1),Fremskrivninger!$A$48:$H$77,8)/1000</f>
        <v>0</v>
      </c>
      <c r="X160" s="313">
        <f>IFERROR('El og plugin hybrid'!W$54/'El og plugin hybrid'!W$16,0)</f>
        <v>0</v>
      </c>
    </row>
    <row r="161" spans="1:24">
      <c r="A161" s="315"/>
      <c r="B161" s="290">
        <v>20</v>
      </c>
      <c r="C161" s="290">
        <f t="shared" si="7"/>
        <v>20</v>
      </c>
      <c r="D161" s="290"/>
      <c r="E161" s="291">
        <f>F161*'El og plugin hybrid'!E$53*VLOOKUP('El og plugin hybrid'!E$59+($B161-1),Fremskrivninger!$A$48:$H$77,8)/1000</f>
        <v>0</v>
      </c>
      <c r="F161" s="313">
        <f>IFERROR('El og plugin hybrid'!E$54/'El og plugin hybrid'!E$16,0)</f>
        <v>0</v>
      </c>
      <c r="G161" s="291">
        <f>H161*'El og plugin hybrid'!G$53*VLOOKUP('El og plugin hybrid'!G$59+($B161-1),Fremskrivninger!$A$48:$H$77,8)/1000</f>
        <v>0</v>
      </c>
      <c r="H161" s="313">
        <f>IFERROR('El og plugin hybrid'!G$54/'El og plugin hybrid'!G$16,0)</f>
        <v>0</v>
      </c>
      <c r="I161" s="291">
        <f>J161*'El og plugin hybrid'!I$53*VLOOKUP('El og plugin hybrid'!I$59+($B161-1),Fremskrivninger!$A$48:$H$77,8)/1000</f>
        <v>0</v>
      </c>
      <c r="J161" s="313">
        <f>IFERROR('El og plugin hybrid'!I$54/'El og plugin hybrid'!I$16,0)</f>
        <v>0</v>
      </c>
      <c r="K161" s="291">
        <f>L161*'El og plugin hybrid'!K$53*VLOOKUP('El og plugin hybrid'!K$59+($B161-1),Fremskrivninger!$A$48:$H$77,8)/1000</f>
        <v>0</v>
      </c>
      <c r="L161" s="313">
        <f>IFERROR('El og plugin hybrid'!K$54/'El og plugin hybrid'!K$16,0)</f>
        <v>0</v>
      </c>
      <c r="M161" s="291">
        <f>N161*'El og plugin hybrid'!M$53*VLOOKUP('El og plugin hybrid'!M$59+($B161-1),Fremskrivninger!$A$48:$H$77,8)/1000</f>
        <v>0</v>
      </c>
      <c r="N161" s="313">
        <f>IFERROR('El og plugin hybrid'!M$54/'El og plugin hybrid'!M$16,0)</f>
        <v>0</v>
      </c>
      <c r="O161" s="291">
        <f>P161*'El og plugin hybrid'!O$53*VLOOKUP('El og plugin hybrid'!O$59+($B161-1),Fremskrivninger!$A$48:$H$77,8)/1000</f>
        <v>0</v>
      </c>
      <c r="P161" s="313">
        <f>IFERROR('El og plugin hybrid'!O$54/'El og plugin hybrid'!O$16,0)</f>
        <v>0</v>
      </c>
      <c r="Q161" s="291">
        <f>R161*'El og plugin hybrid'!Q$53*VLOOKUP('El og plugin hybrid'!Q$59+($B161-1),Fremskrivninger!$A$48:$H$77,8)/1000</f>
        <v>0</v>
      </c>
      <c r="R161" s="313">
        <f>IFERROR('El og plugin hybrid'!Q$54/'El og plugin hybrid'!Q$16,0)</f>
        <v>0</v>
      </c>
      <c r="S161" s="291">
        <f>T161*'El og plugin hybrid'!S$53*VLOOKUP('El og plugin hybrid'!S$59+($B161-1),Fremskrivninger!$A$48:$H$77,8)/1000</f>
        <v>0</v>
      </c>
      <c r="T161" s="313">
        <f>IFERROR('El og plugin hybrid'!S$54/'El og plugin hybrid'!S$16,0)</f>
        <v>0</v>
      </c>
      <c r="U161" s="291">
        <f>V161*'El og plugin hybrid'!U$53*VLOOKUP('El og plugin hybrid'!U$59+($B161-1),Fremskrivninger!$A$48:$H$77,8)/1000</f>
        <v>0</v>
      </c>
      <c r="V161" s="313">
        <f>IFERROR('El og plugin hybrid'!U$54/'El og plugin hybrid'!U$16,0)</f>
        <v>0</v>
      </c>
      <c r="W161" s="291">
        <f>X161*'El og plugin hybrid'!W$53*VLOOKUP('El og plugin hybrid'!W$59+($B161-1),Fremskrivninger!$A$48:$H$77,8)/1000</f>
        <v>0</v>
      </c>
      <c r="X161" s="313">
        <f>IFERROR('El og plugin hybrid'!W$54/'El og plugin hybrid'!W$16,0)</f>
        <v>0</v>
      </c>
    </row>
    <row r="163" spans="1:24">
      <c r="A163" s="289" t="s">
        <v>178</v>
      </c>
      <c r="B163" s="309"/>
      <c r="C163" s="309"/>
      <c r="D163" s="309"/>
      <c r="E163" s="309"/>
      <c r="F163" s="309"/>
      <c r="G163" s="309"/>
      <c r="H163" s="309"/>
      <c r="I163" s="309"/>
      <c r="J163" s="309"/>
      <c r="K163" s="309"/>
      <c r="L163" s="309"/>
      <c r="M163" s="309"/>
      <c r="N163" s="309"/>
      <c r="O163" s="309"/>
      <c r="P163" s="309"/>
      <c r="Q163" s="309"/>
      <c r="R163" s="309"/>
      <c r="S163" s="309"/>
      <c r="T163" s="314"/>
      <c r="U163" s="309"/>
      <c r="V163" s="314"/>
      <c r="W163" s="309"/>
      <c r="X163" s="314"/>
    </row>
    <row r="164" spans="1:24" ht="54.45">
      <c r="A164" s="282"/>
      <c r="B164" s="283" t="s">
        <v>20</v>
      </c>
      <c r="C164" s="309"/>
      <c r="D164" s="309" t="s">
        <v>21</v>
      </c>
      <c r="E164" s="284" t="str">
        <f>E141</f>
        <v>PRODUKT 1 EL</v>
      </c>
      <c r="F164" s="310" t="str">
        <f>E164&amp;" - Årligt dieselforbrug (liter/år/produkt)"</f>
        <v>PRODUKT 1 EL - Årligt dieselforbrug (liter/år/produkt)</v>
      </c>
      <c r="G164" s="284" t="str">
        <f>G141</f>
        <v>PRODUKT 2 EL</v>
      </c>
      <c r="H164" s="310" t="str">
        <f>G164&amp;" - Årligt dieselforbrug (liter/år/produkt)"</f>
        <v>PRODUKT 2 EL - Årligt dieselforbrug (liter/år/produkt)</v>
      </c>
      <c r="I164" s="284" t="str">
        <f>I141</f>
        <v>PRODUKT 3 EL</v>
      </c>
      <c r="J164" s="310" t="str">
        <f>I164&amp;" - Årligt dieselforbrug (liter/år/produkt)"</f>
        <v>PRODUKT 3 EL - Årligt dieselforbrug (liter/år/produkt)</v>
      </c>
      <c r="K164" s="284" t="str">
        <f>K141</f>
        <v>PRODUKT 4 EL</v>
      </c>
      <c r="L164" s="310" t="str">
        <f>K164&amp;" - Årligt dieselforbrug (liter/år/produkt)"</f>
        <v>PRODUKT 4 EL - Årligt dieselforbrug (liter/år/produkt)</v>
      </c>
      <c r="M164" s="284" t="str">
        <f>M141</f>
        <v>PRODUKT 5 EL</v>
      </c>
      <c r="N164" s="310" t="str">
        <f>M164&amp;" - Årligt dieselforbrug (liter/år/produkt)"</f>
        <v>PRODUKT 5 EL - Årligt dieselforbrug (liter/år/produkt)</v>
      </c>
      <c r="O164" s="284" t="str">
        <f>O141</f>
        <v>PRODUKT 6 EL</v>
      </c>
      <c r="P164" s="310" t="str">
        <f>O164&amp;" - Årligt dieselforbrug (liter/år/produkt)"</f>
        <v>PRODUKT 6 EL - Årligt dieselforbrug (liter/år/produkt)</v>
      </c>
      <c r="Q164" s="284" t="str">
        <f>Q141</f>
        <v>PRODUKT 7 EL</v>
      </c>
      <c r="R164" s="310" t="str">
        <f>Q164&amp;" - Årligt dieselforbrug (liter/år/produkt)"</f>
        <v>PRODUKT 7 EL - Årligt dieselforbrug (liter/år/produkt)</v>
      </c>
      <c r="S164" s="284" t="str">
        <f>S141</f>
        <v>PRODUKT 8 EL</v>
      </c>
      <c r="T164" s="310" t="str">
        <f>S164&amp;" - Årligt dieselforbrug (liter/år/produkt)"</f>
        <v>PRODUKT 8 EL - Årligt dieselforbrug (liter/år/produkt)</v>
      </c>
      <c r="U164" s="284" t="str">
        <f>U141</f>
        <v>PRODUKT 9 EL</v>
      </c>
      <c r="V164" s="310" t="str">
        <f>U164&amp;" - Årligt dieselforbrug (liter/år/produkt)"</f>
        <v>PRODUKT 9 EL - Årligt dieselforbrug (liter/år/produkt)</v>
      </c>
      <c r="W164" s="284" t="str">
        <f>W141</f>
        <v>PRODUKT 10 EL</v>
      </c>
      <c r="X164" s="310" t="str">
        <f>W164&amp;" - Årligt dieselforbrug (liter/år/produkt)"</f>
        <v>PRODUKT 10 EL - Årligt dieselforbrug (liter/år/produkt)</v>
      </c>
    </row>
    <row r="165" spans="1:24">
      <c r="A165" s="312"/>
      <c r="B165" s="285">
        <v>1</v>
      </c>
      <c r="C165" s="285">
        <f>B165</f>
        <v>1</v>
      </c>
      <c r="D165" s="285"/>
      <c r="E165" s="291">
        <f>F142*'El og plugin hybrid'!E$53*VLOOKUP('El og plugin hybrid'!E$59+($B165-1),Fremskrivninger!$A$92:$H$121,8)/1000</f>
        <v>0</v>
      </c>
      <c r="F165" s="313">
        <f>IFERROR('El og plugin hybrid'!E$54/'El og plugin hybrid'!E$16,0)</f>
        <v>0</v>
      </c>
      <c r="G165" s="291">
        <f>H142*'El og plugin hybrid'!G$53*VLOOKUP('El og plugin hybrid'!G$59+($B165-1),Fremskrivninger!$A$92:$H$121,8)/1000</f>
        <v>0</v>
      </c>
      <c r="H165" s="313">
        <f>IFERROR('El og plugin hybrid'!G$54/'El og plugin hybrid'!G$16,0)</f>
        <v>0</v>
      </c>
      <c r="I165" s="291">
        <f>J142*'El og plugin hybrid'!I$53*VLOOKUP('El og plugin hybrid'!I$59+($B165-1),Fremskrivninger!$A$92:$H$121,8)/1000</f>
        <v>0</v>
      </c>
      <c r="J165" s="313">
        <f>IFERROR('El og plugin hybrid'!I$54/'El og plugin hybrid'!I$16,0)</f>
        <v>0</v>
      </c>
      <c r="K165" s="291">
        <f>L142*'El og plugin hybrid'!K$53*VLOOKUP('El og plugin hybrid'!K$59+($B165-1),Fremskrivninger!$A$92:$H$121,8)/1000</f>
        <v>0</v>
      </c>
      <c r="L165" s="313">
        <f>IFERROR('El og plugin hybrid'!K$54/'El og plugin hybrid'!K$16,0)</f>
        <v>0</v>
      </c>
      <c r="M165" s="291">
        <f>N142*'El og plugin hybrid'!M$53*VLOOKUP('El og plugin hybrid'!M$59+($B165-1),Fremskrivninger!$A$92:$H$121,8)/1000</f>
        <v>0</v>
      </c>
      <c r="N165" s="313">
        <f>IFERROR('El og plugin hybrid'!M$54/'El og plugin hybrid'!M$16,0)</f>
        <v>0</v>
      </c>
      <c r="O165" s="291">
        <f>P142*'El og plugin hybrid'!O$53*VLOOKUP('El og plugin hybrid'!O$59+($B165-1),Fremskrivninger!$A$92:$H$121,8)/1000</f>
        <v>0</v>
      </c>
      <c r="P165" s="313">
        <f>IFERROR('El og plugin hybrid'!O$54/'El og plugin hybrid'!O$16,0)</f>
        <v>0</v>
      </c>
      <c r="Q165" s="291">
        <f>R142*'El og plugin hybrid'!Q$53*VLOOKUP('El og plugin hybrid'!Q$59+($B165-1),Fremskrivninger!$A$92:$H$121,8)/1000</f>
        <v>0</v>
      </c>
      <c r="R165" s="313">
        <f>IFERROR('El og plugin hybrid'!Q$54/'El og plugin hybrid'!Q$16,0)</f>
        <v>0</v>
      </c>
      <c r="S165" s="291">
        <f>T142*'El og plugin hybrid'!S$53*VLOOKUP('El og plugin hybrid'!S$59+($B165-1),Fremskrivninger!$A$92:$H$121,8)/1000</f>
        <v>0</v>
      </c>
      <c r="T165" s="313">
        <f>IFERROR('El og plugin hybrid'!S$54/'El og plugin hybrid'!S$16,0)</f>
        <v>0</v>
      </c>
      <c r="U165" s="291">
        <f>V142*'El og plugin hybrid'!U$53*VLOOKUP('El og plugin hybrid'!U$59+($B165-1),Fremskrivninger!$A$92:$H$121,8)/1000</f>
        <v>0</v>
      </c>
      <c r="V165" s="313">
        <f>IFERROR('El og plugin hybrid'!U$54/'El og plugin hybrid'!U$16,0)</f>
        <v>0</v>
      </c>
      <c r="W165" s="291">
        <f>X142*'El og plugin hybrid'!W$53*VLOOKUP('El og plugin hybrid'!W$59+($B165-1),Fremskrivninger!$A$92:$H$121,8)/1000</f>
        <v>0</v>
      </c>
      <c r="X165" s="313">
        <f>IFERROR('El og plugin hybrid'!W$54/'El og plugin hybrid'!W$16,0)</f>
        <v>0</v>
      </c>
    </row>
    <row r="166" spans="1:24">
      <c r="A166" s="312"/>
      <c r="B166" s="285">
        <v>2</v>
      </c>
      <c r="C166" s="285">
        <f t="shared" ref="C166:C184" si="8">B166</f>
        <v>2</v>
      </c>
      <c r="D166" s="285"/>
      <c r="E166" s="291">
        <f>F143*'El og plugin hybrid'!E$53*VLOOKUP('El og plugin hybrid'!E$59+($B166-1),Fremskrivninger!$A$92:$H$121,8)/1000</f>
        <v>0</v>
      </c>
      <c r="F166" s="313">
        <f>IFERROR('El og plugin hybrid'!E$54/'El og plugin hybrid'!E$16,0)</f>
        <v>0</v>
      </c>
      <c r="G166" s="291">
        <f>H143*'El og plugin hybrid'!G$53*VLOOKUP('El og plugin hybrid'!G$59+($B166-1),Fremskrivninger!$A$92:$H$121,8)/1000</f>
        <v>0</v>
      </c>
      <c r="H166" s="313">
        <f>IFERROR('El og plugin hybrid'!G$54/'El og plugin hybrid'!G$16,0)</f>
        <v>0</v>
      </c>
      <c r="I166" s="291">
        <f>J143*'El og plugin hybrid'!I$53*VLOOKUP('El og plugin hybrid'!I$59+($B166-1),Fremskrivninger!$A$92:$H$121,8)/1000</f>
        <v>0</v>
      </c>
      <c r="J166" s="313">
        <f>IFERROR('El og plugin hybrid'!I$54/'El og plugin hybrid'!I$16,0)</f>
        <v>0</v>
      </c>
      <c r="K166" s="291">
        <f>L143*'El og plugin hybrid'!K$53*VLOOKUP('El og plugin hybrid'!K$59+($B166-1),Fremskrivninger!$A$92:$H$121,8)/1000</f>
        <v>0</v>
      </c>
      <c r="L166" s="313">
        <f>IFERROR('El og plugin hybrid'!K$54/'El og plugin hybrid'!K$16,0)</f>
        <v>0</v>
      </c>
      <c r="M166" s="291">
        <f>N143*'El og plugin hybrid'!M$53*VLOOKUP('El og plugin hybrid'!M$59+($B166-1),Fremskrivninger!$A$92:$H$121,8)/1000</f>
        <v>0</v>
      </c>
      <c r="N166" s="313">
        <f>IFERROR('El og plugin hybrid'!M$54/'El og plugin hybrid'!M$16,0)</f>
        <v>0</v>
      </c>
      <c r="O166" s="291">
        <f>P143*'El og plugin hybrid'!O$53*VLOOKUP('El og plugin hybrid'!O$59+($B166-1),Fremskrivninger!$A$92:$H$121,8)/1000</f>
        <v>0</v>
      </c>
      <c r="P166" s="313">
        <f>IFERROR('El og plugin hybrid'!O$54/'El og plugin hybrid'!O$16,0)</f>
        <v>0</v>
      </c>
      <c r="Q166" s="291">
        <f>R143*'El og plugin hybrid'!Q$53*VLOOKUP('El og plugin hybrid'!Q$59+($B166-1),Fremskrivninger!$A$92:$H$121,8)/1000</f>
        <v>0</v>
      </c>
      <c r="R166" s="313">
        <f>IFERROR('El og plugin hybrid'!Q$54/'El og plugin hybrid'!Q$16,0)</f>
        <v>0</v>
      </c>
      <c r="S166" s="291">
        <f>T143*'El og plugin hybrid'!S$53*VLOOKUP('El og plugin hybrid'!S$59+($B166-1),Fremskrivninger!$A$92:$H$121,8)/1000</f>
        <v>0</v>
      </c>
      <c r="T166" s="313">
        <f>IFERROR('El og plugin hybrid'!S$54/'El og plugin hybrid'!S$16,0)</f>
        <v>0</v>
      </c>
      <c r="U166" s="291">
        <f>V143*'El og plugin hybrid'!U$53*VLOOKUP('El og plugin hybrid'!U$59+($B166-1),Fremskrivninger!$A$92:$H$121,8)/1000</f>
        <v>0</v>
      </c>
      <c r="V166" s="313">
        <f>IFERROR('El og plugin hybrid'!U$54/'El og plugin hybrid'!U$16,0)</f>
        <v>0</v>
      </c>
      <c r="W166" s="291">
        <f>X143*'El og plugin hybrid'!W$53*VLOOKUP('El og plugin hybrid'!W$59+($B166-1),Fremskrivninger!$A$92:$H$121,8)/1000</f>
        <v>0</v>
      </c>
      <c r="X166" s="313">
        <f>IFERROR('El og plugin hybrid'!W$54/'El og plugin hybrid'!W$16,0)</f>
        <v>0</v>
      </c>
    </row>
    <row r="167" spans="1:24">
      <c r="A167" s="312"/>
      <c r="B167" s="285">
        <v>3</v>
      </c>
      <c r="C167" s="285">
        <f t="shared" si="8"/>
        <v>3</v>
      </c>
      <c r="D167" s="285"/>
      <c r="E167" s="291">
        <f>F144*'El og plugin hybrid'!E$53*VLOOKUP('El og plugin hybrid'!E$59+($B167-1),Fremskrivninger!$A$92:$H$121,8)/1000</f>
        <v>0</v>
      </c>
      <c r="F167" s="313">
        <f>IFERROR('El og plugin hybrid'!E$54/'El og plugin hybrid'!E$16,0)</f>
        <v>0</v>
      </c>
      <c r="G167" s="291">
        <f>H144*'El og plugin hybrid'!G$53*VLOOKUP('El og plugin hybrid'!G$59+($B167-1),Fremskrivninger!$A$92:$H$121,8)/1000</f>
        <v>0</v>
      </c>
      <c r="H167" s="313">
        <f>IFERROR('El og plugin hybrid'!G$54/'El og plugin hybrid'!G$16,0)</f>
        <v>0</v>
      </c>
      <c r="I167" s="291">
        <f>J144*'El og plugin hybrid'!I$53*VLOOKUP('El og plugin hybrid'!I$59+($B167-1),Fremskrivninger!$A$92:$H$121,8)/1000</f>
        <v>0</v>
      </c>
      <c r="J167" s="313">
        <f>IFERROR('El og plugin hybrid'!I$54/'El og plugin hybrid'!I$16,0)</f>
        <v>0</v>
      </c>
      <c r="K167" s="291">
        <f>L144*'El og plugin hybrid'!K$53*VLOOKUP('El og plugin hybrid'!K$59+($B167-1),Fremskrivninger!$A$92:$H$121,8)/1000</f>
        <v>0</v>
      </c>
      <c r="L167" s="313">
        <f>IFERROR('El og plugin hybrid'!K$54/'El og plugin hybrid'!K$16,0)</f>
        <v>0</v>
      </c>
      <c r="M167" s="291">
        <f>N144*'El og plugin hybrid'!M$53*VLOOKUP('El og plugin hybrid'!M$59+($B167-1),Fremskrivninger!$A$92:$H$121,8)/1000</f>
        <v>0</v>
      </c>
      <c r="N167" s="313">
        <f>IFERROR('El og plugin hybrid'!M$54/'El og plugin hybrid'!M$16,0)</f>
        <v>0</v>
      </c>
      <c r="O167" s="291">
        <f>P144*'El og plugin hybrid'!O$53*VLOOKUP('El og plugin hybrid'!O$59+($B167-1),Fremskrivninger!$A$92:$H$121,8)/1000</f>
        <v>0</v>
      </c>
      <c r="P167" s="313">
        <f>IFERROR('El og plugin hybrid'!O$54/'El og plugin hybrid'!O$16,0)</f>
        <v>0</v>
      </c>
      <c r="Q167" s="291">
        <f>R144*'El og plugin hybrid'!Q$53*VLOOKUP('El og plugin hybrid'!Q$59+($B167-1),Fremskrivninger!$A$92:$H$121,8)/1000</f>
        <v>0</v>
      </c>
      <c r="R167" s="313">
        <f>IFERROR('El og plugin hybrid'!Q$54/'El og plugin hybrid'!Q$16,0)</f>
        <v>0</v>
      </c>
      <c r="S167" s="291">
        <f>T144*'El og plugin hybrid'!S$53*VLOOKUP('El og plugin hybrid'!S$59+($B167-1),Fremskrivninger!$A$92:$H$121,8)/1000</f>
        <v>0</v>
      </c>
      <c r="T167" s="313">
        <f>IFERROR('El og plugin hybrid'!S$54/'El og plugin hybrid'!S$16,0)</f>
        <v>0</v>
      </c>
      <c r="U167" s="291">
        <f>V144*'El og plugin hybrid'!U$53*VLOOKUP('El og plugin hybrid'!U$59+($B167-1),Fremskrivninger!$A$92:$H$121,8)/1000</f>
        <v>0</v>
      </c>
      <c r="V167" s="313">
        <f>IFERROR('El og plugin hybrid'!U$54/'El og plugin hybrid'!U$16,0)</f>
        <v>0</v>
      </c>
      <c r="W167" s="291">
        <f>X144*'El og plugin hybrid'!W$53*VLOOKUP('El og plugin hybrid'!W$59+($B167-1),Fremskrivninger!$A$92:$H$121,8)/1000</f>
        <v>0</v>
      </c>
      <c r="X167" s="313">
        <f>IFERROR('El og plugin hybrid'!W$54/'El og plugin hybrid'!W$16,0)</f>
        <v>0</v>
      </c>
    </row>
    <row r="168" spans="1:24">
      <c r="A168" s="312"/>
      <c r="B168" s="285">
        <v>4</v>
      </c>
      <c r="C168" s="285">
        <f t="shared" si="8"/>
        <v>4</v>
      </c>
      <c r="D168" s="285"/>
      <c r="E168" s="291">
        <f>F145*'El og plugin hybrid'!E$53*VLOOKUP('El og plugin hybrid'!E$59+($B168-1),Fremskrivninger!$A$92:$H$121,8)/1000</f>
        <v>0</v>
      </c>
      <c r="F168" s="313">
        <f>IFERROR('El og plugin hybrid'!E$54/'El og plugin hybrid'!E$16,0)</f>
        <v>0</v>
      </c>
      <c r="G168" s="291">
        <f>H145*'El og plugin hybrid'!G$53*VLOOKUP('El og plugin hybrid'!G$59+($B168-1),Fremskrivninger!$A$92:$H$121,8)/1000</f>
        <v>0</v>
      </c>
      <c r="H168" s="313">
        <f>IFERROR('El og plugin hybrid'!G$54/'El og plugin hybrid'!G$16,0)</f>
        <v>0</v>
      </c>
      <c r="I168" s="291">
        <f>J145*'El og plugin hybrid'!I$53*VLOOKUP('El og plugin hybrid'!I$59+($B168-1),Fremskrivninger!$A$92:$H$121,8)/1000</f>
        <v>0</v>
      </c>
      <c r="J168" s="313">
        <f>IFERROR('El og plugin hybrid'!I$54/'El og plugin hybrid'!I$16,0)</f>
        <v>0</v>
      </c>
      <c r="K168" s="291">
        <f>L145*'El og plugin hybrid'!K$53*VLOOKUP('El og plugin hybrid'!K$59+($B168-1),Fremskrivninger!$A$92:$H$121,8)/1000</f>
        <v>0</v>
      </c>
      <c r="L168" s="313">
        <f>IFERROR('El og plugin hybrid'!K$54/'El og plugin hybrid'!K$16,0)</f>
        <v>0</v>
      </c>
      <c r="M168" s="291">
        <f>N145*'El og plugin hybrid'!M$53*VLOOKUP('El og plugin hybrid'!M$59+($B168-1),Fremskrivninger!$A$92:$H$121,8)/1000</f>
        <v>0</v>
      </c>
      <c r="N168" s="313">
        <f>IFERROR('El og plugin hybrid'!M$54/'El og plugin hybrid'!M$16,0)</f>
        <v>0</v>
      </c>
      <c r="O168" s="291">
        <f>P145*'El og plugin hybrid'!O$53*VLOOKUP('El og plugin hybrid'!O$59+($B168-1),Fremskrivninger!$A$92:$H$121,8)/1000</f>
        <v>0</v>
      </c>
      <c r="P168" s="313">
        <f>IFERROR('El og plugin hybrid'!O$54/'El og plugin hybrid'!O$16,0)</f>
        <v>0</v>
      </c>
      <c r="Q168" s="291">
        <f>R145*'El og plugin hybrid'!Q$53*VLOOKUP('El og plugin hybrid'!Q$59+($B168-1),Fremskrivninger!$A$92:$H$121,8)/1000</f>
        <v>0</v>
      </c>
      <c r="R168" s="313">
        <f>IFERROR('El og plugin hybrid'!Q$54/'El og plugin hybrid'!Q$16,0)</f>
        <v>0</v>
      </c>
      <c r="S168" s="291">
        <f>T145*'El og plugin hybrid'!S$53*VLOOKUP('El og plugin hybrid'!S$59+($B168-1),Fremskrivninger!$A$92:$H$121,8)/1000</f>
        <v>0</v>
      </c>
      <c r="T168" s="313">
        <f>IFERROR('El og plugin hybrid'!S$54/'El og plugin hybrid'!S$16,0)</f>
        <v>0</v>
      </c>
      <c r="U168" s="291">
        <f>V145*'El og plugin hybrid'!U$53*VLOOKUP('El og plugin hybrid'!U$59+($B168-1),Fremskrivninger!$A$92:$H$121,8)/1000</f>
        <v>0</v>
      </c>
      <c r="V168" s="313">
        <f>IFERROR('El og plugin hybrid'!U$54/'El og plugin hybrid'!U$16,0)</f>
        <v>0</v>
      </c>
      <c r="W168" s="291">
        <f>X145*'El og plugin hybrid'!W$53*VLOOKUP('El og plugin hybrid'!W$59+($B168-1),Fremskrivninger!$A$92:$H$121,8)/1000</f>
        <v>0</v>
      </c>
      <c r="X168" s="313">
        <f>IFERROR('El og plugin hybrid'!W$54/'El og plugin hybrid'!W$16,0)</f>
        <v>0</v>
      </c>
    </row>
    <row r="169" spans="1:24">
      <c r="A169" s="312"/>
      <c r="B169" s="285">
        <v>5</v>
      </c>
      <c r="C169" s="285">
        <f t="shared" si="8"/>
        <v>5</v>
      </c>
      <c r="D169" s="285"/>
      <c r="E169" s="291">
        <f>F146*'El og plugin hybrid'!E$53*VLOOKUP('El og plugin hybrid'!E$59+($B169-1),Fremskrivninger!$A$92:$H$121,8)/1000</f>
        <v>0</v>
      </c>
      <c r="F169" s="313">
        <f>IFERROR('El og plugin hybrid'!E$54/'El og plugin hybrid'!E$16,0)</f>
        <v>0</v>
      </c>
      <c r="G169" s="291">
        <f>H146*'El og plugin hybrid'!G$53*VLOOKUP('El og plugin hybrid'!G$59+($B169-1),Fremskrivninger!$A$92:$H$121,8)/1000</f>
        <v>0</v>
      </c>
      <c r="H169" s="313">
        <f>IFERROR('El og plugin hybrid'!G$54/'El og plugin hybrid'!G$16,0)</f>
        <v>0</v>
      </c>
      <c r="I169" s="291">
        <f>J146*'El og plugin hybrid'!I$53*VLOOKUP('El og plugin hybrid'!I$59+($B169-1),Fremskrivninger!$A$92:$H$121,8)/1000</f>
        <v>0</v>
      </c>
      <c r="J169" s="313">
        <f>IFERROR('El og plugin hybrid'!I$54/'El og plugin hybrid'!I$16,0)</f>
        <v>0</v>
      </c>
      <c r="K169" s="291">
        <f>L146*'El og plugin hybrid'!K$53*VLOOKUP('El og plugin hybrid'!K$59+($B169-1),Fremskrivninger!$A$92:$H$121,8)/1000</f>
        <v>0</v>
      </c>
      <c r="L169" s="313">
        <f>IFERROR('El og plugin hybrid'!K$54/'El og plugin hybrid'!K$16,0)</f>
        <v>0</v>
      </c>
      <c r="M169" s="291">
        <f>N146*'El og plugin hybrid'!M$53*VLOOKUP('El og plugin hybrid'!M$59+($B169-1),Fremskrivninger!$A$92:$H$121,8)/1000</f>
        <v>0</v>
      </c>
      <c r="N169" s="313">
        <f>IFERROR('El og plugin hybrid'!M$54/'El og plugin hybrid'!M$16,0)</f>
        <v>0</v>
      </c>
      <c r="O169" s="291">
        <f>P146*'El og plugin hybrid'!O$53*VLOOKUP('El og plugin hybrid'!O$59+($B169-1),Fremskrivninger!$A$92:$H$121,8)/1000</f>
        <v>0</v>
      </c>
      <c r="P169" s="313">
        <f>IFERROR('El og plugin hybrid'!O$54/'El og plugin hybrid'!O$16,0)</f>
        <v>0</v>
      </c>
      <c r="Q169" s="291">
        <f>R146*'El og plugin hybrid'!Q$53*VLOOKUP('El og plugin hybrid'!Q$59+($B169-1),Fremskrivninger!$A$92:$H$121,8)/1000</f>
        <v>0</v>
      </c>
      <c r="R169" s="313">
        <f>IFERROR('El og plugin hybrid'!Q$54/'El og plugin hybrid'!Q$16,0)</f>
        <v>0</v>
      </c>
      <c r="S169" s="291">
        <f>T146*'El og plugin hybrid'!S$53*VLOOKUP('El og plugin hybrid'!S$59+($B169-1),Fremskrivninger!$A$92:$H$121,8)/1000</f>
        <v>0</v>
      </c>
      <c r="T169" s="313">
        <f>IFERROR('El og plugin hybrid'!S$54/'El og plugin hybrid'!S$16,0)</f>
        <v>0</v>
      </c>
      <c r="U169" s="291">
        <f>V146*'El og plugin hybrid'!U$53*VLOOKUP('El og plugin hybrid'!U$59+($B169-1),Fremskrivninger!$A$92:$H$121,8)/1000</f>
        <v>0</v>
      </c>
      <c r="V169" s="313">
        <f>IFERROR('El og plugin hybrid'!U$54/'El og plugin hybrid'!U$16,0)</f>
        <v>0</v>
      </c>
      <c r="W169" s="291">
        <f>X146*'El og plugin hybrid'!W$53*VLOOKUP('El og plugin hybrid'!W$59+($B169-1),Fremskrivninger!$A$92:$H$121,8)/1000</f>
        <v>0</v>
      </c>
      <c r="X169" s="313">
        <f>IFERROR('El og plugin hybrid'!W$54/'El og plugin hybrid'!W$16,0)</f>
        <v>0</v>
      </c>
    </row>
    <row r="170" spans="1:24">
      <c r="A170" s="312"/>
      <c r="B170" s="285">
        <v>6</v>
      </c>
      <c r="C170" s="285">
        <f t="shared" si="8"/>
        <v>6</v>
      </c>
      <c r="D170" s="285"/>
      <c r="E170" s="291">
        <f>F147*'El og plugin hybrid'!E$53*VLOOKUP('El og plugin hybrid'!E$59+($B170-1),Fremskrivninger!$A$92:$H$121,8)/1000</f>
        <v>0</v>
      </c>
      <c r="F170" s="313">
        <f>IFERROR('El og plugin hybrid'!E$54/'El og plugin hybrid'!E$16,0)</f>
        <v>0</v>
      </c>
      <c r="G170" s="291">
        <f>H147*'El og plugin hybrid'!G$53*VLOOKUP('El og plugin hybrid'!G$59+($B170-1),Fremskrivninger!$A$92:$H$121,8)/1000</f>
        <v>0</v>
      </c>
      <c r="H170" s="313">
        <f>IFERROR('El og plugin hybrid'!G$54/'El og plugin hybrid'!G$16,0)</f>
        <v>0</v>
      </c>
      <c r="I170" s="291">
        <f>J147*'El og plugin hybrid'!I$53*VLOOKUP('El og plugin hybrid'!I$59+($B170-1),Fremskrivninger!$A$92:$H$121,8)/1000</f>
        <v>0</v>
      </c>
      <c r="J170" s="313">
        <f>IFERROR('El og plugin hybrid'!I$54/'El og plugin hybrid'!I$16,0)</f>
        <v>0</v>
      </c>
      <c r="K170" s="291">
        <f>L147*'El og plugin hybrid'!K$53*VLOOKUP('El og plugin hybrid'!K$59+($B170-1),Fremskrivninger!$A$92:$H$121,8)/1000</f>
        <v>0</v>
      </c>
      <c r="L170" s="313">
        <f>IFERROR('El og plugin hybrid'!K$54/'El og plugin hybrid'!K$16,0)</f>
        <v>0</v>
      </c>
      <c r="M170" s="291">
        <f>N147*'El og plugin hybrid'!M$53*VLOOKUP('El og plugin hybrid'!M$59+($B170-1),Fremskrivninger!$A$92:$H$121,8)/1000</f>
        <v>0</v>
      </c>
      <c r="N170" s="313">
        <f>IFERROR('El og plugin hybrid'!M$54/'El og plugin hybrid'!M$16,0)</f>
        <v>0</v>
      </c>
      <c r="O170" s="291">
        <f>P147*'El og plugin hybrid'!O$53*VLOOKUP('El og plugin hybrid'!O$59+($B170-1),Fremskrivninger!$A$92:$H$121,8)/1000</f>
        <v>0</v>
      </c>
      <c r="P170" s="313">
        <f>IFERROR('El og plugin hybrid'!O$54/'El og plugin hybrid'!O$16,0)</f>
        <v>0</v>
      </c>
      <c r="Q170" s="291">
        <f>R147*'El og plugin hybrid'!Q$53*VLOOKUP('El og plugin hybrid'!Q$59+($B170-1),Fremskrivninger!$A$92:$H$121,8)/1000</f>
        <v>0</v>
      </c>
      <c r="R170" s="313">
        <f>IFERROR('El og plugin hybrid'!Q$54/'El og plugin hybrid'!Q$16,0)</f>
        <v>0</v>
      </c>
      <c r="S170" s="291">
        <f>T147*'El og plugin hybrid'!S$53*VLOOKUP('El og plugin hybrid'!S$59+($B170-1),Fremskrivninger!$A$92:$H$121,8)/1000</f>
        <v>0</v>
      </c>
      <c r="T170" s="313">
        <f>IFERROR('El og plugin hybrid'!S$54/'El og plugin hybrid'!S$16,0)</f>
        <v>0</v>
      </c>
      <c r="U170" s="291">
        <f>V147*'El og plugin hybrid'!U$53*VLOOKUP('El og plugin hybrid'!U$59+($B170-1),Fremskrivninger!$A$92:$H$121,8)/1000</f>
        <v>0</v>
      </c>
      <c r="V170" s="313">
        <f>IFERROR('El og plugin hybrid'!U$54/'El og plugin hybrid'!U$16,0)</f>
        <v>0</v>
      </c>
      <c r="W170" s="291">
        <f>X147*'El og plugin hybrid'!W$53*VLOOKUP('El og plugin hybrid'!W$59+($B170-1),Fremskrivninger!$A$92:$H$121,8)/1000</f>
        <v>0</v>
      </c>
      <c r="X170" s="313">
        <f>IFERROR('El og plugin hybrid'!W$54/'El og plugin hybrid'!W$16,0)</f>
        <v>0</v>
      </c>
    </row>
    <row r="171" spans="1:24">
      <c r="A171" s="312"/>
      <c r="B171" s="285">
        <v>7</v>
      </c>
      <c r="C171" s="285">
        <f t="shared" si="8"/>
        <v>7</v>
      </c>
      <c r="D171" s="285"/>
      <c r="E171" s="291">
        <f>F148*'El og plugin hybrid'!E$53*VLOOKUP('El og plugin hybrid'!E$59+($B171-1),Fremskrivninger!$A$92:$H$121,8)/1000</f>
        <v>0</v>
      </c>
      <c r="F171" s="313">
        <f>IFERROR('El og plugin hybrid'!E$54/'El og plugin hybrid'!E$16,0)</f>
        <v>0</v>
      </c>
      <c r="G171" s="291">
        <f>H148*'El og plugin hybrid'!G$53*VLOOKUP('El og plugin hybrid'!G$59+($B171-1),Fremskrivninger!$A$92:$H$121,8)/1000</f>
        <v>0</v>
      </c>
      <c r="H171" s="313">
        <f>IFERROR('El og plugin hybrid'!G$54/'El og plugin hybrid'!G$16,0)</f>
        <v>0</v>
      </c>
      <c r="I171" s="291">
        <f>J148*'El og plugin hybrid'!I$53*VLOOKUP('El og plugin hybrid'!I$59+($B171-1),Fremskrivninger!$A$92:$H$121,8)/1000</f>
        <v>0</v>
      </c>
      <c r="J171" s="313">
        <f>IFERROR('El og plugin hybrid'!I$54/'El og plugin hybrid'!I$16,0)</f>
        <v>0</v>
      </c>
      <c r="K171" s="291">
        <f>L148*'El og plugin hybrid'!K$53*VLOOKUP('El og plugin hybrid'!K$59+($B171-1),Fremskrivninger!$A$92:$H$121,8)/1000</f>
        <v>0</v>
      </c>
      <c r="L171" s="313">
        <f>IFERROR('El og plugin hybrid'!K$54/'El og plugin hybrid'!K$16,0)</f>
        <v>0</v>
      </c>
      <c r="M171" s="291">
        <f>N148*'El og plugin hybrid'!M$53*VLOOKUP('El og plugin hybrid'!M$59+($B171-1),Fremskrivninger!$A$92:$H$121,8)/1000</f>
        <v>0</v>
      </c>
      <c r="N171" s="313">
        <f>IFERROR('El og plugin hybrid'!M$54/'El og plugin hybrid'!M$16,0)</f>
        <v>0</v>
      </c>
      <c r="O171" s="291">
        <f>P148*'El og plugin hybrid'!O$53*VLOOKUP('El og plugin hybrid'!O$59+($B171-1),Fremskrivninger!$A$92:$H$121,8)/1000</f>
        <v>0</v>
      </c>
      <c r="P171" s="313">
        <f>IFERROR('El og plugin hybrid'!O$54/'El og plugin hybrid'!O$16,0)</f>
        <v>0</v>
      </c>
      <c r="Q171" s="291">
        <f>R148*'El og plugin hybrid'!Q$53*VLOOKUP('El og plugin hybrid'!Q$59+($B171-1),Fremskrivninger!$A$92:$H$121,8)/1000</f>
        <v>0</v>
      </c>
      <c r="R171" s="313">
        <f>IFERROR('El og plugin hybrid'!Q$54/'El og plugin hybrid'!Q$16,0)</f>
        <v>0</v>
      </c>
      <c r="S171" s="291">
        <f>T148*'El og plugin hybrid'!S$53*VLOOKUP('El og plugin hybrid'!S$59+($B171-1),Fremskrivninger!$A$92:$H$121,8)/1000</f>
        <v>0</v>
      </c>
      <c r="T171" s="313">
        <f>IFERROR('El og plugin hybrid'!S$54/'El og plugin hybrid'!S$16,0)</f>
        <v>0</v>
      </c>
      <c r="U171" s="291">
        <f>V148*'El og plugin hybrid'!U$53*VLOOKUP('El og plugin hybrid'!U$59+($B171-1),Fremskrivninger!$A$92:$H$121,8)/1000</f>
        <v>0</v>
      </c>
      <c r="V171" s="313">
        <f>IFERROR('El og plugin hybrid'!U$54/'El og plugin hybrid'!U$16,0)</f>
        <v>0</v>
      </c>
      <c r="W171" s="291">
        <f>X148*'El og plugin hybrid'!W$53*VLOOKUP('El og plugin hybrid'!W$59+($B171-1),Fremskrivninger!$A$92:$H$121,8)/1000</f>
        <v>0</v>
      </c>
      <c r="X171" s="313">
        <f>IFERROR('El og plugin hybrid'!W$54/'El og plugin hybrid'!W$16,0)</f>
        <v>0</v>
      </c>
    </row>
    <row r="172" spans="1:24">
      <c r="A172" s="312"/>
      <c r="B172" s="285">
        <v>8</v>
      </c>
      <c r="C172" s="285">
        <f t="shared" si="8"/>
        <v>8</v>
      </c>
      <c r="D172" s="285"/>
      <c r="E172" s="291">
        <f>F149*'El og plugin hybrid'!E$53*VLOOKUP('El og plugin hybrid'!E$59+($B172-1),Fremskrivninger!$A$92:$H$121,8)/1000</f>
        <v>0</v>
      </c>
      <c r="F172" s="313">
        <f>IFERROR('El og plugin hybrid'!E$54/'El og plugin hybrid'!E$16,0)</f>
        <v>0</v>
      </c>
      <c r="G172" s="291">
        <f>H149*'El og plugin hybrid'!G$53*VLOOKUP('El og plugin hybrid'!G$59+($B172-1),Fremskrivninger!$A$92:$H$121,8)/1000</f>
        <v>0</v>
      </c>
      <c r="H172" s="313">
        <f>IFERROR('El og plugin hybrid'!G$54/'El og plugin hybrid'!G$16,0)</f>
        <v>0</v>
      </c>
      <c r="I172" s="291">
        <f>J149*'El og plugin hybrid'!I$53*VLOOKUP('El og plugin hybrid'!I$59+($B172-1),Fremskrivninger!$A$92:$H$121,8)/1000</f>
        <v>0</v>
      </c>
      <c r="J172" s="313">
        <f>IFERROR('El og plugin hybrid'!I$54/'El og plugin hybrid'!I$16,0)</f>
        <v>0</v>
      </c>
      <c r="K172" s="291">
        <f>L149*'El og plugin hybrid'!K$53*VLOOKUP('El og plugin hybrid'!K$59+($B172-1),Fremskrivninger!$A$92:$H$121,8)/1000</f>
        <v>0</v>
      </c>
      <c r="L172" s="313">
        <f>IFERROR('El og plugin hybrid'!K$54/'El og plugin hybrid'!K$16,0)</f>
        <v>0</v>
      </c>
      <c r="M172" s="291">
        <f>N149*'El og plugin hybrid'!M$53*VLOOKUP('El og plugin hybrid'!M$59+($B172-1),Fremskrivninger!$A$92:$H$121,8)/1000</f>
        <v>0</v>
      </c>
      <c r="N172" s="313">
        <f>IFERROR('El og plugin hybrid'!M$54/'El og plugin hybrid'!M$16,0)</f>
        <v>0</v>
      </c>
      <c r="O172" s="291">
        <f>P149*'El og plugin hybrid'!O$53*VLOOKUP('El og plugin hybrid'!O$59+($B172-1),Fremskrivninger!$A$92:$H$121,8)/1000</f>
        <v>0</v>
      </c>
      <c r="P172" s="313">
        <f>IFERROR('El og plugin hybrid'!O$54/'El og plugin hybrid'!O$16,0)</f>
        <v>0</v>
      </c>
      <c r="Q172" s="291">
        <f>R149*'El og plugin hybrid'!Q$53*VLOOKUP('El og plugin hybrid'!Q$59+($B172-1),Fremskrivninger!$A$92:$H$121,8)/1000</f>
        <v>0</v>
      </c>
      <c r="R172" s="313">
        <f>IFERROR('El og plugin hybrid'!Q$54/'El og plugin hybrid'!Q$16,0)</f>
        <v>0</v>
      </c>
      <c r="S172" s="291">
        <f>T149*'El og plugin hybrid'!S$53*VLOOKUP('El og plugin hybrid'!S$59+($B172-1),Fremskrivninger!$A$92:$H$121,8)/1000</f>
        <v>0</v>
      </c>
      <c r="T172" s="313">
        <f>IFERROR('El og plugin hybrid'!S$54/'El og plugin hybrid'!S$16,0)</f>
        <v>0</v>
      </c>
      <c r="U172" s="291">
        <f>V149*'El og plugin hybrid'!U$53*VLOOKUP('El og plugin hybrid'!U$59+($B172-1),Fremskrivninger!$A$92:$H$121,8)/1000</f>
        <v>0</v>
      </c>
      <c r="V172" s="313">
        <f>IFERROR('El og plugin hybrid'!U$54/'El og plugin hybrid'!U$16,0)</f>
        <v>0</v>
      </c>
      <c r="W172" s="291">
        <f>X149*'El og plugin hybrid'!W$53*VLOOKUP('El og plugin hybrid'!W$59+($B172-1),Fremskrivninger!$A$92:$H$121,8)/1000</f>
        <v>0</v>
      </c>
      <c r="X172" s="313">
        <f>IFERROR('El og plugin hybrid'!W$54/'El og plugin hybrid'!W$16,0)</f>
        <v>0</v>
      </c>
    </row>
    <row r="173" spans="1:24">
      <c r="A173" s="312"/>
      <c r="B173" s="285">
        <v>9</v>
      </c>
      <c r="C173" s="285">
        <f t="shared" si="8"/>
        <v>9</v>
      </c>
      <c r="D173" s="285"/>
      <c r="E173" s="291">
        <f>F150*'El og plugin hybrid'!E$53*VLOOKUP('El og plugin hybrid'!E$59+($B173-1),Fremskrivninger!$A$92:$H$121,8)/1000</f>
        <v>0</v>
      </c>
      <c r="F173" s="313">
        <f>IFERROR('El og plugin hybrid'!E$54/'El og plugin hybrid'!E$16,0)</f>
        <v>0</v>
      </c>
      <c r="G173" s="291">
        <f>H150*'El og plugin hybrid'!G$53*VLOOKUP('El og plugin hybrid'!G$59+($B173-1),Fremskrivninger!$A$92:$H$121,8)/1000</f>
        <v>0</v>
      </c>
      <c r="H173" s="313">
        <f>IFERROR('El og plugin hybrid'!G$54/'El og plugin hybrid'!G$16,0)</f>
        <v>0</v>
      </c>
      <c r="I173" s="291">
        <f>J150*'El og plugin hybrid'!I$53*VLOOKUP('El og plugin hybrid'!I$59+($B173-1),Fremskrivninger!$A$92:$H$121,8)/1000</f>
        <v>0</v>
      </c>
      <c r="J173" s="313">
        <f>IFERROR('El og plugin hybrid'!I$54/'El og plugin hybrid'!I$16,0)</f>
        <v>0</v>
      </c>
      <c r="K173" s="291">
        <f>L150*'El og plugin hybrid'!K$53*VLOOKUP('El og plugin hybrid'!K$59+($B173-1),Fremskrivninger!$A$92:$H$121,8)/1000</f>
        <v>0</v>
      </c>
      <c r="L173" s="313">
        <f>IFERROR('El og plugin hybrid'!K$54/'El og plugin hybrid'!K$16,0)</f>
        <v>0</v>
      </c>
      <c r="M173" s="291">
        <f>N150*'El og plugin hybrid'!M$53*VLOOKUP('El og plugin hybrid'!M$59+($B173-1),Fremskrivninger!$A$92:$H$121,8)/1000</f>
        <v>0</v>
      </c>
      <c r="N173" s="313">
        <f>IFERROR('El og plugin hybrid'!M$54/'El og plugin hybrid'!M$16,0)</f>
        <v>0</v>
      </c>
      <c r="O173" s="291">
        <f>P150*'El og plugin hybrid'!O$53*VLOOKUP('El og plugin hybrid'!O$59+($B173-1),Fremskrivninger!$A$92:$H$121,8)/1000</f>
        <v>0</v>
      </c>
      <c r="P173" s="313">
        <f>IFERROR('El og plugin hybrid'!O$54/'El og plugin hybrid'!O$16,0)</f>
        <v>0</v>
      </c>
      <c r="Q173" s="291">
        <f>R150*'El og plugin hybrid'!Q$53*VLOOKUP('El og plugin hybrid'!Q$59+($B173-1),Fremskrivninger!$A$92:$H$121,8)/1000</f>
        <v>0</v>
      </c>
      <c r="R173" s="313">
        <f>IFERROR('El og plugin hybrid'!Q$54/'El og plugin hybrid'!Q$16,0)</f>
        <v>0</v>
      </c>
      <c r="S173" s="291">
        <f>T150*'El og plugin hybrid'!S$53*VLOOKUP('El og plugin hybrid'!S$59+($B173-1),Fremskrivninger!$A$92:$H$121,8)/1000</f>
        <v>0</v>
      </c>
      <c r="T173" s="313">
        <f>IFERROR('El og plugin hybrid'!S$54/'El og plugin hybrid'!S$16,0)</f>
        <v>0</v>
      </c>
      <c r="U173" s="291">
        <f>V150*'El og plugin hybrid'!U$53*VLOOKUP('El og plugin hybrid'!U$59+($B173-1),Fremskrivninger!$A$92:$H$121,8)/1000</f>
        <v>0</v>
      </c>
      <c r="V173" s="313">
        <f>IFERROR('El og plugin hybrid'!U$54/'El og plugin hybrid'!U$16,0)</f>
        <v>0</v>
      </c>
      <c r="W173" s="291">
        <f>X150*'El og plugin hybrid'!W$53*VLOOKUP('El og plugin hybrid'!W$59+($B173-1),Fremskrivninger!$A$92:$H$121,8)/1000</f>
        <v>0</v>
      </c>
      <c r="X173" s="313">
        <f>IFERROR('El og plugin hybrid'!W$54/'El og plugin hybrid'!W$16,0)</f>
        <v>0</v>
      </c>
    </row>
    <row r="174" spans="1:24">
      <c r="A174" s="312"/>
      <c r="B174" s="285">
        <v>10</v>
      </c>
      <c r="C174" s="285">
        <f t="shared" si="8"/>
        <v>10</v>
      </c>
      <c r="D174" s="285"/>
      <c r="E174" s="291">
        <f>F151*'El og plugin hybrid'!E$53*VLOOKUP('El og plugin hybrid'!E$59+($B174-1),Fremskrivninger!$A$92:$H$121,8)/1000</f>
        <v>0</v>
      </c>
      <c r="F174" s="313">
        <f>IFERROR('El og plugin hybrid'!E$54/'El og plugin hybrid'!E$16,0)</f>
        <v>0</v>
      </c>
      <c r="G174" s="291">
        <f>H151*'El og plugin hybrid'!G$53*VLOOKUP('El og plugin hybrid'!G$59+($B174-1),Fremskrivninger!$A$92:$H$121,8)/1000</f>
        <v>0</v>
      </c>
      <c r="H174" s="313">
        <f>IFERROR('El og plugin hybrid'!G$54/'El og plugin hybrid'!G$16,0)</f>
        <v>0</v>
      </c>
      <c r="I174" s="291">
        <f>J151*'El og plugin hybrid'!I$53*VLOOKUP('El og plugin hybrid'!I$59+($B174-1),Fremskrivninger!$A$92:$H$121,8)/1000</f>
        <v>0</v>
      </c>
      <c r="J174" s="313">
        <f>IFERROR('El og plugin hybrid'!I$54/'El og plugin hybrid'!I$16,0)</f>
        <v>0</v>
      </c>
      <c r="K174" s="291">
        <f>L151*'El og plugin hybrid'!K$53*VLOOKUP('El og plugin hybrid'!K$59+($B174-1),Fremskrivninger!$A$92:$H$121,8)/1000</f>
        <v>0</v>
      </c>
      <c r="L174" s="313">
        <f>IFERROR('El og plugin hybrid'!K$54/'El og plugin hybrid'!K$16,0)</f>
        <v>0</v>
      </c>
      <c r="M174" s="291">
        <f>N151*'El og plugin hybrid'!M$53*VLOOKUP('El og plugin hybrid'!M$59+($B174-1),Fremskrivninger!$A$92:$H$121,8)/1000</f>
        <v>0</v>
      </c>
      <c r="N174" s="313">
        <f>IFERROR('El og plugin hybrid'!M$54/'El og plugin hybrid'!M$16,0)</f>
        <v>0</v>
      </c>
      <c r="O174" s="291">
        <f>P151*'El og plugin hybrid'!O$53*VLOOKUP('El og plugin hybrid'!O$59+($B174-1),Fremskrivninger!$A$92:$H$121,8)/1000</f>
        <v>0</v>
      </c>
      <c r="P174" s="313">
        <f>IFERROR('El og plugin hybrid'!O$54/'El og plugin hybrid'!O$16,0)</f>
        <v>0</v>
      </c>
      <c r="Q174" s="291">
        <f>R151*'El og plugin hybrid'!Q$53*VLOOKUP('El og plugin hybrid'!Q$59+($B174-1),Fremskrivninger!$A$92:$H$121,8)/1000</f>
        <v>0</v>
      </c>
      <c r="R174" s="313">
        <f>IFERROR('El og plugin hybrid'!Q$54/'El og plugin hybrid'!Q$16,0)</f>
        <v>0</v>
      </c>
      <c r="S174" s="291">
        <f>T151*'El og plugin hybrid'!S$53*VLOOKUP('El og plugin hybrid'!S$59+($B174-1),Fremskrivninger!$A$92:$H$121,8)/1000</f>
        <v>0</v>
      </c>
      <c r="T174" s="313">
        <f>IFERROR('El og plugin hybrid'!S$54/'El og plugin hybrid'!S$16,0)</f>
        <v>0</v>
      </c>
      <c r="U174" s="291">
        <f>V151*'El og plugin hybrid'!U$53*VLOOKUP('El og plugin hybrid'!U$59+($B174-1),Fremskrivninger!$A$92:$H$121,8)/1000</f>
        <v>0</v>
      </c>
      <c r="V174" s="313">
        <f>IFERROR('El og plugin hybrid'!U$54/'El og plugin hybrid'!U$16,0)</f>
        <v>0</v>
      </c>
      <c r="W174" s="291">
        <f>X151*'El og plugin hybrid'!W$53*VLOOKUP('El og plugin hybrid'!W$59+($B174-1),Fremskrivninger!$A$92:$H$121,8)/1000</f>
        <v>0</v>
      </c>
      <c r="X174" s="313">
        <f>IFERROR('El og plugin hybrid'!W$54/'El og plugin hybrid'!W$16,0)</f>
        <v>0</v>
      </c>
    </row>
    <row r="175" spans="1:24">
      <c r="A175" s="312"/>
      <c r="B175" s="285">
        <v>11</v>
      </c>
      <c r="C175" s="285">
        <f t="shared" si="8"/>
        <v>11</v>
      </c>
      <c r="D175" s="285"/>
      <c r="E175" s="291">
        <f>F152*'El og plugin hybrid'!E$53*VLOOKUP('El og plugin hybrid'!E$59+($B175-1),Fremskrivninger!$A$92:$H$121,8)/1000</f>
        <v>0</v>
      </c>
      <c r="F175" s="313">
        <f>IFERROR('El og plugin hybrid'!E$54/'El og plugin hybrid'!E$16,0)</f>
        <v>0</v>
      </c>
      <c r="G175" s="291">
        <f>H152*'El og plugin hybrid'!G$53*VLOOKUP('El og plugin hybrid'!G$59+($B175-1),Fremskrivninger!$A$92:$H$121,8)/1000</f>
        <v>0</v>
      </c>
      <c r="H175" s="313">
        <f>IFERROR('El og plugin hybrid'!G$54/'El og plugin hybrid'!G$16,0)</f>
        <v>0</v>
      </c>
      <c r="I175" s="291">
        <f>J152*'El og plugin hybrid'!I$53*VLOOKUP('El og plugin hybrid'!I$59+($B175-1),Fremskrivninger!$A$92:$H$121,8)/1000</f>
        <v>0</v>
      </c>
      <c r="J175" s="313">
        <f>IFERROR('El og plugin hybrid'!I$54/'El og plugin hybrid'!I$16,0)</f>
        <v>0</v>
      </c>
      <c r="K175" s="291">
        <f>L152*'El og plugin hybrid'!K$53*VLOOKUP('El og plugin hybrid'!K$59+($B175-1),Fremskrivninger!$A$92:$H$121,8)/1000</f>
        <v>0</v>
      </c>
      <c r="L175" s="313">
        <f>IFERROR('El og plugin hybrid'!K$54/'El og plugin hybrid'!K$16,0)</f>
        <v>0</v>
      </c>
      <c r="M175" s="291">
        <f>N152*'El og plugin hybrid'!M$53*VLOOKUP('El og plugin hybrid'!M$59+($B175-1),Fremskrivninger!$A$92:$H$121,8)/1000</f>
        <v>0</v>
      </c>
      <c r="N175" s="313">
        <f>IFERROR('El og plugin hybrid'!M$54/'El og plugin hybrid'!M$16,0)</f>
        <v>0</v>
      </c>
      <c r="O175" s="291">
        <f>P152*'El og plugin hybrid'!O$53*VLOOKUP('El og plugin hybrid'!O$59+($B175-1),Fremskrivninger!$A$92:$H$121,8)/1000</f>
        <v>0</v>
      </c>
      <c r="P175" s="313">
        <f>IFERROR('El og plugin hybrid'!O$54/'El og plugin hybrid'!O$16,0)</f>
        <v>0</v>
      </c>
      <c r="Q175" s="291">
        <f>R152*'El og plugin hybrid'!Q$53*VLOOKUP('El og plugin hybrid'!Q$59+($B175-1),Fremskrivninger!$A$92:$H$121,8)/1000</f>
        <v>0</v>
      </c>
      <c r="R175" s="313">
        <f>IFERROR('El og plugin hybrid'!Q$54/'El og plugin hybrid'!Q$16,0)</f>
        <v>0</v>
      </c>
      <c r="S175" s="291">
        <f>T152*'El og plugin hybrid'!S$53*VLOOKUP('El og plugin hybrid'!S$59+($B175-1),Fremskrivninger!$A$92:$H$121,8)/1000</f>
        <v>0</v>
      </c>
      <c r="T175" s="313">
        <f>IFERROR('El og plugin hybrid'!S$54/'El og plugin hybrid'!S$16,0)</f>
        <v>0</v>
      </c>
      <c r="U175" s="291">
        <f>V152*'El og plugin hybrid'!U$53*VLOOKUP('El og plugin hybrid'!U$59+($B175-1),Fremskrivninger!$A$92:$H$121,8)/1000</f>
        <v>0</v>
      </c>
      <c r="V175" s="313">
        <f>IFERROR('El og plugin hybrid'!U$54/'El og plugin hybrid'!U$16,0)</f>
        <v>0</v>
      </c>
      <c r="W175" s="291">
        <f>X152*'El og plugin hybrid'!W$53*VLOOKUP('El og plugin hybrid'!W$59+($B175-1),Fremskrivninger!$A$92:$H$121,8)/1000</f>
        <v>0</v>
      </c>
      <c r="X175" s="313">
        <f>IFERROR('El og plugin hybrid'!W$54/'El og plugin hybrid'!W$16,0)</f>
        <v>0</v>
      </c>
    </row>
    <row r="176" spans="1:24">
      <c r="A176" s="312"/>
      <c r="B176" s="285">
        <v>12</v>
      </c>
      <c r="C176" s="285">
        <f t="shared" si="8"/>
        <v>12</v>
      </c>
      <c r="D176" s="285"/>
      <c r="E176" s="291">
        <f>F153*'El og plugin hybrid'!E$53*VLOOKUP('El og plugin hybrid'!E$59+($B176-1),Fremskrivninger!$A$92:$H$121,8)/1000</f>
        <v>0</v>
      </c>
      <c r="F176" s="313">
        <f>IFERROR('El og plugin hybrid'!E$54/'El og plugin hybrid'!E$16,0)</f>
        <v>0</v>
      </c>
      <c r="G176" s="291">
        <f>H153*'El og plugin hybrid'!G$53*VLOOKUP('El og plugin hybrid'!G$59+($B176-1),Fremskrivninger!$A$92:$H$121,8)/1000</f>
        <v>0</v>
      </c>
      <c r="H176" s="313">
        <f>IFERROR('El og plugin hybrid'!G$54/'El og plugin hybrid'!G$16,0)</f>
        <v>0</v>
      </c>
      <c r="I176" s="291">
        <f>J153*'El og plugin hybrid'!I$53*VLOOKUP('El og plugin hybrid'!I$59+($B176-1),Fremskrivninger!$A$92:$H$121,8)/1000</f>
        <v>0</v>
      </c>
      <c r="J176" s="313">
        <f>IFERROR('El og plugin hybrid'!I$54/'El og plugin hybrid'!I$16,0)</f>
        <v>0</v>
      </c>
      <c r="K176" s="291">
        <f>L153*'El og plugin hybrid'!K$53*VLOOKUP('El og plugin hybrid'!K$59+($B176-1),Fremskrivninger!$A$92:$H$121,8)/1000</f>
        <v>0</v>
      </c>
      <c r="L176" s="313">
        <f>IFERROR('El og plugin hybrid'!K$54/'El og plugin hybrid'!K$16,0)</f>
        <v>0</v>
      </c>
      <c r="M176" s="291">
        <f>N153*'El og plugin hybrid'!M$53*VLOOKUP('El og plugin hybrid'!M$59+($B176-1),Fremskrivninger!$A$92:$H$121,8)/1000</f>
        <v>0</v>
      </c>
      <c r="N176" s="313">
        <f>IFERROR('El og plugin hybrid'!M$54/'El og plugin hybrid'!M$16,0)</f>
        <v>0</v>
      </c>
      <c r="O176" s="291">
        <f>P153*'El og plugin hybrid'!O$53*VLOOKUP('El og plugin hybrid'!O$59+($B176-1),Fremskrivninger!$A$92:$H$121,8)/1000</f>
        <v>0</v>
      </c>
      <c r="P176" s="313">
        <f>IFERROR('El og plugin hybrid'!O$54/'El og plugin hybrid'!O$16,0)</f>
        <v>0</v>
      </c>
      <c r="Q176" s="291">
        <f>R153*'El og plugin hybrid'!Q$53*VLOOKUP('El og plugin hybrid'!Q$59+($B176-1),Fremskrivninger!$A$92:$H$121,8)/1000</f>
        <v>0</v>
      </c>
      <c r="R176" s="313">
        <f>IFERROR('El og plugin hybrid'!Q$54/'El og plugin hybrid'!Q$16,0)</f>
        <v>0</v>
      </c>
      <c r="S176" s="291">
        <f>T153*'El og plugin hybrid'!S$53*VLOOKUP('El og plugin hybrid'!S$59+($B176-1),Fremskrivninger!$A$92:$H$121,8)/1000</f>
        <v>0</v>
      </c>
      <c r="T176" s="313">
        <f>IFERROR('El og plugin hybrid'!S$54/'El og plugin hybrid'!S$16,0)</f>
        <v>0</v>
      </c>
      <c r="U176" s="291">
        <f>V153*'El og plugin hybrid'!U$53*VLOOKUP('El og plugin hybrid'!U$59+($B176-1),Fremskrivninger!$A$92:$H$121,8)/1000</f>
        <v>0</v>
      </c>
      <c r="V176" s="313">
        <f>IFERROR('El og plugin hybrid'!U$54/'El og plugin hybrid'!U$16,0)</f>
        <v>0</v>
      </c>
      <c r="W176" s="291">
        <f>X153*'El og plugin hybrid'!W$53*VLOOKUP('El og plugin hybrid'!W$59+($B176-1),Fremskrivninger!$A$92:$H$121,8)/1000</f>
        <v>0</v>
      </c>
      <c r="X176" s="313">
        <f>IFERROR('El og plugin hybrid'!W$54/'El og plugin hybrid'!W$16,0)</f>
        <v>0</v>
      </c>
    </row>
    <row r="177" spans="1:24">
      <c r="A177" s="312"/>
      <c r="B177" s="285">
        <v>13</v>
      </c>
      <c r="C177" s="285">
        <f t="shared" si="8"/>
        <v>13</v>
      </c>
      <c r="D177" s="285"/>
      <c r="E177" s="291">
        <f>F154*'El og plugin hybrid'!E$53*VLOOKUP('El og plugin hybrid'!E$59+($B177-1),Fremskrivninger!$A$92:$H$121,8)/1000</f>
        <v>0</v>
      </c>
      <c r="F177" s="313">
        <f>IFERROR('El og plugin hybrid'!E$54/'El og plugin hybrid'!E$16,0)</f>
        <v>0</v>
      </c>
      <c r="G177" s="291">
        <f>H154*'El og plugin hybrid'!G$53*VLOOKUP('El og plugin hybrid'!G$59+($B177-1),Fremskrivninger!$A$92:$H$121,8)/1000</f>
        <v>0</v>
      </c>
      <c r="H177" s="313">
        <f>IFERROR('El og plugin hybrid'!G$54/'El og plugin hybrid'!G$16,0)</f>
        <v>0</v>
      </c>
      <c r="I177" s="291">
        <f>J154*'El og plugin hybrid'!I$53*VLOOKUP('El og plugin hybrid'!I$59+($B177-1),Fremskrivninger!$A$92:$H$121,8)/1000</f>
        <v>0</v>
      </c>
      <c r="J177" s="313">
        <f>IFERROR('El og plugin hybrid'!I$54/'El og plugin hybrid'!I$16,0)</f>
        <v>0</v>
      </c>
      <c r="K177" s="291">
        <f>L154*'El og plugin hybrid'!K$53*VLOOKUP('El og plugin hybrid'!K$59+($B177-1),Fremskrivninger!$A$92:$H$121,8)/1000</f>
        <v>0</v>
      </c>
      <c r="L177" s="313">
        <f>IFERROR('El og plugin hybrid'!K$54/'El og plugin hybrid'!K$16,0)</f>
        <v>0</v>
      </c>
      <c r="M177" s="291">
        <f>N154*'El og plugin hybrid'!M$53*VLOOKUP('El og plugin hybrid'!M$59+($B177-1),Fremskrivninger!$A$92:$H$121,8)/1000</f>
        <v>0</v>
      </c>
      <c r="N177" s="313">
        <f>IFERROR('El og plugin hybrid'!M$54/'El og plugin hybrid'!M$16,0)</f>
        <v>0</v>
      </c>
      <c r="O177" s="291">
        <f>P154*'El og plugin hybrid'!O$53*VLOOKUP('El og plugin hybrid'!O$59+($B177-1),Fremskrivninger!$A$92:$H$121,8)/1000</f>
        <v>0</v>
      </c>
      <c r="P177" s="313">
        <f>IFERROR('El og plugin hybrid'!O$54/'El og plugin hybrid'!O$16,0)</f>
        <v>0</v>
      </c>
      <c r="Q177" s="291">
        <f>R154*'El og plugin hybrid'!Q$53*VLOOKUP('El og plugin hybrid'!Q$59+($B177-1),Fremskrivninger!$A$92:$H$121,8)/1000</f>
        <v>0</v>
      </c>
      <c r="R177" s="313">
        <f>IFERROR('El og plugin hybrid'!Q$54/'El og plugin hybrid'!Q$16,0)</f>
        <v>0</v>
      </c>
      <c r="S177" s="291">
        <f>T154*'El og plugin hybrid'!S$53*VLOOKUP('El og plugin hybrid'!S$59+($B177-1),Fremskrivninger!$A$92:$H$121,8)/1000</f>
        <v>0</v>
      </c>
      <c r="T177" s="313">
        <f>IFERROR('El og plugin hybrid'!S$54/'El og plugin hybrid'!S$16,0)</f>
        <v>0</v>
      </c>
      <c r="U177" s="291">
        <f>V154*'El og plugin hybrid'!U$53*VLOOKUP('El og plugin hybrid'!U$59+($B177-1),Fremskrivninger!$A$92:$H$121,8)/1000</f>
        <v>0</v>
      </c>
      <c r="V177" s="313">
        <f>IFERROR('El og plugin hybrid'!U$54/'El og plugin hybrid'!U$16,0)</f>
        <v>0</v>
      </c>
      <c r="W177" s="291">
        <f>X154*'El og plugin hybrid'!W$53*VLOOKUP('El og plugin hybrid'!W$59+($B177-1),Fremskrivninger!$A$92:$H$121,8)/1000</f>
        <v>0</v>
      </c>
      <c r="X177" s="313">
        <f>IFERROR('El og plugin hybrid'!W$54/'El og plugin hybrid'!W$16,0)</f>
        <v>0</v>
      </c>
    </row>
    <row r="178" spans="1:24">
      <c r="A178" s="312"/>
      <c r="B178" s="285">
        <v>14</v>
      </c>
      <c r="C178" s="285">
        <f t="shared" si="8"/>
        <v>14</v>
      </c>
      <c r="D178" s="285"/>
      <c r="E178" s="291">
        <f>F155*'El og plugin hybrid'!E$53*VLOOKUP('El og plugin hybrid'!E$59+($B178-1),Fremskrivninger!$A$92:$H$121,8)/1000</f>
        <v>0</v>
      </c>
      <c r="F178" s="313">
        <f>IFERROR('El og plugin hybrid'!E$54/'El og plugin hybrid'!E$16,0)</f>
        <v>0</v>
      </c>
      <c r="G178" s="291">
        <f>H155*'El og plugin hybrid'!G$53*VLOOKUP('El og plugin hybrid'!G$59+($B178-1),Fremskrivninger!$A$92:$H$121,8)/1000</f>
        <v>0</v>
      </c>
      <c r="H178" s="313">
        <f>IFERROR('El og plugin hybrid'!G$54/'El og plugin hybrid'!G$16,0)</f>
        <v>0</v>
      </c>
      <c r="I178" s="291">
        <f>J155*'El og plugin hybrid'!I$53*VLOOKUP('El og plugin hybrid'!I$59+($B178-1),Fremskrivninger!$A$92:$H$121,8)/1000</f>
        <v>0</v>
      </c>
      <c r="J178" s="313">
        <f>IFERROR('El og plugin hybrid'!I$54/'El og plugin hybrid'!I$16,0)</f>
        <v>0</v>
      </c>
      <c r="K178" s="291">
        <f>L155*'El og plugin hybrid'!K$53*VLOOKUP('El og plugin hybrid'!K$59+($B178-1),Fremskrivninger!$A$92:$H$121,8)/1000</f>
        <v>0</v>
      </c>
      <c r="L178" s="313">
        <f>IFERROR('El og plugin hybrid'!K$54/'El og plugin hybrid'!K$16,0)</f>
        <v>0</v>
      </c>
      <c r="M178" s="291">
        <f>N155*'El og plugin hybrid'!M$53*VLOOKUP('El og plugin hybrid'!M$59+($B178-1),Fremskrivninger!$A$92:$H$121,8)/1000</f>
        <v>0</v>
      </c>
      <c r="N178" s="313">
        <f>IFERROR('El og plugin hybrid'!M$54/'El og plugin hybrid'!M$16,0)</f>
        <v>0</v>
      </c>
      <c r="O178" s="291">
        <f>P155*'El og plugin hybrid'!O$53*VLOOKUP('El og plugin hybrid'!O$59+($B178-1),Fremskrivninger!$A$92:$H$121,8)/1000</f>
        <v>0</v>
      </c>
      <c r="P178" s="313">
        <f>IFERROR('El og plugin hybrid'!O$54/'El og plugin hybrid'!O$16,0)</f>
        <v>0</v>
      </c>
      <c r="Q178" s="291">
        <f>R155*'El og plugin hybrid'!Q$53*VLOOKUP('El og plugin hybrid'!Q$59+($B178-1),Fremskrivninger!$A$92:$H$121,8)/1000</f>
        <v>0</v>
      </c>
      <c r="R178" s="313">
        <f>IFERROR('El og plugin hybrid'!Q$54/'El og plugin hybrid'!Q$16,0)</f>
        <v>0</v>
      </c>
      <c r="S178" s="291">
        <f>T155*'El og plugin hybrid'!S$53*VLOOKUP('El og plugin hybrid'!S$59+($B178-1),Fremskrivninger!$A$92:$H$121,8)/1000</f>
        <v>0</v>
      </c>
      <c r="T178" s="313">
        <f>IFERROR('El og plugin hybrid'!S$54/'El og plugin hybrid'!S$16,0)</f>
        <v>0</v>
      </c>
      <c r="U178" s="291">
        <f>V155*'El og plugin hybrid'!U$53*VLOOKUP('El og plugin hybrid'!U$59+($B178-1),Fremskrivninger!$A$92:$H$121,8)/1000</f>
        <v>0</v>
      </c>
      <c r="V178" s="313">
        <f>IFERROR('El og plugin hybrid'!U$54/'El og plugin hybrid'!U$16,0)</f>
        <v>0</v>
      </c>
      <c r="W178" s="291">
        <f>X155*'El og plugin hybrid'!W$53*VLOOKUP('El og plugin hybrid'!W$59+($B178-1),Fremskrivninger!$A$92:$H$121,8)/1000</f>
        <v>0</v>
      </c>
      <c r="X178" s="313">
        <f>IFERROR('El og plugin hybrid'!W$54/'El og plugin hybrid'!W$16,0)</f>
        <v>0</v>
      </c>
    </row>
    <row r="179" spans="1:24">
      <c r="A179" s="312"/>
      <c r="B179" s="285">
        <v>15</v>
      </c>
      <c r="C179" s="285">
        <f t="shared" si="8"/>
        <v>15</v>
      </c>
      <c r="D179" s="285"/>
      <c r="E179" s="291">
        <f>F156*'El og plugin hybrid'!E$53*VLOOKUP('El og plugin hybrid'!E$59+($B179-1),Fremskrivninger!$A$92:$H$121,8)/1000</f>
        <v>0</v>
      </c>
      <c r="F179" s="313">
        <f>IFERROR('El og plugin hybrid'!E$54/'El og plugin hybrid'!E$16,0)</f>
        <v>0</v>
      </c>
      <c r="G179" s="291">
        <f>H156*'El og plugin hybrid'!G$53*VLOOKUP('El og plugin hybrid'!G$59+($B179-1),Fremskrivninger!$A$92:$H$121,8)/1000</f>
        <v>0</v>
      </c>
      <c r="H179" s="313">
        <f>IFERROR('El og plugin hybrid'!G$54/'El og plugin hybrid'!G$16,0)</f>
        <v>0</v>
      </c>
      <c r="I179" s="291">
        <f>J156*'El og plugin hybrid'!I$53*VLOOKUP('El og plugin hybrid'!I$59+($B179-1),Fremskrivninger!$A$92:$H$121,8)/1000</f>
        <v>0</v>
      </c>
      <c r="J179" s="313">
        <f>IFERROR('El og plugin hybrid'!I$54/'El og plugin hybrid'!I$16,0)</f>
        <v>0</v>
      </c>
      <c r="K179" s="291">
        <f>L156*'El og plugin hybrid'!K$53*VLOOKUP('El og plugin hybrid'!K$59+($B179-1),Fremskrivninger!$A$92:$H$121,8)/1000</f>
        <v>0</v>
      </c>
      <c r="L179" s="313">
        <f>IFERROR('El og plugin hybrid'!K$54/'El og plugin hybrid'!K$16,0)</f>
        <v>0</v>
      </c>
      <c r="M179" s="291">
        <f>N156*'El og plugin hybrid'!M$53*VLOOKUP('El og plugin hybrid'!M$59+($B179-1),Fremskrivninger!$A$92:$H$121,8)/1000</f>
        <v>0</v>
      </c>
      <c r="N179" s="313">
        <f>IFERROR('El og plugin hybrid'!M$54/'El og plugin hybrid'!M$16,0)</f>
        <v>0</v>
      </c>
      <c r="O179" s="291">
        <f>P156*'El og plugin hybrid'!O$53*VLOOKUP('El og plugin hybrid'!O$59+($B179-1),Fremskrivninger!$A$92:$H$121,8)/1000</f>
        <v>0</v>
      </c>
      <c r="P179" s="313">
        <f>IFERROR('El og plugin hybrid'!O$54/'El og plugin hybrid'!O$16,0)</f>
        <v>0</v>
      </c>
      <c r="Q179" s="291">
        <f>R156*'El og plugin hybrid'!Q$53*VLOOKUP('El og plugin hybrid'!Q$59+($B179-1),Fremskrivninger!$A$92:$H$121,8)/1000</f>
        <v>0</v>
      </c>
      <c r="R179" s="313">
        <f>IFERROR('El og plugin hybrid'!Q$54/'El og plugin hybrid'!Q$16,0)</f>
        <v>0</v>
      </c>
      <c r="S179" s="291">
        <f>T156*'El og plugin hybrid'!S$53*VLOOKUP('El og plugin hybrid'!S$59+($B179-1),Fremskrivninger!$A$92:$H$121,8)/1000</f>
        <v>0</v>
      </c>
      <c r="T179" s="313">
        <f>IFERROR('El og plugin hybrid'!S$54/'El og plugin hybrid'!S$16,0)</f>
        <v>0</v>
      </c>
      <c r="U179" s="291">
        <f>V156*'El og plugin hybrid'!U$53*VLOOKUP('El og plugin hybrid'!U$59+($B179-1),Fremskrivninger!$A$92:$H$121,8)/1000</f>
        <v>0</v>
      </c>
      <c r="V179" s="313">
        <f>IFERROR('El og plugin hybrid'!U$54/'El og plugin hybrid'!U$16,0)</f>
        <v>0</v>
      </c>
      <c r="W179" s="291">
        <f>X156*'El og plugin hybrid'!W$53*VLOOKUP('El og plugin hybrid'!W$59+($B179-1),Fremskrivninger!$A$92:$H$121,8)/1000</f>
        <v>0</v>
      </c>
      <c r="X179" s="313">
        <f>IFERROR('El og plugin hybrid'!W$54/'El og plugin hybrid'!W$16,0)</f>
        <v>0</v>
      </c>
    </row>
    <row r="180" spans="1:24">
      <c r="A180" s="312"/>
      <c r="B180" s="285">
        <v>16</v>
      </c>
      <c r="C180" s="285">
        <f t="shared" si="8"/>
        <v>16</v>
      </c>
      <c r="D180" s="285"/>
      <c r="E180" s="291">
        <f>F157*'El og plugin hybrid'!E$53*VLOOKUP('El og plugin hybrid'!E$59+($B180-1),Fremskrivninger!$A$92:$H$121,8)/1000</f>
        <v>0</v>
      </c>
      <c r="F180" s="313">
        <f>IFERROR('El og plugin hybrid'!E$54/'El og plugin hybrid'!E$16,0)</f>
        <v>0</v>
      </c>
      <c r="G180" s="291">
        <f>H157*'El og plugin hybrid'!G$53*VLOOKUP('El og plugin hybrid'!G$59+($B180-1),Fremskrivninger!$A$92:$H$121,8)/1000</f>
        <v>0</v>
      </c>
      <c r="H180" s="313">
        <f>IFERROR('El og plugin hybrid'!G$54/'El og plugin hybrid'!G$16,0)</f>
        <v>0</v>
      </c>
      <c r="I180" s="291">
        <f>J157*'El og plugin hybrid'!I$53*VLOOKUP('El og plugin hybrid'!I$59+($B180-1),Fremskrivninger!$A$92:$H$121,8)/1000</f>
        <v>0</v>
      </c>
      <c r="J180" s="313">
        <f>IFERROR('El og plugin hybrid'!I$54/'El og plugin hybrid'!I$16,0)</f>
        <v>0</v>
      </c>
      <c r="K180" s="291">
        <f>L157*'El og plugin hybrid'!K$53*VLOOKUP('El og plugin hybrid'!K$59+($B180-1),Fremskrivninger!$A$92:$H$121,8)/1000</f>
        <v>0</v>
      </c>
      <c r="L180" s="313">
        <f>IFERROR('El og plugin hybrid'!K$54/'El og plugin hybrid'!K$16,0)</f>
        <v>0</v>
      </c>
      <c r="M180" s="291">
        <f>N157*'El og plugin hybrid'!M$53*VLOOKUP('El og plugin hybrid'!M$59+($B180-1),Fremskrivninger!$A$92:$H$121,8)/1000</f>
        <v>0</v>
      </c>
      <c r="N180" s="313">
        <f>IFERROR('El og plugin hybrid'!M$54/'El og plugin hybrid'!M$16,0)</f>
        <v>0</v>
      </c>
      <c r="O180" s="291">
        <f>P157*'El og plugin hybrid'!O$53*VLOOKUP('El og plugin hybrid'!O$59+($B180-1),Fremskrivninger!$A$92:$H$121,8)/1000</f>
        <v>0</v>
      </c>
      <c r="P180" s="313">
        <f>IFERROR('El og plugin hybrid'!O$54/'El og plugin hybrid'!O$16,0)</f>
        <v>0</v>
      </c>
      <c r="Q180" s="291">
        <f>R157*'El og plugin hybrid'!Q$53*VLOOKUP('El og plugin hybrid'!Q$59+($B180-1),Fremskrivninger!$A$92:$H$121,8)/1000</f>
        <v>0</v>
      </c>
      <c r="R180" s="313">
        <f>IFERROR('El og plugin hybrid'!Q$54/'El og plugin hybrid'!Q$16,0)</f>
        <v>0</v>
      </c>
      <c r="S180" s="291">
        <f>T157*'El og plugin hybrid'!S$53*VLOOKUP('El og plugin hybrid'!S$59+($B180-1),Fremskrivninger!$A$92:$H$121,8)/1000</f>
        <v>0</v>
      </c>
      <c r="T180" s="313">
        <f>IFERROR('El og plugin hybrid'!S$54/'El og plugin hybrid'!S$16,0)</f>
        <v>0</v>
      </c>
      <c r="U180" s="291">
        <f>V157*'El og plugin hybrid'!U$53*VLOOKUP('El og plugin hybrid'!U$59+($B180-1),Fremskrivninger!$A$92:$H$121,8)/1000</f>
        <v>0</v>
      </c>
      <c r="V180" s="313">
        <f>IFERROR('El og plugin hybrid'!U$54/'El og plugin hybrid'!U$16,0)</f>
        <v>0</v>
      </c>
      <c r="W180" s="291">
        <f>X157*'El og plugin hybrid'!W$53*VLOOKUP('El og plugin hybrid'!W$59+($B180-1),Fremskrivninger!$A$92:$H$121,8)/1000</f>
        <v>0</v>
      </c>
      <c r="X180" s="313">
        <f>IFERROR('El og plugin hybrid'!W$54/'El og plugin hybrid'!W$16,0)</f>
        <v>0</v>
      </c>
    </row>
    <row r="181" spans="1:24">
      <c r="A181" s="312"/>
      <c r="B181" s="285">
        <v>17</v>
      </c>
      <c r="C181" s="285">
        <f t="shared" si="8"/>
        <v>17</v>
      </c>
      <c r="D181" s="285"/>
      <c r="E181" s="291">
        <f>F158*'El og plugin hybrid'!E$53*VLOOKUP('El og plugin hybrid'!E$59+($B181-1),Fremskrivninger!$A$92:$H$121,8)/1000</f>
        <v>0</v>
      </c>
      <c r="F181" s="313">
        <f>IFERROR('El og plugin hybrid'!E$54/'El og plugin hybrid'!E$16,0)</f>
        <v>0</v>
      </c>
      <c r="G181" s="291">
        <f>H158*'El og plugin hybrid'!G$53*VLOOKUP('El og plugin hybrid'!G$59+($B181-1),Fremskrivninger!$A$92:$H$121,8)/1000</f>
        <v>0</v>
      </c>
      <c r="H181" s="313">
        <f>IFERROR('El og plugin hybrid'!G$54/'El og plugin hybrid'!G$16,0)</f>
        <v>0</v>
      </c>
      <c r="I181" s="291">
        <f>J158*'El og plugin hybrid'!I$53*VLOOKUP('El og plugin hybrid'!I$59+($B181-1),Fremskrivninger!$A$92:$H$121,8)/1000</f>
        <v>0</v>
      </c>
      <c r="J181" s="313">
        <f>IFERROR('El og plugin hybrid'!I$54/'El og plugin hybrid'!I$16,0)</f>
        <v>0</v>
      </c>
      <c r="K181" s="291">
        <f>L158*'El og plugin hybrid'!K$53*VLOOKUP('El og plugin hybrid'!K$59+($B181-1),Fremskrivninger!$A$92:$H$121,8)/1000</f>
        <v>0</v>
      </c>
      <c r="L181" s="313">
        <f>IFERROR('El og plugin hybrid'!K$54/'El og plugin hybrid'!K$16,0)</f>
        <v>0</v>
      </c>
      <c r="M181" s="291">
        <f>N158*'El og plugin hybrid'!M$53*VLOOKUP('El og plugin hybrid'!M$59+($B181-1),Fremskrivninger!$A$92:$H$121,8)/1000</f>
        <v>0</v>
      </c>
      <c r="N181" s="313">
        <f>IFERROR('El og plugin hybrid'!M$54/'El og plugin hybrid'!M$16,0)</f>
        <v>0</v>
      </c>
      <c r="O181" s="291">
        <f>P158*'El og plugin hybrid'!O$53*VLOOKUP('El og plugin hybrid'!O$59+($B181-1),Fremskrivninger!$A$92:$H$121,8)/1000</f>
        <v>0</v>
      </c>
      <c r="P181" s="313">
        <f>IFERROR('El og plugin hybrid'!O$54/'El og plugin hybrid'!O$16,0)</f>
        <v>0</v>
      </c>
      <c r="Q181" s="291">
        <f>R158*'El og plugin hybrid'!Q$53*VLOOKUP('El og plugin hybrid'!Q$59+($B181-1),Fremskrivninger!$A$92:$H$121,8)/1000</f>
        <v>0</v>
      </c>
      <c r="R181" s="313">
        <f>IFERROR('El og plugin hybrid'!Q$54/'El og plugin hybrid'!Q$16,0)</f>
        <v>0</v>
      </c>
      <c r="S181" s="291">
        <f>T158*'El og plugin hybrid'!S$53*VLOOKUP('El og plugin hybrid'!S$59+($B181-1),Fremskrivninger!$A$92:$H$121,8)/1000</f>
        <v>0</v>
      </c>
      <c r="T181" s="313">
        <f>IFERROR('El og plugin hybrid'!S$54/'El og plugin hybrid'!S$16,0)</f>
        <v>0</v>
      </c>
      <c r="U181" s="291">
        <f>V158*'El og plugin hybrid'!U$53*VLOOKUP('El og plugin hybrid'!U$59+($B181-1),Fremskrivninger!$A$92:$H$121,8)/1000</f>
        <v>0</v>
      </c>
      <c r="V181" s="313">
        <f>IFERROR('El og plugin hybrid'!U$54/'El og plugin hybrid'!U$16,0)</f>
        <v>0</v>
      </c>
      <c r="W181" s="291">
        <f>X158*'El og plugin hybrid'!W$53*VLOOKUP('El og plugin hybrid'!W$59+($B181-1),Fremskrivninger!$A$92:$H$121,8)/1000</f>
        <v>0</v>
      </c>
      <c r="X181" s="313">
        <f>IFERROR('El og plugin hybrid'!W$54/'El og plugin hybrid'!W$16,0)</f>
        <v>0</v>
      </c>
    </row>
    <row r="182" spans="1:24">
      <c r="A182" s="312"/>
      <c r="B182" s="285">
        <v>18</v>
      </c>
      <c r="C182" s="285">
        <f t="shared" si="8"/>
        <v>18</v>
      </c>
      <c r="D182" s="285"/>
      <c r="E182" s="291">
        <f>F159*'El og plugin hybrid'!E$53*VLOOKUP('El og plugin hybrid'!E$59+($B182-1),Fremskrivninger!$A$92:$H$121,8)/1000</f>
        <v>0</v>
      </c>
      <c r="F182" s="313">
        <f>IFERROR('El og plugin hybrid'!E$54/'El og plugin hybrid'!E$16,0)</f>
        <v>0</v>
      </c>
      <c r="G182" s="291">
        <f>H159*'El og plugin hybrid'!G$53*VLOOKUP('El og plugin hybrid'!G$59+($B182-1),Fremskrivninger!$A$92:$H$121,8)/1000</f>
        <v>0</v>
      </c>
      <c r="H182" s="313">
        <f>IFERROR('El og plugin hybrid'!G$54/'El og plugin hybrid'!G$16,0)</f>
        <v>0</v>
      </c>
      <c r="I182" s="291">
        <f>J159*'El og plugin hybrid'!I$53*VLOOKUP('El og plugin hybrid'!I$59+($B182-1),Fremskrivninger!$A$92:$H$121,8)/1000</f>
        <v>0</v>
      </c>
      <c r="J182" s="313">
        <f>IFERROR('El og plugin hybrid'!I$54/'El og plugin hybrid'!I$16,0)</f>
        <v>0</v>
      </c>
      <c r="K182" s="291">
        <f>L159*'El og plugin hybrid'!K$53*VLOOKUP('El og plugin hybrid'!K$59+($B182-1),Fremskrivninger!$A$92:$H$121,8)/1000</f>
        <v>0</v>
      </c>
      <c r="L182" s="313">
        <f>IFERROR('El og plugin hybrid'!K$54/'El og plugin hybrid'!K$16,0)</f>
        <v>0</v>
      </c>
      <c r="M182" s="291">
        <f>N159*'El og plugin hybrid'!M$53*VLOOKUP('El og plugin hybrid'!M$59+($B182-1),Fremskrivninger!$A$92:$H$121,8)/1000</f>
        <v>0</v>
      </c>
      <c r="N182" s="313">
        <f>IFERROR('El og plugin hybrid'!M$54/'El og plugin hybrid'!M$16,0)</f>
        <v>0</v>
      </c>
      <c r="O182" s="291">
        <f>P159*'El og plugin hybrid'!O$53*VLOOKUP('El og plugin hybrid'!O$59+($B182-1),Fremskrivninger!$A$92:$H$121,8)/1000</f>
        <v>0</v>
      </c>
      <c r="P182" s="313">
        <f>IFERROR('El og plugin hybrid'!O$54/'El og plugin hybrid'!O$16,0)</f>
        <v>0</v>
      </c>
      <c r="Q182" s="291">
        <f>R159*'El og plugin hybrid'!Q$53*VLOOKUP('El og plugin hybrid'!Q$59+($B182-1),Fremskrivninger!$A$92:$H$121,8)/1000</f>
        <v>0</v>
      </c>
      <c r="R182" s="313">
        <f>IFERROR('El og plugin hybrid'!Q$54/'El og plugin hybrid'!Q$16,0)</f>
        <v>0</v>
      </c>
      <c r="S182" s="291">
        <f>T159*'El og plugin hybrid'!S$53*VLOOKUP('El og plugin hybrid'!S$59+($B182-1),Fremskrivninger!$A$92:$H$121,8)/1000</f>
        <v>0</v>
      </c>
      <c r="T182" s="313">
        <f>IFERROR('El og plugin hybrid'!S$54/'El og plugin hybrid'!S$16,0)</f>
        <v>0</v>
      </c>
      <c r="U182" s="291">
        <f>V159*'El og plugin hybrid'!U$53*VLOOKUP('El og plugin hybrid'!U$59+($B182-1),Fremskrivninger!$A$92:$H$121,8)/1000</f>
        <v>0</v>
      </c>
      <c r="V182" s="313">
        <f>IFERROR('El og plugin hybrid'!U$54/'El og plugin hybrid'!U$16,0)</f>
        <v>0</v>
      </c>
      <c r="W182" s="291">
        <f>X159*'El og plugin hybrid'!W$53*VLOOKUP('El og plugin hybrid'!W$59+($B182-1),Fremskrivninger!$A$92:$H$121,8)/1000</f>
        <v>0</v>
      </c>
      <c r="X182" s="313">
        <f>IFERROR('El og plugin hybrid'!W$54/'El og plugin hybrid'!W$16,0)</f>
        <v>0</v>
      </c>
    </row>
    <row r="183" spans="1:24">
      <c r="A183" s="312"/>
      <c r="B183" s="285">
        <v>19</v>
      </c>
      <c r="C183" s="285">
        <f t="shared" si="8"/>
        <v>19</v>
      </c>
      <c r="D183" s="285"/>
      <c r="E183" s="291">
        <f>F160*'El og plugin hybrid'!E$53*VLOOKUP('El og plugin hybrid'!E$59+($B183-1),Fremskrivninger!$A$92:$H$121,8)/1000</f>
        <v>0</v>
      </c>
      <c r="F183" s="313">
        <f>IFERROR('El og plugin hybrid'!E$54/'El og plugin hybrid'!E$16,0)</f>
        <v>0</v>
      </c>
      <c r="G183" s="291">
        <f>H160*'El og plugin hybrid'!G$53*VLOOKUP('El og plugin hybrid'!G$59+($B183-1),Fremskrivninger!$A$92:$H$121,8)/1000</f>
        <v>0</v>
      </c>
      <c r="H183" s="313">
        <f>IFERROR('El og plugin hybrid'!G$54/'El og plugin hybrid'!G$16,0)</f>
        <v>0</v>
      </c>
      <c r="I183" s="291">
        <f>J160*'El og plugin hybrid'!I$53*VLOOKUP('El og plugin hybrid'!I$59+($B183-1),Fremskrivninger!$A$92:$H$121,8)/1000</f>
        <v>0</v>
      </c>
      <c r="J183" s="313">
        <f>IFERROR('El og plugin hybrid'!I$54/'El og plugin hybrid'!I$16,0)</f>
        <v>0</v>
      </c>
      <c r="K183" s="291">
        <f>L160*'El og plugin hybrid'!K$53*VLOOKUP('El og plugin hybrid'!K$59+($B183-1),Fremskrivninger!$A$92:$H$121,8)/1000</f>
        <v>0</v>
      </c>
      <c r="L183" s="313">
        <f>IFERROR('El og plugin hybrid'!K$54/'El og plugin hybrid'!K$16,0)</f>
        <v>0</v>
      </c>
      <c r="M183" s="291">
        <f>N160*'El og plugin hybrid'!M$53*VLOOKUP('El og plugin hybrid'!M$59+($B183-1),Fremskrivninger!$A$92:$H$121,8)/1000</f>
        <v>0</v>
      </c>
      <c r="N183" s="313">
        <f>IFERROR('El og plugin hybrid'!M$54/'El og plugin hybrid'!M$16,0)</f>
        <v>0</v>
      </c>
      <c r="O183" s="291">
        <f>P160*'El og plugin hybrid'!O$53*VLOOKUP('El og plugin hybrid'!O$59+($B183-1),Fremskrivninger!$A$92:$H$121,8)/1000</f>
        <v>0</v>
      </c>
      <c r="P183" s="313">
        <f>IFERROR('El og plugin hybrid'!O$54/'El og plugin hybrid'!O$16,0)</f>
        <v>0</v>
      </c>
      <c r="Q183" s="291">
        <f>R160*'El og plugin hybrid'!Q$53*VLOOKUP('El og plugin hybrid'!Q$59+($B183-1),Fremskrivninger!$A$92:$H$121,8)/1000</f>
        <v>0</v>
      </c>
      <c r="R183" s="313">
        <f>IFERROR('El og plugin hybrid'!Q$54/'El og plugin hybrid'!Q$16,0)</f>
        <v>0</v>
      </c>
      <c r="S183" s="291">
        <f>T160*'El og plugin hybrid'!S$53*VLOOKUP('El og plugin hybrid'!S$59+($B183-1),Fremskrivninger!$A$92:$H$121,8)/1000</f>
        <v>0</v>
      </c>
      <c r="T183" s="313">
        <f>IFERROR('El og plugin hybrid'!S$54/'El og plugin hybrid'!S$16,0)</f>
        <v>0</v>
      </c>
      <c r="U183" s="291">
        <f>V160*'El og plugin hybrid'!U$53*VLOOKUP('El og plugin hybrid'!U$59+($B183-1),Fremskrivninger!$A$92:$H$121,8)/1000</f>
        <v>0</v>
      </c>
      <c r="V183" s="313">
        <f>IFERROR('El og plugin hybrid'!U$54/'El og plugin hybrid'!U$16,0)</f>
        <v>0</v>
      </c>
      <c r="W183" s="291">
        <f>X160*'El og plugin hybrid'!W$53*VLOOKUP('El og plugin hybrid'!W$59+($B183-1),Fremskrivninger!$A$92:$H$121,8)/1000</f>
        <v>0</v>
      </c>
      <c r="X183" s="313">
        <f>IFERROR('El og plugin hybrid'!W$54/'El og plugin hybrid'!W$16,0)</f>
        <v>0</v>
      </c>
    </row>
    <row r="184" spans="1:24">
      <c r="A184" s="315"/>
      <c r="B184" s="290">
        <v>20</v>
      </c>
      <c r="C184" s="290">
        <f t="shared" si="8"/>
        <v>20</v>
      </c>
      <c r="D184" s="290"/>
      <c r="E184" s="291">
        <f>F161*'El og plugin hybrid'!E$53*VLOOKUP('El og plugin hybrid'!E$59+($B184-1),Fremskrivninger!$A$92:$H$121,8)/1000</f>
        <v>0</v>
      </c>
      <c r="F184" s="313">
        <f>IFERROR('El og plugin hybrid'!E$54/'El og plugin hybrid'!E$16,0)</f>
        <v>0</v>
      </c>
      <c r="G184" s="291">
        <f>H161*'El og plugin hybrid'!G$53*VLOOKUP('El og plugin hybrid'!G$59+($B184-1),Fremskrivninger!$A$92:$H$121,8)/1000</f>
        <v>0</v>
      </c>
      <c r="H184" s="313">
        <f>IFERROR('El og plugin hybrid'!G$54/'El og plugin hybrid'!G$16,0)</f>
        <v>0</v>
      </c>
      <c r="I184" s="291">
        <f>J161*'El og plugin hybrid'!I$53*VLOOKUP('El og plugin hybrid'!I$59+($B184-1),Fremskrivninger!$A$92:$H$121,8)/1000</f>
        <v>0</v>
      </c>
      <c r="J184" s="313">
        <f>IFERROR('El og plugin hybrid'!I$54/'El og plugin hybrid'!I$16,0)</f>
        <v>0</v>
      </c>
      <c r="K184" s="291">
        <f>L161*'El og plugin hybrid'!K$53*VLOOKUP('El og plugin hybrid'!K$59+($B184-1),Fremskrivninger!$A$92:$H$121,8)/1000</f>
        <v>0</v>
      </c>
      <c r="L184" s="313">
        <f>IFERROR('El og plugin hybrid'!K$54/'El og plugin hybrid'!K$16,0)</f>
        <v>0</v>
      </c>
      <c r="M184" s="291">
        <f>N161*'El og plugin hybrid'!M$53*VLOOKUP('El og plugin hybrid'!M$59+($B184-1),Fremskrivninger!$A$92:$H$121,8)/1000</f>
        <v>0</v>
      </c>
      <c r="N184" s="313">
        <f>IFERROR('El og plugin hybrid'!M$54/'El og plugin hybrid'!M$16,0)</f>
        <v>0</v>
      </c>
      <c r="O184" s="291">
        <f>P161*'El og plugin hybrid'!O$53*VLOOKUP('El og plugin hybrid'!O$59+($B184-1),Fremskrivninger!$A$92:$H$121,8)/1000</f>
        <v>0</v>
      </c>
      <c r="P184" s="313">
        <f>IFERROR('El og plugin hybrid'!O$54/'El og plugin hybrid'!O$16,0)</f>
        <v>0</v>
      </c>
      <c r="Q184" s="291">
        <f>R161*'El og plugin hybrid'!Q$53*VLOOKUP('El og plugin hybrid'!Q$59+($B184-1),Fremskrivninger!$A$92:$H$121,8)/1000</f>
        <v>0</v>
      </c>
      <c r="R184" s="313">
        <f>IFERROR('El og plugin hybrid'!Q$54/'El og plugin hybrid'!Q$16,0)</f>
        <v>0</v>
      </c>
      <c r="S184" s="291">
        <f>T161*'El og plugin hybrid'!S$53*VLOOKUP('El og plugin hybrid'!S$59+($B184-1),Fremskrivninger!$A$92:$H$121,8)/1000</f>
        <v>0</v>
      </c>
      <c r="T184" s="313">
        <f>IFERROR('El og plugin hybrid'!S$54/'El og plugin hybrid'!S$16,0)</f>
        <v>0</v>
      </c>
      <c r="U184" s="291">
        <f>V161*'El og plugin hybrid'!U$53*VLOOKUP('El og plugin hybrid'!U$59+($B184-1),Fremskrivninger!$A$92:$H$121,8)/1000</f>
        <v>0</v>
      </c>
      <c r="V184" s="313">
        <f>IFERROR('El og plugin hybrid'!U$54/'El og plugin hybrid'!U$16,0)</f>
        <v>0</v>
      </c>
      <c r="W184" s="291">
        <f>X161*'El og plugin hybrid'!W$53*VLOOKUP('El og plugin hybrid'!W$59+($B184-1),Fremskrivninger!$A$92:$H$121,8)/1000</f>
        <v>0</v>
      </c>
      <c r="X184" s="313">
        <f>IFERROR('El og plugin hybrid'!W$54/'El og plugin hybrid'!W$16,0)</f>
        <v>0</v>
      </c>
    </row>
    <row r="185" spans="1:24">
      <c r="A185" s="289" t="s">
        <v>82</v>
      </c>
      <c r="B185" s="316"/>
      <c r="C185" s="316"/>
      <c r="D185" s="316"/>
      <c r="E185" s="316"/>
      <c r="F185" s="316"/>
      <c r="G185" s="316"/>
      <c r="H185" s="316"/>
      <c r="I185" s="316"/>
      <c r="J185" s="316"/>
      <c r="K185" s="316"/>
      <c r="L185" s="316"/>
      <c r="M185" s="316"/>
      <c r="N185" s="316"/>
      <c r="O185" s="316"/>
      <c r="P185" s="316"/>
      <c r="Q185" s="316"/>
      <c r="R185" s="316"/>
      <c r="S185" s="316"/>
      <c r="T185" s="314"/>
      <c r="U185" s="316"/>
      <c r="V185" s="314"/>
      <c r="W185" s="316"/>
      <c r="X185" s="314"/>
    </row>
    <row r="186" spans="1:24" ht="65.150000000000006">
      <c r="A186" s="282"/>
      <c r="B186" s="304" t="s">
        <v>20</v>
      </c>
      <c r="C186" s="316"/>
      <c r="D186" s="316" t="s">
        <v>21</v>
      </c>
      <c r="E186" s="305" t="str">
        <f>E141&amp;" - Samfundsøkonomiske omkostninger (kr.)"</f>
        <v>PRODUKT 1 EL - Samfundsøkonomiske omkostninger (kr.)</v>
      </c>
      <c r="F186" s="317" t="str">
        <f>E141&amp;" - Samlet udledning i tons Co2e"</f>
        <v>PRODUKT 1 EL - Samlet udledning i tons Co2e</v>
      </c>
      <c r="G186" s="305" t="str">
        <f>G141&amp;" - Samfundsøkonomiske omkostninger (kr.)"</f>
        <v>PRODUKT 2 EL - Samfundsøkonomiske omkostninger (kr.)</v>
      </c>
      <c r="H186" s="317" t="str">
        <f>G141&amp;" - Samlet udledning i tons Co2e"</f>
        <v>PRODUKT 2 EL - Samlet udledning i tons Co2e</v>
      </c>
      <c r="I186" s="305" t="str">
        <f>I141&amp;" - Samfundsøkonomiske omkostninger (kr.)"</f>
        <v>PRODUKT 3 EL - Samfundsøkonomiske omkostninger (kr.)</v>
      </c>
      <c r="J186" s="317" t="str">
        <f>I141&amp;" - Samlet udledning i tons Co2e"</f>
        <v>PRODUKT 3 EL - Samlet udledning i tons Co2e</v>
      </c>
      <c r="K186" s="305" t="str">
        <f>K141&amp;" - Samfundsøkonomiske omkostninger (kr.)"</f>
        <v>PRODUKT 4 EL - Samfundsøkonomiske omkostninger (kr.)</v>
      </c>
      <c r="L186" s="317" t="str">
        <f>K141&amp;" - Samlet udledning i tons Co2e"</f>
        <v>PRODUKT 4 EL - Samlet udledning i tons Co2e</v>
      </c>
      <c r="M186" s="305" t="str">
        <f>M141&amp;" - Samfundsøkonomiske omkostninger (kr.)"</f>
        <v>PRODUKT 5 EL - Samfundsøkonomiske omkostninger (kr.)</v>
      </c>
      <c r="N186" s="317" t="str">
        <f>M141&amp;" - Samlet udledning i tons Co2e"</f>
        <v>PRODUKT 5 EL - Samlet udledning i tons Co2e</v>
      </c>
      <c r="O186" s="305" t="str">
        <f>O141&amp;" - Samfundsøkonomiske omkostninger (kr.)"</f>
        <v>PRODUKT 6 EL - Samfundsøkonomiske omkostninger (kr.)</v>
      </c>
      <c r="P186" s="317" t="str">
        <f>O141&amp;" - Samlet udledning i tons Co2e"</f>
        <v>PRODUKT 6 EL - Samlet udledning i tons Co2e</v>
      </c>
      <c r="Q186" s="305" t="str">
        <f>Q141&amp;" - Samfundsøkonomiske omkostninger (kr.)"</f>
        <v>PRODUKT 7 EL - Samfundsøkonomiske omkostninger (kr.)</v>
      </c>
      <c r="R186" s="317" t="str">
        <f>Q141&amp;" - Samlet udledning i tons Co2e"</f>
        <v>PRODUKT 7 EL - Samlet udledning i tons Co2e</v>
      </c>
      <c r="S186" s="305" t="str">
        <f>S141&amp;" - Samfundsøkonomiske omkostninger (kr.)"</f>
        <v>PRODUKT 8 EL - Samfundsøkonomiske omkostninger (kr.)</v>
      </c>
      <c r="T186" s="317" t="str">
        <f>S141&amp;" - Samlet udledning i tons Co2e"</f>
        <v>PRODUKT 8 EL - Samlet udledning i tons Co2e</v>
      </c>
      <c r="U186" s="305" t="str">
        <f>U141&amp;" - Samfundsøkonomiske omkostninger (kr.)"</f>
        <v>PRODUKT 9 EL - Samfundsøkonomiske omkostninger (kr.)</v>
      </c>
      <c r="V186" s="317" t="str">
        <f>U141&amp;" - Samlet udledning i tons Co2e"</f>
        <v>PRODUKT 9 EL - Samlet udledning i tons Co2e</v>
      </c>
      <c r="W186" s="305" t="str">
        <f>W141&amp;" - Samfundsøkonomiske omkostninger (kr.)"</f>
        <v>PRODUKT 10 EL - Samfundsøkonomiske omkostninger (kr.)</v>
      </c>
      <c r="X186" s="317" t="str">
        <f>W141&amp;" - Samlet udledning i tons Co2e"</f>
        <v>PRODUKT 10 EL - Samlet udledning i tons Co2e</v>
      </c>
    </row>
    <row r="187" spans="1:24">
      <c r="A187" s="312"/>
      <c r="B187" s="306">
        <v>1</v>
      </c>
      <c r="C187" s="306">
        <f>B187</f>
        <v>1</v>
      </c>
      <c r="D187" s="306"/>
      <c r="E187" s="505">
        <f>F187*IF('El og plugin hybrid'!E$34="nej",0,IF('El og plugin hybrid'!E$46="ja",'El og plugin hybrid'!E$47,'El og plugin hybrid'!E$48))*(1+'El og plugin hybrid'!E$61)^-$C187</f>
        <v>0</v>
      </c>
      <c r="F187" s="318">
        <f>IF('El og plugin hybrid'!E$70="el",E119,IF('El og plugin hybrid'!E$70="plugin hybrid benzin",E119+E142,IF('El og plugin hybrid'!E$70="plugin hybrid diesel",E119+E165,0)))</f>
        <v>0</v>
      </c>
      <c r="G187" s="505">
        <f>H187*IF('El og plugin hybrid'!G$34="nej",0,IF('El og plugin hybrid'!G$46="ja",'El og plugin hybrid'!G$47,'El og plugin hybrid'!G$48))*(1+'El og plugin hybrid'!G$61)^-$C187</f>
        <v>0</v>
      </c>
      <c r="H187" s="318">
        <f>IF('El og plugin hybrid'!G$70="el",G119,IF('El og plugin hybrid'!G$70="plugin hybrid benzin",G119+G142,IF('El og plugin hybrid'!G$70="plugin hybrid diesel",G119+G165,0)))</f>
        <v>0</v>
      </c>
      <c r="I187" s="505">
        <f>J187*IF('El og plugin hybrid'!I$34="nej",0,IF('El og plugin hybrid'!I$46="ja",'El og plugin hybrid'!I$47,'El og plugin hybrid'!I$48))*(1+'El og plugin hybrid'!I$61)^-$C187</f>
        <v>0</v>
      </c>
      <c r="J187" s="318">
        <f>IF('El og plugin hybrid'!I$70="el",I119,IF('El og plugin hybrid'!I$70="plugin hybrid benzin",I119+I142,IF('El og plugin hybrid'!I$70="plugin hybrid diesel",I119+I165,0)))</f>
        <v>0</v>
      </c>
      <c r="K187" s="505">
        <f>L187*IF('El og plugin hybrid'!K$34="nej",0,IF('El og plugin hybrid'!K$46="ja",'El og plugin hybrid'!K$47,'El og plugin hybrid'!K$48))*(1+'El og plugin hybrid'!K$61)^-$C187</f>
        <v>0</v>
      </c>
      <c r="L187" s="318">
        <f>IF('El og plugin hybrid'!K$70="el",K119,IF('El og plugin hybrid'!K$70="plugin hybrid benzin",K119+K142,IF('El og plugin hybrid'!K$70="plugin hybrid diesel",K119+K165,0)))</f>
        <v>0</v>
      </c>
      <c r="M187" s="505">
        <f>N187*IF('El og plugin hybrid'!M$34="nej",0,IF('El og plugin hybrid'!M$46="ja",'El og plugin hybrid'!M$47,'El og plugin hybrid'!M$48))*(1+'El og plugin hybrid'!M$61)^-$C187</f>
        <v>0</v>
      </c>
      <c r="N187" s="318">
        <f>IF('El og plugin hybrid'!M$70="el",M119,IF('El og plugin hybrid'!M$70="plugin hybrid benzin",M119+M142,IF('El og plugin hybrid'!M$70="plugin hybrid diesel",M119+M165,0)))</f>
        <v>0</v>
      </c>
      <c r="O187" s="505">
        <f>P187*IF('El og plugin hybrid'!O$34="nej",0,IF('El og plugin hybrid'!O$46="ja",'El og plugin hybrid'!O$47,'El og plugin hybrid'!O$48))*(1+'El og plugin hybrid'!O$61)^-$C187</f>
        <v>0</v>
      </c>
      <c r="P187" s="318">
        <f>IF('El og plugin hybrid'!O$70="el",O119,IF('El og plugin hybrid'!O$70="plugin hybrid benzin",O119+O142,IF('El og plugin hybrid'!O$70="plugin hybrid diesel",O119+O165,0)))</f>
        <v>0</v>
      </c>
      <c r="Q187" s="505">
        <f>R187*IF('El og plugin hybrid'!Q$34="nej",0,IF('El og plugin hybrid'!Q$46="ja",'El og plugin hybrid'!Q$47,'El og plugin hybrid'!Q$48))*(1+'El og plugin hybrid'!Q$61)^-$C187</f>
        <v>0</v>
      </c>
      <c r="R187" s="318">
        <f>IF('El og plugin hybrid'!Q$70="el",Q119,IF('El og plugin hybrid'!Q$70="plugin hybrid benzin",Q119+Q142,IF('El og plugin hybrid'!Q$70="plugin hybrid diesel",Q119+Q165,0)))</f>
        <v>0</v>
      </c>
      <c r="S187" s="505">
        <f>T187*IF('El og plugin hybrid'!S$34="nej",0,IF('El og plugin hybrid'!S$46="ja",'El og plugin hybrid'!S$47,'El og plugin hybrid'!S$48))*(1+'El og plugin hybrid'!S$61)^-$C187</f>
        <v>0</v>
      </c>
      <c r="T187" s="318">
        <f>IF('El og plugin hybrid'!S$70="el",S119,IF('El og plugin hybrid'!S$70="plugin hybrid benzin",S119+S142,IF('El og plugin hybrid'!S$70="plugin hybrid diesel",S119+S165,0)))</f>
        <v>0</v>
      </c>
      <c r="U187" s="505">
        <f>V187*IF('El og plugin hybrid'!U$34="nej",0,IF('El og plugin hybrid'!U$46="ja",'El og plugin hybrid'!U$47,'El og plugin hybrid'!U$48))*(1+'El og plugin hybrid'!U$61)^-$C187</f>
        <v>0</v>
      </c>
      <c r="V187" s="318">
        <f>IF('El og plugin hybrid'!U$70="el",U119,IF('El og plugin hybrid'!U$70="plugin hybrid benzin",U119+U142,IF('El og plugin hybrid'!U$70="plugin hybrid diesel",U119+U165,0)))</f>
        <v>0</v>
      </c>
      <c r="W187" s="505">
        <f>X187*IF('El og plugin hybrid'!W$34="nej",0,IF('El og plugin hybrid'!W$46="ja",'El og plugin hybrid'!W$47,'El og plugin hybrid'!W$48))*(1+'El og plugin hybrid'!W$61)^-$C187</f>
        <v>0</v>
      </c>
      <c r="X187" s="318">
        <f>IF('El og plugin hybrid'!W$70="el",W119,IF('El og plugin hybrid'!W$70="plugin hybrid benzin",W119+W142,IF('El og plugin hybrid'!W$70="plugin hybrid diesel",W119+W165,0)))</f>
        <v>0</v>
      </c>
    </row>
    <row r="188" spans="1:24">
      <c r="A188" s="312"/>
      <c r="B188" s="306">
        <v>2</v>
      </c>
      <c r="C188" s="306">
        <f t="shared" ref="C188:C206" si="9">B188</f>
        <v>2</v>
      </c>
      <c r="D188" s="306"/>
      <c r="E188" s="505">
        <f>F188*IF('El og plugin hybrid'!E$34="nej",0,IF('El og plugin hybrid'!E$46="ja",'El og plugin hybrid'!E$47,'El og plugin hybrid'!E$48))*(1+'El og plugin hybrid'!E$61)^-$C188</f>
        <v>0</v>
      </c>
      <c r="F188" s="318">
        <f>IF('El og plugin hybrid'!E$70="el",E120,IF('El og plugin hybrid'!E$70="plugin hybrid benzin",E120+E143,IF('El og plugin hybrid'!E$70="plugin hybrid diesel",E120+E166,0)))</f>
        <v>0</v>
      </c>
      <c r="G188" s="505">
        <f>H188*IF('El og plugin hybrid'!G$34="nej",0,IF('El og plugin hybrid'!G$46="ja",'El og plugin hybrid'!G$47,'El og plugin hybrid'!G$48))*(1+'El og plugin hybrid'!G$61)^-$C188</f>
        <v>0</v>
      </c>
      <c r="H188" s="318">
        <f>IF('El og plugin hybrid'!G$70="el",G120,IF('El og plugin hybrid'!G$70="plugin hybrid benzin",G120+G143,IF('El og plugin hybrid'!G$70="plugin hybrid diesel",G120+G166,0)))</f>
        <v>0</v>
      </c>
      <c r="I188" s="505">
        <f>J188*IF('El og plugin hybrid'!I$34="nej",0,IF('El og plugin hybrid'!I$46="ja",'El og plugin hybrid'!I$47,'El og plugin hybrid'!I$48))*(1+'El og plugin hybrid'!I$61)^-$C188</f>
        <v>0</v>
      </c>
      <c r="J188" s="318">
        <f>IF('El og plugin hybrid'!I$70="el",I120,IF('El og plugin hybrid'!I$70="plugin hybrid benzin",I120+I143,IF('El og plugin hybrid'!I$70="plugin hybrid diesel",I120+I166,0)))</f>
        <v>0</v>
      </c>
      <c r="K188" s="505">
        <f>L188*IF('El og plugin hybrid'!K$34="nej",0,IF('El og plugin hybrid'!K$46="ja",'El og plugin hybrid'!K$47,'El og plugin hybrid'!K$48))*(1+'El og plugin hybrid'!K$61)^-$C188</f>
        <v>0</v>
      </c>
      <c r="L188" s="318">
        <f>IF('El og plugin hybrid'!K$70="el",K120,IF('El og plugin hybrid'!K$70="plugin hybrid benzin",K120+K143,IF('El og plugin hybrid'!K$70="plugin hybrid diesel",K120+K166,0)))</f>
        <v>0</v>
      </c>
      <c r="M188" s="505">
        <f>N188*IF('El og plugin hybrid'!M$34="nej",0,IF('El og plugin hybrid'!M$46="ja",'El og plugin hybrid'!M$47,'El og plugin hybrid'!M$48))*(1+'El og plugin hybrid'!M$61)^-$C188</f>
        <v>0</v>
      </c>
      <c r="N188" s="318">
        <f>IF('El og plugin hybrid'!M$70="el",M120,IF('El og plugin hybrid'!M$70="plugin hybrid benzin",M120+M143,IF('El og plugin hybrid'!M$70="plugin hybrid diesel",M120+M166,0)))</f>
        <v>0</v>
      </c>
      <c r="O188" s="505">
        <f>P188*IF('El og plugin hybrid'!O$34="nej",0,IF('El og plugin hybrid'!O$46="ja",'El og plugin hybrid'!O$47,'El og plugin hybrid'!O$48))*(1+'El og plugin hybrid'!O$61)^-$C188</f>
        <v>0</v>
      </c>
      <c r="P188" s="318">
        <f>IF('El og plugin hybrid'!O$70="el",O120,IF('El og plugin hybrid'!O$70="plugin hybrid benzin",O120+O143,IF('El og plugin hybrid'!O$70="plugin hybrid diesel",O120+O166,0)))</f>
        <v>0</v>
      </c>
      <c r="Q188" s="505">
        <f>R188*IF('El og plugin hybrid'!Q$34="nej",0,IF('El og plugin hybrid'!Q$46="ja",'El og plugin hybrid'!Q$47,'El og plugin hybrid'!Q$48))*(1+'El og plugin hybrid'!Q$61)^-$C188</f>
        <v>0</v>
      </c>
      <c r="R188" s="318">
        <f>IF('El og plugin hybrid'!Q$70="el",Q120,IF('El og plugin hybrid'!Q$70="plugin hybrid benzin",Q120+Q143,IF('El og plugin hybrid'!Q$70="plugin hybrid diesel",Q120+Q166,0)))</f>
        <v>0</v>
      </c>
      <c r="S188" s="505">
        <f>T188*IF('El og plugin hybrid'!S$34="nej",0,IF('El og plugin hybrid'!S$46="ja",'El og plugin hybrid'!S$47,'El og plugin hybrid'!S$48))*(1+'El og plugin hybrid'!S$61)^-$C188</f>
        <v>0</v>
      </c>
      <c r="T188" s="318">
        <f>IF('El og plugin hybrid'!S$70="el",S120,IF('El og plugin hybrid'!S$70="plugin hybrid benzin",S120+S143,IF('El og plugin hybrid'!S$70="plugin hybrid diesel",S120+S166,0)))</f>
        <v>0</v>
      </c>
      <c r="U188" s="505">
        <f>V188*IF('El og plugin hybrid'!U$34="nej",0,IF('El og plugin hybrid'!U$46="ja",'El og plugin hybrid'!U$47,'El og plugin hybrid'!U$48))*(1+'El og plugin hybrid'!U$61)^-$C188</f>
        <v>0</v>
      </c>
      <c r="V188" s="318">
        <f>IF('El og plugin hybrid'!U$70="el",U120,IF('El og plugin hybrid'!U$70="plugin hybrid benzin",U120+U143,IF('El og plugin hybrid'!U$70="plugin hybrid diesel",U120+U166,0)))</f>
        <v>0</v>
      </c>
      <c r="W188" s="505">
        <f>X188*IF('El og plugin hybrid'!W$34="nej",0,IF('El og plugin hybrid'!W$46="ja",'El og plugin hybrid'!W$47,'El og plugin hybrid'!W$48))*(1+'El og plugin hybrid'!W$61)^-$C188</f>
        <v>0</v>
      </c>
      <c r="X188" s="318">
        <f>IF('El og plugin hybrid'!W$70="el",W120,IF('El og plugin hybrid'!W$70="plugin hybrid benzin",W120+W143,IF('El og plugin hybrid'!W$70="plugin hybrid diesel",W120+W166,0)))</f>
        <v>0</v>
      </c>
    </row>
    <row r="189" spans="1:24">
      <c r="A189" s="312"/>
      <c r="B189" s="306">
        <v>3</v>
      </c>
      <c r="C189" s="306">
        <f t="shared" si="9"/>
        <v>3</v>
      </c>
      <c r="D189" s="306"/>
      <c r="E189" s="505">
        <f>F189*IF('El og plugin hybrid'!E$34="nej",0,IF('El og plugin hybrid'!E$46="ja",'El og plugin hybrid'!E$47,'El og plugin hybrid'!E$48))*(1+'El og plugin hybrid'!E$61)^-$C189</f>
        <v>0</v>
      </c>
      <c r="F189" s="318">
        <f>IF('El og plugin hybrid'!E$70="el",E121,IF('El og plugin hybrid'!E$70="plugin hybrid benzin",E121+E144,IF('El og plugin hybrid'!E$70="plugin hybrid diesel",E121+E167,0)))</f>
        <v>0</v>
      </c>
      <c r="G189" s="505">
        <f>H189*IF('El og plugin hybrid'!G$34="nej",0,IF('El og plugin hybrid'!G$46="ja",'El og plugin hybrid'!G$47,'El og plugin hybrid'!G$48))*(1+'El og plugin hybrid'!G$61)^-$C189</f>
        <v>0</v>
      </c>
      <c r="H189" s="318">
        <f>IF('El og plugin hybrid'!G$70="el",G121,IF('El og plugin hybrid'!G$70="plugin hybrid benzin",G121+G144,IF('El og plugin hybrid'!G$70="plugin hybrid diesel",G121+G167,0)))</f>
        <v>0</v>
      </c>
      <c r="I189" s="505">
        <f>J189*IF('El og plugin hybrid'!I$34="nej",0,IF('El og plugin hybrid'!I$46="ja",'El og plugin hybrid'!I$47,'El og plugin hybrid'!I$48))*(1+'El og plugin hybrid'!I$61)^-$C189</f>
        <v>0</v>
      </c>
      <c r="J189" s="318">
        <f>IF('El og plugin hybrid'!I$70="el",I121,IF('El og plugin hybrid'!I$70="plugin hybrid benzin",I121+I144,IF('El og plugin hybrid'!I$70="plugin hybrid diesel",I121+I167,0)))</f>
        <v>0</v>
      </c>
      <c r="K189" s="505">
        <f>L189*IF('El og plugin hybrid'!K$34="nej",0,IF('El og plugin hybrid'!K$46="ja",'El og plugin hybrid'!K$47,'El og plugin hybrid'!K$48))*(1+'El og plugin hybrid'!K$61)^-$C189</f>
        <v>0</v>
      </c>
      <c r="L189" s="318">
        <f>IF('El og plugin hybrid'!K$70="el",K121,IF('El og plugin hybrid'!K$70="plugin hybrid benzin",K121+K144,IF('El og plugin hybrid'!K$70="plugin hybrid diesel",K121+K167,0)))</f>
        <v>0</v>
      </c>
      <c r="M189" s="505">
        <f>N189*IF('El og plugin hybrid'!M$34="nej",0,IF('El og plugin hybrid'!M$46="ja",'El og plugin hybrid'!M$47,'El og plugin hybrid'!M$48))*(1+'El og plugin hybrid'!M$61)^-$C189</f>
        <v>0</v>
      </c>
      <c r="N189" s="318">
        <f>IF('El og plugin hybrid'!M$70="el",M121,IF('El og plugin hybrid'!M$70="plugin hybrid benzin",M121+M144,IF('El og plugin hybrid'!M$70="plugin hybrid diesel",M121+M167,0)))</f>
        <v>0</v>
      </c>
      <c r="O189" s="505">
        <f>P189*IF('El og plugin hybrid'!O$34="nej",0,IF('El og plugin hybrid'!O$46="ja",'El og plugin hybrid'!O$47,'El og plugin hybrid'!O$48))*(1+'El og plugin hybrid'!O$61)^-$C189</f>
        <v>0</v>
      </c>
      <c r="P189" s="318">
        <f>IF('El og plugin hybrid'!O$70="el",O121,IF('El og plugin hybrid'!O$70="plugin hybrid benzin",O121+O144,IF('El og plugin hybrid'!O$70="plugin hybrid diesel",O121+O167,0)))</f>
        <v>0</v>
      </c>
      <c r="Q189" s="505">
        <f>R189*IF('El og plugin hybrid'!Q$34="nej",0,IF('El og plugin hybrid'!Q$46="ja",'El og plugin hybrid'!Q$47,'El og plugin hybrid'!Q$48))*(1+'El og plugin hybrid'!Q$61)^-$C189</f>
        <v>0</v>
      </c>
      <c r="R189" s="318">
        <f>IF('El og plugin hybrid'!Q$70="el",Q121,IF('El og plugin hybrid'!Q$70="plugin hybrid benzin",Q121+Q144,IF('El og plugin hybrid'!Q$70="plugin hybrid diesel",Q121+Q167,0)))</f>
        <v>0</v>
      </c>
      <c r="S189" s="505">
        <f>T189*IF('El og plugin hybrid'!S$34="nej",0,IF('El og plugin hybrid'!S$46="ja",'El og plugin hybrid'!S$47,'El og plugin hybrid'!S$48))*(1+'El og plugin hybrid'!S$61)^-$C189</f>
        <v>0</v>
      </c>
      <c r="T189" s="318">
        <f>IF('El og plugin hybrid'!S$70="el",S121,IF('El og plugin hybrid'!S$70="plugin hybrid benzin",S121+S144,IF('El og plugin hybrid'!S$70="plugin hybrid diesel",S121+S167,0)))</f>
        <v>0</v>
      </c>
      <c r="U189" s="505">
        <f>V189*IF('El og plugin hybrid'!U$34="nej",0,IF('El og plugin hybrid'!U$46="ja",'El og plugin hybrid'!U$47,'El og plugin hybrid'!U$48))*(1+'El og plugin hybrid'!U$61)^-$C189</f>
        <v>0</v>
      </c>
      <c r="V189" s="318">
        <f>IF('El og plugin hybrid'!U$70="el",U121,IF('El og plugin hybrid'!U$70="plugin hybrid benzin",U121+U144,IF('El og plugin hybrid'!U$70="plugin hybrid diesel",U121+U167,0)))</f>
        <v>0</v>
      </c>
      <c r="W189" s="505">
        <f>X189*IF('El og plugin hybrid'!W$34="nej",0,IF('El og plugin hybrid'!W$46="ja",'El og plugin hybrid'!W$47,'El og plugin hybrid'!W$48))*(1+'El og plugin hybrid'!W$61)^-$C189</f>
        <v>0</v>
      </c>
      <c r="X189" s="318">
        <f>IF('El og plugin hybrid'!W$70="el",W121,IF('El og plugin hybrid'!W$70="plugin hybrid benzin",W121+W144,IF('El og plugin hybrid'!W$70="plugin hybrid diesel",W121+W167,0)))</f>
        <v>0</v>
      </c>
    </row>
    <row r="190" spans="1:24">
      <c r="A190" s="312"/>
      <c r="B190" s="306">
        <v>4</v>
      </c>
      <c r="C190" s="306">
        <f t="shared" si="9"/>
        <v>4</v>
      </c>
      <c r="D190" s="306"/>
      <c r="E190" s="505">
        <f>F190*IF('El og plugin hybrid'!E$34="nej",0,IF('El og plugin hybrid'!E$46="ja",'El og plugin hybrid'!E$47,'El og plugin hybrid'!E$48))*(1+'El og plugin hybrid'!E$61)^-$C190</f>
        <v>0</v>
      </c>
      <c r="F190" s="318">
        <f>IF('El og plugin hybrid'!E$70="el",E122,IF('El og plugin hybrid'!E$70="plugin hybrid benzin",E122+E145,IF('El og plugin hybrid'!E$70="plugin hybrid diesel",E122+E168,0)))</f>
        <v>0</v>
      </c>
      <c r="G190" s="505">
        <f>H190*IF('El og plugin hybrid'!G$34="nej",0,IF('El og plugin hybrid'!G$46="ja",'El og plugin hybrid'!G$47,'El og plugin hybrid'!G$48))*(1+'El og plugin hybrid'!G$61)^-$C190</f>
        <v>0</v>
      </c>
      <c r="H190" s="318">
        <f>IF('El og plugin hybrid'!G$70="el",G122,IF('El og plugin hybrid'!G$70="plugin hybrid benzin",G122+G145,IF('El og plugin hybrid'!G$70="plugin hybrid diesel",G122+G168,0)))</f>
        <v>0</v>
      </c>
      <c r="I190" s="505">
        <f>J190*IF('El og plugin hybrid'!I$34="nej",0,IF('El og plugin hybrid'!I$46="ja",'El og plugin hybrid'!I$47,'El og plugin hybrid'!I$48))*(1+'El og plugin hybrid'!I$61)^-$C190</f>
        <v>0</v>
      </c>
      <c r="J190" s="318">
        <f>IF('El og plugin hybrid'!I$70="el",I122,IF('El og plugin hybrid'!I$70="plugin hybrid benzin",I122+I145,IF('El og plugin hybrid'!I$70="plugin hybrid diesel",I122+I168,0)))</f>
        <v>0</v>
      </c>
      <c r="K190" s="505">
        <f>L190*IF('El og plugin hybrid'!K$34="nej",0,IF('El og plugin hybrid'!K$46="ja",'El og plugin hybrid'!K$47,'El og plugin hybrid'!K$48))*(1+'El og plugin hybrid'!K$61)^-$C190</f>
        <v>0</v>
      </c>
      <c r="L190" s="318">
        <f>IF('El og plugin hybrid'!K$70="el",K122,IF('El og plugin hybrid'!K$70="plugin hybrid benzin",K122+K145,IF('El og plugin hybrid'!K$70="plugin hybrid diesel",K122+K168,0)))</f>
        <v>0</v>
      </c>
      <c r="M190" s="505">
        <f>N190*IF('El og plugin hybrid'!M$34="nej",0,IF('El og plugin hybrid'!M$46="ja",'El og plugin hybrid'!M$47,'El og plugin hybrid'!M$48))*(1+'El og plugin hybrid'!M$61)^-$C190</f>
        <v>0</v>
      </c>
      <c r="N190" s="318">
        <f>IF('El og plugin hybrid'!M$70="el",M122,IF('El og plugin hybrid'!M$70="plugin hybrid benzin",M122+M145,IF('El og plugin hybrid'!M$70="plugin hybrid diesel",M122+M168,0)))</f>
        <v>0</v>
      </c>
      <c r="O190" s="505">
        <f>P190*IF('El og plugin hybrid'!O$34="nej",0,IF('El og plugin hybrid'!O$46="ja",'El og plugin hybrid'!O$47,'El og plugin hybrid'!O$48))*(1+'El og plugin hybrid'!O$61)^-$C190</f>
        <v>0</v>
      </c>
      <c r="P190" s="318">
        <f>IF('El og plugin hybrid'!O$70="el",O122,IF('El og plugin hybrid'!O$70="plugin hybrid benzin",O122+O145,IF('El og plugin hybrid'!O$70="plugin hybrid diesel",O122+O168,0)))</f>
        <v>0</v>
      </c>
      <c r="Q190" s="505">
        <f>R190*IF('El og plugin hybrid'!Q$34="nej",0,IF('El og plugin hybrid'!Q$46="ja",'El og plugin hybrid'!Q$47,'El og plugin hybrid'!Q$48))*(1+'El og plugin hybrid'!Q$61)^-$C190</f>
        <v>0</v>
      </c>
      <c r="R190" s="318">
        <f>IF('El og plugin hybrid'!Q$70="el",Q122,IF('El og plugin hybrid'!Q$70="plugin hybrid benzin",Q122+Q145,IF('El og plugin hybrid'!Q$70="plugin hybrid diesel",Q122+Q168,0)))</f>
        <v>0</v>
      </c>
      <c r="S190" s="505">
        <f>T190*IF('El og plugin hybrid'!S$34="nej",0,IF('El og plugin hybrid'!S$46="ja",'El og plugin hybrid'!S$47,'El og plugin hybrid'!S$48))*(1+'El og plugin hybrid'!S$61)^-$C190</f>
        <v>0</v>
      </c>
      <c r="T190" s="318">
        <f>IF('El og plugin hybrid'!S$70="el",S122,IF('El og plugin hybrid'!S$70="plugin hybrid benzin",S122+S145,IF('El og plugin hybrid'!S$70="plugin hybrid diesel",S122+S168,0)))</f>
        <v>0</v>
      </c>
      <c r="U190" s="505">
        <f>V190*IF('El og plugin hybrid'!U$34="nej",0,IF('El og plugin hybrid'!U$46="ja",'El og plugin hybrid'!U$47,'El og plugin hybrid'!U$48))*(1+'El og plugin hybrid'!U$61)^-$C190</f>
        <v>0</v>
      </c>
      <c r="V190" s="318">
        <f>IF('El og plugin hybrid'!U$70="el",U122,IF('El og plugin hybrid'!U$70="plugin hybrid benzin",U122+U145,IF('El og plugin hybrid'!U$70="plugin hybrid diesel",U122+U168,0)))</f>
        <v>0</v>
      </c>
      <c r="W190" s="505">
        <f>X190*IF('El og plugin hybrid'!W$34="nej",0,IF('El og plugin hybrid'!W$46="ja",'El og plugin hybrid'!W$47,'El og plugin hybrid'!W$48))*(1+'El og plugin hybrid'!W$61)^-$C190</f>
        <v>0</v>
      </c>
      <c r="X190" s="318">
        <f>IF('El og plugin hybrid'!W$70="el",W122,IF('El og plugin hybrid'!W$70="plugin hybrid benzin",W122+W145,IF('El og plugin hybrid'!W$70="plugin hybrid diesel",W122+W168,0)))</f>
        <v>0</v>
      </c>
    </row>
    <row r="191" spans="1:24">
      <c r="A191" s="312"/>
      <c r="B191" s="306">
        <v>5</v>
      </c>
      <c r="C191" s="306">
        <f t="shared" si="9"/>
        <v>5</v>
      </c>
      <c r="D191" s="306"/>
      <c r="E191" s="505">
        <f>F191*IF('El og plugin hybrid'!E$34="nej",0,IF('El og plugin hybrid'!E$46="ja",'El og plugin hybrid'!E$47,'El og plugin hybrid'!E$48))*(1+'El og plugin hybrid'!E$61)^-$C191</f>
        <v>0</v>
      </c>
      <c r="F191" s="318">
        <f>IF('El og plugin hybrid'!E$70="el",E123,IF('El og plugin hybrid'!E$70="plugin hybrid benzin",E123+E146,IF('El og plugin hybrid'!E$70="plugin hybrid diesel",E123+E169,0)))</f>
        <v>0</v>
      </c>
      <c r="G191" s="505">
        <f>H191*IF('El og plugin hybrid'!G$34="nej",0,IF('El og plugin hybrid'!G$46="ja",'El og plugin hybrid'!G$47,'El og plugin hybrid'!G$48))*(1+'El og plugin hybrid'!G$61)^-$C191</f>
        <v>0</v>
      </c>
      <c r="H191" s="318">
        <f>IF('El og plugin hybrid'!G$70="el",G123,IF('El og plugin hybrid'!G$70="plugin hybrid benzin",G123+G146,IF('El og plugin hybrid'!G$70="plugin hybrid diesel",G123+G169,0)))</f>
        <v>0</v>
      </c>
      <c r="I191" s="505">
        <f>J191*IF('El og plugin hybrid'!I$34="nej",0,IF('El og plugin hybrid'!I$46="ja",'El og plugin hybrid'!I$47,'El og plugin hybrid'!I$48))*(1+'El og plugin hybrid'!I$61)^-$C191</f>
        <v>0</v>
      </c>
      <c r="J191" s="318">
        <f>IF('El og plugin hybrid'!I$70="el",I123,IF('El og plugin hybrid'!I$70="plugin hybrid benzin",I123+I146,IF('El og plugin hybrid'!I$70="plugin hybrid diesel",I123+I169,0)))</f>
        <v>0</v>
      </c>
      <c r="K191" s="505">
        <f>L191*IF('El og plugin hybrid'!K$34="nej",0,IF('El og plugin hybrid'!K$46="ja",'El og plugin hybrid'!K$47,'El og plugin hybrid'!K$48))*(1+'El og plugin hybrid'!K$61)^-$C191</f>
        <v>0</v>
      </c>
      <c r="L191" s="318">
        <f>IF('El og plugin hybrid'!K$70="el",K123,IF('El og plugin hybrid'!K$70="plugin hybrid benzin",K123+K146,IF('El og plugin hybrid'!K$70="plugin hybrid diesel",K123+K169,0)))</f>
        <v>0</v>
      </c>
      <c r="M191" s="505">
        <f>N191*IF('El og plugin hybrid'!M$34="nej",0,IF('El og plugin hybrid'!M$46="ja",'El og plugin hybrid'!M$47,'El og plugin hybrid'!M$48))*(1+'El og plugin hybrid'!M$61)^-$C191</f>
        <v>0</v>
      </c>
      <c r="N191" s="318">
        <f>IF('El og plugin hybrid'!M$70="el",M123,IF('El og plugin hybrid'!M$70="plugin hybrid benzin",M123+M146,IF('El og plugin hybrid'!M$70="plugin hybrid diesel",M123+M169,0)))</f>
        <v>0</v>
      </c>
      <c r="O191" s="505">
        <f>P191*IF('El og plugin hybrid'!O$34="nej",0,IF('El og plugin hybrid'!O$46="ja",'El og plugin hybrid'!O$47,'El og plugin hybrid'!O$48))*(1+'El og plugin hybrid'!O$61)^-$C191</f>
        <v>0</v>
      </c>
      <c r="P191" s="318">
        <f>IF('El og plugin hybrid'!O$70="el",O123,IF('El og plugin hybrid'!O$70="plugin hybrid benzin",O123+O146,IF('El og plugin hybrid'!O$70="plugin hybrid diesel",O123+O169,0)))</f>
        <v>0</v>
      </c>
      <c r="Q191" s="505">
        <f>R191*IF('El og plugin hybrid'!Q$34="nej",0,IF('El og plugin hybrid'!Q$46="ja",'El og plugin hybrid'!Q$47,'El og plugin hybrid'!Q$48))*(1+'El og plugin hybrid'!Q$61)^-$C191</f>
        <v>0</v>
      </c>
      <c r="R191" s="318">
        <f>IF('El og plugin hybrid'!Q$70="el",Q123,IF('El og plugin hybrid'!Q$70="plugin hybrid benzin",Q123+Q146,IF('El og plugin hybrid'!Q$70="plugin hybrid diesel",Q123+Q169,0)))</f>
        <v>0</v>
      </c>
      <c r="S191" s="505">
        <f>T191*IF('El og plugin hybrid'!S$34="nej",0,IF('El og plugin hybrid'!S$46="ja",'El og plugin hybrid'!S$47,'El og plugin hybrid'!S$48))*(1+'El og plugin hybrid'!S$61)^-$C191</f>
        <v>0</v>
      </c>
      <c r="T191" s="318">
        <f>IF('El og plugin hybrid'!S$70="el",S123,IF('El og plugin hybrid'!S$70="plugin hybrid benzin",S123+S146,IF('El og plugin hybrid'!S$70="plugin hybrid diesel",S123+S169,0)))</f>
        <v>0</v>
      </c>
      <c r="U191" s="505">
        <f>V191*IF('El og plugin hybrid'!U$34="nej",0,IF('El og plugin hybrid'!U$46="ja",'El og plugin hybrid'!U$47,'El og plugin hybrid'!U$48))*(1+'El og plugin hybrid'!U$61)^-$C191</f>
        <v>0</v>
      </c>
      <c r="V191" s="318">
        <f>IF('El og plugin hybrid'!U$70="el",U123,IF('El og plugin hybrid'!U$70="plugin hybrid benzin",U123+U146,IF('El og plugin hybrid'!U$70="plugin hybrid diesel",U123+U169,0)))</f>
        <v>0</v>
      </c>
      <c r="W191" s="505">
        <f>X191*IF('El og plugin hybrid'!W$34="nej",0,IF('El og plugin hybrid'!W$46="ja",'El og plugin hybrid'!W$47,'El og plugin hybrid'!W$48))*(1+'El og plugin hybrid'!W$61)^-$C191</f>
        <v>0</v>
      </c>
      <c r="X191" s="318">
        <f>IF('El og plugin hybrid'!W$70="el",W123,IF('El og plugin hybrid'!W$70="plugin hybrid benzin",W123+W146,IF('El og plugin hybrid'!W$70="plugin hybrid diesel",W123+W169,0)))</f>
        <v>0</v>
      </c>
    </row>
    <row r="192" spans="1:24">
      <c r="A192" s="312"/>
      <c r="B192" s="306">
        <v>6</v>
      </c>
      <c r="C192" s="306">
        <f t="shared" si="9"/>
        <v>6</v>
      </c>
      <c r="D192" s="306"/>
      <c r="E192" s="505">
        <f>F192*IF('El og plugin hybrid'!E$34="nej",0,IF('El og plugin hybrid'!E$46="ja",'El og plugin hybrid'!E$47,'El og plugin hybrid'!E$48))*(1+'El og plugin hybrid'!E$61)^-$C192</f>
        <v>0</v>
      </c>
      <c r="F192" s="318">
        <f>IF('El og plugin hybrid'!E$70="el",E124,IF('El og plugin hybrid'!E$70="plugin hybrid benzin",E124+E147,IF('El og plugin hybrid'!E$70="plugin hybrid diesel",E124+E170,0)))</f>
        <v>0</v>
      </c>
      <c r="G192" s="505">
        <f>H192*IF('El og plugin hybrid'!G$34="nej",0,IF('El og plugin hybrid'!G$46="ja",'El og plugin hybrid'!G$47,'El og plugin hybrid'!G$48))*(1+'El og plugin hybrid'!G$61)^-$C192</f>
        <v>0</v>
      </c>
      <c r="H192" s="318">
        <f>IF('El og plugin hybrid'!G$70="el",G124,IF('El og plugin hybrid'!G$70="plugin hybrid benzin",G124+G147,IF('El og plugin hybrid'!G$70="plugin hybrid diesel",G124+G170,0)))</f>
        <v>0</v>
      </c>
      <c r="I192" s="505">
        <f>J192*IF('El og plugin hybrid'!I$34="nej",0,IF('El og plugin hybrid'!I$46="ja",'El og plugin hybrid'!I$47,'El og plugin hybrid'!I$48))*(1+'El og plugin hybrid'!I$61)^-$C192</f>
        <v>0</v>
      </c>
      <c r="J192" s="318">
        <f>IF('El og plugin hybrid'!I$70="el",I124,IF('El og plugin hybrid'!I$70="plugin hybrid benzin",I124+I147,IF('El og plugin hybrid'!I$70="plugin hybrid diesel",I124+I170,0)))</f>
        <v>0</v>
      </c>
      <c r="K192" s="505">
        <f>L192*IF('El og plugin hybrid'!K$34="nej",0,IF('El og plugin hybrid'!K$46="ja",'El og plugin hybrid'!K$47,'El og plugin hybrid'!K$48))*(1+'El og plugin hybrid'!K$61)^-$C192</f>
        <v>0</v>
      </c>
      <c r="L192" s="318">
        <f>IF('El og plugin hybrid'!K$70="el",K124,IF('El og plugin hybrid'!K$70="plugin hybrid benzin",K124+K147,IF('El og plugin hybrid'!K$70="plugin hybrid diesel",K124+K170,0)))</f>
        <v>0</v>
      </c>
      <c r="M192" s="505">
        <f>N192*IF('El og plugin hybrid'!M$34="nej",0,IF('El og plugin hybrid'!M$46="ja",'El og plugin hybrid'!M$47,'El og plugin hybrid'!M$48))*(1+'El og plugin hybrid'!M$61)^-$C192</f>
        <v>0</v>
      </c>
      <c r="N192" s="318">
        <f>IF('El og plugin hybrid'!M$70="el",M124,IF('El og plugin hybrid'!M$70="plugin hybrid benzin",M124+M147,IF('El og plugin hybrid'!M$70="plugin hybrid diesel",M124+M170,0)))</f>
        <v>0</v>
      </c>
      <c r="O192" s="505">
        <f>P192*IF('El og plugin hybrid'!O$34="nej",0,IF('El og plugin hybrid'!O$46="ja",'El og plugin hybrid'!O$47,'El og plugin hybrid'!O$48))*(1+'El og plugin hybrid'!O$61)^-$C192</f>
        <v>0</v>
      </c>
      <c r="P192" s="318">
        <f>IF('El og plugin hybrid'!O$70="el",O124,IF('El og plugin hybrid'!O$70="plugin hybrid benzin",O124+O147,IF('El og plugin hybrid'!O$70="plugin hybrid diesel",O124+O170,0)))</f>
        <v>0</v>
      </c>
      <c r="Q192" s="505">
        <f>R192*IF('El og plugin hybrid'!Q$34="nej",0,IF('El og plugin hybrid'!Q$46="ja",'El og plugin hybrid'!Q$47,'El og plugin hybrid'!Q$48))*(1+'El og plugin hybrid'!Q$61)^-$C192</f>
        <v>0</v>
      </c>
      <c r="R192" s="318">
        <f>IF('El og plugin hybrid'!Q$70="el",Q124,IF('El og plugin hybrid'!Q$70="plugin hybrid benzin",Q124+Q147,IF('El og plugin hybrid'!Q$70="plugin hybrid diesel",Q124+Q170,0)))</f>
        <v>0</v>
      </c>
      <c r="S192" s="505">
        <f>T192*IF('El og plugin hybrid'!S$34="nej",0,IF('El og plugin hybrid'!S$46="ja",'El og plugin hybrid'!S$47,'El og plugin hybrid'!S$48))*(1+'El og plugin hybrid'!S$61)^-$C192</f>
        <v>0</v>
      </c>
      <c r="T192" s="318">
        <f>IF('El og plugin hybrid'!S$70="el",S124,IF('El og plugin hybrid'!S$70="plugin hybrid benzin",S124+S147,IF('El og plugin hybrid'!S$70="plugin hybrid diesel",S124+S170,0)))</f>
        <v>0</v>
      </c>
      <c r="U192" s="505">
        <f>V192*IF('El og plugin hybrid'!U$34="nej",0,IF('El og plugin hybrid'!U$46="ja",'El og plugin hybrid'!U$47,'El og plugin hybrid'!U$48))*(1+'El og plugin hybrid'!U$61)^-$C192</f>
        <v>0</v>
      </c>
      <c r="V192" s="318">
        <f>IF('El og plugin hybrid'!U$70="el",U124,IF('El og plugin hybrid'!U$70="plugin hybrid benzin",U124+U147,IF('El og plugin hybrid'!U$70="plugin hybrid diesel",U124+U170,0)))</f>
        <v>0</v>
      </c>
      <c r="W192" s="505">
        <f>X192*IF('El og plugin hybrid'!W$34="nej",0,IF('El og plugin hybrid'!W$46="ja",'El og plugin hybrid'!W$47,'El og plugin hybrid'!W$48))*(1+'El og plugin hybrid'!W$61)^-$C192</f>
        <v>0</v>
      </c>
      <c r="X192" s="318">
        <f>IF('El og plugin hybrid'!W$70="el",W124,IF('El og plugin hybrid'!W$70="plugin hybrid benzin",W124+W147,IF('El og plugin hybrid'!W$70="plugin hybrid diesel",W124+W170,0)))</f>
        <v>0</v>
      </c>
    </row>
    <row r="193" spans="1:24">
      <c r="A193" s="312"/>
      <c r="B193" s="306">
        <v>7</v>
      </c>
      <c r="C193" s="306">
        <f t="shared" si="9"/>
        <v>7</v>
      </c>
      <c r="D193" s="306"/>
      <c r="E193" s="505">
        <f>F193*IF('El og plugin hybrid'!E$34="nej",0,IF('El og plugin hybrid'!E$46="ja",'El og plugin hybrid'!E$47,'El og plugin hybrid'!E$48))*(1+'El og plugin hybrid'!E$61)^-$C193</f>
        <v>0</v>
      </c>
      <c r="F193" s="318">
        <f>IF('El og plugin hybrid'!E$70="el",E125,IF('El og plugin hybrid'!E$70="plugin hybrid benzin",E125+E148,IF('El og plugin hybrid'!E$70="plugin hybrid diesel",E125+E171,0)))</f>
        <v>0</v>
      </c>
      <c r="G193" s="505">
        <f>H193*IF('El og plugin hybrid'!G$34="nej",0,IF('El og plugin hybrid'!G$46="ja",'El og plugin hybrid'!G$47,'El og plugin hybrid'!G$48))*(1+'El og plugin hybrid'!G$61)^-$C193</f>
        <v>0</v>
      </c>
      <c r="H193" s="318">
        <f>IF('El og plugin hybrid'!G$70="el",G125,IF('El og plugin hybrid'!G$70="plugin hybrid benzin",G125+G148,IF('El og plugin hybrid'!G$70="plugin hybrid diesel",G125+G171,0)))</f>
        <v>0</v>
      </c>
      <c r="I193" s="505">
        <f>J193*IF('El og plugin hybrid'!I$34="nej",0,IF('El og plugin hybrid'!I$46="ja",'El og plugin hybrid'!I$47,'El og plugin hybrid'!I$48))*(1+'El og plugin hybrid'!I$61)^-$C193</f>
        <v>0</v>
      </c>
      <c r="J193" s="318">
        <f>IF('El og plugin hybrid'!I$70="el",I125,IF('El og plugin hybrid'!I$70="plugin hybrid benzin",I125+I148,IF('El og plugin hybrid'!I$70="plugin hybrid diesel",I125+I171,0)))</f>
        <v>0</v>
      </c>
      <c r="K193" s="505">
        <f>L193*IF('El og plugin hybrid'!K$34="nej",0,IF('El og plugin hybrid'!K$46="ja",'El og plugin hybrid'!K$47,'El og plugin hybrid'!K$48))*(1+'El og plugin hybrid'!K$61)^-$C193</f>
        <v>0</v>
      </c>
      <c r="L193" s="318">
        <f>IF('El og plugin hybrid'!K$70="el",K125,IF('El og plugin hybrid'!K$70="plugin hybrid benzin",K125+K148,IF('El og plugin hybrid'!K$70="plugin hybrid diesel",K125+K171,0)))</f>
        <v>0</v>
      </c>
      <c r="M193" s="505">
        <f>N193*IF('El og plugin hybrid'!M$34="nej",0,IF('El og plugin hybrid'!M$46="ja",'El og plugin hybrid'!M$47,'El og plugin hybrid'!M$48))*(1+'El og plugin hybrid'!M$61)^-$C193</f>
        <v>0</v>
      </c>
      <c r="N193" s="318">
        <f>IF('El og plugin hybrid'!M$70="el",M125,IF('El og plugin hybrid'!M$70="plugin hybrid benzin",M125+M148,IF('El og plugin hybrid'!M$70="plugin hybrid diesel",M125+M171,0)))</f>
        <v>0</v>
      </c>
      <c r="O193" s="505">
        <f>P193*IF('El og plugin hybrid'!O$34="nej",0,IF('El og plugin hybrid'!O$46="ja",'El og plugin hybrid'!O$47,'El og plugin hybrid'!O$48))*(1+'El og plugin hybrid'!O$61)^-$C193</f>
        <v>0</v>
      </c>
      <c r="P193" s="318">
        <f>IF('El og plugin hybrid'!O$70="el",O125,IF('El og plugin hybrid'!O$70="plugin hybrid benzin",O125+O148,IF('El og plugin hybrid'!O$70="plugin hybrid diesel",O125+O171,0)))</f>
        <v>0</v>
      </c>
      <c r="Q193" s="505">
        <f>R193*IF('El og plugin hybrid'!Q$34="nej",0,IF('El og plugin hybrid'!Q$46="ja",'El og plugin hybrid'!Q$47,'El og plugin hybrid'!Q$48))*(1+'El og plugin hybrid'!Q$61)^-$C193</f>
        <v>0</v>
      </c>
      <c r="R193" s="318">
        <f>IF('El og plugin hybrid'!Q$70="el",Q125,IF('El og plugin hybrid'!Q$70="plugin hybrid benzin",Q125+Q148,IF('El og plugin hybrid'!Q$70="plugin hybrid diesel",Q125+Q171,0)))</f>
        <v>0</v>
      </c>
      <c r="S193" s="505">
        <f>T193*IF('El og plugin hybrid'!S$34="nej",0,IF('El og plugin hybrid'!S$46="ja",'El og plugin hybrid'!S$47,'El og plugin hybrid'!S$48))*(1+'El og plugin hybrid'!S$61)^-$C193</f>
        <v>0</v>
      </c>
      <c r="T193" s="318">
        <f>IF('El og plugin hybrid'!S$70="el",S125,IF('El og plugin hybrid'!S$70="plugin hybrid benzin",S125+S148,IF('El og plugin hybrid'!S$70="plugin hybrid diesel",S125+S171,0)))</f>
        <v>0</v>
      </c>
      <c r="U193" s="505">
        <f>V193*IF('El og plugin hybrid'!U$34="nej",0,IF('El og plugin hybrid'!U$46="ja",'El og plugin hybrid'!U$47,'El og plugin hybrid'!U$48))*(1+'El og plugin hybrid'!U$61)^-$C193</f>
        <v>0</v>
      </c>
      <c r="V193" s="318">
        <f>IF('El og plugin hybrid'!U$70="el",U125,IF('El og plugin hybrid'!U$70="plugin hybrid benzin",U125+U148,IF('El og plugin hybrid'!U$70="plugin hybrid diesel",U125+U171,0)))</f>
        <v>0</v>
      </c>
      <c r="W193" s="505">
        <f>X193*IF('El og plugin hybrid'!W$34="nej",0,IF('El og plugin hybrid'!W$46="ja",'El og plugin hybrid'!W$47,'El og plugin hybrid'!W$48))*(1+'El og plugin hybrid'!W$61)^-$C193</f>
        <v>0</v>
      </c>
      <c r="X193" s="318">
        <f>IF('El og plugin hybrid'!W$70="el",W125,IF('El og plugin hybrid'!W$70="plugin hybrid benzin",W125+W148,IF('El og plugin hybrid'!W$70="plugin hybrid diesel",W125+W171,0)))</f>
        <v>0</v>
      </c>
    </row>
    <row r="194" spans="1:24">
      <c r="A194" s="312"/>
      <c r="B194" s="306">
        <v>8</v>
      </c>
      <c r="C194" s="306">
        <f t="shared" si="9"/>
        <v>8</v>
      </c>
      <c r="D194" s="306"/>
      <c r="E194" s="505">
        <f>F194*IF('El og plugin hybrid'!E$34="nej",0,IF('El og plugin hybrid'!E$46="ja",'El og plugin hybrid'!E$47,'El og plugin hybrid'!E$48))*(1+'El og plugin hybrid'!E$61)^-$C194</f>
        <v>0</v>
      </c>
      <c r="F194" s="318">
        <f>IF('El og plugin hybrid'!E$70="el",E126,IF('El og plugin hybrid'!E$70="plugin hybrid benzin",E126+E149,IF('El og plugin hybrid'!E$70="plugin hybrid diesel",E126+E172,0)))</f>
        <v>0</v>
      </c>
      <c r="G194" s="505">
        <f>H194*IF('El og plugin hybrid'!G$34="nej",0,IF('El og plugin hybrid'!G$46="ja",'El og plugin hybrid'!G$47,'El og plugin hybrid'!G$48))*(1+'El og plugin hybrid'!G$61)^-$C194</f>
        <v>0</v>
      </c>
      <c r="H194" s="318">
        <f>IF('El og plugin hybrid'!G$70="el",G126,IF('El og plugin hybrid'!G$70="plugin hybrid benzin",G126+G149,IF('El og plugin hybrid'!G$70="plugin hybrid diesel",G126+G172,0)))</f>
        <v>0</v>
      </c>
      <c r="I194" s="505">
        <f>J194*IF('El og plugin hybrid'!I$34="nej",0,IF('El og plugin hybrid'!I$46="ja",'El og plugin hybrid'!I$47,'El og plugin hybrid'!I$48))*(1+'El og plugin hybrid'!I$61)^-$C194</f>
        <v>0</v>
      </c>
      <c r="J194" s="318">
        <f>IF('El og plugin hybrid'!I$70="el",I126,IF('El og plugin hybrid'!I$70="plugin hybrid benzin",I126+I149,IF('El og plugin hybrid'!I$70="plugin hybrid diesel",I126+I172,0)))</f>
        <v>0</v>
      </c>
      <c r="K194" s="505">
        <f>L194*IF('El og plugin hybrid'!K$34="nej",0,IF('El og plugin hybrid'!K$46="ja",'El og plugin hybrid'!K$47,'El og plugin hybrid'!K$48))*(1+'El og plugin hybrid'!K$61)^-$C194</f>
        <v>0</v>
      </c>
      <c r="L194" s="318">
        <f>IF('El og plugin hybrid'!K$70="el",K126,IF('El og plugin hybrid'!K$70="plugin hybrid benzin",K126+K149,IF('El og plugin hybrid'!K$70="plugin hybrid diesel",K126+K172,0)))</f>
        <v>0</v>
      </c>
      <c r="M194" s="505">
        <f>N194*IF('El og plugin hybrid'!M$34="nej",0,IF('El og plugin hybrid'!M$46="ja",'El og plugin hybrid'!M$47,'El og plugin hybrid'!M$48))*(1+'El og plugin hybrid'!M$61)^-$C194</f>
        <v>0</v>
      </c>
      <c r="N194" s="318">
        <f>IF('El og plugin hybrid'!M$70="el",M126,IF('El og plugin hybrid'!M$70="plugin hybrid benzin",M126+M149,IF('El og plugin hybrid'!M$70="plugin hybrid diesel",M126+M172,0)))</f>
        <v>0</v>
      </c>
      <c r="O194" s="505">
        <f>P194*IF('El og plugin hybrid'!O$34="nej",0,IF('El og plugin hybrid'!O$46="ja",'El og plugin hybrid'!O$47,'El og plugin hybrid'!O$48))*(1+'El og plugin hybrid'!O$61)^-$C194</f>
        <v>0</v>
      </c>
      <c r="P194" s="318">
        <f>IF('El og plugin hybrid'!O$70="el",O126,IF('El og plugin hybrid'!O$70="plugin hybrid benzin",O126+O149,IF('El og plugin hybrid'!O$70="plugin hybrid diesel",O126+O172,0)))</f>
        <v>0</v>
      </c>
      <c r="Q194" s="505">
        <f>R194*IF('El og plugin hybrid'!Q$34="nej",0,IF('El og plugin hybrid'!Q$46="ja",'El og plugin hybrid'!Q$47,'El og plugin hybrid'!Q$48))*(1+'El og plugin hybrid'!Q$61)^-$C194</f>
        <v>0</v>
      </c>
      <c r="R194" s="318">
        <f>IF('El og plugin hybrid'!Q$70="el",Q126,IF('El og plugin hybrid'!Q$70="plugin hybrid benzin",Q126+Q149,IF('El og plugin hybrid'!Q$70="plugin hybrid diesel",Q126+Q172,0)))</f>
        <v>0</v>
      </c>
      <c r="S194" s="505">
        <f>T194*IF('El og plugin hybrid'!S$34="nej",0,IF('El og plugin hybrid'!S$46="ja",'El og plugin hybrid'!S$47,'El og plugin hybrid'!S$48))*(1+'El og plugin hybrid'!S$61)^-$C194</f>
        <v>0</v>
      </c>
      <c r="T194" s="318">
        <f>IF('El og plugin hybrid'!S$70="el",S126,IF('El og plugin hybrid'!S$70="plugin hybrid benzin",S126+S149,IF('El og plugin hybrid'!S$70="plugin hybrid diesel",S126+S172,0)))</f>
        <v>0</v>
      </c>
      <c r="U194" s="505">
        <f>V194*IF('El og plugin hybrid'!U$34="nej",0,IF('El og plugin hybrid'!U$46="ja",'El og plugin hybrid'!U$47,'El og plugin hybrid'!U$48))*(1+'El og plugin hybrid'!U$61)^-$C194</f>
        <v>0</v>
      </c>
      <c r="V194" s="318">
        <f>IF('El og plugin hybrid'!U$70="el",U126,IF('El og plugin hybrid'!U$70="plugin hybrid benzin",U126+U149,IF('El og plugin hybrid'!U$70="plugin hybrid diesel",U126+U172,0)))</f>
        <v>0</v>
      </c>
      <c r="W194" s="505">
        <f>X194*IF('El og plugin hybrid'!W$34="nej",0,IF('El og plugin hybrid'!W$46="ja",'El og plugin hybrid'!W$47,'El og plugin hybrid'!W$48))*(1+'El og plugin hybrid'!W$61)^-$C194</f>
        <v>0</v>
      </c>
      <c r="X194" s="318">
        <f>IF('El og plugin hybrid'!W$70="el",W126,IF('El og plugin hybrid'!W$70="plugin hybrid benzin",W126+W149,IF('El og plugin hybrid'!W$70="plugin hybrid diesel",W126+W172,0)))</f>
        <v>0</v>
      </c>
    </row>
    <row r="195" spans="1:24">
      <c r="A195" s="312"/>
      <c r="B195" s="306">
        <v>9</v>
      </c>
      <c r="C195" s="306">
        <f t="shared" si="9"/>
        <v>9</v>
      </c>
      <c r="D195" s="306"/>
      <c r="E195" s="505">
        <f>F195*IF('El og plugin hybrid'!E$34="nej",0,IF('El og plugin hybrid'!E$46="ja",'El og plugin hybrid'!E$47,'El og plugin hybrid'!E$48))*(1+'El og plugin hybrid'!E$61)^-$C195</f>
        <v>0</v>
      </c>
      <c r="F195" s="318">
        <f>IF('El og plugin hybrid'!E$70="el",E127,IF('El og plugin hybrid'!E$70="plugin hybrid benzin",E127+E150,IF('El og plugin hybrid'!E$70="plugin hybrid diesel",E127+E173,0)))</f>
        <v>0</v>
      </c>
      <c r="G195" s="505">
        <f>H195*IF('El og plugin hybrid'!G$34="nej",0,IF('El og plugin hybrid'!G$46="ja",'El og plugin hybrid'!G$47,'El og plugin hybrid'!G$48))*(1+'El og plugin hybrid'!G$61)^-$C195</f>
        <v>0</v>
      </c>
      <c r="H195" s="318">
        <f>IF('El og plugin hybrid'!G$70="el",G127,IF('El og plugin hybrid'!G$70="plugin hybrid benzin",G127+G150,IF('El og plugin hybrid'!G$70="plugin hybrid diesel",G127+G173,0)))</f>
        <v>0</v>
      </c>
      <c r="I195" s="505">
        <f>J195*IF('El og plugin hybrid'!I$34="nej",0,IF('El og plugin hybrid'!I$46="ja",'El og plugin hybrid'!I$47,'El og plugin hybrid'!I$48))*(1+'El og plugin hybrid'!I$61)^-$C195</f>
        <v>0</v>
      </c>
      <c r="J195" s="318">
        <f>IF('El og plugin hybrid'!I$70="el",I127,IF('El og plugin hybrid'!I$70="plugin hybrid benzin",I127+I150,IF('El og plugin hybrid'!I$70="plugin hybrid diesel",I127+I173,0)))</f>
        <v>0</v>
      </c>
      <c r="K195" s="505">
        <f>L195*IF('El og plugin hybrid'!K$34="nej",0,IF('El og plugin hybrid'!K$46="ja",'El og plugin hybrid'!K$47,'El og plugin hybrid'!K$48))*(1+'El og plugin hybrid'!K$61)^-$C195</f>
        <v>0</v>
      </c>
      <c r="L195" s="318">
        <f>IF('El og plugin hybrid'!K$70="el",K127,IF('El og plugin hybrid'!K$70="plugin hybrid benzin",K127+K150,IF('El og plugin hybrid'!K$70="plugin hybrid diesel",K127+K173,0)))</f>
        <v>0</v>
      </c>
      <c r="M195" s="505">
        <f>N195*IF('El og plugin hybrid'!M$34="nej",0,IF('El og plugin hybrid'!M$46="ja",'El og plugin hybrid'!M$47,'El og plugin hybrid'!M$48))*(1+'El og plugin hybrid'!M$61)^-$C195</f>
        <v>0</v>
      </c>
      <c r="N195" s="318">
        <f>IF('El og plugin hybrid'!M$70="el",M127,IF('El og plugin hybrid'!M$70="plugin hybrid benzin",M127+M150,IF('El og plugin hybrid'!M$70="plugin hybrid diesel",M127+M173,0)))</f>
        <v>0</v>
      </c>
      <c r="O195" s="505">
        <f>P195*IF('El og plugin hybrid'!O$34="nej",0,IF('El og plugin hybrid'!O$46="ja",'El og plugin hybrid'!O$47,'El og plugin hybrid'!O$48))*(1+'El og plugin hybrid'!O$61)^-$C195</f>
        <v>0</v>
      </c>
      <c r="P195" s="318">
        <f>IF('El og plugin hybrid'!O$70="el",O127,IF('El og plugin hybrid'!O$70="plugin hybrid benzin",O127+O150,IF('El og plugin hybrid'!O$70="plugin hybrid diesel",O127+O173,0)))</f>
        <v>0</v>
      </c>
      <c r="Q195" s="505">
        <f>R195*IF('El og plugin hybrid'!Q$34="nej",0,IF('El og plugin hybrid'!Q$46="ja",'El og plugin hybrid'!Q$47,'El og plugin hybrid'!Q$48))*(1+'El og plugin hybrid'!Q$61)^-$C195</f>
        <v>0</v>
      </c>
      <c r="R195" s="318">
        <f>IF('El og plugin hybrid'!Q$70="el",Q127,IF('El og plugin hybrid'!Q$70="plugin hybrid benzin",Q127+Q150,IF('El og plugin hybrid'!Q$70="plugin hybrid diesel",Q127+Q173,0)))</f>
        <v>0</v>
      </c>
      <c r="S195" s="505">
        <f>T195*IF('El og plugin hybrid'!S$34="nej",0,IF('El og plugin hybrid'!S$46="ja",'El og plugin hybrid'!S$47,'El og plugin hybrid'!S$48))*(1+'El og plugin hybrid'!S$61)^-$C195</f>
        <v>0</v>
      </c>
      <c r="T195" s="318">
        <f>IF('El og plugin hybrid'!S$70="el",S127,IF('El og plugin hybrid'!S$70="plugin hybrid benzin",S127+S150,IF('El og plugin hybrid'!S$70="plugin hybrid diesel",S127+S173,0)))</f>
        <v>0</v>
      </c>
      <c r="U195" s="505">
        <f>V195*IF('El og plugin hybrid'!U$34="nej",0,IF('El og plugin hybrid'!U$46="ja",'El og plugin hybrid'!U$47,'El og plugin hybrid'!U$48))*(1+'El og plugin hybrid'!U$61)^-$C195</f>
        <v>0</v>
      </c>
      <c r="V195" s="318">
        <f>IF('El og plugin hybrid'!U$70="el",U127,IF('El og plugin hybrid'!U$70="plugin hybrid benzin",U127+U150,IF('El og plugin hybrid'!U$70="plugin hybrid diesel",U127+U173,0)))</f>
        <v>0</v>
      </c>
      <c r="W195" s="505">
        <f>X195*IF('El og plugin hybrid'!W$34="nej",0,IF('El og plugin hybrid'!W$46="ja",'El og plugin hybrid'!W$47,'El og plugin hybrid'!W$48))*(1+'El og plugin hybrid'!W$61)^-$C195</f>
        <v>0</v>
      </c>
      <c r="X195" s="318">
        <f>IF('El og plugin hybrid'!W$70="el",W127,IF('El og plugin hybrid'!W$70="plugin hybrid benzin",W127+W150,IF('El og plugin hybrid'!W$70="plugin hybrid diesel",W127+W173,0)))</f>
        <v>0</v>
      </c>
    </row>
    <row r="196" spans="1:24">
      <c r="A196" s="312"/>
      <c r="B196" s="306">
        <v>10</v>
      </c>
      <c r="C196" s="306">
        <f t="shared" si="9"/>
        <v>10</v>
      </c>
      <c r="D196" s="306"/>
      <c r="E196" s="505">
        <f>F196*IF('El og plugin hybrid'!E$34="nej",0,IF('El og plugin hybrid'!E$46="ja",'El og plugin hybrid'!E$47,'El og plugin hybrid'!E$48))*(1+'El og plugin hybrid'!E$61)^-$C196</f>
        <v>0</v>
      </c>
      <c r="F196" s="318">
        <f>IF('El og plugin hybrid'!E$70="el",E128,IF('El og plugin hybrid'!E$70="plugin hybrid benzin",E128+E151,IF('El og plugin hybrid'!E$70="plugin hybrid diesel",E128+E174,0)))</f>
        <v>0</v>
      </c>
      <c r="G196" s="505">
        <f>H196*IF('El og plugin hybrid'!G$34="nej",0,IF('El og plugin hybrid'!G$46="ja",'El og plugin hybrid'!G$47,'El og plugin hybrid'!G$48))*(1+'El og plugin hybrid'!G$61)^-$C196</f>
        <v>0</v>
      </c>
      <c r="H196" s="318">
        <f>IF('El og plugin hybrid'!G$70="el",G128,IF('El og plugin hybrid'!G$70="plugin hybrid benzin",G128+G151,IF('El og plugin hybrid'!G$70="plugin hybrid diesel",G128+G174,0)))</f>
        <v>0</v>
      </c>
      <c r="I196" s="505">
        <f>J196*IF('El og plugin hybrid'!I$34="nej",0,IF('El og plugin hybrid'!I$46="ja",'El og plugin hybrid'!I$47,'El og plugin hybrid'!I$48))*(1+'El og plugin hybrid'!I$61)^-$C196</f>
        <v>0</v>
      </c>
      <c r="J196" s="318">
        <f>IF('El og plugin hybrid'!I$70="el",I128,IF('El og plugin hybrid'!I$70="plugin hybrid benzin",I128+I151,IF('El og plugin hybrid'!I$70="plugin hybrid diesel",I128+I174,0)))</f>
        <v>0</v>
      </c>
      <c r="K196" s="505">
        <f>L196*IF('El og plugin hybrid'!K$34="nej",0,IF('El og plugin hybrid'!K$46="ja",'El og plugin hybrid'!K$47,'El og plugin hybrid'!K$48))*(1+'El og plugin hybrid'!K$61)^-$C196</f>
        <v>0</v>
      </c>
      <c r="L196" s="318">
        <f>IF('El og plugin hybrid'!K$70="el",K128,IF('El og plugin hybrid'!K$70="plugin hybrid benzin",K128+K151,IF('El og plugin hybrid'!K$70="plugin hybrid diesel",K128+K174,0)))</f>
        <v>0</v>
      </c>
      <c r="M196" s="505">
        <f>N196*IF('El og plugin hybrid'!M$34="nej",0,IF('El og plugin hybrid'!M$46="ja",'El og plugin hybrid'!M$47,'El og plugin hybrid'!M$48))*(1+'El og plugin hybrid'!M$61)^-$C196</f>
        <v>0</v>
      </c>
      <c r="N196" s="318">
        <f>IF('El og plugin hybrid'!M$70="el",M128,IF('El og plugin hybrid'!M$70="plugin hybrid benzin",M128+M151,IF('El og plugin hybrid'!M$70="plugin hybrid diesel",M128+M174,0)))</f>
        <v>0</v>
      </c>
      <c r="O196" s="505">
        <f>P196*IF('El og plugin hybrid'!O$34="nej",0,IF('El og plugin hybrid'!O$46="ja",'El og plugin hybrid'!O$47,'El og plugin hybrid'!O$48))*(1+'El og plugin hybrid'!O$61)^-$C196</f>
        <v>0</v>
      </c>
      <c r="P196" s="318">
        <f>IF('El og plugin hybrid'!O$70="el",O128,IF('El og plugin hybrid'!O$70="plugin hybrid benzin",O128+O151,IF('El og plugin hybrid'!O$70="plugin hybrid diesel",O128+O174,0)))</f>
        <v>0</v>
      </c>
      <c r="Q196" s="505">
        <f>R196*IF('El og plugin hybrid'!Q$34="nej",0,IF('El og plugin hybrid'!Q$46="ja",'El og plugin hybrid'!Q$47,'El og plugin hybrid'!Q$48))*(1+'El og plugin hybrid'!Q$61)^-$C196</f>
        <v>0</v>
      </c>
      <c r="R196" s="318">
        <f>IF('El og plugin hybrid'!Q$70="el",Q128,IF('El og plugin hybrid'!Q$70="plugin hybrid benzin",Q128+Q151,IF('El og plugin hybrid'!Q$70="plugin hybrid diesel",Q128+Q174,0)))</f>
        <v>0</v>
      </c>
      <c r="S196" s="505">
        <f>T196*IF('El og plugin hybrid'!S$34="nej",0,IF('El og plugin hybrid'!S$46="ja",'El og plugin hybrid'!S$47,'El og plugin hybrid'!S$48))*(1+'El og plugin hybrid'!S$61)^-$C196</f>
        <v>0</v>
      </c>
      <c r="T196" s="318">
        <f>IF('El og plugin hybrid'!S$70="el",S128,IF('El og plugin hybrid'!S$70="plugin hybrid benzin",S128+S151,IF('El og plugin hybrid'!S$70="plugin hybrid diesel",S128+S174,0)))</f>
        <v>0</v>
      </c>
      <c r="U196" s="505">
        <f>V196*IF('El og plugin hybrid'!U$34="nej",0,IF('El og plugin hybrid'!U$46="ja",'El og plugin hybrid'!U$47,'El og plugin hybrid'!U$48))*(1+'El og plugin hybrid'!U$61)^-$C196</f>
        <v>0</v>
      </c>
      <c r="V196" s="318">
        <f>IF('El og plugin hybrid'!U$70="el",U128,IF('El og plugin hybrid'!U$70="plugin hybrid benzin",U128+U151,IF('El og plugin hybrid'!U$70="plugin hybrid diesel",U128+U174,0)))</f>
        <v>0</v>
      </c>
      <c r="W196" s="505">
        <f>X196*IF('El og plugin hybrid'!W$34="nej",0,IF('El og plugin hybrid'!W$46="ja",'El og plugin hybrid'!W$47,'El og plugin hybrid'!W$48))*(1+'El og plugin hybrid'!W$61)^-$C196</f>
        <v>0</v>
      </c>
      <c r="X196" s="318">
        <f>IF('El og plugin hybrid'!W$70="el",W128,IF('El og plugin hybrid'!W$70="plugin hybrid benzin",W128+W151,IF('El og plugin hybrid'!W$70="plugin hybrid diesel",W128+W174,0)))</f>
        <v>0</v>
      </c>
    </row>
    <row r="197" spans="1:24">
      <c r="A197" s="312"/>
      <c r="B197" s="306">
        <v>11</v>
      </c>
      <c r="C197" s="306">
        <f t="shared" si="9"/>
        <v>11</v>
      </c>
      <c r="D197" s="306"/>
      <c r="E197" s="505">
        <f>F197*IF('El og plugin hybrid'!E$34="nej",0,IF('El og plugin hybrid'!E$46="ja",'El og plugin hybrid'!E$47,'El og plugin hybrid'!E$48))*(1+'El og plugin hybrid'!E$61)^-$C197</f>
        <v>0</v>
      </c>
      <c r="F197" s="318">
        <f>IF('El og plugin hybrid'!E$70="el",E129,IF('El og plugin hybrid'!E$70="plugin hybrid benzin",E129+E152,IF('El og plugin hybrid'!E$70="plugin hybrid diesel",E129+E175,0)))</f>
        <v>0</v>
      </c>
      <c r="G197" s="505">
        <f>H197*IF('El og plugin hybrid'!G$34="nej",0,IF('El og plugin hybrid'!G$46="ja",'El og plugin hybrid'!G$47,'El og plugin hybrid'!G$48))*(1+'El og plugin hybrid'!G$61)^-$C197</f>
        <v>0</v>
      </c>
      <c r="H197" s="318">
        <f>IF('El og plugin hybrid'!G$70="el",G129,IF('El og plugin hybrid'!G$70="plugin hybrid benzin",G129+G152,IF('El og plugin hybrid'!G$70="plugin hybrid diesel",G129+G175,0)))</f>
        <v>0</v>
      </c>
      <c r="I197" s="505">
        <f>J197*IF('El og plugin hybrid'!I$34="nej",0,IF('El og plugin hybrid'!I$46="ja",'El og plugin hybrid'!I$47,'El og plugin hybrid'!I$48))*(1+'El og plugin hybrid'!I$61)^-$C197</f>
        <v>0</v>
      </c>
      <c r="J197" s="318">
        <f>IF('El og plugin hybrid'!I$70="el",I129,IF('El og plugin hybrid'!I$70="plugin hybrid benzin",I129+I152,IF('El og plugin hybrid'!I$70="plugin hybrid diesel",I129+I175,0)))</f>
        <v>0</v>
      </c>
      <c r="K197" s="505">
        <f>L197*IF('El og plugin hybrid'!K$34="nej",0,IF('El og plugin hybrid'!K$46="ja",'El og plugin hybrid'!K$47,'El og plugin hybrid'!K$48))*(1+'El og plugin hybrid'!K$61)^-$C197</f>
        <v>0</v>
      </c>
      <c r="L197" s="318">
        <f>IF('El og plugin hybrid'!K$70="el",K129,IF('El og plugin hybrid'!K$70="plugin hybrid benzin",K129+K152,IF('El og plugin hybrid'!K$70="plugin hybrid diesel",K129+K175,0)))</f>
        <v>0</v>
      </c>
      <c r="M197" s="505">
        <f>N197*IF('El og plugin hybrid'!M$34="nej",0,IF('El og plugin hybrid'!M$46="ja",'El og plugin hybrid'!M$47,'El og plugin hybrid'!M$48))*(1+'El og plugin hybrid'!M$61)^-$C197</f>
        <v>0</v>
      </c>
      <c r="N197" s="318">
        <f>IF('El og plugin hybrid'!M$70="el",M129,IF('El og plugin hybrid'!M$70="plugin hybrid benzin",M129+M152,IF('El og plugin hybrid'!M$70="plugin hybrid diesel",M129+M175,0)))</f>
        <v>0</v>
      </c>
      <c r="O197" s="505">
        <f>P197*IF('El og plugin hybrid'!O$34="nej",0,IF('El og plugin hybrid'!O$46="ja",'El og plugin hybrid'!O$47,'El og plugin hybrid'!O$48))*(1+'El og plugin hybrid'!O$61)^-$C197</f>
        <v>0</v>
      </c>
      <c r="P197" s="318">
        <f>IF('El og plugin hybrid'!O$70="el",O129,IF('El og plugin hybrid'!O$70="plugin hybrid benzin",O129+O152,IF('El og plugin hybrid'!O$70="plugin hybrid diesel",O129+O175,0)))</f>
        <v>0</v>
      </c>
      <c r="Q197" s="505">
        <f>R197*IF('El og plugin hybrid'!Q$34="nej",0,IF('El og plugin hybrid'!Q$46="ja",'El og plugin hybrid'!Q$47,'El og plugin hybrid'!Q$48))*(1+'El og plugin hybrid'!Q$61)^-$C197</f>
        <v>0</v>
      </c>
      <c r="R197" s="318">
        <f>IF('El og plugin hybrid'!Q$70="el",Q129,IF('El og plugin hybrid'!Q$70="plugin hybrid benzin",Q129+Q152,IF('El og plugin hybrid'!Q$70="plugin hybrid diesel",Q129+Q175,0)))</f>
        <v>0</v>
      </c>
      <c r="S197" s="505">
        <f>T197*IF('El og plugin hybrid'!S$34="nej",0,IF('El og plugin hybrid'!S$46="ja",'El og plugin hybrid'!S$47,'El og plugin hybrid'!S$48))*(1+'El og plugin hybrid'!S$61)^-$C197</f>
        <v>0</v>
      </c>
      <c r="T197" s="318">
        <f>IF('El og plugin hybrid'!S$70="el",S129,IF('El og plugin hybrid'!S$70="plugin hybrid benzin",S129+S152,IF('El og plugin hybrid'!S$70="plugin hybrid diesel",S129+S175,0)))</f>
        <v>0</v>
      </c>
      <c r="U197" s="505">
        <f>V197*IF('El og plugin hybrid'!U$34="nej",0,IF('El og plugin hybrid'!U$46="ja",'El og plugin hybrid'!U$47,'El og plugin hybrid'!U$48))*(1+'El og plugin hybrid'!U$61)^-$C197</f>
        <v>0</v>
      </c>
      <c r="V197" s="318">
        <f>IF('El og plugin hybrid'!U$70="el",U129,IF('El og plugin hybrid'!U$70="plugin hybrid benzin",U129+U152,IF('El og plugin hybrid'!U$70="plugin hybrid diesel",U129+U175,0)))</f>
        <v>0</v>
      </c>
      <c r="W197" s="505">
        <f>X197*IF('El og plugin hybrid'!W$34="nej",0,IF('El og plugin hybrid'!W$46="ja",'El og plugin hybrid'!W$47,'El og plugin hybrid'!W$48))*(1+'El og plugin hybrid'!W$61)^-$C197</f>
        <v>0</v>
      </c>
      <c r="X197" s="318">
        <f>IF('El og plugin hybrid'!W$70="el",W129,IF('El og plugin hybrid'!W$70="plugin hybrid benzin",W129+W152,IF('El og plugin hybrid'!W$70="plugin hybrid diesel",W129+W175,0)))</f>
        <v>0</v>
      </c>
    </row>
    <row r="198" spans="1:24">
      <c r="A198" s="312"/>
      <c r="B198" s="306">
        <v>12</v>
      </c>
      <c r="C198" s="306">
        <f t="shared" si="9"/>
        <v>12</v>
      </c>
      <c r="D198" s="306"/>
      <c r="E198" s="505">
        <f>F198*IF('El og plugin hybrid'!E$34="nej",0,IF('El og plugin hybrid'!E$46="ja",'El og plugin hybrid'!E$47,'El og plugin hybrid'!E$48))*(1+'El og plugin hybrid'!E$61)^-$C198</f>
        <v>0</v>
      </c>
      <c r="F198" s="318">
        <f>IF('El og plugin hybrid'!E$70="el",E130,IF('El og plugin hybrid'!E$70="plugin hybrid benzin",E130+E153,IF('El og plugin hybrid'!E$70="plugin hybrid diesel",E130+E176,0)))</f>
        <v>0</v>
      </c>
      <c r="G198" s="505">
        <f>H198*IF('El og plugin hybrid'!G$34="nej",0,IF('El og plugin hybrid'!G$46="ja",'El og plugin hybrid'!G$47,'El og plugin hybrid'!G$48))*(1+'El og plugin hybrid'!G$61)^-$C198</f>
        <v>0</v>
      </c>
      <c r="H198" s="318">
        <f>IF('El og plugin hybrid'!G$70="el",G130,IF('El og plugin hybrid'!G$70="plugin hybrid benzin",G130+G153,IF('El og plugin hybrid'!G$70="plugin hybrid diesel",G130+G176,0)))</f>
        <v>0</v>
      </c>
      <c r="I198" s="505">
        <f>J198*IF('El og plugin hybrid'!I$34="nej",0,IF('El og plugin hybrid'!I$46="ja",'El og plugin hybrid'!I$47,'El og plugin hybrid'!I$48))*(1+'El og plugin hybrid'!I$61)^-$C198</f>
        <v>0</v>
      </c>
      <c r="J198" s="318">
        <f>IF('El og plugin hybrid'!I$70="el",I130,IF('El og plugin hybrid'!I$70="plugin hybrid benzin",I130+I153,IF('El og plugin hybrid'!I$70="plugin hybrid diesel",I130+I176,0)))</f>
        <v>0</v>
      </c>
      <c r="K198" s="505">
        <f>L198*IF('El og plugin hybrid'!K$34="nej",0,IF('El og plugin hybrid'!K$46="ja",'El og plugin hybrid'!K$47,'El og plugin hybrid'!K$48))*(1+'El og plugin hybrid'!K$61)^-$C198</f>
        <v>0</v>
      </c>
      <c r="L198" s="318">
        <f>IF('El og plugin hybrid'!K$70="el",K130,IF('El og plugin hybrid'!K$70="plugin hybrid benzin",K130+K153,IF('El og plugin hybrid'!K$70="plugin hybrid diesel",K130+K176,0)))</f>
        <v>0</v>
      </c>
      <c r="M198" s="505">
        <f>N198*IF('El og plugin hybrid'!M$34="nej",0,IF('El og plugin hybrid'!M$46="ja",'El og plugin hybrid'!M$47,'El og plugin hybrid'!M$48))*(1+'El og plugin hybrid'!M$61)^-$C198</f>
        <v>0</v>
      </c>
      <c r="N198" s="318">
        <f>IF('El og plugin hybrid'!M$70="el",M130,IF('El og plugin hybrid'!M$70="plugin hybrid benzin",M130+M153,IF('El og plugin hybrid'!M$70="plugin hybrid diesel",M130+M176,0)))</f>
        <v>0</v>
      </c>
      <c r="O198" s="505">
        <f>P198*IF('El og plugin hybrid'!O$34="nej",0,IF('El og plugin hybrid'!O$46="ja",'El og plugin hybrid'!O$47,'El og plugin hybrid'!O$48))*(1+'El og plugin hybrid'!O$61)^-$C198</f>
        <v>0</v>
      </c>
      <c r="P198" s="318">
        <f>IF('El og plugin hybrid'!O$70="el",O130,IF('El og plugin hybrid'!O$70="plugin hybrid benzin",O130+O153,IF('El og plugin hybrid'!O$70="plugin hybrid diesel",O130+O176,0)))</f>
        <v>0</v>
      </c>
      <c r="Q198" s="505">
        <f>R198*IF('El og plugin hybrid'!Q$34="nej",0,IF('El og plugin hybrid'!Q$46="ja",'El og plugin hybrid'!Q$47,'El og plugin hybrid'!Q$48))*(1+'El og plugin hybrid'!Q$61)^-$C198</f>
        <v>0</v>
      </c>
      <c r="R198" s="318">
        <f>IF('El og plugin hybrid'!Q$70="el",Q130,IF('El og plugin hybrid'!Q$70="plugin hybrid benzin",Q130+Q153,IF('El og plugin hybrid'!Q$70="plugin hybrid diesel",Q130+Q176,0)))</f>
        <v>0</v>
      </c>
      <c r="S198" s="505">
        <f>T198*IF('El og plugin hybrid'!S$34="nej",0,IF('El og plugin hybrid'!S$46="ja",'El og plugin hybrid'!S$47,'El og plugin hybrid'!S$48))*(1+'El og plugin hybrid'!S$61)^-$C198</f>
        <v>0</v>
      </c>
      <c r="T198" s="318">
        <f>IF('El og plugin hybrid'!S$70="el",S130,IF('El og plugin hybrid'!S$70="plugin hybrid benzin",S130+S153,IF('El og plugin hybrid'!S$70="plugin hybrid diesel",S130+S176,0)))</f>
        <v>0</v>
      </c>
      <c r="U198" s="505">
        <f>V198*IF('El og plugin hybrid'!U$34="nej",0,IF('El og plugin hybrid'!U$46="ja",'El og plugin hybrid'!U$47,'El og plugin hybrid'!U$48))*(1+'El og plugin hybrid'!U$61)^-$C198</f>
        <v>0</v>
      </c>
      <c r="V198" s="318">
        <f>IF('El og plugin hybrid'!U$70="el",U130,IF('El og plugin hybrid'!U$70="plugin hybrid benzin",U130+U153,IF('El og plugin hybrid'!U$70="plugin hybrid diesel",U130+U176,0)))</f>
        <v>0</v>
      </c>
      <c r="W198" s="505">
        <f>X198*IF('El og plugin hybrid'!W$34="nej",0,IF('El og plugin hybrid'!W$46="ja",'El og plugin hybrid'!W$47,'El og plugin hybrid'!W$48))*(1+'El og plugin hybrid'!W$61)^-$C198</f>
        <v>0</v>
      </c>
      <c r="X198" s="318">
        <f>IF('El og plugin hybrid'!W$70="el",W130,IF('El og plugin hybrid'!W$70="plugin hybrid benzin",W130+W153,IF('El og plugin hybrid'!W$70="plugin hybrid diesel",W130+W176,0)))</f>
        <v>0</v>
      </c>
    </row>
    <row r="199" spans="1:24">
      <c r="A199" s="312"/>
      <c r="B199" s="306">
        <v>13</v>
      </c>
      <c r="C199" s="306">
        <f t="shared" si="9"/>
        <v>13</v>
      </c>
      <c r="D199" s="306"/>
      <c r="E199" s="505">
        <f>F199*IF('El og plugin hybrid'!E$34="nej",0,IF('El og plugin hybrid'!E$46="ja",'El og plugin hybrid'!E$47,'El og plugin hybrid'!E$48))*(1+'El og plugin hybrid'!E$61)^-$C199</f>
        <v>0</v>
      </c>
      <c r="F199" s="318">
        <f>IF('El og plugin hybrid'!E$70="el",E131,IF('El og plugin hybrid'!E$70="plugin hybrid benzin",E131+E154,IF('El og plugin hybrid'!E$70="plugin hybrid diesel",E131+E177,0)))</f>
        <v>0</v>
      </c>
      <c r="G199" s="505">
        <f>H199*IF('El og plugin hybrid'!G$34="nej",0,IF('El og plugin hybrid'!G$46="ja",'El og plugin hybrid'!G$47,'El og plugin hybrid'!G$48))*(1+'El og plugin hybrid'!G$61)^-$C199</f>
        <v>0</v>
      </c>
      <c r="H199" s="318">
        <f>IF('El og plugin hybrid'!G$70="el",G131,IF('El og plugin hybrid'!G$70="plugin hybrid benzin",G131+G154,IF('El og plugin hybrid'!G$70="plugin hybrid diesel",G131+G177,0)))</f>
        <v>0</v>
      </c>
      <c r="I199" s="505">
        <f>J199*IF('El og plugin hybrid'!I$34="nej",0,IF('El og plugin hybrid'!I$46="ja",'El og plugin hybrid'!I$47,'El og plugin hybrid'!I$48))*(1+'El og plugin hybrid'!I$61)^-$C199</f>
        <v>0</v>
      </c>
      <c r="J199" s="318">
        <f>IF('El og plugin hybrid'!I$70="el",I131,IF('El og plugin hybrid'!I$70="plugin hybrid benzin",I131+I154,IF('El og plugin hybrid'!I$70="plugin hybrid diesel",I131+I177,0)))</f>
        <v>0</v>
      </c>
      <c r="K199" s="505">
        <f>L199*IF('El og plugin hybrid'!K$34="nej",0,IF('El og plugin hybrid'!K$46="ja",'El og plugin hybrid'!K$47,'El og plugin hybrid'!K$48))*(1+'El og plugin hybrid'!K$61)^-$C199</f>
        <v>0</v>
      </c>
      <c r="L199" s="318">
        <f>IF('El og plugin hybrid'!K$70="el",K131,IF('El og plugin hybrid'!K$70="plugin hybrid benzin",K131+K154,IF('El og plugin hybrid'!K$70="plugin hybrid diesel",K131+K177,0)))</f>
        <v>0</v>
      </c>
      <c r="M199" s="505">
        <f>N199*IF('El og plugin hybrid'!M$34="nej",0,IF('El og plugin hybrid'!M$46="ja",'El og plugin hybrid'!M$47,'El og plugin hybrid'!M$48))*(1+'El og plugin hybrid'!M$61)^-$C199</f>
        <v>0</v>
      </c>
      <c r="N199" s="318">
        <f>IF('El og plugin hybrid'!M$70="el",M131,IF('El og plugin hybrid'!M$70="plugin hybrid benzin",M131+M154,IF('El og plugin hybrid'!M$70="plugin hybrid diesel",M131+M177,0)))</f>
        <v>0</v>
      </c>
      <c r="O199" s="505">
        <f>P199*IF('El og plugin hybrid'!O$34="nej",0,IF('El og plugin hybrid'!O$46="ja",'El og plugin hybrid'!O$47,'El og plugin hybrid'!O$48))*(1+'El og plugin hybrid'!O$61)^-$C199</f>
        <v>0</v>
      </c>
      <c r="P199" s="318">
        <f>IF('El og plugin hybrid'!O$70="el",O131,IF('El og plugin hybrid'!O$70="plugin hybrid benzin",O131+O154,IF('El og plugin hybrid'!O$70="plugin hybrid diesel",O131+O177,0)))</f>
        <v>0</v>
      </c>
      <c r="Q199" s="505">
        <f>R199*IF('El og plugin hybrid'!Q$34="nej",0,IF('El og plugin hybrid'!Q$46="ja",'El og plugin hybrid'!Q$47,'El og plugin hybrid'!Q$48))*(1+'El og plugin hybrid'!Q$61)^-$C199</f>
        <v>0</v>
      </c>
      <c r="R199" s="318">
        <f>IF('El og plugin hybrid'!Q$70="el",Q131,IF('El og plugin hybrid'!Q$70="plugin hybrid benzin",Q131+Q154,IF('El og plugin hybrid'!Q$70="plugin hybrid diesel",Q131+Q177,0)))</f>
        <v>0</v>
      </c>
      <c r="S199" s="505">
        <f>T199*IF('El og plugin hybrid'!S$34="nej",0,IF('El og plugin hybrid'!S$46="ja",'El og plugin hybrid'!S$47,'El og plugin hybrid'!S$48))*(1+'El og plugin hybrid'!S$61)^-$C199</f>
        <v>0</v>
      </c>
      <c r="T199" s="318">
        <f>IF('El og plugin hybrid'!S$70="el",S131,IF('El og plugin hybrid'!S$70="plugin hybrid benzin",S131+S154,IF('El og plugin hybrid'!S$70="plugin hybrid diesel",S131+S177,0)))</f>
        <v>0</v>
      </c>
      <c r="U199" s="505">
        <f>V199*IF('El og plugin hybrid'!U$34="nej",0,IF('El og plugin hybrid'!U$46="ja",'El og plugin hybrid'!U$47,'El og plugin hybrid'!U$48))*(1+'El og plugin hybrid'!U$61)^-$C199</f>
        <v>0</v>
      </c>
      <c r="V199" s="318">
        <f>IF('El og plugin hybrid'!U$70="el",U131,IF('El og plugin hybrid'!U$70="plugin hybrid benzin",U131+U154,IF('El og plugin hybrid'!U$70="plugin hybrid diesel",U131+U177,0)))</f>
        <v>0</v>
      </c>
      <c r="W199" s="505">
        <f>X199*IF('El og plugin hybrid'!W$34="nej",0,IF('El og plugin hybrid'!W$46="ja",'El og plugin hybrid'!W$47,'El og plugin hybrid'!W$48))*(1+'El og plugin hybrid'!W$61)^-$C199</f>
        <v>0</v>
      </c>
      <c r="X199" s="318">
        <f>IF('El og plugin hybrid'!W$70="el",W131,IF('El og plugin hybrid'!W$70="plugin hybrid benzin",W131+W154,IF('El og plugin hybrid'!W$70="plugin hybrid diesel",W131+W177,0)))</f>
        <v>0</v>
      </c>
    </row>
    <row r="200" spans="1:24">
      <c r="A200" s="312"/>
      <c r="B200" s="306">
        <v>14</v>
      </c>
      <c r="C200" s="306">
        <f t="shared" si="9"/>
        <v>14</v>
      </c>
      <c r="D200" s="306"/>
      <c r="E200" s="505">
        <f>F200*IF('El og plugin hybrid'!E$34="nej",0,IF('El og plugin hybrid'!E$46="ja",'El og plugin hybrid'!E$47,'El og plugin hybrid'!E$48))*(1+'El og plugin hybrid'!E$61)^-$C200</f>
        <v>0</v>
      </c>
      <c r="F200" s="318">
        <f>IF('El og plugin hybrid'!E$70="el",E132,IF('El og plugin hybrid'!E$70="plugin hybrid benzin",E132+E155,IF('El og plugin hybrid'!E$70="plugin hybrid diesel",E132+E178,0)))</f>
        <v>0</v>
      </c>
      <c r="G200" s="505">
        <f>H200*IF('El og plugin hybrid'!G$34="nej",0,IF('El og plugin hybrid'!G$46="ja",'El og plugin hybrid'!G$47,'El og plugin hybrid'!G$48))*(1+'El og plugin hybrid'!G$61)^-$C200</f>
        <v>0</v>
      </c>
      <c r="H200" s="318">
        <f>IF('El og plugin hybrid'!G$70="el",G132,IF('El og plugin hybrid'!G$70="plugin hybrid benzin",G132+G155,IF('El og plugin hybrid'!G$70="plugin hybrid diesel",G132+G178,0)))</f>
        <v>0</v>
      </c>
      <c r="I200" s="505">
        <f>J200*IF('El og plugin hybrid'!I$34="nej",0,IF('El og plugin hybrid'!I$46="ja",'El og plugin hybrid'!I$47,'El og plugin hybrid'!I$48))*(1+'El og plugin hybrid'!I$61)^-$C200</f>
        <v>0</v>
      </c>
      <c r="J200" s="318">
        <f>IF('El og plugin hybrid'!I$70="el",I132,IF('El og plugin hybrid'!I$70="plugin hybrid benzin",I132+I155,IF('El og plugin hybrid'!I$70="plugin hybrid diesel",I132+I178,0)))</f>
        <v>0</v>
      </c>
      <c r="K200" s="505">
        <f>L200*IF('El og plugin hybrid'!K$34="nej",0,IF('El og plugin hybrid'!K$46="ja",'El og plugin hybrid'!K$47,'El og plugin hybrid'!K$48))*(1+'El og plugin hybrid'!K$61)^-$C200</f>
        <v>0</v>
      </c>
      <c r="L200" s="318">
        <f>IF('El og plugin hybrid'!K$70="el",K132,IF('El og plugin hybrid'!K$70="plugin hybrid benzin",K132+K155,IF('El og plugin hybrid'!K$70="plugin hybrid diesel",K132+K178,0)))</f>
        <v>0</v>
      </c>
      <c r="M200" s="505">
        <f>N200*IF('El og plugin hybrid'!M$34="nej",0,IF('El og plugin hybrid'!M$46="ja",'El og plugin hybrid'!M$47,'El og plugin hybrid'!M$48))*(1+'El og plugin hybrid'!M$61)^-$C200</f>
        <v>0</v>
      </c>
      <c r="N200" s="318">
        <f>IF('El og plugin hybrid'!M$70="el",M132,IF('El og plugin hybrid'!M$70="plugin hybrid benzin",M132+M155,IF('El og plugin hybrid'!M$70="plugin hybrid diesel",M132+M178,0)))</f>
        <v>0</v>
      </c>
      <c r="O200" s="505">
        <f>P200*IF('El og plugin hybrid'!O$34="nej",0,IF('El og plugin hybrid'!O$46="ja",'El og plugin hybrid'!O$47,'El og plugin hybrid'!O$48))*(1+'El og plugin hybrid'!O$61)^-$C200</f>
        <v>0</v>
      </c>
      <c r="P200" s="318">
        <f>IF('El og plugin hybrid'!O$70="el",O132,IF('El og plugin hybrid'!O$70="plugin hybrid benzin",O132+O155,IF('El og plugin hybrid'!O$70="plugin hybrid diesel",O132+O178,0)))</f>
        <v>0</v>
      </c>
      <c r="Q200" s="505">
        <f>R200*IF('El og plugin hybrid'!Q$34="nej",0,IF('El og plugin hybrid'!Q$46="ja",'El og plugin hybrid'!Q$47,'El og plugin hybrid'!Q$48))*(1+'El og plugin hybrid'!Q$61)^-$C200</f>
        <v>0</v>
      </c>
      <c r="R200" s="318">
        <f>IF('El og plugin hybrid'!Q$70="el",Q132,IF('El og plugin hybrid'!Q$70="plugin hybrid benzin",Q132+Q155,IF('El og plugin hybrid'!Q$70="plugin hybrid diesel",Q132+Q178,0)))</f>
        <v>0</v>
      </c>
      <c r="S200" s="505">
        <f>T200*IF('El og plugin hybrid'!S$34="nej",0,IF('El og plugin hybrid'!S$46="ja",'El og plugin hybrid'!S$47,'El og plugin hybrid'!S$48))*(1+'El og plugin hybrid'!S$61)^-$C200</f>
        <v>0</v>
      </c>
      <c r="T200" s="318">
        <f>IF('El og plugin hybrid'!S$70="el",S132,IF('El og plugin hybrid'!S$70="plugin hybrid benzin",S132+S155,IF('El og plugin hybrid'!S$70="plugin hybrid diesel",S132+S178,0)))</f>
        <v>0</v>
      </c>
      <c r="U200" s="505">
        <f>V200*IF('El og plugin hybrid'!U$34="nej",0,IF('El og plugin hybrid'!U$46="ja",'El og plugin hybrid'!U$47,'El og plugin hybrid'!U$48))*(1+'El og plugin hybrid'!U$61)^-$C200</f>
        <v>0</v>
      </c>
      <c r="V200" s="318">
        <f>IF('El og plugin hybrid'!U$70="el",U132,IF('El og plugin hybrid'!U$70="plugin hybrid benzin",U132+U155,IF('El og plugin hybrid'!U$70="plugin hybrid diesel",U132+U178,0)))</f>
        <v>0</v>
      </c>
      <c r="W200" s="505">
        <f>X200*IF('El og plugin hybrid'!W$34="nej",0,IF('El og plugin hybrid'!W$46="ja",'El og plugin hybrid'!W$47,'El og plugin hybrid'!W$48))*(1+'El og plugin hybrid'!W$61)^-$C200</f>
        <v>0</v>
      </c>
      <c r="X200" s="318">
        <f>IF('El og plugin hybrid'!W$70="el",W132,IF('El og plugin hybrid'!W$70="plugin hybrid benzin",W132+W155,IF('El og plugin hybrid'!W$70="plugin hybrid diesel",W132+W178,0)))</f>
        <v>0</v>
      </c>
    </row>
    <row r="201" spans="1:24">
      <c r="A201" s="312"/>
      <c r="B201" s="306">
        <v>15</v>
      </c>
      <c r="C201" s="306">
        <f t="shared" si="9"/>
        <v>15</v>
      </c>
      <c r="D201" s="306"/>
      <c r="E201" s="505">
        <f>F201*IF('El og plugin hybrid'!E$34="nej",0,IF('El og plugin hybrid'!E$46="ja",'El og plugin hybrid'!E$47,'El og plugin hybrid'!E$48))*(1+'El og plugin hybrid'!E$61)^-$C201</f>
        <v>0</v>
      </c>
      <c r="F201" s="318">
        <f>IF('El og plugin hybrid'!E$70="el",E133,IF('El og plugin hybrid'!E$70="plugin hybrid benzin",E133+E156,IF('El og plugin hybrid'!E$70="plugin hybrid diesel",E133+E179,0)))</f>
        <v>0</v>
      </c>
      <c r="G201" s="505">
        <f>H201*IF('El og plugin hybrid'!G$34="nej",0,IF('El og plugin hybrid'!G$46="ja",'El og plugin hybrid'!G$47,'El og plugin hybrid'!G$48))*(1+'El og plugin hybrid'!G$61)^-$C201</f>
        <v>0</v>
      </c>
      <c r="H201" s="318">
        <f>IF('El og plugin hybrid'!G$70="el",G133,IF('El og plugin hybrid'!G$70="plugin hybrid benzin",G133+G156,IF('El og plugin hybrid'!G$70="plugin hybrid diesel",G133+G179,0)))</f>
        <v>0</v>
      </c>
      <c r="I201" s="505">
        <f>J201*IF('El og plugin hybrid'!I$34="nej",0,IF('El og plugin hybrid'!I$46="ja",'El og plugin hybrid'!I$47,'El og plugin hybrid'!I$48))*(1+'El og plugin hybrid'!I$61)^-$C201</f>
        <v>0</v>
      </c>
      <c r="J201" s="318">
        <f>IF('El og plugin hybrid'!I$70="el",I133,IF('El og plugin hybrid'!I$70="plugin hybrid benzin",I133+I156,IF('El og plugin hybrid'!I$70="plugin hybrid diesel",I133+I179,0)))</f>
        <v>0</v>
      </c>
      <c r="K201" s="505">
        <f>L201*IF('El og plugin hybrid'!K$34="nej",0,IF('El og plugin hybrid'!K$46="ja",'El og plugin hybrid'!K$47,'El og plugin hybrid'!K$48))*(1+'El og plugin hybrid'!K$61)^-$C201</f>
        <v>0</v>
      </c>
      <c r="L201" s="318">
        <f>IF('El og plugin hybrid'!K$70="el",K133,IF('El og plugin hybrid'!K$70="plugin hybrid benzin",K133+K156,IF('El og plugin hybrid'!K$70="plugin hybrid diesel",K133+K179,0)))</f>
        <v>0</v>
      </c>
      <c r="M201" s="505">
        <f>N201*IF('El og plugin hybrid'!M$34="nej",0,IF('El og plugin hybrid'!M$46="ja",'El og plugin hybrid'!M$47,'El og plugin hybrid'!M$48))*(1+'El og plugin hybrid'!M$61)^-$C201</f>
        <v>0</v>
      </c>
      <c r="N201" s="318">
        <f>IF('El og plugin hybrid'!M$70="el",M133,IF('El og plugin hybrid'!M$70="plugin hybrid benzin",M133+M156,IF('El og plugin hybrid'!M$70="plugin hybrid diesel",M133+M179,0)))</f>
        <v>0</v>
      </c>
      <c r="O201" s="505">
        <f>P201*IF('El og plugin hybrid'!O$34="nej",0,IF('El og plugin hybrid'!O$46="ja",'El og plugin hybrid'!O$47,'El og plugin hybrid'!O$48))*(1+'El og plugin hybrid'!O$61)^-$C201</f>
        <v>0</v>
      </c>
      <c r="P201" s="318">
        <f>IF('El og plugin hybrid'!O$70="el",O133,IF('El og plugin hybrid'!O$70="plugin hybrid benzin",O133+O156,IF('El og plugin hybrid'!O$70="plugin hybrid diesel",O133+O179,0)))</f>
        <v>0</v>
      </c>
      <c r="Q201" s="505">
        <f>R201*IF('El og plugin hybrid'!Q$34="nej",0,IF('El og plugin hybrid'!Q$46="ja",'El og plugin hybrid'!Q$47,'El og plugin hybrid'!Q$48))*(1+'El og plugin hybrid'!Q$61)^-$C201</f>
        <v>0</v>
      </c>
      <c r="R201" s="318">
        <f>IF('El og plugin hybrid'!Q$70="el",Q133,IF('El og plugin hybrid'!Q$70="plugin hybrid benzin",Q133+Q156,IF('El og plugin hybrid'!Q$70="plugin hybrid diesel",Q133+Q179,0)))</f>
        <v>0</v>
      </c>
      <c r="S201" s="505">
        <f>T201*IF('El og plugin hybrid'!S$34="nej",0,IF('El og plugin hybrid'!S$46="ja",'El og plugin hybrid'!S$47,'El og plugin hybrid'!S$48))*(1+'El og plugin hybrid'!S$61)^-$C201</f>
        <v>0</v>
      </c>
      <c r="T201" s="318">
        <f>IF('El og plugin hybrid'!S$70="el",S133,IF('El og plugin hybrid'!S$70="plugin hybrid benzin",S133+S156,IF('El og plugin hybrid'!S$70="plugin hybrid diesel",S133+S179,0)))</f>
        <v>0</v>
      </c>
      <c r="U201" s="505">
        <f>V201*IF('El og plugin hybrid'!U$34="nej",0,IF('El og plugin hybrid'!U$46="ja",'El og plugin hybrid'!U$47,'El og plugin hybrid'!U$48))*(1+'El og plugin hybrid'!U$61)^-$C201</f>
        <v>0</v>
      </c>
      <c r="V201" s="318">
        <f>IF('El og plugin hybrid'!U$70="el",U133,IF('El og plugin hybrid'!U$70="plugin hybrid benzin",U133+U156,IF('El og plugin hybrid'!U$70="plugin hybrid diesel",U133+U179,0)))</f>
        <v>0</v>
      </c>
      <c r="W201" s="505">
        <f>X201*IF('El og plugin hybrid'!W$34="nej",0,IF('El og plugin hybrid'!W$46="ja",'El og plugin hybrid'!W$47,'El og plugin hybrid'!W$48))*(1+'El og plugin hybrid'!W$61)^-$C201</f>
        <v>0</v>
      </c>
      <c r="X201" s="318">
        <f>IF('El og plugin hybrid'!W$70="el",W133,IF('El og plugin hybrid'!W$70="plugin hybrid benzin",W133+W156,IF('El og plugin hybrid'!W$70="plugin hybrid diesel",W133+W179,0)))</f>
        <v>0</v>
      </c>
    </row>
    <row r="202" spans="1:24">
      <c r="A202" s="312"/>
      <c r="B202" s="306">
        <v>16</v>
      </c>
      <c r="C202" s="306">
        <f t="shared" si="9"/>
        <v>16</v>
      </c>
      <c r="D202" s="306"/>
      <c r="E202" s="505">
        <f>F202*IF('El og plugin hybrid'!E$34="nej",0,IF('El og plugin hybrid'!E$46="ja",'El og plugin hybrid'!E$47,'El og plugin hybrid'!E$48))*(1+'El og plugin hybrid'!E$61)^-$C202</f>
        <v>0</v>
      </c>
      <c r="F202" s="318">
        <f>IF('El og plugin hybrid'!E$70="el",E134,IF('El og plugin hybrid'!E$70="plugin hybrid benzin",E134+E157,IF('El og plugin hybrid'!E$70="plugin hybrid diesel",E134+E180,0)))</f>
        <v>0</v>
      </c>
      <c r="G202" s="505">
        <f>H202*IF('El og plugin hybrid'!G$34="nej",0,IF('El og plugin hybrid'!G$46="ja",'El og plugin hybrid'!G$47,'El og plugin hybrid'!G$48))*(1+'El og plugin hybrid'!G$61)^-$C202</f>
        <v>0</v>
      </c>
      <c r="H202" s="318">
        <f>IF('El og plugin hybrid'!G$70="el",G134,IF('El og plugin hybrid'!G$70="plugin hybrid benzin",G134+G157,IF('El og plugin hybrid'!G$70="plugin hybrid diesel",G134+G180,0)))</f>
        <v>0</v>
      </c>
      <c r="I202" s="505">
        <f>J202*IF('El og plugin hybrid'!I$34="nej",0,IF('El og plugin hybrid'!I$46="ja",'El og plugin hybrid'!I$47,'El og plugin hybrid'!I$48))*(1+'El og plugin hybrid'!I$61)^-$C202</f>
        <v>0</v>
      </c>
      <c r="J202" s="318">
        <f>IF('El og plugin hybrid'!I$70="el",I134,IF('El og plugin hybrid'!I$70="plugin hybrid benzin",I134+I157,IF('El og plugin hybrid'!I$70="plugin hybrid diesel",I134+I180,0)))</f>
        <v>0</v>
      </c>
      <c r="K202" s="505">
        <f>L202*IF('El og plugin hybrid'!K$34="nej",0,IF('El og plugin hybrid'!K$46="ja",'El og plugin hybrid'!K$47,'El og plugin hybrid'!K$48))*(1+'El og plugin hybrid'!K$61)^-$C202</f>
        <v>0</v>
      </c>
      <c r="L202" s="318">
        <f>IF('El og plugin hybrid'!K$70="el",K134,IF('El og plugin hybrid'!K$70="plugin hybrid benzin",K134+K157,IF('El og plugin hybrid'!K$70="plugin hybrid diesel",K134+K180,0)))</f>
        <v>0</v>
      </c>
      <c r="M202" s="505">
        <f>N202*IF('El og plugin hybrid'!M$34="nej",0,IF('El og plugin hybrid'!M$46="ja",'El og plugin hybrid'!M$47,'El og plugin hybrid'!M$48))*(1+'El og plugin hybrid'!M$61)^-$C202</f>
        <v>0</v>
      </c>
      <c r="N202" s="318">
        <f>IF('El og plugin hybrid'!M$70="el",M134,IF('El og plugin hybrid'!M$70="plugin hybrid benzin",M134+M157,IF('El og plugin hybrid'!M$70="plugin hybrid diesel",M134+M180,0)))</f>
        <v>0</v>
      </c>
      <c r="O202" s="505">
        <f>P202*IF('El og plugin hybrid'!O$34="nej",0,IF('El og plugin hybrid'!O$46="ja",'El og plugin hybrid'!O$47,'El og plugin hybrid'!O$48))*(1+'El og plugin hybrid'!O$61)^-$C202</f>
        <v>0</v>
      </c>
      <c r="P202" s="318">
        <f>IF('El og plugin hybrid'!O$70="el",O134,IF('El og plugin hybrid'!O$70="plugin hybrid benzin",O134+O157,IF('El og plugin hybrid'!O$70="plugin hybrid diesel",O134+O180,0)))</f>
        <v>0</v>
      </c>
      <c r="Q202" s="505">
        <f>R202*IF('El og plugin hybrid'!Q$34="nej",0,IF('El og plugin hybrid'!Q$46="ja",'El og plugin hybrid'!Q$47,'El og plugin hybrid'!Q$48))*(1+'El og plugin hybrid'!Q$61)^-$C202</f>
        <v>0</v>
      </c>
      <c r="R202" s="318">
        <f>IF('El og plugin hybrid'!Q$70="el",Q134,IF('El og plugin hybrid'!Q$70="plugin hybrid benzin",Q134+Q157,IF('El og plugin hybrid'!Q$70="plugin hybrid diesel",Q134+Q180,0)))</f>
        <v>0</v>
      </c>
      <c r="S202" s="505">
        <f>T202*IF('El og plugin hybrid'!S$34="nej",0,IF('El og plugin hybrid'!S$46="ja",'El og plugin hybrid'!S$47,'El og plugin hybrid'!S$48))*(1+'El og plugin hybrid'!S$61)^-$C202</f>
        <v>0</v>
      </c>
      <c r="T202" s="318">
        <f>IF('El og plugin hybrid'!S$70="el",S134,IF('El og plugin hybrid'!S$70="plugin hybrid benzin",S134+S157,IF('El og plugin hybrid'!S$70="plugin hybrid diesel",S134+S180,0)))</f>
        <v>0</v>
      </c>
      <c r="U202" s="505">
        <f>V202*IF('El og plugin hybrid'!U$34="nej",0,IF('El og plugin hybrid'!U$46="ja",'El og plugin hybrid'!U$47,'El og plugin hybrid'!U$48))*(1+'El og plugin hybrid'!U$61)^-$C202</f>
        <v>0</v>
      </c>
      <c r="V202" s="318">
        <f>IF('El og plugin hybrid'!U$70="el",U134,IF('El og plugin hybrid'!U$70="plugin hybrid benzin",U134+U157,IF('El og plugin hybrid'!U$70="plugin hybrid diesel",U134+U180,0)))</f>
        <v>0</v>
      </c>
      <c r="W202" s="505">
        <f>X202*IF('El og plugin hybrid'!W$34="nej",0,IF('El og plugin hybrid'!W$46="ja",'El og plugin hybrid'!W$47,'El og plugin hybrid'!W$48))*(1+'El og plugin hybrid'!W$61)^-$C202</f>
        <v>0</v>
      </c>
      <c r="X202" s="318">
        <f>IF('El og plugin hybrid'!W$70="el",W134,IF('El og plugin hybrid'!W$70="plugin hybrid benzin",W134+W157,IF('El og plugin hybrid'!W$70="plugin hybrid diesel",W134+W180,0)))</f>
        <v>0</v>
      </c>
    </row>
    <row r="203" spans="1:24">
      <c r="A203" s="312"/>
      <c r="B203" s="306">
        <v>17</v>
      </c>
      <c r="C203" s="306">
        <f t="shared" si="9"/>
        <v>17</v>
      </c>
      <c r="D203" s="306"/>
      <c r="E203" s="505">
        <f>F203*IF('El og plugin hybrid'!E$34="nej",0,IF('El og plugin hybrid'!E$46="ja",'El og plugin hybrid'!E$47,'El og plugin hybrid'!E$48))*(1+'El og plugin hybrid'!E$61)^-$C203</f>
        <v>0</v>
      </c>
      <c r="F203" s="318">
        <f>IF('El og plugin hybrid'!E$70="el",E135,IF('El og plugin hybrid'!E$70="plugin hybrid benzin",E135+E158,IF('El og plugin hybrid'!E$70="plugin hybrid diesel",E135+E181,0)))</f>
        <v>0</v>
      </c>
      <c r="G203" s="505">
        <f>H203*IF('El og plugin hybrid'!G$34="nej",0,IF('El og plugin hybrid'!G$46="ja",'El og plugin hybrid'!G$47,'El og plugin hybrid'!G$48))*(1+'El og plugin hybrid'!G$61)^-$C203</f>
        <v>0</v>
      </c>
      <c r="H203" s="318">
        <f>IF('El og plugin hybrid'!G$70="el",G135,IF('El og plugin hybrid'!G$70="plugin hybrid benzin",G135+G158,IF('El og plugin hybrid'!G$70="plugin hybrid diesel",G135+G181,0)))</f>
        <v>0</v>
      </c>
      <c r="I203" s="505">
        <f>J203*IF('El og plugin hybrid'!I$34="nej",0,IF('El og plugin hybrid'!I$46="ja",'El og plugin hybrid'!I$47,'El og plugin hybrid'!I$48))*(1+'El og plugin hybrid'!I$61)^-$C203</f>
        <v>0</v>
      </c>
      <c r="J203" s="318">
        <f>IF('El og plugin hybrid'!I$70="el",I135,IF('El og plugin hybrid'!I$70="plugin hybrid benzin",I135+I158,IF('El og plugin hybrid'!I$70="plugin hybrid diesel",I135+I181,0)))</f>
        <v>0</v>
      </c>
      <c r="K203" s="505">
        <f>L203*IF('El og plugin hybrid'!K$34="nej",0,IF('El og plugin hybrid'!K$46="ja",'El og plugin hybrid'!K$47,'El og plugin hybrid'!K$48))*(1+'El og plugin hybrid'!K$61)^-$C203</f>
        <v>0</v>
      </c>
      <c r="L203" s="318">
        <f>IF('El og plugin hybrid'!K$70="el",K135,IF('El og plugin hybrid'!K$70="plugin hybrid benzin",K135+K158,IF('El og plugin hybrid'!K$70="plugin hybrid diesel",K135+K181,0)))</f>
        <v>0</v>
      </c>
      <c r="M203" s="505">
        <f>N203*IF('El og plugin hybrid'!M$34="nej",0,IF('El og plugin hybrid'!M$46="ja",'El og plugin hybrid'!M$47,'El og plugin hybrid'!M$48))*(1+'El og plugin hybrid'!M$61)^-$C203</f>
        <v>0</v>
      </c>
      <c r="N203" s="318">
        <f>IF('El og plugin hybrid'!M$70="el",M135,IF('El og plugin hybrid'!M$70="plugin hybrid benzin",M135+M158,IF('El og plugin hybrid'!M$70="plugin hybrid diesel",M135+M181,0)))</f>
        <v>0</v>
      </c>
      <c r="O203" s="505">
        <f>P203*IF('El og plugin hybrid'!O$34="nej",0,IF('El og plugin hybrid'!O$46="ja",'El og plugin hybrid'!O$47,'El og plugin hybrid'!O$48))*(1+'El og plugin hybrid'!O$61)^-$C203</f>
        <v>0</v>
      </c>
      <c r="P203" s="318">
        <f>IF('El og plugin hybrid'!O$70="el",O135,IF('El og plugin hybrid'!O$70="plugin hybrid benzin",O135+O158,IF('El og plugin hybrid'!O$70="plugin hybrid diesel",O135+O181,0)))</f>
        <v>0</v>
      </c>
      <c r="Q203" s="505">
        <f>R203*IF('El og plugin hybrid'!Q$34="nej",0,IF('El og plugin hybrid'!Q$46="ja",'El og plugin hybrid'!Q$47,'El og plugin hybrid'!Q$48))*(1+'El og plugin hybrid'!Q$61)^-$C203</f>
        <v>0</v>
      </c>
      <c r="R203" s="318">
        <f>IF('El og plugin hybrid'!Q$70="el",Q135,IF('El og plugin hybrid'!Q$70="plugin hybrid benzin",Q135+Q158,IF('El og plugin hybrid'!Q$70="plugin hybrid diesel",Q135+Q181,0)))</f>
        <v>0</v>
      </c>
      <c r="S203" s="505">
        <f>T203*IF('El og plugin hybrid'!S$34="nej",0,IF('El og plugin hybrid'!S$46="ja",'El og plugin hybrid'!S$47,'El og plugin hybrid'!S$48))*(1+'El og plugin hybrid'!S$61)^-$C203</f>
        <v>0</v>
      </c>
      <c r="T203" s="318">
        <f>IF('El og plugin hybrid'!S$70="el",S135,IF('El og plugin hybrid'!S$70="plugin hybrid benzin",S135+S158,IF('El og plugin hybrid'!S$70="plugin hybrid diesel",S135+S181,0)))</f>
        <v>0</v>
      </c>
      <c r="U203" s="505">
        <f>V203*IF('El og plugin hybrid'!U$34="nej",0,IF('El og plugin hybrid'!U$46="ja",'El og plugin hybrid'!U$47,'El og plugin hybrid'!U$48))*(1+'El og plugin hybrid'!U$61)^-$C203</f>
        <v>0</v>
      </c>
      <c r="V203" s="318">
        <f>IF('El og plugin hybrid'!U$70="el",U135,IF('El og plugin hybrid'!U$70="plugin hybrid benzin",U135+U158,IF('El og plugin hybrid'!U$70="plugin hybrid diesel",U135+U181,0)))</f>
        <v>0</v>
      </c>
      <c r="W203" s="505">
        <f>X203*IF('El og plugin hybrid'!W$34="nej",0,IF('El og plugin hybrid'!W$46="ja",'El og plugin hybrid'!W$47,'El og plugin hybrid'!W$48))*(1+'El og plugin hybrid'!W$61)^-$C203</f>
        <v>0</v>
      </c>
      <c r="X203" s="318">
        <f>IF('El og plugin hybrid'!W$70="el",W135,IF('El og plugin hybrid'!W$70="plugin hybrid benzin",W135+W158,IF('El og plugin hybrid'!W$70="plugin hybrid diesel",W135+W181,0)))</f>
        <v>0</v>
      </c>
    </row>
    <row r="204" spans="1:24">
      <c r="A204" s="312"/>
      <c r="B204" s="306">
        <v>18</v>
      </c>
      <c r="C204" s="306">
        <f t="shared" si="9"/>
        <v>18</v>
      </c>
      <c r="D204" s="306"/>
      <c r="E204" s="505">
        <f>F204*IF('El og plugin hybrid'!E$34="nej",0,IF('El og plugin hybrid'!E$46="ja",'El og plugin hybrid'!E$47,'El og plugin hybrid'!E$48))*(1+'El og plugin hybrid'!E$61)^-$C204</f>
        <v>0</v>
      </c>
      <c r="F204" s="318">
        <f>IF('El og plugin hybrid'!E$70="el",E136,IF('El og plugin hybrid'!E$70="plugin hybrid benzin",E136+E159,IF('El og plugin hybrid'!E$70="plugin hybrid diesel",E136+E182,0)))</f>
        <v>0</v>
      </c>
      <c r="G204" s="505">
        <f>H204*IF('El og plugin hybrid'!G$34="nej",0,IF('El og plugin hybrid'!G$46="ja",'El og plugin hybrid'!G$47,'El og plugin hybrid'!G$48))*(1+'El og plugin hybrid'!G$61)^-$C204</f>
        <v>0</v>
      </c>
      <c r="H204" s="318">
        <f>IF('El og plugin hybrid'!G$70="el",G136,IF('El og plugin hybrid'!G$70="plugin hybrid benzin",G136+G159,IF('El og plugin hybrid'!G$70="plugin hybrid diesel",G136+G182,0)))</f>
        <v>0</v>
      </c>
      <c r="I204" s="505">
        <f>J204*IF('El og plugin hybrid'!I$34="nej",0,IF('El og plugin hybrid'!I$46="ja",'El og plugin hybrid'!I$47,'El og plugin hybrid'!I$48))*(1+'El og plugin hybrid'!I$61)^-$C204</f>
        <v>0</v>
      </c>
      <c r="J204" s="318">
        <f>IF('El og plugin hybrid'!I$70="el",I136,IF('El og plugin hybrid'!I$70="plugin hybrid benzin",I136+I159,IF('El og plugin hybrid'!I$70="plugin hybrid diesel",I136+I182,0)))</f>
        <v>0</v>
      </c>
      <c r="K204" s="505">
        <f>L204*IF('El og plugin hybrid'!K$34="nej",0,IF('El og plugin hybrid'!K$46="ja",'El og plugin hybrid'!K$47,'El og plugin hybrid'!K$48))*(1+'El og plugin hybrid'!K$61)^-$C204</f>
        <v>0</v>
      </c>
      <c r="L204" s="318">
        <f>IF('El og plugin hybrid'!K$70="el",K136,IF('El og plugin hybrid'!K$70="plugin hybrid benzin",K136+K159,IF('El og plugin hybrid'!K$70="plugin hybrid diesel",K136+K182,0)))</f>
        <v>0</v>
      </c>
      <c r="M204" s="505">
        <f>N204*IF('El og plugin hybrid'!M$34="nej",0,IF('El og plugin hybrid'!M$46="ja",'El og plugin hybrid'!M$47,'El og plugin hybrid'!M$48))*(1+'El og plugin hybrid'!M$61)^-$C204</f>
        <v>0</v>
      </c>
      <c r="N204" s="318">
        <f>IF('El og plugin hybrid'!M$70="el",M136,IF('El og plugin hybrid'!M$70="plugin hybrid benzin",M136+M159,IF('El og plugin hybrid'!M$70="plugin hybrid diesel",M136+M182,0)))</f>
        <v>0</v>
      </c>
      <c r="O204" s="505">
        <f>P204*IF('El og plugin hybrid'!O$34="nej",0,IF('El og plugin hybrid'!O$46="ja",'El og plugin hybrid'!O$47,'El og plugin hybrid'!O$48))*(1+'El og plugin hybrid'!O$61)^-$C204</f>
        <v>0</v>
      </c>
      <c r="P204" s="318">
        <f>IF('El og plugin hybrid'!O$70="el",O136,IF('El og plugin hybrid'!O$70="plugin hybrid benzin",O136+O159,IF('El og plugin hybrid'!O$70="plugin hybrid diesel",O136+O182,0)))</f>
        <v>0</v>
      </c>
      <c r="Q204" s="505">
        <f>R204*IF('El og plugin hybrid'!Q$34="nej",0,IF('El og plugin hybrid'!Q$46="ja",'El og plugin hybrid'!Q$47,'El og plugin hybrid'!Q$48))*(1+'El og plugin hybrid'!Q$61)^-$C204</f>
        <v>0</v>
      </c>
      <c r="R204" s="318">
        <f>IF('El og plugin hybrid'!Q$70="el",Q136,IF('El og plugin hybrid'!Q$70="plugin hybrid benzin",Q136+Q159,IF('El og plugin hybrid'!Q$70="plugin hybrid diesel",Q136+Q182,0)))</f>
        <v>0</v>
      </c>
      <c r="S204" s="505">
        <f>T204*IF('El og plugin hybrid'!S$34="nej",0,IF('El og plugin hybrid'!S$46="ja",'El og plugin hybrid'!S$47,'El og plugin hybrid'!S$48))*(1+'El og plugin hybrid'!S$61)^-$C204</f>
        <v>0</v>
      </c>
      <c r="T204" s="318">
        <f>IF('El og plugin hybrid'!S$70="el",S136,IF('El og plugin hybrid'!S$70="plugin hybrid benzin",S136+S159,IF('El og plugin hybrid'!S$70="plugin hybrid diesel",S136+S182,0)))</f>
        <v>0</v>
      </c>
      <c r="U204" s="505">
        <f>V204*IF('El og plugin hybrid'!U$34="nej",0,IF('El og plugin hybrid'!U$46="ja",'El og plugin hybrid'!U$47,'El og plugin hybrid'!U$48))*(1+'El og plugin hybrid'!U$61)^-$C204</f>
        <v>0</v>
      </c>
      <c r="V204" s="318">
        <f>IF('El og plugin hybrid'!U$70="el",U136,IF('El og plugin hybrid'!U$70="plugin hybrid benzin",U136+U159,IF('El og plugin hybrid'!U$70="plugin hybrid diesel",U136+U182,0)))</f>
        <v>0</v>
      </c>
      <c r="W204" s="505">
        <f>X204*IF('El og plugin hybrid'!W$34="nej",0,IF('El og plugin hybrid'!W$46="ja",'El og plugin hybrid'!W$47,'El og plugin hybrid'!W$48))*(1+'El og plugin hybrid'!W$61)^-$C204</f>
        <v>0</v>
      </c>
      <c r="X204" s="318">
        <f>IF('El og plugin hybrid'!W$70="el",W136,IF('El og plugin hybrid'!W$70="plugin hybrid benzin",W136+W159,IF('El og plugin hybrid'!W$70="plugin hybrid diesel",W136+W182,0)))</f>
        <v>0</v>
      </c>
    </row>
    <row r="205" spans="1:24">
      <c r="A205" s="312"/>
      <c r="B205" s="306">
        <v>19</v>
      </c>
      <c r="C205" s="306">
        <f t="shared" si="9"/>
        <v>19</v>
      </c>
      <c r="D205" s="306"/>
      <c r="E205" s="505">
        <f>F205*IF('El og plugin hybrid'!E$34="nej",0,IF('El og plugin hybrid'!E$46="ja",'El og plugin hybrid'!E$47,'El og plugin hybrid'!E$48))*(1+'El og plugin hybrid'!E$61)^-$C205</f>
        <v>0</v>
      </c>
      <c r="F205" s="318">
        <f>IF('El og plugin hybrid'!E$70="el",E137,IF('El og plugin hybrid'!E$70="plugin hybrid benzin",E137+E160,IF('El og plugin hybrid'!E$70="plugin hybrid diesel",E137+E183,0)))</f>
        <v>0</v>
      </c>
      <c r="G205" s="505">
        <f>H205*IF('El og plugin hybrid'!G$34="nej",0,IF('El og plugin hybrid'!G$46="ja",'El og plugin hybrid'!G$47,'El og plugin hybrid'!G$48))*(1+'El og plugin hybrid'!G$61)^-$C205</f>
        <v>0</v>
      </c>
      <c r="H205" s="318">
        <f>IF('El og plugin hybrid'!G$70="el",G137,IF('El og plugin hybrid'!G$70="plugin hybrid benzin",G137+G160,IF('El og plugin hybrid'!G$70="plugin hybrid diesel",G137+G183,0)))</f>
        <v>0</v>
      </c>
      <c r="I205" s="505">
        <f>J205*IF('El og plugin hybrid'!I$34="nej",0,IF('El og plugin hybrid'!I$46="ja",'El og plugin hybrid'!I$47,'El og plugin hybrid'!I$48))*(1+'El og plugin hybrid'!I$61)^-$C205</f>
        <v>0</v>
      </c>
      <c r="J205" s="318">
        <f>IF('El og plugin hybrid'!I$70="el",I137,IF('El og plugin hybrid'!I$70="plugin hybrid benzin",I137+I160,IF('El og plugin hybrid'!I$70="plugin hybrid diesel",I137+I183,0)))</f>
        <v>0</v>
      </c>
      <c r="K205" s="505">
        <f>L205*IF('El og plugin hybrid'!K$34="nej",0,IF('El og plugin hybrid'!K$46="ja",'El og plugin hybrid'!K$47,'El og plugin hybrid'!K$48))*(1+'El og plugin hybrid'!K$61)^-$C205</f>
        <v>0</v>
      </c>
      <c r="L205" s="318">
        <f>IF('El og plugin hybrid'!K$70="el",K137,IF('El og plugin hybrid'!K$70="plugin hybrid benzin",K137+K160,IF('El og plugin hybrid'!K$70="plugin hybrid diesel",K137+K183,0)))</f>
        <v>0</v>
      </c>
      <c r="M205" s="505">
        <f>N205*IF('El og plugin hybrid'!M$34="nej",0,IF('El og plugin hybrid'!M$46="ja",'El og plugin hybrid'!M$47,'El og plugin hybrid'!M$48))*(1+'El og plugin hybrid'!M$61)^-$C205</f>
        <v>0</v>
      </c>
      <c r="N205" s="318">
        <f>IF('El og plugin hybrid'!M$70="el",M137,IF('El og plugin hybrid'!M$70="plugin hybrid benzin",M137+M160,IF('El og plugin hybrid'!M$70="plugin hybrid diesel",M137+M183,0)))</f>
        <v>0</v>
      </c>
      <c r="O205" s="505">
        <f>P205*IF('El og plugin hybrid'!O$34="nej",0,IF('El og plugin hybrid'!O$46="ja",'El og plugin hybrid'!O$47,'El og plugin hybrid'!O$48))*(1+'El og plugin hybrid'!O$61)^-$C205</f>
        <v>0</v>
      </c>
      <c r="P205" s="318">
        <f>IF('El og plugin hybrid'!O$70="el",O137,IF('El og plugin hybrid'!O$70="plugin hybrid benzin",O137+O160,IF('El og plugin hybrid'!O$70="plugin hybrid diesel",O137+O183,0)))</f>
        <v>0</v>
      </c>
      <c r="Q205" s="505">
        <f>R205*IF('El og plugin hybrid'!Q$34="nej",0,IF('El og plugin hybrid'!Q$46="ja",'El og plugin hybrid'!Q$47,'El og plugin hybrid'!Q$48))*(1+'El og plugin hybrid'!Q$61)^-$C205</f>
        <v>0</v>
      </c>
      <c r="R205" s="318">
        <f>IF('El og plugin hybrid'!Q$70="el",Q137,IF('El og plugin hybrid'!Q$70="plugin hybrid benzin",Q137+Q160,IF('El og plugin hybrid'!Q$70="plugin hybrid diesel",Q137+Q183,0)))</f>
        <v>0</v>
      </c>
      <c r="S205" s="505">
        <f>T205*IF('El og plugin hybrid'!S$34="nej",0,IF('El og plugin hybrid'!S$46="ja",'El og plugin hybrid'!S$47,'El og plugin hybrid'!S$48))*(1+'El og plugin hybrid'!S$61)^-$C205</f>
        <v>0</v>
      </c>
      <c r="T205" s="318">
        <f>IF('El og plugin hybrid'!S$70="el",S137,IF('El og plugin hybrid'!S$70="plugin hybrid benzin",S137+S160,IF('El og plugin hybrid'!S$70="plugin hybrid diesel",S137+S183,0)))</f>
        <v>0</v>
      </c>
      <c r="U205" s="505">
        <f>V205*IF('El og plugin hybrid'!U$34="nej",0,IF('El og plugin hybrid'!U$46="ja",'El og plugin hybrid'!U$47,'El og plugin hybrid'!U$48))*(1+'El og plugin hybrid'!U$61)^-$C205</f>
        <v>0</v>
      </c>
      <c r="V205" s="318">
        <f>IF('El og plugin hybrid'!U$70="el",U137,IF('El og plugin hybrid'!U$70="plugin hybrid benzin",U137+U160,IF('El og plugin hybrid'!U$70="plugin hybrid diesel",U137+U183,0)))</f>
        <v>0</v>
      </c>
      <c r="W205" s="505">
        <f>X205*IF('El og plugin hybrid'!W$34="nej",0,IF('El og plugin hybrid'!W$46="ja",'El og plugin hybrid'!W$47,'El og plugin hybrid'!W$48))*(1+'El og plugin hybrid'!W$61)^-$C205</f>
        <v>0</v>
      </c>
      <c r="X205" s="318">
        <f>IF('El og plugin hybrid'!W$70="el",W137,IF('El og plugin hybrid'!W$70="plugin hybrid benzin",W137+W160,IF('El og plugin hybrid'!W$70="plugin hybrid diesel",W137+W183,0)))</f>
        <v>0</v>
      </c>
    </row>
    <row r="206" spans="1:24">
      <c r="A206" s="315"/>
      <c r="B206" s="290">
        <v>20</v>
      </c>
      <c r="C206" s="290">
        <f t="shared" si="9"/>
        <v>20</v>
      </c>
      <c r="D206" s="290"/>
      <c r="E206" s="505">
        <f>F206*IF('El og plugin hybrid'!E$34="nej",0,IF('El og plugin hybrid'!E$46="ja",'El og plugin hybrid'!E$47,'El og plugin hybrid'!E$48))*(1+'El og plugin hybrid'!E$61)^-$C206</f>
        <v>0</v>
      </c>
      <c r="F206" s="318">
        <f>IF('El og plugin hybrid'!E$70="el",E138,IF('El og plugin hybrid'!E$70="plugin hybrid benzin",E138+E161,IF('El og plugin hybrid'!E$70="plugin hybrid diesel",E138+E184,0)))</f>
        <v>0</v>
      </c>
      <c r="G206" s="505">
        <f>H206*IF('El og plugin hybrid'!G$34="nej",0,IF('El og plugin hybrid'!G$46="ja",'El og plugin hybrid'!G$47,'El og plugin hybrid'!G$48))*(1+'El og plugin hybrid'!G$61)^-$C206</f>
        <v>0</v>
      </c>
      <c r="H206" s="318">
        <f>IF('El og plugin hybrid'!G$70="el",G138,IF('El og plugin hybrid'!G$70="plugin hybrid benzin",G138+G161,IF('El og plugin hybrid'!G$70="plugin hybrid diesel",G138+G184,0)))</f>
        <v>0</v>
      </c>
      <c r="I206" s="505">
        <f>J206*IF('El og plugin hybrid'!I$34="nej",0,IF('El og plugin hybrid'!I$46="ja",'El og plugin hybrid'!I$47,'El og plugin hybrid'!I$48))*(1+'El og plugin hybrid'!I$61)^-$C206</f>
        <v>0</v>
      </c>
      <c r="J206" s="318">
        <f>IF('El og plugin hybrid'!I$70="el",I138,IF('El og plugin hybrid'!I$70="plugin hybrid benzin",I138+I161,IF('El og plugin hybrid'!I$70="plugin hybrid diesel",I138+I184,0)))</f>
        <v>0</v>
      </c>
      <c r="K206" s="505">
        <f>L206*IF('El og plugin hybrid'!K$34="nej",0,IF('El og plugin hybrid'!K$46="ja",'El og plugin hybrid'!K$47,'El og plugin hybrid'!K$48))*(1+'El og plugin hybrid'!K$61)^-$C206</f>
        <v>0</v>
      </c>
      <c r="L206" s="318">
        <f>IF('El og plugin hybrid'!K$70="el",K138,IF('El og plugin hybrid'!K$70="plugin hybrid benzin",K138+K161,IF('El og plugin hybrid'!K$70="plugin hybrid diesel",K138+K184,0)))</f>
        <v>0</v>
      </c>
      <c r="M206" s="505">
        <f>N206*IF('El og plugin hybrid'!M$34="nej",0,IF('El og plugin hybrid'!M$46="ja",'El og plugin hybrid'!M$47,'El og plugin hybrid'!M$48))*(1+'El og plugin hybrid'!M$61)^-$C206</f>
        <v>0</v>
      </c>
      <c r="N206" s="318">
        <f>IF('El og plugin hybrid'!M$70="el",M138,IF('El og plugin hybrid'!M$70="plugin hybrid benzin",M138+M161,IF('El og plugin hybrid'!M$70="plugin hybrid diesel",M138+M184,0)))</f>
        <v>0</v>
      </c>
      <c r="O206" s="505">
        <f>P206*IF('El og plugin hybrid'!O$34="nej",0,IF('El og plugin hybrid'!O$46="ja",'El og plugin hybrid'!O$47,'El og plugin hybrid'!O$48))*(1+'El og plugin hybrid'!O$61)^-$C206</f>
        <v>0</v>
      </c>
      <c r="P206" s="318">
        <f>IF('El og plugin hybrid'!O$70="el",O138,IF('El og plugin hybrid'!O$70="plugin hybrid benzin",O138+O161,IF('El og plugin hybrid'!O$70="plugin hybrid diesel",O138+O184,0)))</f>
        <v>0</v>
      </c>
      <c r="Q206" s="505">
        <f>R206*IF('El og plugin hybrid'!Q$34="nej",0,IF('El og plugin hybrid'!Q$46="ja",'El og plugin hybrid'!Q$47,'El og plugin hybrid'!Q$48))*(1+'El og plugin hybrid'!Q$61)^-$C206</f>
        <v>0</v>
      </c>
      <c r="R206" s="318">
        <f>IF('El og plugin hybrid'!Q$70="el",Q138,IF('El og plugin hybrid'!Q$70="plugin hybrid benzin",Q138+Q161,IF('El og plugin hybrid'!Q$70="plugin hybrid diesel",Q138+Q184,0)))</f>
        <v>0</v>
      </c>
      <c r="S206" s="505">
        <f>T206*IF('El og plugin hybrid'!S$34="nej",0,IF('El og plugin hybrid'!S$46="ja",'El og plugin hybrid'!S$47,'El og plugin hybrid'!S$48))*(1+'El og plugin hybrid'!S$61)^-$C206</f>
        <v>0</v>
      </c>
      <c r="T206" s="318">
        <f>IF('El og plugin hybrid'!S$70="el",S138,IF('El og plugin hybrid'!S$70="plugin hybrid benzin",S138+S161,IF('El og plugin hybrid'!S$70="plugin hybrid diesel",S138+S184,0)))</f>
        <v>0</v>
      </c>
      <c r="U206" s="505">
        <f>V206*IF('El og plugin hybrid'!U$34="nej",0,IF('El og plugin hybrid'!U$46="ja",'El og plugin hybrid'!U$47,'El og plugin hybrid'!U$48))*(1+'El og plugin hybrid'!U$61)^-$C206</f>
        <v>0</v>
      </c>
      <c r="V206" s="318">
        <f>IF('El og plugin hybrid'!U$70="el",U138,IF('El og plugin hybrid'!U$70="plugin hybrid benzin",U138+U161,IF('El og plugin hybrid'!U$70="plugin hybrid diesel",U138+U184,0)))</f>
        <v>0</v>
      </c>
      <c r="W206" s="505">
        <f>X206*IF('El og plugin hybrid'!W$34="nej",0,IF('El og plugin hybrid'!W$46="ja",'El og plugin hybrid'!W$47,'El og plugin hybrid'!W$48))*(1+'El og plugin hybrid'!W$61)^-$C206</f>
        <v>0</v>
      </c>
      <c r="X206" s="318">
        <f>IF('El og plugin hybrid'!W$70="el",W138,IF('El og plugin hybrid'!W$70="plugin hybrid benzin",W138+W161,IF('El og plugin hybrid'!W$70="plugin hybrid diesel",W138+W184,0)))</f>
        <v>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87852-4099-49EF-8D9B-9CA2FD4D6F60}">
  <sheetPr codeName="Sheet7">
    <tabColor rgb="FF92D050"/>
    <pageSetUpPr autoPageBreaks="0"/>
  </sheetPr>
  <dimension ref="A1:AL166"/>
  <sheetViews>
    <sheetView showGridLines="0" zoomScaleNormal="100" zoomScaleSheetLayoutView="80" zoomScalePageLayoutView="80" workbookViewId="0"/>
  </sheetViews>
  <sheetFormatPr defaultColWidth="0" defaultRowHeight="14.6" zeroHeight="1"/>
  <cols>
    <col min="1" max="1" width="4.15234375" style="354" customWidth="1"/>
    <col min="2" max="2" width="4.15234375" style="447" customWidth="1"/>
    <col min="3" max="3" width="70" style="354" customWidth="1"/>
    <col min="4" max="4" width="23.69140625" style="448" customWidth="1"/>
    <col min="5" max="5" width="17.69140625" style="354" customWidth="1"/>
    <col min="6" max="6" width="4.69140625" style="354" customWidth="1"/>
    <col min="7" max="7" width="18" style="354" customWidth="1"/>
    <col min="8" max="8" width="4.69140625" style="354" customWidth="1"/>
    <col min="9" max="9" width="17.69140625" style="354" customWidth="1"/>
    <col min="10" max="10" width="4.69140625" style="354" customWidth="1"/>
    <col min="11" max="11" width="17.69140625" style="354" customWidth="1"/>
    <col min="12" max="12" width="4.69140625" style="354" customWidth="1"/>
    <col min="13" max="13" width="17.3828125" style="354" customWidth="1"/>
    <col min="14" max="14" width="4.69140625" style="354" customWidth="1"/>
    <col min="15" max="15" width="18" style="354" customWidth="1"/>
    <col min="16" max="17" width="4.69140625" style="354" customWidth="1"/>
    <col min="18" max="18" width="6" style="354" customWidth="1"/>
    <col min="19" max="19" width="3.69140625" style="354" customWidth="1"/>
    <col min="20" max="20" width="36.84375" style="354" customWidth="1"/>
    <col min="21" max="23" width="8.84375" style="354" customWidth="1"/>
    <col min="24" max="24" width="39.3046875" style="354" customWidth="1"/>
    <col min="25" max="25" width="8.84375" style="354" customWidth="1"/>
    <col min="26" max="38" width="0" style="354" hidden="1" customWidth="1"/>
    <col min="39" max="16384" width="8.84375" style="354" hidden="1"/>
  </cols>
  <sheetData>
    <row r="1" spans="1:38"/>
    <row r="2" spans="1:38" ht="26.25" customHeight="1">
      <c r="A2" s="350"/>
      <c r="B2" s="351" t="s">
        <v>116</v>
      </c>
      <c r="C2" s="350"/>
      <c r="D2" s="352"/>
      <c r="E2" s="353"/>
      <c r="F2" s="353"/>
      <c r="G2" s="353"/>
      <c r="H2" s="353"/>
      <c r="I2" s="353"/>
      <c r="J2" s="353"/>
      <c r="K2" s="353"/>
      <c r="L2" s="353"/>
      <c r="M2" s="353"/>
      <c r="N2" s="353"/>
      <c r="O2" s="353"/>
      <c r="P2" s="350"/>
      <c r="Q2" s="350"/>
      <c r="R2" s="353"/>
      <c r="T2" s="350"/>
      <c r="U2" s="350"/>
      <c r="V2" s="350"/>
      <c r="W2" s="350"/>
      <c r="X2" s="350"/>
    </row>
    <row r="3" spans="1:38" s="361" customFormat="1" ht="27.45">
      <c r="A3" s="355"/>
      <c r="B3" s="356" t="s">
        <v>236</v>
      </c>
      <c r="C3" s="357"/>
      <c r="D3" s="358"/>
      <c r="E3" s="359"/>
      <c r="F3" s="359"/>
      <c r="G3" s="359"/>
      <c r="H3" s="359"/>
      <c r="I3" s="359"/>
      <c r="J3" s="359"/>
      <c r="K3" s="359"/>
      <c r="L3" s="359"/>
      <c r="M3" s="359"/>
      <c r="N3" s="359"/>
      <c r="O3" s="359"/>
      <c r="P3" s="357"/>
      <c r="Q3" s="357"/>
      <c r="R3" s="359"/>
      <c r="S3" s="360"/>
      <c r="T3" s="357"/>
      <c r="U3" s="357"/>
      <c r="V3" s="357"/>
      <c r="W3" s="357"/>
      <c r="X3" s="357"/>
      <c r="Y3" s="360"/>
      <c r="Z3" s="360"/>
      <c r="AA3" s="360"/>
      <c r="AB3" s="360"/>
      <c r="AC3" s="360"/>
      <c r="AD3" s="360"/>
      <c r="AE3" s="360"/>
      <c r="AF3" s="360"/>
      <c r="AG3" s="360"/>
      <c r="AH3" s="360"/>
      <c r="AI3" s="360"/>
      <c r="AJ3" s="360"/>
      <c r="AK3" s="360"/>
      <c r="AL3" s="360"/>
    </row>
    <row r="4" spans="1:38" s="367" customFormat="1" ht="51.75" customHeight="1">
      <c r="A4" s="362"/>
      <c r="B4" s="363" t="s">
        <v>117</v>
      </c>
      <c r="C4" s="362"/>
      <c r="D4" s="364"/>
      <c r="E4" s="365"/>
      <c r="F4" s="365"/>
      <c r="G4" s="365"/>
      <c r="H4" s="365"/>
      <c r="I4" s="365"/>
      <c r="J4" s="365"/>
      <c r="K4" s="365"/>
      <c r="L4" s="365"/>
      <c r="M4" s="365"/>
      <c r="N4" s="365"/>
      <c r="O4" s="365"/>
      <c r="P4" s="362"/>
      <c r="Q4" s="362"/>
      <c r="R4" s="365"/>
      <c r="S4" s="366"/>
      <c r="T4" s="362"/>
      <c r="U4" s="362"/>
      <c r="V4" s="362"/>
      <c r="W4" s="362"/>
      <c r="X4" s="362"/>
      <c r="Y4" s="366"/>
      <c r="Z4" s="366"/>
      <c r="AA4" s="366"/>
      <c r="AB4" s="366"/>
      <c r="AC4" s="366"/>
      <c r="AD4" s="366"/>
      <c r="AE4" s="366"/>
      <c r="AF4" s="366"/>
      <c r="AG4" s="366"/>
      <c r="AH4" s="366"/>
      <c r="AI4" s="366"/>
      <c r="AJ4" s="366"/>
      <c r="AK4" s="366"/>
      <c r="AL4" s="366"/>
    </row>
    <row r="5" spans="1:38" s="367" customFormat="1" ht="17.600000000000001">
      <c r="A5" s="362"/>
      <c r="B5" s="363"/>
      <c r="C5" s="362"/>
      <c r="D5" s="364"/>
      <c r="E5" s="365"/>
      <c r="F5" s="365"/>
      <c r="G5" s="365"/>
      <c r="H5" s="365"/>
      <c r="I5" s="365"/>
      <c r="J5" s="365"/>
      <c r="K5" s="365"/>
      <c r="L5" s="365"/>
      <c r="M5" s="365"/>
      <c r="N5" s="365"/>
      <c r="O5" s="365"/>
      <c r="P5" s="362"/>
      <c r="Q5" s="362"/>
      <c r="R5" s="365"/>
      <c r="S5" s="366"/>
      <c r="T5" s="362"/>
      <c r="U5" s="362"/>
      <c r="V5" s="362"/>
      <c r="W5" s="362"/>
      <c r="X5" s="362"/>
      <c r="Y5" s="366"/>
      <c r="Z5" s="366"/>
      <c r="AA5" s="366"/>
      <c r="AB5" s="366"/>
      <c r="AC5" s="366"/>
      <c r="AD5" s="366"/>
      <c r="AE5" s="366"/>
      <c r="AF5" s="366"/>
      <c r="AG5" s="366"/>
      <c r="AH5" s="366"/>
      <c r="AI5" s="366"/>
      <c r="AJ5" s="366"/>
      <c r="AK5" s="366"/>
      <c r="AL5" s="366"/>
    </row>
    <row r="6" spans="1:38">
      <c r="A6" s="350"/>
      <c r="B6" s="368"/>
      <c r="C6" s="350"/>
      <c r="D6" s="352"/>
      <c r="E6" s="353"/>
      <c r="F6" s="353"/>
      <c r="G6" s="353"/>
      <c r="H6" s="353"/>
      <c r="I6" s="353"/>
      <c r="J6" s="353"/>
      <c r="K6" s="353"/>
      <c r="L6" s="353"/>
      <c r="M6" s="353"/>
      <c r="N6" s="353"/>
      <c r="O6" s="353"/>
      <c r="P6" s="350"/>
      <c r="Q6" s="350"/>
      <c r="R6" s="353"/>
      <c r="S6" s="369"/>
      <c r="T6" s="350"/>
      <c r="U6" s="350"/>
      <c r="V6" s="350"/>
      <c r="W6" s="350"/>
      <c r="X6" s="350"/>
      <c r="Y6" s="369"/>
      <c r="Z6" s="369"/>
      <c r="AA6" s="369"/>
      <c r="AB6" s="369"/>
      <c r="AC6" s="369"/>
      <c r="AD6" s="369"/>
      <c r="AE6" s="369"/>
      <c r="AF6" s="369"/>
      <c r="AG6" s="369"/>
      <c r="AH6" s="369"/>
      <c r="AI6" s="369"/>
      <c r="AJ6" s="369"/>
      <c r="AK6" s="369"/>
      <c r="AL6" s="369"/>
    </row>
    <row r="7" spans="1:38" ht="17.600000000000001">
      <c r="A7" s="350"/>
      <c r="B7" s="370"/>
      <c r="C7" s="371"/>
      <c r="D7" s="371"/>
      <c r="E7" s="371"/>
      <c r="F7" s="372"/>
      <c r="G7" s="372"/>
      <c r="H7" s="372"/>
      <c r="I7" s="372"/>
      <c r="J7" s="372"/>
      <c r="K7" s="372"/>
      <c r="L7" s="372"/>
      <c r="M7" s="372"/>
      <c r="N7" s="372"/>
      <c r="O7" s="372"/>
      <c r="P7" s="372"/>
      <c r="Q7" s="373"/>
      <c r="R7" s="353"/>
      <c r="S7" s="369"/>
      <c r="T7" s="350"/>
      <c r="U7" s="350"/>
      <c r="V7" s="350"/>
      <c r="W7" s="350"/>
      <c r="X7" s="350"/>
      <c r="Y7" s="369"/>
      <c r="Z7" s="369"/>
      <c r="AA7" s="369"/>
      <c r="AB7" s="369"/>
      <c r="AC7" s="369"/>
      <c r="AD7" s="369"/>
      <c r="AE7" s="369"/>
      <c r="AF7" s="369"/>
      <c r="AG7" s="369"/>
      <c r="AH7" s="369"/>
      <c r="AI7" s="369"/>
      <c r="AJ7" s="369"/>
      <c r="AK7" s="369"/>
      <c r="AL7" s="369"/>
    </row>
    <row r="8" spans="1:38" s="361" customFormat="1" ht="17.600000000000001">
      <c r="A8" s="357"/>
      <c r="B8" s="374"/>
      <c r="C8" s="375" t="s">
        <v>118</v>
      </c>
      <c r="D8" s="376"/>
      <c r="E8" s="549" t="s">
        <v>119</v>
      </c>
      <c r="F8" s="549"/>
      <c r="G8" s="549"/>
      <c r="H8" s="549"/>
      <c r="I8" s="549"/>
      <c r="J8" s="376"/>
      <c r="K8" s="549" t="s">
        <v>237</v>
      </c>
      <c r="L8" s="549"/>
      <c r="M8" s="549"/>
      <c r="N8" s="549"/>
      <c r="O8" s="549"/>
      <c r="P8" s="377"/>
      <c r="Q8" s="378"/>
      <c r="R8" s="359"/>
      <c r="S8" s="360"/>
      <c r="T8" s="357"/>
      <c r="U8" s="357"/>
      <c r="V8" s="357"/>
      <c r="W8" s="357"/>
      <c r="X8" s="357"/>
      <c r="Y8" s="360"/>
      <c r="Z8" s="360"/>
      <c r="AA8" s="360"/>
      <c r="AB8" s="360"/>
      <c r="AC8" s="360"/>
      <c r="AD8" s="360"/>
      <c r="AE8" s="360"/>
      <c r="AF8" s="360"/>
      <c r="AG8" s="360"/>
      <c r="AH8" s="360"/>
      <c r="AI8" s="360"/>
      <c r="AJ8" s="360"/>
      <c r="AK8" s="360"/>
      <c r="AL8" s="360"/>
    </row>
    <row r="9" spans="1:38" s="361" customFormat="1" ht="17.600000000000001">
      <c r="A9" s="357"/>
      <c r="B9" s="374"/>
      <c r="C9" s="379"/>
      <c r="D9" s="376"/>
      <c r="E9" s="527"/>
      <c r="F9" s="493"/>
      <c r="G9" s="493"/>
      <c r="H9" s="493"/>
      <c r="I9" s="493"/>
      <c r="J9" s="493"/>
      <c r="K9" s="527"/>
      <c r="L9" s="493"/>
      <c r="M9" s="493"/>
      <c r="N9" s="493"/>
      <c r="O9" s="493"/>
      <c r="P9" s="377"/>
      <c r="Q9" s="378"/>
      <c r="R9" s="359"/>
      <c r="S9" s="360"/>
      <c r="T9" s="357"/>
      <c r="U9" s="357"/>
      <c r="V9" s="357"/>
      <c r="W9" s="357"/>
      <c r="X9" s="357"/>
      <c r="Y9" s="360"/>
      <c r="Z9" s="360"/>
      <c r="AA9" s="360"/>
      <c r="AB9" s="360"/>
      <c r="AC9" s="360"/>
      <c r="AD9" s="360"/>
      <c r="AE9" s="360"/>
      <c r="AF9" s="360"/>
      <c r="AG9" s="360"/>
      <c r="AH9" s="360"/>
      <c r="AI9" s="360"/>
      <c r="AJ9" s="360"/>
      <c r="AK9" s="360"/>
      <c r="AL9" s="360"/>
    </row>
    <row r="10" spans="1:38" s="361" customFormat="1" ht="17.600000000000001">
      <c r="A10" s="357"/>
      <c r="B10" s="374"/>
      <c r="C10" s="379"/>
      <c r="D10" s="376"/>
      <c r="E10" s="493" t="s">
        <v>181</v>
      </c>
      <c r="F10" s="493"/>
      <c r="G10" s="493" t="s">
        <v>182</v>
      </c>
      <c r="H10" s="493"/>
      <c r="I10" s="493" t="s">
        <v>183</v>
      </c>
      <c r="J10" s="493"/>
      <c r="K10" s="493" t="s">
        <v>181</v>
      </c>
      <c r="L10" s="493"/>
      <c r="M10" s="493" t="s">
        <v>182</v>
      </c>
      <c r="N10" s="493"/>
      <c r="O10" s="493" t="s">
        <v>183</v>
      </c>
      <c r="P10" s="377"/>
      <c r="Q10" s="378"/>
      <c r="R10" s="359"/>
      <c r="S10" s="360"/>
      <c r="T10" s="357"/>
      <c r="U10" s="357"/>
      <c r="V10" s="357"/>
      <c r="W10" s="357"/>
      <c r="X10" s="357"/>
      <c r="Y10" s="360"/>
      <c r="Z10" s="360"/>
      <c r="AA10" s="360"/>
      <c r="AB10" s="360"/>
      <c r="AC10" s="360"/>
      <c r="AD10" s="360"/>
      <c r="AE10" s="360"/>
      <c r="AF10" s="360"/>
      <c r="AG10" s="360"/>
      <c r="AH10" s="360"/>
      <c r="AI10" s="360"/>
      <c r="AJ10" s="360"/>
      <c r="AK10" s="360"/>
      <c r="AL10" s="360"/>
    </row>
    <row r="11" spans="1:38" s="361" customFormat="1" ht="17.600000000000001">
      <c r="A11" s="357"/>
      <c r="B11" s="374"/>
      <c r="C11" s="381"/>
      <c r="D11" s="376"/>
      <c r="E11" s="527"/>
      <c r="F11" s="493"/>
      <c r="G11" s="493"/>
      <c r="H11" s="493"/>
      <c r="I11" s="493"/>
      <c r="J11" s="493"/>
      <c r="K11" s="527"/>
      <c r="L11" s="493"/>
      <c r="M11" s="493"/>
      <c r="N11" s="493"/>
      <c r="O11" s="493"/>
      <c r="P11" s="377"/>
      <c r="Q11" s="378"/>
      <c r="R11" s="359"/>
      <c r="S11" s="360"/>
      <c r="T11" s="357"/>
      <c r="U11" s="357"/>
      <c r="V11" s="357"/>
      <c r="W11" s="357"/>
      <c r="X11" s="357"/>
      <c r="Y11" s="360"/>
      <c r="Z11" s="360"/>
      <c r="AA11" s="360"/>
      <c r="AB11" s="360"/>
      <c r="AC11" s="360"/>
      <c r="AD11" s="360"/>
      <c r="AE11" s="360"/>
      <c r="AF11" s="360"/>
      <c r="AG11" s="360"/>
      <c r="AH11" s="360"/>
      <c r="AI11" s="360"/>
      <c r="AJ11" s="360"/>
      <c r="AK11" s="360"/>
      <c r="AL11" s="360"/>
    </row>
    <row r="12" spans="1:38">
      <c r="A12" s="350"/>
      <c r="B12" s="382"/>
      <c r="C12" s="383" t="s">
        <v>5</v>
      </c>
      <c r="D12" s="384" t="s">
        <v>184</v>
      </c>
      <c r="E12" s="89" t="e">
        <f>INDEX('Benzin - diesel - hybrid'!$E$8:$W$84,1,MATCH($E$29,'Benzin - diesel - hybrid'!$E$84:$W$84,0))</f>
        <v>#NUM!</v>
      </c>
      <c r="F12" s="494"/>
      <c r="G12" s="89" t="e">
        <f>INDEX('Benzin - diesel - hybrid'!$E$8:$W$84,1,MATCH($G$29,'Benzin - diesel - hybrid'!$E$84:$W$84,0))</f>
        <v>#NUM!</v>
      </c>
      <c r="H12" s="494"/>
      <c r="I12" s="89" t="e">
        <f>INDEX('Benzin - diesel - hybrid'!$E$8:$W$84,1,MATCH($I$29,'Benzin - diesel - hybrid'!$E$84:$W$84,0))</f>
        <v>#NUM!</v>
      </c>
      <c r="J12" s="494"/>
      <c r="K12" s="89" t="e">
        <f>INDEX('El og plugin hybrid'!$E$8:$X$106,1,MATCH(K$29,'El og plugin hybrid'!$E$106:$W$106,0))</f>
        <v>#NUM!</v>
      </c>
      <c r="L12" s="494"/>
      <c r="M12" s="89" t="e">
        <f>INDEX('El og plugin hybrid'!$E$8:$X$106,1,MATCH(M$29,'El og plugin hybrid'!$E$106:$W$106,0))</f>
        <v>#NUM!</v>
      </c>
      <c r="N12" s="494"/>
      <c r="O12" s="89" t="e">
        <f>INDEX('El og plugin hybrid'!$E$8:$X$106,1,MATCH(O$29,'El og plugin hybrid'!$E$106:$W$106,0))</f>
        <v>#NUM!</v>
      </c>
      <c r="P12" s="386"/>
      <c r="Q12" s="387"/>
      <c r="R12" s="353"/>
      <c r="S12" s="369"/>
      <c r="T12" s="350"/>
      <c r="U12" s="350"/>
      <c r="V12" s="350"/>
      <c r="W12" s="350"/>
      <c r="X12" s="350"/>
      <c r="Y12" s="369"/>
      <c r="Z12" s="369"/>
      <c r="AA12" s="369"/>
      <c r="AB12" s="369"/>
      <c r="AC12" s="369"/>
      <c r="AD12" s="369"/>
      <c r="AE12" s="369"/>
      <c r="AF12" s="369"/>
      <c r="AG12" s="369"/>
      <c r="AH12" s="369"/>
      <c r="AI12" s="369"/>
      <c r="AJ12" s="369"/>
      <c r="AK12" s="369"/>
      <c r="AL12" s="369"/>
    </row>
    <row r="13" spans="1:38">
      <c r="A13" s="350"/>
      <c r="B13" s="382"/>
      <c r="C13" s="388" t="s">
        <v>35</v>
      </c>
      <c r="D13" s="384" t="s">
        <v>184</v>
      </c>
      <c r="E13" s="89" t="e">
        <f>HLOOKUP(E$12,'Benzin - diesel - hybrid'!$E$8:$X$86,2)</f>
        <v>#NUM!</v>
      </c>
      <c r="F13" s="494"/>
      <c r="G13" s="89" t="e">
        <f>HLOOKUP(G$12,'Benzin - diesel - hybrid'!$E$8:$X$86,2)</f>
        <v>#NUM!</v>
      </c>
      <c r="H13" s="494"/>
      <c r="I13" s="89" t="e">
        <f>HLOOKUP(I$12,'Benzin - diesel - hybrid'!$E$8:$X$86,2)</f>
        <v>#NUM!</v>
      </c>
      <c r="J13" s="494"/>
      <c r="K13" s="89" t="e">
        <f>HLOOKUP(K$12,'El og plugin hybrid'!$E$8:$X$106,2)</f>
        <v>#NUM!</v>
      </c>
      <c r="L13" s="494"/>
      <c r="M13" s="89" t="e">
        <f>HLOOKUP(M$12,'El og plugin hybrid'!$E$8:$X$106,2)</f>
        <v>#NUM!</v>
      </c>
      <c r="N13" s="494"/>
      <c r="O13" s="89" t="e">
        <f>HLOOKUP(O$12,'El og plugin hybrid'!$E$8:$X$106,2)</f>
        <v>#NUM!</v>
      </c>
      <c r="P13" s="386"/>
      <c r="Q13" s="387"/>
      <c r="R13" s="353"/>
      <c r="S13" s="369"/>
      <c r="T13" s="350"/>
      <c r="U13" s="350"/>
      <c r="V13" s="350"/>
      <c r="W13" s="350"/>
      <c r="X13" s="350"/>
      <c r="Y13" s="369"/>
      <c r="Z13" s="369"/>
      <c r="AA13" s="369"/>
      <c r="AB13" s="369"/>
      <c r="AC13" s="369"/>
      <c r="AD13" s="369"/>
      <c r="AE13" s="369"/>
      <c r="AF13" s="369"/>
      <c r="AG13" s="369"/>
      <c r="AH13" s="369"/>
      <c r="AI13" s="369"/>
      <c r="AJ13" s="369"/>
      <c r="AK13" s="369"/>
      <c r="AL13" s="369"/>
    </row>
    <row r="14" spans="1:38">
      <c r="A14" s="350"/>
      <c r="B14" s="382"/>
      <c r="C14" s="388" t="s">
        <v>36</v>
      </c>
      <c r="D14" s="384" t="s">
        <v>184</v>
      </c>
      <c r="E14" s="89" t="e">
        <f>HLOOKUP(E$12,'Benzin - diesel - hybrid'!$E$8:$X$86,3)</f>
        <v>#NUM!</v>
      </c>
      <c r="F14" s="494"/>
      <c r="G14" s="89" t="e">
        <f>HLOOKUP(G$12,'Benzin - diesel - hybrid'!$E$8:$X$86,3)</f>
        <v>#NUM!</v>
      </c>
      <c r="H14" s="494"/>
      <c r="I14" s="89" t="e">
        <f>HLOOKUP(I$12,'Benzin - diesel - hybrid'!$E$8:$X$86,3)</f>
        <v>#NUM!</v>
      </c>
      <c r="J14" s="494"/>
      <c r="K14" s="89" t="e">
        <f>HLOOKUP(K$12,'El og plugin hybrid'!$E$8:$X$106,3)</f>
        <v>#NUM!</v>
      </c>
      <c r="L14" s="494"/>
      <c r="M14" s="89" t="e">
        <f>HLOOKUP(M$12,'El og plugin hybrid'!$E$8:$X$106,3)</f>
        <v>#NUM!</v>
      </c>
      <c r="N14" s="494"/>
      <c r="O14" s="89" t="e">
        <f>HLOOKUP(O$12,'El og plugin hybrid'!$E$8:$X$106,3)</f>
        <v>#NUM!</v>
      </c>
      <c r="P14" s="386"/>
      <c r="Q14" s="387"/>
      <c r="R14" s="353"/>
      <c r="S14" s="369"/>
      <c r="T14" s="350"/>
      <c r="U14" s="350"/>
      <c r="V14" s="350"/>
      <c r="W14" s="350"/>
      <c r="X14" s="350"/>
      <c r="Y14" s="369"/>
      <c r="Z14" s="369"/>
      <c r="AA14" s="369"/>
      <c r="AB14" s="369"/>
      <c r="AC14" s="369"/>
      <c r="AD14" s="369"/>
      <c r="AE14" s="369"/>
      <c r="AF14" s="369"/>
      <c r="AG14" s="369"/>
      <c r="AH14" s="369"/>
      <c r="AI14" s="369"/>
      <c r="AJ14" s="369"/>
      <c r="AK14" s="369"/>
      <c r="AL14" s="369"/>
    </row>
    <row r="15" spans="1:38">
      <c r="A15" s="350"/>
      <c r="B15" s="382"/>
      <c r="C15" s="388"/>
      <c r="D15" s="384"/>
      <c r="E15" s="494"/>
      <c r="F15" s="494"/>
      <c r="G15" s="494"/>
      <c r="H15" s="494"/>
      <c r="I15" s="494"/>
      <c r="J15" s="494"/>
      <c r="K15" s="494"/>
      <c r="L15" s="494"/>
      <c r="M15" s="494"/>
      <c r="N15" s="494"/>
      <c r="O15" s="494"/>
      <c r="P15" s="386"/>
      <c r="Q15" s="387"/>
      <c r="R15" s="353"/>
      <c r="S15" s="369"/>
      <c r="T15" s="350"/>
      <c r="U15" s="350"/>
      <c r="V15" s="350"/>
      <c r="W15" s="350"/>
      <c r="X15" s="350"/>
      <c r="Y15" s="369"/>
      <c r="Z15" s="369"/>
      <c r="AA15" s="369"/>
      <c r="AB15" s="369"/>
      <c r="AC15" s="369"/>
      <c r="AD15" s="369"/>
      <c r="AE15" s="369"/>
      <c r="AF15" s="369"/>
      <c r="AG15" s="369"/>
      <c r="AH15" s="369"/>
      <c r="AI15" s="369"/>
      <c r="AJ15" s="369"/>
      <c r="AK15" s="369"/>
      <c r="AL15" s="369"/>
    </row>
    <row r="16" spans="1:38">
      <c r="A16" s="350"/>
      <c r="B16" s="382"/>
      <c r="C16" s="388"/>
      <c r="D16" s="384"/>
      <c r="E16" s="494"/>
      <c r="F16" s="494"/>
      <c r="G16" s="494"/>
      <c r="H16" s="494"/>
      <c r="I16" s="494"/>
      <c r="J16" s="385"/>
      <c r="K16" s="494"/>
      <c r="L16" s="494"/>
      <c r="M16" s="494"/>
      <c r="N16" s="494"/>
      <c r="O16" s="494"/>
      <c r="P16" s="386"/>
      <c r="Q16" s="387"/>
      <c r="R16" s="353"/>
      <c r="S16" s="369"/>
      <c r="T16" s="350"/>
      <c r="U16" s="350"/>
      <c r="V16" s="350"/>
      <c r="W16" s="350"/>
      <c r="X16" s="350"/>
      <c r="Y16" s="369"/>
      <c r="Z16" s="369"/>
      <c r="AA16" s="369"/>
      <c r="AB16" s="369"/>
      <c r="AC16" s="369"/>
      <c r="AD16" s="369"/>
      <c r="AE16" s="369"/>
      <c r="AF16" s="369"/>
      <c r="AG16" s="369"/>
      <c r="AH16" s="369"/>
      <c r="AI16" s="369"/>
      <c r="AJ16" s="369"/>
      <c r="AK16" s="369"/>
      <c r="AL16" s="369"/>
    </row>
    <row r="17" spans="1:38" ht="14.15" customHeight="1">
      <c r="A17" s="350"/>
      <c r="B17" s="389"/>
      <c r="C17" s="390"/>
      <c r="D17" s="391"/>
      <c r="E17" s="392"/>
      <c r="F17" s="392"/>
      <c r="G17" s="392"/>
      <c r="H17" s="392"/>
      <c r="I17" s="392"/>
      <c r="J17" s="392"/>
      <c r="K17" s="392"/>
      <c r="L17" s="392"/>
      <c r="M17" s="392"/>
      <c r="N17" s="392"/>
      <c r="O17" s="392"/>
      <c r="P17" s="390"/>
      <c r="Q17" s="393"/>
      <c r="R17" s="353"/>
      <c r="S17" s="369"/>
      <c r="T17" s="350"/>
      <c r="U17" s="350"/>
      <c r="V17" s="350"/>
      <c r="W17" s="350"/>
      <c r="X17" s="350"/>
      <c r="Y17" s="369"/>
      <c r="Z17" s="369"/>
      <c r="AA17" s="369"/>
      <c r="AB17" s="369"/>
      <c r="AC17" s="369"/>
      <c r="AD17" s="369"/>
      <c r="AE17" s="369"/>
      <c r="AF17" s="369"/>
      <c r="AG17" s="369"/>
      <c r="AH17" s="369"/>
      <c r="AI17" s="369"/>
      <c r="AJ17" s="369"/>
      <c r="AK17" s="369"/>
      <c r="AL17" s="369"/>
    </row>
    <row r="18" spans="1:38" ht="19" customHeight="1">
      <c r="A18" s="394"/>
      <c r="B18" s="395"/>
      <c r="C18" s="396"/>
      <c r="D18" s="397"/>
      <c r="E18" s="398"/>
      <c r="F18" s="398"/>
      <c r="G18" s="398"/>
      <c r="H18" s="398"/>
      <c r="I18" s="398"/>
      <c r="J18" s="398"/>
      <c r="K18" s="398"/>
      <c r="L18" s="398"/>
      <c r="M18" s="398"/>
      <c r="N18" s="398"/>
      <c r="O18" s="398"/>
      <c r="P18" s="396"/>
      <c r="Q18" s="399"/>
      <c r="R18" s="353"/>
      <c r="S18" s="369"/>
      <c r="T18" s="350"/>
      <c r="U18" s="350"/>
      <c r="V18" s="350"/>
      <c r="W18" s="350"/>
      <c r="X18" s="350"/>
      <c r="Y18" s="369"/>
      <c r="Z18" s="369"/>
      <c r="AA18" s="369"/>
      <c r="AB18" s="369"/>
      <c r="AC18" s="369"/>
      <c r="AD18" s="369"/>
      <c r="AE18" s="369"/>
      <c r="AF18" s="369"/>
      <c r="AG18" s="369"/>
      <c r="AH18" s="369"/>
      <c r="AI18" s="369"/>
      <c r="AJ18" s="369"/>
      <c r="AK18" s="369"/>
      <c r="AL18" s="369"/>
    </row>
    <row r="19" spans="1:38" ht="18" customHeight="1">
      <c r="A19" s="394"/>
      <c r="B19" s="400"/>
      <c r="C19" s="401" t="s">
        <v>121</v>
      </c>
      <c r="D19" s="402"/>
      <c r="E19" s="403"/>
      <c r="F19" s="403"/>
      <c r="G19" s="403"/>
      <c r="H19" s="403"/>
      <c r="I19" s="403"/>
      <c r="J19" s="403"/>
      <c r="K19" s="403"/>
      <c r="L19" s="403"/>
      <c r="M19" s="403"/>
      <c r="N19" s="403"/>
      <c r="O19" s="403"/>
      <c r="P19" s="404"/>
      <c r="Q19" s="405"/>
      <c r="R19" s="353"/>
      <c r="S19" s="369"/>
      <c r="T19" s="350"/>
      <c r="U19" s="350"/>
      <c r="V19" s="350"/>
      <c r="W19" s="350"/>
      <c r="X19" s="350"/>
      <c r="Y19" s="369"/>
      <c r="Z19" s="369"/>
      <c r="AA19" s="369"/>
      <c r="AB19" s="369"/>
      <c r="AC19" s="369"/>
      <c r="AD19" s="369"/>
      <c r="AE19" s="369"/>
      <c r="AF19" s="369"/>
      <c r="AG19" s="369"/>
      <c r="AH19" s="369"/>
      <c r="AI19" s="369"/>
      <c r="AJ19" s="369"/>
      <c r="AK19" s="369"/>
      <c r="AL19" s="369"/>
    </row>
    <row r="20" spans="1:38" ht="3" customHeight="1">
      <c r="A20" s="394"/>
      <c r="B20" s="406"/>
      <c r="C20" s="403"/>
      <c r="D20" s="407"/>
      <c r="E20" s="403"/>
      <c r="F20" s="403"/>
      <c r="G20" s="403"/>
      <c r="H20" s="403"/>
      <c r="I20" s="403"/>
      <c r="J20" s="403"/>
      <c r="K20" s="403"/>
      <c r="L20" s="403"/>
      <c r="M20" s="403"/>
      <c r="N20" s="403"/>
      <c r="O20" s="403"/>
      <c r="P20" s="404"/>
      <c r="Q20" s="405"/>
      <c r="R20" s="353"/>
      <c r="S20" s="369"/>
      <c r="T20" s="350"/>
      <c r="U20" s="350"/>
      <c r="V20" s="350"/>
      <c r="W20" s="350"/>
      <c r="X20" s="350"/>
      <c r="Y20" s="369"/>
      <c r="Z20" s="369"/>
      <c r="AA20" s="369"/>
      <c r="AB20" s="369"/>
      <c r="AC20" s="369"/>
      <c r="AD20" s="369"/>
      <c r="AE20" s="369"/>
      <c r="AF20" s="369"/>
      <c r="AG20" s="369"/>
      <c r="AH20" s="369"/>
      <c r="AI20" s="369"/>
      <c r="AJ20" s="369"/>
      <c r="AK20" s="369"/>
      <c r="AL20" s="369"/>
    </row>
    <row r="21" spans="1:38" ht="12" customHeight="1">
      <c r="A21" s="394"/>
      <c r="B21" s="408"/>
      <c r="C21" s="230" t="s">
        <v>188</v>
      </c>
      <c r="D21" s="230" t="s">
        <v>14</v>
      </c>
      <c r="E21" s="275" t="e">
        <f>HLOOKUP(E$12,'Benzin - diesel - hybrid'!$E$8:$X$86,69)</f>
        <v>#NUM!</v>
      </c>
      <c r="F21" s="409"/>
      <c r="G21" s="275" t="e">
        <f>HLOOKUP(G$12,'Benzin - diesel - hybrid'!$E$8:$X$86,69)</f>
        <v>#NUM!</v>
      </c>
      <c r="H21" s="409"/>
      <c r="I21" s="275" t="e">
        <f>HLOOKUP(I$12,'Benzin - diesel - hybrid'!$E$8:$X$86,69)</f>
        <v>#NUM!</v>
      </c>
      <c r="J21" s="409"/>
      <c r="K21" s="275" t="e">
        <f>HLOOKUP(K$12,'El og plugin hybrid'!$E$8:$X$106,91)</f>
        <v>#NUM!</v>
      </c>
      <c r="L21" s="409"/>
      <c r="M21" s="275" t="e">
        <f>HLOOKUP(M$12,'El og plugin hybrid'!$E$8:$X$106,91)</f>
        <v>#NUM!</v>
      </c>
      <c r="N21" s="409"/>
      <c r="O21" s="275" t="e">
        <f>HLOOKUP(O$12,'El og plugin hybrid'!$E$8:$X$106,91)</f>
        <v>#NUM!</v>
      </c>
      <c r="P21" s="409"/>
      <c r="Q21" s="405"/>
      <c r="R21" s="353"/>
      <c r="S21" s="369"/>
      <c r="T21" s="350"/>
      <c r="U21" s="350"/>
      <c r="V21" s="350"/>
      <c r="W21" s="350"/>
      <c r="X21" s="350"/>
      <c r="Y21" s="369"/>
      <c r="Z21" s="369"/>
      <c r="AA21" s="369"/>
      <c r="AB21" s="369"/>
      <c r="AC21" s="369"/>
      <c r="AD21" s="369"/>
      <c r="AE21" s="369"/>
      <c r="AF21" s="369"/>
      <c r="AG21" s="369"/>
      <c r="AH21" s="369"/>
      <c r="AI21" s="369"/>
      <c r="AJ21" s="369"/>
      <c r="AK21" s="369"/>
      <c r="AL21" s="369"/>
    </row>
    <row r="22" spans="1:38" ht="12" customHeight="1">
      <c r="A22" s="394"/>
      <c r="B22" s="408"/>
      <c r="C22" s="230" t="s">
        <v>189</v>
      </c>
      <c r="D22" s="230" t="s">
        <v>14</v>
      </c>
      <c r="E22" s="275">
        <v>0</v>
      </c>
      <c r="F22" s="409"/>
      <c r="G22" s="275">
        <v>0</v>
      </c>
      <c r="H22" s="409"/>
      <c r="I22" s="275">
        <v>0</v>
      </c>
      <c r="J22" s="409"/>
      <c r="K22" s="275" t="e">
        <f>HLOOKUP(K$12,'El og plugin hybrid'!$E$8:$X$106,92)</f>
        <v>#NUM!</v>
      </c>
      <c r="L22" s="409"/>
      <c r="M22" s="275" t="e">
        <f>HLOOKUP(M$12,'El og plugin hybrid'!$E$8:$X$106,92)</f>
        <v>#NUM!</v>
      </c>
      <c r="N22" s="409"/>
      <c r="O22" s="275" t="e">
        <f>HLOOKUP(O$12,'El og plugin hybrid'!$E$8:$X$106,92)</f>
        <v>#NUM!</v>
      </c>
      <c r="P22" s="409"/>
      <c r="Q22" s="405"/>
      <c r="R22" s="353"/>
      <c r="S22" s="369"/>
      <c r="T22" s="350"/>
      <c r="U22" s="350"/>
      <c r="V22" s="350"/>
      <c r="W22" s="350"/>
      <c r="X22" s="350"/>
      <c r="Y22" s="369"/>
      <c r="Z22" s="369"/>
      <c r="AA22" s="369"/>
      <c r="AB22" s="369"/>
      <c r="AC22" s="369"/>
      <c r="AD22" s="369"/>
      <c r="AE22" s="369"/>
      <c r="AF22" s="369"/>
      <c r="AG22" s="369"/>
      <c r="AH22" s="369"/>
      <c r="AI22" s="369"/>
      <c r="AJ22" s="369"/>
      <c r="AK22" s="369"/>
      <c r="AL22" s="369"/>
    </row>
    <row r="23" spans="1:38" ht="12" customHeight="1">
      <c r="A23" s="394"/>
      <c r="B23" s="408"/>
      <c r="C23" s="230" t="s">
        <v>17</v>
      </c>
      <c r="D23" s="230" t="s">
        <v>14</v>
      </c>
      <c r="E23" s="275" t="e">
        <f>HLOOKUP(E$12,'Benzin - diesel - hybrid'!$E$8:$X$86,71)</f>
        <v>#NUM!</v>
      </c>
      <c r="F23" s="409"/>
      <c r="G23" s="275" t="e">
        <f>HLOOKUP(G$12,'Benzin - diesel - hybrid'!$E$8:$X$86,71)</f>
        <v>#NUM!</v>
      </c>
      <c r="H23" s="409"/>
      <c r="I23" s="275" t="e">
        <f>HLOOKUP(I$12,'Benzin - diesel - hybrid'!$E$8:$X$86,71)</f>
        <v>#NUM!</v>
      </c>
      <c r="J23" s="409"/>
      <c r="K23" s="275" t="e">
        <f>HLOOKUP(K$12,'El og plugin hybrid'!$E$8:$X$106,93)</f>
        <v>#NUM!</v>
      </c>
      <c r="L23" s="409"/>
      <c r="M23" s="275" t="e">
        <f>HLOOKUP(M$12,'El og plugin hybrid'!$E$8:$X$106,93)</f>
        <v>#NUM!</v>
      </c>
      <c r="N23" s="409"/>
      <c r="O23" s="275" t="e">
        <f>HLOOKUP(O$12,'El og plugin hybrid'!$E$8:$X$106,93)</f>
        <v>#NUM!</v>
      </c>
      <c r="P23" s="409"/>
      <c r="Q23" s="405"/>
      <c r="R23" s="353"/>
      <c r="S23" s="369"/>
      <c r="T23" s="350"/>
      <c r="U23" s="350"/>
      <c r="V23" s="350"/>
      <c r="W23" s="350"/>
      <c r="X23" s="350"/>
      <c r="Y23" s="369"/>
      <c r="Z23" s="369"/>
      <c r="AA23" s="369"/>
      <c r="AB23" s="369"/>
      <c r="AC23" s="369"/>
      <c r="AD23" s="369"/>
      <c r="AE23" s="369"/>
      <c r="AF23" s="369"/>
      <c r="AG23" s="369"/>
      <c r="AH23" s="369"/>
      <c r="AI23" s="369"/>
      <c r="AJ23" s="369"/>
      <c r="AK23" s="369"/>
      <c r="AL23" s="369"/>
    </row>
    <row r="24" spans="1:38" ht="12" customHeight="1">
      <c r="A24" s="394"/>
      <c r="B24" s="408"/>
      <c r="C24" s="230" t="s">
        <v>27</v>
      </c>
      <c r="D24" s="230" t="s">
        <v>14</v>
      </c>
      <c r="E24" s="275" t="e">
        <f>HLOOKUP(E$12,'Benzin - diesel - hybrid'!$E$8:$X$86,72)</f>
        <v>#NUM!</v>
      </c>
      <c r="F24" s="409"/>
      <c r="G24" s="275" t="e">
        <f>HLOOKUP(G$12,'Benzin - diesel - hybrid'!$E$8:$X$86,72)</f>
        <v>#NUM!</v>
      </c>
      <c r="H24" s="409"/>
      <c r="I24" s="275" t="e">
        <f>HLOOKUP(I$12,'Benzin - diesel - hybrid'!$E$8:$X$86,72)</f>
        <v>#NUM!</v>
      </c>
      <c r="J24" s="409"/>
      <c r="K24" s="275" t="e">
        <f>HLOOKUP(K$12,'El og plugin hybrid'!$E$8:$X$106,94)</f>
        <v>#NUM!</v>
      </c>
      <c r="L24" s="409"/>
      <c r="M24" s="275" t="e">
        <f>HLOOKUP(M$12,'El og plugin hybrid'!$E$8:$X$106,94)</f>
        <v>#NUM!</v>
      </c>
      <c r="N24" s="409"/>
      <c r="O24" s="275" t="e">
        <f>HLOOKUP(O$12,'El og plugin hybrid'!$E$8:$X$106,94)</f>
        <v>#NUM!</v>
      </c>
      <c r="P24" s="409"/>
      <c r="Q24" s="405"/>
      <c r="R24" s="353"/>
      <c r="S24" s="369"/>
      <c r="T24" s="350"/>
      <c r="U24" s="350"/>
      <c r="V24" s="350"/>
      <c r="W24" s="350"/>
      <c r="X24" s="350"/>
      <c r="Y24" s="369"/>
      <c r="Z24" s="369"/>
      <c r="AA24" s="369"/>
      <c r="AB24" s="369"/>
      <c r="AC24" s="369"/>
      <c r="AD24" s="369"/>
      <c r="AE24" s="369"/>
      <c r="AF24" s="369"/>
      <c r="AG24" s="369"/>
      <c r="AH24" s="369"/>
      <c r="AI24" s="369"/>
      <c r="AJ24" s="369"/>
      <c r="AK24" s="369"/>
      <c r="AL24" s="369"/>
    </row>
    <row r="25" spans="1:38" ht="12" customHeight="1">
      <c r="A25" s="394"/>
      <c r="B25" s="408"/>
      <c r="C25" s="230" t="s">
        <v>185</v>
      </c>
      <c r="D25" s="230" t="s">
        <v>14</v>
      </c>
      <c r="E25" s="275" t="e">
        <f>HLOOKUP(E$12,'Benzin - diesel - hybrid'!$E$8:$X$86,73)</f>
        <v>#NUM!</v>
      </c>
      <c r="F25" s="409"/>
      <c r="G25" s="275" t="e">
        <f>HLOOKUP(G$12,'Benzin - diesel - hybrid'!$E$8:$X$86,73)</f>
        <v>#NUM!</v>
      </c>
      <c r="H25" s="409"/>
      <c r="I25" s="275" t="e">
        <f>HLOOKUP(I$12,'Benzin - diesel - hybrid'!$E$8:$X$86,73)</f>
        <v>#NUM!</v>
      </c>
      <c r="J25" s="409"/>
      <c r="K25" s="275" t="e">
        <f>HLOOKUP(K$12,'El og plugin hybrid'!$E$8:$X$106,95)</f>
        <v>#NUM!</v>
      </c>
      <c r="L25" s="409"/>
      <c r="M25" s="275" t="e">
        <f>HLOOKUP(M$12,'El og plugin hybrid'!$E$8:$X$106,95)</f>
        <v>#NUM!</v>
      </c>
      <c r="N25" s="409"/>
      <c r="O25" s="275" t="e">
        <f>HLOOKUP(O$12,'El og plugin hybrid'!$E$8:$X$106,95)</f>
        <v>#NUM!</v>
      </c>
      <c r="P25" s="409"/>
      <c r="Q25" s="405"/>
      <c r="R25" s="353"/>
      <c r="S25" s="369"/>
      <c r="T25" s="350"/>
      <c r="U25" s="350"/>
      <c r="V25" s="350"/>
      <c r="W25" s="350"/>
      <c r="X25" s="350"/>
      <c r="Y25" s="369"/>
      <c r="Z25" s="369"/>
      <c r="AA25" s="369"/>
      <c r="AB25" s="369"/>
      <c r="AC25" s="369"/>
      <c r="AD25" s="369"/>
      <c r="AE25" s="369"/>
      <c r="AF25" s="369"/>
      <c r="AG25" s="369"/>
      <c r="AH25" s="369"/>
      <c r="AI25" s="369"/>
      <c r="AJ25" s="369"/>
      <c r="AK25" s="369"/>
      <c r="AL25" s="369"/>
    </row>
    <row r="26" spans="1:38" ht="12" customHeight="1">
      <c r="A26" s="394"/>
      <c r="B26" s="408"/>
      <c r="C26" s="230" t="s">
        <v>186</v>
      </c>
      <c r="D26" s="230" t="s">
        <v>14</v>
      </c>
      <c r="E26" s="275" t="e">
        <f>HLOOKUP(E$12,'Benzin - diesel - hybrid'!$E$8:$X$86,74)</f>
        <v>#NUM!</v>
      </c>
      <c r="F26" s="409"/>
      <c r="G26" s="275" t="e">
        <f>HLOOKUP(G$12,'Benzin - diesel - hybrid'!$E$8:$X$86,74)</f>
        <v>#NUM!</v>
      </c>
      <c r="H26" s="409"/>
      <c r="I26" s="275" t="e">
        <f>HLOOKUP(I$12,'Benzin - diesel - hybrid'!$E$8:$X$86,74)</f>
        <v>#NUM!</v>
      </c>
      <c r="J26" s="409"/>
      <c r="K26" s="275" t="e">
        <f>HLOOKUP(K$12,'El og plugin hybrid'!$E$8:$X$106,96)</f>
        <v>#NUM!</v>
      </c>
      <c r="L26" s="409"/>
      <c r="M26" s="275" t="e">
        <f>HLOOKUP(M$12,'El og plugin hybrid'!$E$8:$X$106,96)</f>
        <v>#NUM!</v>
      </c>
      <c r="N26" s="409"/>
      <c r="O26" s="275" t="e">
        <f>HLOOKUP(O$12,'El og plugin hybrid'!$E$8:$X$106,96)</f>
        <v>#NUM!</v>
      </c>
      <c r="P26" s="409"/>
      <c r="Q26" s="405"/>
      <c r="R26" s="353"/>
      <c r="S26" s="369"/>
      <c r="T26" s="350"/>
      <c r="U26" s="350"/>
      <c r="V26" s="350"/>
      <c r="W26" s="350"/>
      <c r="X26" s="350"/>
      <c r="Y26" s="369"/>
      <c r="Z26" s="369"/>
      <c r="AA26" s="369"/>
      <c r="AB26" s="369"/>
      <c r="AC26" s="369"/>
      <c r="AD26" s="369"/>
      <c r="AE26" s="369"/>
      <c r="AF26" s="369"/>
      <c r="AG26" s="369"/>
      <c r="AH26" s="369"/>
      <c r="AI26" s="369"/>
      <c r="AJ26" s="369"/>
      <c r="AK26" s="369"/>
      <c r="AL26" s="369"/>
    </row>
    <row r="27" spans="1:38" ht="12" customHeight="1">
      <c r="A27" s="394"/>
      <c r="B27" s="408"/>
      <c r="C27" s="230"/>
      <c r="D27" s="230"/>
      <c r="E27" s="276"/>
      <c r="F27" s="411"/>
      <c r="G27" s="276"/>
      <c r="H27" s="411"/>
      <c r="I27" s="276"/>
      <c r="J27" s="411"/>
      <c r="K27" s="276"/>
      <c r="L27" s="411"/>
      <c r="M27" s="276"/>
      <c r="N27" s="411"/>
      <c r="O27" s="276"/>
      <c r="P27" s="411"/>
      <c r="Q27" s="405"/>
      <c r="R27" s="353"/>
      <c r="S27" s="369"/>
      <c r="T27" s="350"/>
      <c r="U27" s="350"/>
      <c r="V27" s="350"/>
      <c r="W27" s="350"/>
      <c r="X27" s="350"/>
      <c r="Y27" s="369"/>
      <c r="Z27" s="369"/>
      <c r="AA27" s="369"/>
      <c r="AB27" s="369"/>
      <c r="AC27" s="369"/>
      <c r="AD27" s="369"/>
      <c r="AE27" s="369"/>
      <c r="AF27" s="369"/>
      <c r="AG27" s="369"/>
      <c r="AH27" s="369"/>
      <c r="AI27" s="369"/>
      <c r="AJ27" s="369"/>
      <c r="AK27" s="369"/>
      <c r="AL27" s="369"/>
    </row>
    <row r="28" spans="1:38" ht="18" customHeight="1">
      <c r="A28" s="394"/>
      <c r="B28" s="408"/>
      <c r="C28" s="230" t="s">
        <v>51</v>
      </c>
      <c r="D28" s="230" t="s">
        <v>14</v>
      </c>
      <c r="E28" s="275" t="e">
        <f>HLOOKUP(E$12,'Benzin - diesel - hybrid'!$E$8:$X$86,76)</f>
        <v>#NUM!</v>
      </c>
      <c r="F28" s="414"/>
      <c r="G28" s="275" t="e">
        <f>HLOOKUP(G$12,'Benzin - diesel - hybrid'!$E$8:$X$86,76)</f>
        <v>#NUM!</v>
      </c>
      <c r="H28" s="414"/>
      <c r="I28" s="275" t="e">
        <f>HLOOKUP(I$12,'Benzin - diesel - hybrid'!$E$8:$X$86,76)</f>
        <v>#NUM!</v>
      </c>
      <c r="J28" s="414"/>
      <c r="K28" s="275" t="e">
        <f>HLOOKUP(K$12,'El og plugin hybrid'!$E$8:$X$106,98)</f>
        <v>#NUM!</v>
      </c>
      <c r="L28" s="414"/>
      <c r="M28" s="275" t="e">
        <f>HLOOKUP(M$12,'El og plugin hybrid'!$E$8:$X$106,98)</f>
        <v>#NUM!</v>
      </c>
      <c r="N28" s="414"/>
      <c r="O28" s="275" t="e">
        <f>HLOOKUP(O$12,'El og plugin hybrid'!$E$8:$X$106,98)</f>
        <v>#NUM!</v>
      </c>
      <c r="P28" s="414"/>
      <c r="Q28" s="405"/>
      <c r="R28" s="353"/>
      <c r="S28" s="369"/>
      <c r="T28" s="350"/>
      <c r="U28" s="350"/>
      <c r="V28" s="350"/>
      <c r="W28" s="350"/>
      <c r="X28" s="350"/>
      <c r="Y28" s="369"/>
      <c r="Z28" s="369"/>
      <c r="AA28" s="369"/>
      <c r="AB28" s="369"/>
      <c r="AC28" s="369"/>
      <c r="AD28" s="369"/>
      <c r="AE28" s="369"/>
      <c r="AF28" s="369"/>
      <c r="AG28" s="369"/>
      <c r="AH28" s="369"/>
      <c r="AI28" s="369"/>
      <c r="AJ28" s="369"/>
      <c r="AK28" s="369"/>
      <c r="AL28" s="369"/>
    </row>
    <row r="29" spans="1:38" ht="18" customHeight="1">
      <c r="A29" s="394"/>
      <c r="B29" s="408"/>
      <c r="C29" s="230" t="s">
        <v>30</v>
      </c>
      <c r="D29" s="230" t="s">
        <v>31</v>
      </c>
      <c r="E29" s="293" t="e">
        <f>SMALL('Benzin - diesel - hybrid'!$E$84:$W$84,COUNTIF('Benzin - diesel - hybrid'!$E$84:$W$84,0)+1)</f>
        <v>#NUM!</v>
      </c>
      <c r="F29" s="415"/>
      <c r="G29" s="293" t="e">
        <f>SMALL('Benzin - diesel - hybrid'!$E$84:$W$84,COUNTIF('Benzin - diesel - hybrid'!$E$84:$W$84,0)+2)</f>
        <v>#NUM!</v>
      </c>
      <c r="H29" s="415"/>
      <c r="I29" s="293" t="e">
        <f>SMALL('Benzin - diesel - hybrid'!$E$84:$W$84,COUNTIF('Benzin - diesel - hybrid'!$E$84:$W$84,0)+3)</f>
        <v>#NUM!</v>
      </c>
      <c r="J29" s="415"/>
      <c r="K29" s="293" t="e">
        <f>SMALL('El og plugin hybrid'!$E$106:$W$106,COUNTIF('El og plugin hybrid'!$E$106:$W$106,0)+1)</f>
        <v>#NUM!</v>
      </c>
      <c r="L29" s="415"/>
      <c r="M29" s="293" t="e">
        <f>SMALL('El og plugin hybrid'!$E$106:$W$106,COUNTIF('El og plugin hybrid'!$E$106:$W$106,0)+2)</f>
        <v>#NUM!</v>
      </c>
      <c r="N29" s="415"/>
      <c r="O29" s="293" t="e">
        <f>SMALL('El og plugin hybrid'!$E$106:$W$106,COUNTIF('El og plugin hybrid'!$E$106:$W$106,0)+3)</f>
        <v>#NUM!</v>
      </c>
      <c r="P29" s="416"/>
      <c r="Q29" s="405"/>
      <c r="R29" s="353"/>
      <c r="S29" s="369"/>
      <c r="T29" s="350"/>
      <c r="U29" s="350"/>
      <c r="V29" s="350"/>
      <c r="W29" s="350"/>
      <c r="X29" s="350"/>
      <c r="Y29" s="369"/>
      <c r="Z29" s="369"/>
      <c r="AA29" s="369"/>
      <c r="AB29" s="369"/>
      <c r="AC29" s="369"/>
      <c r="AD29" s="369"/>
      <c r="AE29" s="369"/>
      <c r="AF29" s="369"/>
      <c r="AG29" s="369"/>
      <c r="AH29" s="369"/>
      <c r="AI29" s="369"/>
      <c r="AJ29" s="369"/>
      <c r="AK29" s="369"/>
      <c r="AL29" s="369"/>
    </row>
    <row r="30" spans="1:38" ht="18" customHeight="1">
      <c r="A30" s="394"/>
      <c r="B30" s="408"/>
      <c r="C30" s="230"/>
      <c r="D30" s="230"/>
      <c r="E30" s="133"/>
      <c r="F30" s="415"/>
      <c r="G30" s="415"/>
      <c r="H30" s="415"/>
      <c r="I30" s="415"/>
      <c r="J30" s="415"/>
      <c r="K30" s="415"/>
      <c r="L30" s="415"/>
      <c r="M30" s="415"/>
      <c r="N30" s="415"/>
      <c r="O30" s="417"/>
      <c r="P30" s="416"/>
      <c r="Q30" s="405"/>
      <c r="R30" s="353"/>
      <c r="S30" s="369"/>
      <c r="T30" s="350"/>
      <c r="U30" s="350"/>
      <c r="V30" s="350"/>
      <c r="W30" s="350"/>
      <c r="X30" s="350"/>
      <c r="Y30" s="369"/>
      <c r="Z30" s="369"/>
      <c r="AA30" s="369"/>
      <c r="AB30" s="369"/>
      <c r="AC30" s="369"/>
      <c r="AD30" s="369"/>
      <c r="AE30" s="369"/>
      <c r="AF30" s="369"/>
      <c r="AG30" s="369"/>
      <c r="AH30" s="369"/>
      <c r="AI30" s="369"/>
      <c r="AJ30" s="369"/>
      <c r="AK30" s="369"/>
      <c r="AL30" s="369"/>
    </row>
    <row r="31" spans="1:38" ht="18" customHeight="1">
      <c r="A31" s="394"/>
      <c r="B31" s="408"/>
      <c r="C31" s="230" t="s">
        <v>220</v>
      </c>
      <c r="D31" s="230" t="s">
        <v>187</v>
      </c>
      <c r="E31" s="525" t="e">
        <f>HLOOKUP(E$12,'Benzin - diesel - hybrid'!$E$8:$X$86,79)</f>
        <v>#NUM!</v>
      </c>
      <c r="F31" s="526"/>
      <c r="G31" s="525" t="e">
        <f>HLOOKUP(G$12,'Benzin - diesel - hybrid'!$E$8:$X$86,79)</f>
        <v>#NUM!</v>
      </c>
      <c r="H31" s="526"/>
      <c r="I31" s="525" t="e">
        <f>HLOOKUP(I$12,'Benzin - diesel - hybrid'!$E$8:$X$86,79)</f>
        <v>#NUM!</v>
      </c>
      <c r="J31" s="526"/>
      <c r="K31" s="525" t="e">
        <f>HLOOKUP(K$12,'El og plugin hybrid'!$E$8:$X$110,101)</f>
        <v>#NUM!</v>
      </c>
      <c r="L31" s="526"/>
      <c r="M31" s="525" t="e">
        <f>HLOOKUP(M$12,'El og plugin hybrid'!$E$8:$X$110,101)</f>
        <v>#NUM!</v>
      </c>
      <c r="N31" s="526"/>
      <c r="O31" s="525" t="e">
        <f>HLOOKUP(O$12,'El og plugin hybrid'!$E$8:$X$110,101)</f>
        <v>#NUM!</v>
      </c>
      <c r="P31" s="413"/>
      <c r="Q31" s="405"/>
      <c r="R31" s="353"/>
      <c r="S31" s="369"/>
      <c r="T31" s="350"/>
      <c r="U31" s="350"/>
      <c r="V31" s="350"/>
      <c r="W31" s="350"/>
      <c r="X31" s="350"/>
      <c r="Y31" s="369"/>
      <c r="Z31" s="369"/>
      <c r="AA31" s="369"/>
      <c r="AB31" s="369"/>
      <c r="AC31" s="369"/>
      <c r="AD31" s="369"/>
      <c r="AE31" s="369"/>
      <c r="AF31" s="369"/>
      <c r="AG31" s="369"/>
      <c r="AH31" s="369"/>
      <c r="AI31" s="369"/>
      <c r="AJ31" s="369"/>
      <c r="AK31" s="369"/>
      <c r="AL31" s="369"/>
    </row>
    <row r="32" spans="1:38" ht="18" customHeight="1">
      <c r="A32" s="394"/>
      <c r="B32" s="408"/>
      <c r="C32" s="412"/>
      <c r="D32" s="418"/>
      <c r="E32" s="419"/>
      <c r="F32" s="420"/>
      <c r="G32" s="420"/>
      <c r="H32" s="420"/>
      <c r="I32" s="420"/>
      <c r="J32" s="420"/>
      <c r="K32" s="420"/>
      <c r="L32" s="420"/>
      <c r="M32" s="420"/>
      <c r="N32" s="420"/>
      <c r="O32" s="419"/>
      <c r="P32" s="413"/>
      <c r="Q32" s="405"/>
      <c r="R32" s="353"/>
      <c r="S32" s="369"/>
      <c r="T32" s="350"/>
      <c r="U32" s="350"/>
      <c r="V32" s="350"/>
      <c r="W32" s="350"/>
      <c r="X32" s="350"/>
      <c r="Y32" s="369"/>
      <c r="Z32" s="369"/>
      <c r="AA32" s="369"/>
      <c r="AB32" s="369"/>
      <c r="AC32" s="369"/>
      <c r="AD32" s="369"/>
      <c r="AE32" s="369"/>
      <c r="AF32" s="369"/>
      <c r="AG32" s="369"/>
      <c r="AH32" s="369"/>
      <c r="AI32" s="369"/>
      <c r="AJ32" s="369"/>
      <c r="AK32" s="369"/>
      <c r="AL32" s="369"/>
    </row>
    <row r="33" spans="1:38" ht="18" customHeight="1">
      <c r="A33" s="394"/>
      <c r="B33" s="408"/>
      <c r="C33" s="412"/>
      <c r="D33" s="418"/>
      <c r="E33" s="419"/>
      <c r="F33" s="420"/>
      <c r="G33" s="420"/>
      <c r="H33" s="420"/>
      <c r="I33" s="420"/>
      <c r="J33" s="420"/>
      <c r="K33" s="420"/>
      <c r="L33" s="420"/>
      <c r="M33" s="420"/>
      <c r="N33" s="420"/>
      <c r="O33" s="419"/>
      <c r="P33" s="413"/>
      <c r="Q33" s="405"/>
      <c r="R33" s="353"/>
      <c r="S33" s="369"/>
      <c r="T33" s="350"/>
      <c r="U33" s="350"/>
      <c r="V33" s="350"/>
      <c r="W33" s="350"/>
      <c r="X33" s="350"/>
      <c r="Y33" s="369"/>
      <c r="Z33" s="369"/>
      <c r="AA33" s="369"/>
      <c r="AB33" s="369"/>
      <c r="AC33" s="369"/>
      <c r="AD33" s="369"/>
      <c r="AE33" s="369"/>
      <c r="AF33" s="369"/>
      <c r="AG33" s="369"/>
      <c r="AH33" s="369"/>
      <c r="AI33" s="369"/>
      <c r="AJ33" s="369"/>
      <c r="AK33" s="369"/>
      <c r="AL33" s="369"/>
    </row>
    <row r="34" spans="1:38" ht="18" customHeight="1">
      <c r="A34" s="394"/>
      <c r="B34" s="408"/>
      <c r="C34" s="412"/>
      <c r="D34" s="418"/>
      <c r="E34" s="419"/>
      <c r="F34" s="420"/>
      <c r="G34" s="420"/>
      <c r="H34" s="420"/>
      <c r="I34" s="420"/>
      <c r="J34" s="420"/>
      <c r="K34" s="420"/>
      <c r="L34" s="420"/>
      <c r="M34" s="420"/>
      <c r="N34" s="420"/>
      <c r="O34" s="419"/>
      <c r="P34" s="413"/>
      <c r="Q34" s="405"/>
      <c r="R34" s="353"/>
      <c r="S34" s="369"/>
      <c r="T34" s="350"/>
      <c r="U34" s="350"/>
      <c r="V34" s="350"/>
      <c r="W34" s="350"/>
      <c r="X34" s="350"/>
      <c r="Y34" s="369"/>
      <c r="Z34" s="369"/>
      <c r="AA34" s="369"/>
      <c r="AB34" s="369"/>
      <c r="AC34" s="369"/>
      <c r="AD34" s="369"/>
      <c r="AE34" s="369"/>
      <c r="AF34" s="369"/>
      <c r="AG34" s="369"/>
      <c r="AH34" s="369"/>
      <c r="AI34" s="369"/>
      <c r="AJ34" s="369"/>
      <c r="AK34" s="369"/>
      <c r="AL34" s="369"/>
    </row>
    <row r="35" spans="1:38" ht="18.75" customHeight="1">
      <c r="A35" s="394"/>
      <c r="B35" s="408"/>
      <c r="C35" s="412"/>
      <c r="D35" s="418"/>
      <c r="E35" s="419"/>
      <c r="F35" s="420"/>
      <c r="G35" s="420"/>
      <c r="H35" s="420"/>
      <c r="I35" s="420"/>
      <c r="J35" s="420"/>
      <c r="K35" s="420"/>
      <c r="L35" s="420"/>
      <c r="M35" s="420"/>
      <c r="N35" s="420"/>
      <c r="O35" s="419"/>
      <c r="P35" s="413"/>
      <c r="Q35" s="405"/>
      <c r="R35" s="353"/>
      <c r="S35" s="369"/>
      <c r="T35" s="350"/>
      <c r="U35" s="350"/>
      <c r="V35" s="350"/>
      <c r="W35" s="350"/>
      <c r="X35" s="350"/>
      <c r="Y35" s="369"/>
      <c r="Z35" s="369"/>
      <c r="AA35" s="369"/>
      <c r="AB35" s="369"/>
      <c r="AC35" s="369"/>
      <c r="AD35" s="369"/>
      <c r="AE35" s="369"/>
      <c r="AF35" s="369"/>
      <c r="AG35" s="369"/>
      <c r="AH35" s="369"/>
      <c r="AI35" s="369"/>
      <c r="AJ35" s="369"/>
      <c r="AK35" s="369"/>
      <c r="AL35" s="369"/>
    </row>
    <row r="36" spans="1:38" ht="18" customHeight="1">
      <c r="A36" s="394"/>
      <c r="B36" s="408"/>
      <c r="C36" s="412"/>
      <c r="D36" s="418"/>
      <c r="E36" s="419"/>
      <c r="F36" s="420"/>
      <c r="G36" s="420"/>
      <c r="H36" s="420"/>
      <c r="I36" s="420"/>
      <c r="J36" s="420"/>
      <c r="K36" s="420"/>
      <c r="L36" s="420"/>
      <c r="M36" s="420"/>
      <c r="N36" s="420"/>
      <c r="O36" s="419"/>
      <c r="P36" s="413"/>
      <c r="Q36" s="405"/>
      <c r="R36" s="353"/>
      <c r="S36" s="369"/>
      <c r="T36" s="350"/>
      <c r="U36" s="350"/>
      <c r="V36" s="350"/>
      <c r="W36" s="350"/>
      <c r="X36" s="350"/>
      <c r="Y36" s="369"/>
      <c r="Z36" s="369"/>
      <c r="AA36" s="369"/>
      <c r="AB36" s="369"/>
      <c r="AC36" s="369"/>
      <c r="AD36" s="369"/>
      <c r="AE36" s="369"/>
      <c r="AF36" s="369"/>
      <c r="AG36" s="369"/>
      <c r="AH36" s="369"/>
      <c r="AI36" s="369"/>
      <c r="AJ36" s="369"/>
      <c r="AK36" s="369"/>
      <c r="AL36" s="369"/>
    </row>
    <row r="37" spans="1:38" ht="18" customHeight="1">
      <c r="A37" s="394"/>
      <c r="B37" s="408"/>
      <c r="C37" s="412"/>
      <c r="D37" s="418"/>
      <c r="E37" s="419"/>
      <c r="F37" s="420"/>
      <c r="G37" s="420"/>
      <c r="H37" s="420"/>
      <c r="I37" s="420"/>
      <c r="J37" s="420"/>
      <c r="K37" s="420"/>
      <c r="L37" s="420"/>
      <c r="M37" s="420"/>
      <c r="N37" s="420"/>
      <c r="O37" s="419"/>
      <c r="P37" s="413"/>
      <c r="Q37" s="405"/>
      <c r="R37" s="353"/>
      <c r="S37" s="369"/>
      <c r="T37" s="350"/>
      <c r="U37" s="350"/>
      <c r="V37" s="350"/>
      <c r="W37" s="350"/>
      <c r="X37" s="350"/>
      <c r="Y37" s="369"/>
      <c r="Z37" s="369"/>
      <c r="AA37" s="369"/>
      <c r="AB37" s="369"/>
      <c r="AC37" s="369"/>
      <c r="AD37" s="369"/>
      <c r="AE37" s="369"/>
      <c r="AF37" s="369"/>
      <c r="AG37" s="369"/>
      <c r="AH37" s="369"/>
      <c r="AI37" s="369"/>
      <c r="AJ37" s="369"/>
      <c r="AK37" s="369"/>
      <c r="AL37" s="369"/>
    </row>
    <row r="38" spans="1:38" ht="18" customHeight="1">
      <c r="A38" s="394"/>
      <c r="B38" s="408"/>
      <c r="C38" s="412"/>
      <c r="D38" s="418"/>
      <c r="E38" s="419"/>
      <c r="F38" s="420"/>
      <c r="G38" s="420"/>
      <c r="H38" s="420"/>
      <c r="I38" s="420"/>
      <c r="J38" s="420"/>
      <c r="K38" s="420"/>
      <c r="L38" s="420"/>
      <c r="M38" s="420"/>
      <c r="N38" s="420"/>
      <c r="O38" s="419"/>
      <c r="P38" s="413"/>
      <c r="Q38" s="405"/>
      <c r="R38" s="353"/>
      <c r="S38" s="369"/>
      <c r="T38" s="350"/>
      <c r="U38" s="350"/>
      <c r="V38" s="350"/>
      <c r="W38" s="350"/>
      <c r="X38" s="350"/>
      <c r="Y38" s="369"/>
      <c r="Z38" s="369"/>
      <c r="AA38" s="369"/>
      <c r="AB38" s="369"/>
      <c r="AC38" s="369"/>
      <c r="AD38" s="369"/>
      <c r="AE38" s="369"/>
      <c r="AF38" s="369"/>
      <c r="AG38" s="369"/>
      <c r="AH38" s="369"/>
      <c r="AI38" s="369"/>
      <c r="AJ38" s="369"/>
      <c r="AK38" s="369"/>
      <c r="AL38" s="369"/>
    </row>
    <row r="39" spans="1:38" ht="18" customHeight="1">
      <c r="A39" s="394"/>
      <c r="B39" s="408"/>
      <c r="C39" s="412"/>
      <c r="D39" s="418"/>
      <c r="E39" s="419"/>
      <c r="F39" s="420"/>
      <c r="G39" s="420"/>
      <c r="H39" s="420"/>
      <c r="I39" s="420"/>
      <c r="J39" s="420"/>
      <c r="K39" s="420"/>
      <c r="L39" s="420"/>
      <c r="M39" s="420"/>
      <c r="N39" s="420"/>
      <c r="O39" s="419"/>
      <c r="P39" s="413"/>
      <c r="Q39" s="405"/>
      <c r="R39" s="353"/>
      <c r="S39" s="369"/>
      <c r="T39" s="350"/>
      <c r="U39" s="350"/>
      <c r="V39" s="350"/>
      <c r="W39" s="350"/>
      <c r="X39" s="350"/>
      <c r="Y39" s="369"/>
      <c r="Z39" s="369"/>
      <c r="AA39" s="369"/>
      <c r="AB39" s="369"/>
      <c r="AC39" s="369"/>
      <c r="AD39" s="369"/>
      <c r="AE39" s="369"/>
      <c r="AF39" s="369"/>
      <c r="AG39" s="369"/>
      <c r="AH39" s="369"/>
      <c r="AI39" s="369"/>
      <c r="AJ39" s="369"/>
      <c r="AK39" s="369"/>
      <c r="AL39" s="369"/>
    </row>
    <row r="40" spans="1:38" ht="18" customHeight="1">
      <c r="A40" s="394"/>
      <c r="B40" s="408"/>
      <c r="C40" s="412"/>
      <c r="D40" s="418"/>
      <c r="E40" s="419"/>
      <c r="F40" s="420"/>
      <c r="G40" s="420"/>
      <c r="H40" s="420"/>
      <c r="I40" s="420"/>
      <c r="J40" s="420"/>
      <c r="K40" s="420"/>
      <c r="L40" s="420"/>
      <c r="M40" s="420"/>
      <c r="N40" s="420"/>
      <c r="O40" s="419"/>
      <c r="P40" s="413"/>
      <c r="Q40" s="405"/>
      <c r="R40" s="353"/>
      <c r="S40" s="369"/>
      <c r="T40" s="350"/>
      <c r="U40" s="350"/>
      <c r="V40" s="350"/>
      <c r="W40" s="350"/>
      <c r="X40" s="350"/>
      <c r="Y40" s="369"/>
      <c r="Z40" s="369"/>
      <c r="AA40" s="369"/>
      <c r="AB40" s="369"/>
      <c r="AC40" s="369"/>
      <c r="AD40" s="369"/>
      <c r="AE40" s="369"/>
      <c r="AF40" s="369"/>
      <c r="AG40" s="369"/>
      <c r="AH40" s="369"/>
      <c r="AI40" s="369"/>
      <c r="AJ40" s="369"/>
      <c r="AK40" s="369"/>
      <c r="AL40" s="369"/>
    </row>
    <row r="41" spans="1:38" ht="18" customHeight="1">
      <c r="A41" s="394"/>
      <c r="B41" s="408"/>
      <c r="C41" s="410"/>
      <c r="D41" s="421"/>
      <c r="E41" s="422"/>
      <c r="F41" s="422"/>
      <c r="G41" s="422"/>
      <c r="H41" s="422"/>
      <c r="I41" s="422"/>
      <c r="J41" s="422"/>
      <c r="K41" s="422"/>
      <c r="L41" s="422"/>
      <c r="M41" s="422"/>
      <c r="N41" s="422"/>
      <c r="O41" s="422"/>
      <c r="P41" s="404"/>
      <c r="Q41" s="405"/>
      <c r="R41" s="353"/>
      <c r="S41" s="369"/>
      <c r="T41" s="350"/>
      <c r="U41" s="350"/>
      <c r="V41" s="350"/>
      <c r="W41" s="350"/>
      <c r="X41" s="350"/>
      <c r="Y41" s="369"/>
      <c r="Z41" s="369"/>
      <c r="AA41" s="369"/>
      <c r="AB41" s="369"/>
      <c r="AC41" s="369"/>
      <c r="AD41" s="369"/>
      <c r="AE41" s="369"/>
      <c r="AF41" s="369"/>
      <c r="AG41" s="369"/>
      <c r="AH41" s="369"/>
      <c r="AI41" s="369"/>
      <c r="AJ41" s="369"/>
      <c r="AK41" s="369"/>
      <c r="AL41" s="369"/>
    </row>
    <row r="42" spans="1:38" s="428" customFormat="1">
      <c r="A42" s="423"/>
      <c r="B42" s="424"/>
      <c r="C42" s="425"/>
      <c r="D42" s="426"/>
      <c r="E42" s="425"/>
      <c r="F42" s="425"/>
      <c r="G42" s="425"/>
      <c r="H42" s="425"/>
      <c r="I42" s="425"/>
      <c r="J42" s="425"/>
      <c r="K42" s="425"/>
      <c r="L42" s="425"/>
      <c r="M42" s="425"/>
      <c r="N42" s="425"/>
      <c r="O42" s="425"/>
      <c r="P42" s="425"/>
      <c r="Q42" s="427"/>
      <c r="R42" s="423"/>
      <c r="T42" s="429"/>
      <c r="U42" s="429"/>
      <c r="V42" s="429"/>
      <c r="W42" s="429"/>
      <c r="X42" s="429"/>
    </row>
    <row r="43" spans="1:38" s="428" customFormat="1">
      <c r="A43" s="429"/>
      <c r="B43" s="430"/>
      <c r="C43" s="431"/>
      <c r="D43" s="431"/>
      <c r="E43" s="431"/>
      <c r="F43" s="431"/>
      <c r="G43" s="431"/>
      <c r="H43" s="431"/>
      <c r="I43" s="431"/>
      <c r="J43" s="431"/>
      <c r="K43" s="431"/>
      <c r="L43" s="431"/>
      <c r="M43" s="431"/>
      <c r="N43" s="431"/>
      <c r="O43" s="431"/>
      <c r="P43" s="431"/>
      <c r="Q43" s="427"/>
      <c r="R43" s="423"/>
      <c r="T43" s="429"/>
      <c r="U43" s="429"/>
      <c r="V43" s="429"/>
      <c r="W43" s="429"/>
      <c r="X43" s="429"/>
    </row>
    <row r="44" spans="1:38" s="428" customFormat="1">
      <c r="A44" s="429"/>
      <c r="B44" s="430"/>
      <c r="C44" s="431"/>
      <c r="D44" s="431"/>
      <c r="E44" s="431"/>
      <c r="F44" s="431"/>
      <c r="G44" s="431"/>
      <c r="H44" s="431"/>
      <c r="I44" s="431"/>
      <c r="J44" s="431"/>
      <c r="K44" s="431"/>
      <c r="L44" s="431"/>
      <c r="M44" s="431"/>
      <c r="N44" s="431"/>
      <c r="O44" s="431"/>
      <c r="P44" s="431"/>
      <c r="Q44" s="427"/>
      <c r="R44" s="423"/>
      <c r="T44" s="429"/>
      <c r="U44" s="429"/>
      <c r="V44" s="429"/>
      <c r="W44" s="429"/>
      <c r="X44" s="429"/>
    </row>
    <row r="45" spans="1:38" s="428" customFormat="1">
      <c r="A45" s="429"/>
      <c r="B45" s="430"/>
      <c r="C45" s="431"/>
      <c r="D45" s="431"/>
      <c r="E45" s="431"/>
      <c r="F45" s="431"/>
      <c r="G45" s="431"/>
      <c r="H45" s="431"/>
      <c r="I45" s="431"/>
      <c r="J45" s="431"/>
      <c r="K45" s="431"/>
      <c r="L45" s="431"/>
      <c r="M45" s="431"/>
      <c r="N45" s="431"/>
      <c r="O45" s="431"/>
      <c r="P45" s="431"/>
      <c r="Q45" s="427"/>
      <c r="R45" s="423"/>
      <c r="T45" s="429"/>
      <c r="U45" s="429"/>
      <c r="V45" s="429"/>
      <c r="W45" s="429"/>
      <c r="X45" s="429"/>
    </row>
    <row r="46" spans="1:38" s="428" customFormat="1">
      <c r="A46" s="429"/>
      <c r="B46" s="430"/>
      <c r="C46" s="431"/>
      <c r="D46" s="431"/>
      <c r="E46" s="431"/>
      <c r="F46" s="431"/>
      <c r="G46" s="431"/>
      <c r="H46" s="431"/>
      <c r="I46" s="431"/>
      <c r="J46" s="431"/>
      <c r="K46" s="431"/>
      <c r="L46" s="431"/>
      <c r="M46" s="431"/>
      <c r="N46" s="431"/>
      <c r="O46" s="431"/>
      <c r="P46" s="431"/>
      <c r="Q46" s="427"/>
      <c r="R46" s="423"/>
      <c r="T46" s="429"/>
      <c r="U46" s="429"/>
      <c r="V46" s="429"/>
      <c r="W46" s="429"/>
      <c r="X46" s="429"/>
    </row>
    <row r="47" spans="1:38" s="428" customFormat="1">
      <c r="A47" s="429"/>
      <c r="B47" s="430"/>
      <c r="C47" s="431"/>
      <c r="D47" s="431"/>
      <c r="E47" s="431"/>
      <c r="F47" s="431"/>
      <c r="G47" s="431"/>
      <c r="H47" s="431"/>
      <c r="I47" s="431"/>
      <c r="J47" s="431"/>
      <c r="K47" s="431"/>
      <c r="L47" s="431"/>
      <c r="M47" s="431"/>
      <c r="N47" s="431"/>
      <c r="O47" s="431"/>
      <c r="P47" s="431"/>
      <c r="Q47" s="427"/>
      <c r="R47" s="423"/>
      <c r="T47" s="429"/>
      <c r="U47" s="429"/>
      <c r="V47" s="429"/>
      <c r="W47" s="429"/>
      <c r="X47" s="429"/>
    </row>
    <row r="48" spans="1:38" s="428" customFormat="1">
      <c r="A48" s="429"/>
      <c r="B48" s="430"/>
      <c r="C48" s="431"/>
      <c r="D48" s="431"/>
      <c r="E48" s="431"/>
      <c r="F48" s="431"/>
      <c r="G48" s="431"/>
      <c r="H48" s="431"/>
      <c r="I48" s="431"/>
      <c r="J48" s="431"/>
      <c r="K48" s="431"/>
      <c r="L48" s="431"/>
      <c r="M48" s="431"/>
      <c r="N48" s="431"/>
      <c r="O48" s="431"/>
      <c r="P48" s="431"/>
      <c r="Q48" s="432"/>
      <c r="R48" s="423"/>
      <c r="T48" s="429"/>
      <c r="U48" s="429"/>
      <c r="V48" s="429"/>
      <c r="W48" s="429"/>
      <c r="X48" s="429"/>
    </row>
    <row r="49" spans="1:24" s="428" customFormat="1">
      <c r="A49" s="429"/>
      <c r="B49" s="430"/>
      <c r="C49" s="431"/>
      <c r="D49" s="431"/>
      <c r="E49" s="431"/>
      <c r="F49" s="431"/>
      <c r="G49" s="431"/>
      <c r="H49" s="431"/>
      <c r="I49" s="431"/>
      <c r="J49" s="431"/>
      <c r="K49" s="431"/>
      <c r="L49" s="431"/>
      <c r="M49" s="431"/>
      <c r="N49" s="431"/>
      <c r="O49" s="431"/>
      <c r="P49" s="431"/>
      <c r="Q49" s="432"/>
      <c r="R49" s="423"/>
      <c r="T49" s="429"/>
      <c r="U49" s="429"/>
      <c r="V49" s="429"/>
      <c r="W49" s="429"/>
      <c r="X49" s="429"/>
    </row>
    <row r="50" spans="1:24" s="428" customFormat="1">
      <c r="A50" s="429"/>
      <c r="B50" s="430"/>
      <c r="C50" s="431"/>
      <c r="D50" s="431"/>
      <c r="E50" s="431"/>
      <c r="F50" s="431"/>
      <c r="G50" s="431"/>
      <c r="H50" s="431"/>
      <c r="I50" s="431"/>
      <c r="J50" s="431"/>
      <c r="K50" s="431"/>
      <c r="L50" s="431"/>
      <c r="M50" s="431"/>
      <c r="N50" s="431"/>
      <c r="O50" s="431"/>
      <c r="P50" s="431"/>
      <c r="Q50" s="432"/>
      <c r="R50" s="423"/>
      <c r="T50" s="429"/>
      <c r="U50" s="429"/>
      <c r="V50" s="429"/>
      <c r="W50" s="429"/>
      <c r="X50" s="429"/>
    </row>
    <row r="51" spans="1:24" s="428" customFormat="1">
      <c r="A51" s="429"/>
      <c r="B51" s="430"/>
      <c r="C51" s="431"/>
      <c r="D51" s="431"/>
      <c r="E51" s="431"/>
      <c r="F51" s="431"/>
      <c r="G51" s="431"/>
      <c r="H51" s="431"/>
      <c r="I51" s="431"/>
      <c r="J51" s="431"/>
      <c r="K51" s="431"/>
      <c r="L51" s="431"/>
      <c r="M51" s="431"/>
      <c r="N51" s="431"/>
      <c r="O51" s="431"/>
      <c r="P51" s="431"/>
      <c r="Q51" s="432"/>
      <c r="R51" s="423"/>
      <c r="T51" s="429"/>
      <c r="U51" s="429"/>
      <c r="V51" s="429"/>
      <c r="W51" s="429"/>
      <c r="X51" s="429"/>
    </row>
    <row r="52" spans="1:24" s="428" customFormat="1">
      <c r="A52" s="429"/>
      <c r="B52" s="430"/>
      <c r="C52" s="431"/>
      <c r="D52" s="431"/>
      <c r="E52" s="431"/>
      <c r="F52" s="431"/>
      <c r="G52" s="431"/>
      <c r="H52" s="431"/>
      <c r="I52" s="431"/>
      <c r="J52" s="431"/>
      <c r="K52" s="431"/>
      <c r="L52" s="431"/>
      <c r="M52" s="431"/>
      <c r="N52" s="431"/>
      <c r="O52" s="431"/>
      <c r="P52" s="431"/>
      <c r="Q52" s="432"/>
      <c r="R52" s="423"/>
      <c r="T52" s="429"/>
      <c r="U52" s="429"/>
      <c r="V52" s="429"/>
      <c r="W52" s="429"/>
      <c r="X52" s="429"/>
    </row>
    <row r="53" spans="1:24" s="428" customFormat="1">
      <c r="A53" s="429"/>
      <c r="B53" s="430"/>
      <c r="C53" s="431"/>
      <c r="D53" s="431"/>
      <c r="E53" s="431"/>
      <c r="F53" s="431"/>
      <c r="G53" s="431"/>
      <c r="H53" s="431"/>
      <c r="I53" s="431"/>
      <c r="J53" s="431"/>
      <c r="K53" s="431"/>
      <c r="L53" s="431"/>
      <c r="M53" s="431"/>
      <c r="N53" s="431"/>
      <c r="O53" s="431"/>
      <c r="P53" s="431"/>
      <c r="Q53" s="432"/>
      <c r="R53" s="423"/>
      <c r="T53" s="429"/>
      <c r="U53" s="429"/>
      <c r="V53" s="429"/>
      <c r="W53" s="429"/>
      <c r="X53" s="429"/>
    </row>
    <row r="54" spans="1:24" s="428" customFormat="1">
      <c r="A54" s="429"/>
      <c r="B54" s="430"/>
      <c r="C54" s="431"/>
      <c r="D54" s="431"/>
      <c r="E54" s="431"/>
      <c r="F54" s="431"/>
      <c r="G54" s="431"/>
      <c r="H54" s="431"/>
      <c r="I54" s="431"/>
      <c r="J54" s="431"/>
      <c r="K54" s="431"/>
      <c r="L54" s="431"/>
      <c r="M54" s="431"/>
      <c r="N54" s="431"/>
      <c r="O54" s="431"/>
      <c r="P54" s="431"/>
      <c r="Q54" s="432"/>
      <c r="R54" s="423"/>
      <c r="T54" s="429"/>
      <c r="U54" s="429"/>
      <c r="V54" s="429"/>
      <c r="W54" s="429"/>
      <c r="X54" s="429"/>
    </row>
    <row r="55" spans="1:24" s="428" customFormat="1">
      <c r="A55" s="429"/>
      <c r="B55" s="430"/>
      <c r="C55" s="431"/>
      <c r="D55" s="431"/>
      <c r="E55" s="431"/>
      <c r="F55" s="431"/>
      <c r="G55" s="431"/>
      <c r="H55" s="431"/>
      <c r="I55" s="431"/>
      <c r="J55" s="431"/>
      <c r="K55" s="431"/>
      <c r="L55" s="431"/>
      <c r="M55" s="431"/>
      <c r="N55" s="431"/>
      <c r="O55" s="431"/>
      <c r="P55" s="431"/>
      <c r="Q55" s="432"/>
      <c r="R55" s="423"/>
      <c r="T55" s="429"/>
      <c r="U55" s="429"/>
      <c r="V55" s="429"/>
      <c r="W55" s="429"/>
      <c r="X55" s="429"/>
    </row>
    <row r="56" spans="1:24" s="428" customFormat="1">
      <c r="A56" s="429"/>
      <c r="B56" s="430"/>
      <c r="C56" s="431"/>
      <c r="D56" s="431"/>
      <c r="E56" s="431"/>
      <c r="F56" s="431"/>
      <c r="G56" s="431"/>
      <c r="H56" s="431"/>
      <c r="I56" s="431"/>
      <c r="J56" s="431"/>
      <c r="K56" s="431"/>
      <c r="L56" s="431"/>
      <c r="M56" s="431"/>
      <c r="N56" s="431"/>
      <c r="O56" s="431"/>
      <c r="P56" s="431"/>
      <c r="Q56" s="432"/>
      <c r="R56" s="423"/>
      <c r="T56" s="429"/>
      <c r="U56" s="429"/>
      <c r="V56" s="429"/>
      <c r="W56" s="429"/>
      <c r="X56" s="429"/>
    </row>
    <row r="57" spans="1:24" s="428" customFormat="1">
      <c r="A57" s="429"/>
      <c r="B57" s="430"/>
      <c r="C57" s="431"/>
      <c r="D57" s="431"/>
      <c r="E57" s="431"/>
      <c r="F57" s="431"/>
      <c r="G57" s="431"/>
      <c r="H57" s="431"/>
      <c r="I57" s="431"/>
      <c r="J57" s="431"/>
      <c r="K57" s="431"/>
      <c r="L57" s="431"/>
      <c r="M57" s="431"/>
      <c r="N57" s="431"/>
      <c r="O57" s="431"/>
      <c r="P57" s="431"/>
      <c r="Q57" s="432"/>
      <c r="R57" s="423"/>
      <c r="T57" s="429"/>
      <c r="U57" s="429"/>
      <c r="V57" s="429"/>
      <c r="W57" s="429"/>
      <c r="X57" s="429"/>
    </row>
    <row r="58" spans="1:24" s="428" customFormat="1" ht="126.75" customHeight="1">
      <c r="A58" s="429"/>
      <c r="B58" s="433"/>
      <c r="C58" s="434"/>
      <c r="D58" s="434"/>
      <c r="E58" s="434"/>
      <c r="F58" s="434"/>
      <c r="G58" s="434"/>
      <c r="H58" s="434"/>
      <c r="I58" s="434"/>
      <c r="J58" s="434"/>
      <c r="K58" s="434"/>
      <c r="L58" s="434"/>
      <c r="M58" s="434"/>
      <c r="N58" s="434"/>
      <c r="O58" s="434"/>
      <c r="P58" s="434"/>
      <c r="Q58" s="435"/>
      <c r="R58" s="423"/>
      <c r="T58" s="429"/>
      <c r="U58" s="429"/>
      <c r="V58" s="429"/>
      <c r="W58" s="429"/>
      <c r="X58" s="429"/>
    </row>
    <row r="59" spans="1:24" s="428" customFormat="1">
      <c r="A59" s="429"/>
      <c r="B59" s="429"/>
      <c r="C59" s="429"/>
      <c r="D59" s="429"/>
      <c r="E59" s="429"/>
      <c r="F59" s="429"/>
      <c r="G59" s="429"/>
      <c r="H59" s="429"/>
      <c r="I59" s="429"/>
      <c r="J59" s="429"/>
      <c r="K59" s="429"/>
      <c r="L59" s="429"/>
      <c r="M59" s="429"/>
      <c r="N59" s="429"/>
      <c r="O59" s="429"/>
      <c r="P59" s="429"/>
      <c r="Q59" s="436"/>
      <c r="R59" s="423"/>
      <c r="T59" s="429"/>
      <c r="U59" s="429"/>
      <c r="V59" s="429"/>
      <c r="W59" s="429"/>
      <c r="X59" s="429"/>
    </row>
    <row r="60" spans="1:24" s="428" customFormat="1">
      <c r="A60" s="429"/>
      <c r="B60" s="429"/>
      <c r="C60" s="429"/>
      <c r="D60" s="429"/>
      <c r="E60" s="429"/>
      <c r="F60" s="429"/>
      <c r="G60" s="429"/>
      <c r="H60" s="429"/>
      <c r="I60" s="429"/>
      <c r="J60" s="429"/>
      <c r="K60" s="429"/>
      <c r="L60" s="429"/>
      <c r="M60" s="429"/>
      <c r="N60" s="429"/>
      <c r="O60" s="429"/>
      <c r="P60" s="429"/>
      <c r="Q60" s="436"/>
      <c r="R60" s="423"/>
      <c r="T60" s="429"/>
      <c r="U60" s="429"/>
      <c r="V60" s="429"/>
      <c r="W60" s="429"/>
      <c r="X60" s="429"/>
    </row>
    <row r="61" spans="1:24" s="428" customFormat="1">
      <c r="Q61" s="437"/>
      <c r="R61" s="438"/>
    </row>
    <row r="62" spans="1:24" s="428" customFormat="1">
      <c r="C62" s="442"/>
      <c r="D62" s="442"/>
      <c r="E62" s="442"/>
      <c r="F62" s="442"/>
      <c r="G62" s="442"/>
      <c r="H62" s="442"/>
      <c r="I62" s="442"/>
      <c r="J62" s="442"/>
      <c r="K62" s="442"/>
      <c r="L62" s="442"/>
      <c r="M62" s="442"/>
      <c r="N62" s="442"/>
      <c r="O62" s="442"/>
      <c r="Q62" s="437"/>
      <c r="R62" s="438"/>
    </row>
    <row r="63" spans="1:24" s="428" customFormat="1">
      <c r="C63" s="442"/>
      <c r="D63" s="442"/>
      <c r="E63" s="442"/>
      <c r="F63" s="442"/>
      <c r="G63" s="442"/>
      <c r="H63" s="442"/>
      <c r="I63" s="442"/>
      <c r="J63" s="442"/>
      <c r="K63" s="442"/>
      <c r="L63" s="442"/>
      <c r="M63" s="442"/>
      <c r="N63" s="442"/>
      <c r="O63" s="442"/>
    </row>
    <row r="64" spans="1:24" s="428" customFormat="1">
      <c r="C64" s="442"/>
      <c r="D64" s="442"/>
      <c r="E64" s="442"/>
      <c r="F64" s="442"/>
      <c r="G64" s="442"/>
      <c r="H64" s="442"/>
      <c r="I64" s="442"/>
      <c r="J64" s="442"/>
      <c r="K64" s="442"/>
      <c r="L64" s="442"/>
      <c r="M64" s="442"/>
      <c r="N64" s="442"/>
      <c r="O64" s="442"/>
    </row>
    <row r="65" spans="3:17" s="428" customFormat="1">
      <c r="C65" s="442"/>
      <c r="D65" s="444" t="s">
        <v>122</v>
      </c>
      <c r="E65" s="442"/>
      <c r="F65" s="442"/>
      <c r="G65" s="442"/>
      <c r="H65" s="442"/>
      <c r="I65" s="442"/>
      <c r="J65" s="442"/>
      <c r="K65" s="442"/>
      <c r="L65" s="442"/>
      <c r="M65" s="442"/>
      <c r="N65" s="442"/>
      <c r="O65" s="442"/>
      <c r="Q65" s="439"/>
    </row>
    <row r="66" spans="3:17" s="428" customFormat="1">
      <c r="C66" s="442"/>
      <c r="D66" s="443"/>
      <c r="E66" s="442"/>
      <c r="F66" s="442"/>
      <c r="G66" s="442"/>
      <c r="H66" s="442"/>
      <c r="I66" s="442"/>
      <c r="J66" s="442"/>
      <c r="K66" s="442"/>
      <c r="L66" s="442"/>
      <c r="M66" s="442"/>
      <c r="N66" s="442"/>
      <c r="O66" s="442"/>
    </row>
    <row r="67" spans="3:17" s="428" customFormat="1">
      <c r="C67" s="442"/>
      <c r="D67" s="443"/>
      <c r="E67" s="442"/>
      <c r="F67" s="442"/>
      <c r="G67" s="442"/>
      <c r="H67" s="442"/>
      <c r="I67" s="442"/>
      <c r="J67" s="442"/>
      <c r="K67" s="442"/>
      <c r="L67" s="442"/>
      <c r="M67" s="442"/>
      <c r="N67" s="442"/>
      <c r="O67" s="442"/>
    </row>
    <row r="68" spans="3:17" s="428" customFormat="1">
      <c r="C68" s="442" t="s">
        <v>123</v>
      </c>
      <c r="D68" s="443"/>
      <c r="E68" s="445" t="e">
        <f>$E$12</f>
        <v>#NUM!</v>
      </c>
      <c r="F68" s="445"/>
      <c r="G68" s="445" t="e">
        <f>$G$12</f>
        <v>#NUM!</v>
      </c>
      <c r="H68" s="445"/>
      <c r="I68" s="445" t="e">
        <f>$I$12</f>
        <v>#NUM!</v>
      </c>
      <c r="J68" s="445"/>
      <c r="K68" s="445" t="e">
        <f>$K$12</f>
        <v>#NUM!</v>
      </c>
      <c r="L68" s="445"/>
      <c r="M68" s="445" t="e">
        <f>$M$12</f>
        <v>#NUM!</v>
      </c>
      <c r="N68" s="445"/>
      <c r="O68" s="445" t="e">
        <f>$O$12</f>
        <v>#NUM!</v>
      </c>
    </row>
    <row r="69" spans="3:17" s="428" customFormat="1">
      <c r="C69" s="442"/>
      <c r="D69" s="443"/>
      <c r="E69" s="445" t="e">
        <f>HLOOKUP(E$68,'IB - B&amp;D&amp;H'!$E$25:$W$45,2)</f>
        <v>#NUM!</v>
      </c>
      <c r="F69" s="442"/>
      <c r="G69" s="445" t="e">
        <f>HLOOKUP(G$68,'IB - B&amp;D&amp;H'!$E$25:$W$45,2)</f>
        <v>#NUM!</v>
      </c>
      <c r="H69" s="442"/>
      <c r="I69" s="445" t="e">
        <f>HLOOKUP(I$68,'IB - B&amp;D&amp;H'!$E$25:$W$45,2)</f>
        <v>#NUM!</v>
      </c>
      <c r="J69" s="442"/>
      <c r="K69" s="445" t="e">
        <f>HLOOKUP(K$68,'IB - E&amp;PH'!$E$25:$W$45,2)</f>
        <v>#NUM!</v>
      </c>
      <c r="L69" s="442"/>
      <c r="M69" s="445" t="e">
        <f>HLOOKUP(M$68,'IB - E&amp;PH'!$E$25:$W$45,2)</f>
        <v>#NUM!</v>
      </c>
      <c r="N69" s="442"/>
      <c r="O69" s="445" t="e">
        <f>HLOOKUP(O$68,'IB - E&amp;PH'!$E$25:$W$45,2)</f>
        <v>#NUM!</v>
      </c>
    </row>
    <row r="70" spans="3:17" s="428" customFormat="1">
      <c r="C70" s="442"/>
      <c r="D70" s="443"/>
      <c r="E70" s="445" t="e">
        <f>HLOOKUP(E$68,'IB - B&amp;D&amp;H'!$E$25:$W$45,3)</f>
        <v>#NUM!</v>
      </c>
      <c r="F70" s="442"/>
      <c r="G70" s="445" t="e">
        <f>HLOOKUP(G$68,'IB - B&amp;D&amp;H'!$E$25:$W$45,3)</f>
        <v>#NUM!</v>
      </c>
      <c r="H70" s="442"/>
      <c r="I70" s="445" t="e">
        <f>HLOOKUP(I$68,'IB - B&amp;D&amp;H'!$E$25:$W$45,3)</f>
        <v>#NUM!</v>
      </c>
      <c r="J70" s="442"/>
      <c r="K70" s="445" t="e">
        <f>HLOOKUP(K$68,'IB - E&amp;PH'!$E$25:$W$45,3)</f>
        <v>#NUM!</v>
      </c>
      <c r="L70" s="442"/>
      <c r="M70" s="445" t="e">
        <f>HLOOKUP(M$68,'IB - E&amp;PH'!$E$25:$W$45,3)</f>
        <v>#NUM!</v>
      </c>
      <c r="N70" s="442"/>
      <c r="O70" s="445" t="e">
        <f>HLOOKUP(O$68,'IB - E&amp;PH'!$E$25:$W$45,3)</f>
        <v>#NUM!</v>
      </c>
    </row>
    <row r="71" spans="3:17" s="428" customFormat="1">
      <c r="C71" s="442"/>
      <c r="D71" s="443"/>
      <c r="E71" s="445" t="e">
        <f>HLOOKUP(E$68,'IB - B&amp;D&amp;H'!$E$25:$W$45,4)</f>
        <v>#NUM!</v>
      </c>
      <c r="F71" s="442"/>
      <c r="G71" s="445" t="e">
        <f>HLOOKUP(G$68,'IB - B&amp;D&amp;H'!$E$25:$W$45,4)</f>
        <v>#NUM!</v>
      </c>
      <c r="H71" s="442"/>
      <c r="I71" s="445" t="e">
        <f>HLOOKUP(I$68,'IB - B&amp;D&amp;H'!$E$25:$W$45,4)</f>
        <v>#NUM!</v>
      </c>
      <c r="J71" s="442"/>
      <c r="K71" s="445" t="e">
        <f>HLOOKUP(K$68,'IB - E&amp;PH'!$E$25:$W$45,4)</f>
        <v>#NUM!</v>
      </c>
      <c r="L71" s="442"/>
      <c r="M71" s="445" t="e">
        <f>HLOOKUP(M$68,'IB - E&amp;PH'!$E$25:$W$45,4)</f>
        <v>#NUM!</v>
      </c>
      <c r="N71" s="442"/>
      <c r="O71" s="445" t="e">
        <f>HLOOKUP(O$68,'IB - E&amp;PH'!$E$25:$W$45,4)</f>
        <v>#NUM!</v>
      </c>
    </row>
    <row r="72" spans="3:17" s="428" customFormat="1">
      <c r="C72" s="442"/>
      <c r="D72" s="443"/>
      <c r="E72" s="445" t="e">
        <f>HLOOKUP(E$68,'IB - B&amp;D&amp;H'!$E$25:$W$45,5)</f>
        <v>#NUM!</v>
      </c>
      <c r="F72" s="442"/>
      <c r="G72" s="445" t="e">
        <f>HLOOKUP(G$68,'IB - B&amp;D&amp;H'!$E$25:$W$45,5)</f>
        <v>#NUM!</v>
      </c>
      <c r="H72" s="442"/>
      <c r="I72" s="445" t="e">
        <f>HLOOKUP(I$68,'IB - B&amp;D&amp;H'!$E$25:$W$45,5)</f>
        <v>#NUM!</v>
      </c>
      <c r="J72" s="442"/>
      <c r="K72" s="445" t="e">
        <f>HLOOKUP(K$68,'IB - E&amp;PH'!$E$25:$W$45,5)</f>
        <v>#NUM!</v>
      </c>
      <c r="L72" s="442"/>
      <c r="M72" s="445" t="e">
        <f>HLOOKUP(M$68,'IB - E&amp;PH'!$E$25:$W$45,5)</f>
        <v>#NUM!</v>
      </c>
      <c r="N72" s="442"/>
      <c r="O72" s="445" t="e">
        <f>HLOOKUP(O$68,'IB - E&amp;PH'!$E$25:$W$45,5)</f>
        <v>#NUM!</v>
      </c>
    </row>
    <row r="73" spans="3:17" s="428" customFormat="1">
      <c r="C73" s="442"/>
      <c r="D73" s="443"/>
      <c r="E73" s="445" t="e">
        <f>HLOOKUP(E$68,'IB - B&amp;D&amp;H'!$E$25:$W$45,6)</f>
        <v>#NUM!</v>
      </c>
      <c r="F73" s="442"/>
      <c r="G73" s="445" t="e">
        <f>HLOOKUP(G$68,'IB - B&amp;D&amp;H'!$E$25:$W$45,6)</f>
        <v>#NUM!</v>
      </c>
      <c r="H73" s="442"/>
      <c r="I73" s="445" t="e">
        <f>HLOOKUP(I$68,'IB - B&amp;D&amp;H'!$E$25:$W$45,6)</f>
        <v>#NUM!</v>
      </c>
      <c r="J73" s="442"/>
      <c r="K73" s="445" t="e">
        <f>HLOOKUP(K$68,'IB - E&amp;PH'!$E$25:$W$45,6)</f>
        <v>#NUM!</v>
      </c>
      <c r="L73" s="442"/>
      <c r="M73" s="445" t="e">
        <f>HLOOKUP(M$68,'IB - E&amp;PH'!$E$25:$W$45,6)</f>
        <v>#NUM!</v>
      </c>
      <c r="N73" s="442"/>
      <c r="O73" s="445" t="e">
        <f>HLOOKUP(O$68,'IB - E&amp;PH'!$E$25:$W$45,6)</f>
        <v>#NUM!</v>
      </c>
    </row>
    <row r="74" spans="3:17" s="428" customFormat="1">
      <c r="C74" s="442"/>
      <c r="D74" s="443"/>
      <c r="E74" s="445" t="e">
        <f>HLOOKUP(E$68,'IB - B&amp;D&amp;H'!$E$25:$W$45,7)</f>
        <v>#NUM!</v>
      </c>
      <c r="F74" s="442"/>
      <c r="G74" s="445" t="e">
        <f>HLOOKUP(G$68,'IB - B&amp;D&amp;H'!$E$25:$W$45,7)</f>
        <v>#NUM!</v>
      </c>
      <c r="H74" s="442"/>
      <c r="I74" s="445" t="e">
        <f>HLOOKUP(I$68,'IB - B&amp;D&amp;H'!$E$25:$W$45,7)</f>
        <v>#NUM!</v>
      </c>
      <c r="J74" s="442"/>
      <c r="K74" s="445" t="e">
        <f>HLOOKUP(K$68,'IB - E&amp;PH'!$E$25:$W$45,7)</f>
        <v>#NUM!</v>
      </c>
      <c r="L74" s="442"/>
      <c r="M74" s="445" t="e">
        <f>HLOOKUP(M$68,'IB - E&amp;PH'!$E$25:$W$45,7)</f>
        <v>#NUM!</v>
      </c>
      <c r="N74" s="442"/>
      <c r="O74" s="445" t="e">
        <f>HLOOKUP(O$68,'IB - E&amp;PH'!$E$25:$W$45,7)</f>
        <v>#NUM!</v>
      </c>
    </row>
    <row r="75" spans="3:17" s="428" customFormat="1">
      <c r="C75" s="442"/>
      <c r="D75" s="443"/>
      <c r="E75" s="445" t="e">
        <f>HLOOKUP(E$68,'IB - B&amp;D&amp;H'!$E$25:$W$45,8)</f>
        <v>#NUM!</v>
      </c>
      <c r="F75" s="442"/>
      <c r="G75" s="445" t="e">
        <f>HLOOKUP(G$68,'IB - B&amp;D&amp;H'!$E$25:$W$45,8)</f>
        <v>#NUM!</v>
      </c>
      <c r="H75" s="442"/>
      <c r="I75" s="445" t="e">
        <f>HLOOKUP(I$68,'IB - B&amp;D&amp;H'!$E$25:$W$45,8)</f>
        <v>#NUM!</v>
      </c>
      <c r="J75" s="442"/>
      <c r="K75" s="445" t="e">
        <f>HLOOKUP(K$68,'IB - E&amp;PH'!$E$25:$W$45,8)</f>
        <v>#NUM!</v>
      </c>
      <c r="L75" s="442"/>
      <c r="M75" s="445" t="e">
        <f>HLOOKUP(M$68,'IB - E&amp;PH'!$E$25:$W$45,8)</f>
        <v>#NUM!</v>
      </c>
      <c r="N75" s="442"/>
      <c r="O75" s="445" t="e">
        <f>HLOOKUP(O$68,'IB - E&amp;PH'!$E$25:$W$45,8)</f>
        <v>#NUM!</v>
      </c>
    </row>
    <row r="76" spans="3:17" s="428" customFormat="1">
      <c r="C76" s="442"/>
      <c r="D76" s="443"/>
      <c r="E76" s="445" t="e">
        <f>HLOOKUP(E$68,'IB - B&amp;D&amp;H'!$E$25:$W$45,9)</f>
        <v>#NUM!</v>
      </c>
      <c r="F76" s="442"/>
      <c r="G76" s="445" t="e">
        <f>HLOOKUP(G$68,'IB - B&amp;D&amp;H'!$E$25:$W$45,9)</f>
        <v>#NUM!</v>
      </c>
      <c r="H76" s="442"/>
      <c r="I76" s="445" t="e">
        <f>HLOOKUP(I$68,'IB - B&amp;D&amp;H'!$E$25:$W$45,9)</f>
        <v>#NUM!</v>
      </c>
      <c r="J76" s="442"/>
      <c r="K76" s="445" t="e">
        <f>HLOOKUP(K$68,'IB - E&amp;PH'!$E$25:$W$45,9)</f>
        <v>#NUM!</v>
      </c>
      <c r="L76" s="442"/>
      <c r="M76" s="445" t="e">
        <f>HLOOKUP(M$68,'IB - E&amp;PH'!$E$25:$W$45,9)</f>
        <v>#NUM!</v>
      </c>
      <c r="N76" s="442"/>
      <c r="O76" s="445" t="e">
        <f>HLOOKUP(O$68,'IB - E&amp;PH'!$E$25:$W$45,9)</f>
        <v>#NUM!</v>
      </c>
    </row>
    <row r="77" spans="3:17" s="428" customFormat="1">
      <c r="C77" s="442"/>
      <c r="D77" s="443"/>
      <c r="E77" s="445" t="e">
        <f>HLOOKUP(E$68,'IB - B&amp;D&amp;H'!$E$25:$W$45,10)</f>
        <v>#NUM!</v>
      </c>
      <c r="F77" s="442"/>
      <c r="G77" s="445" t="e">
        <f>HLOOKUP(G$68,'IB - B&amp;D&amp;H'!$E$25:$W$45,10)</f>
        <v>#NUM!</v>
      </c>
      <c r="H77" s="442"/>
      <c r="I77" s="445" t="e">
        <f>HLOOKUP(I$68,'IB - B&amp;D&amp;H'!$E$25:$W$45,10)</f>
        <v>#NUM!</v>
      </c>
      <c r="J77" s="442"/>
      <c r="K77" s="445" t="e">
        <f>HLOOKUP(K$68,'IB - E&amp;PH'!$E$25:$W$45,10)</f>
        <v>#NUM!</v>
      </c>
      <c r="L77" s="442"/>
      <c r="M77" s="445" t="e">
        <f>HLOOKUP(M$68,'IB - E&amp;PH'!$E$25:$W$45,10)</f>
        <v>#NUM!</v>
      </c>
      <c r="N77" s="442"/>
      <c r="O77" s="445" t="e">
        <f>HLOOKUP(O$68,'IB - E&amp;PH'!$E$25:$W$45,10)</f>
        <v>#NUM!</v>
      </c>
    </row>
    <row r="78" spans="3:17" s="428" customFormat="1">
      <c r="C78" s="442"/>
      <c r="D78" s="443"/>
      <c r="E78" s="445" t="e">
        <f>HLOOKUP(E$68,'IB - B&amp;D&amp;H'!$E$25:$W$45,11)</f>
        <v>#NUM!</v>
      </c>
      <c r="F78" s="442"/>
      <c r="G78" s="445" t="e">
        <f>HLOOKUP(G$68,'IB - B&amp;D&amp;H'!$E$25:$W$45,11)</f>
        <v>#NUM!</v>
      </c>
      <c r="H78" s="442"/>
      <c r="I78" s="445" t="e">
        <f>HLOOKUP(I$68,'IB - B&amp;D&amp;H'!$E$25:$W$45,11)</f>
        <v>#NUM!</v>
      </c>
      <c r="J78" s="442"/>
      <c r="K78" s="445" t="e">
        <f>HLOOKUP(K$68,'IB - E&amp;PH'!$E$25:$W$45,11)</f>
        <v>#NUM!</v>
      </c>
      <c r="L78" s="442"/>
      <c r="M78" s="445" t="e">
        <f>HLOOKUP(M$68,'IB - E&amp;PH'!$E$25:$W$45,11)</f>
        <v>#NUM!</v>
      </c>
      <c r="N78" s="442"/>
      <c r="O78" s="445" t="e">
        <f>HLOOKUP(O$68,'IB - E&amp;PH'!$E$25:$W$45,11)</f>
        <v>#NUM!</v>
      </c>
    </row>
    <row r="79" spans="3:17" s="428" customFormat="1">
      <c r="C79" s="442"/>
      <c r="D79" s="443"/>
      <c r="E79" s="445" t="e">
        <f>HLOOKUP(E$68,'IB - B&amp;D&amp;H'!$E$25:$W$45,12)</f>
        <v>#NUM!</v>
      </c>
      <c r="F79" s="442"/>
      <c r="G79" s="445" t="e">
        <f>HLOOKUP(G$68,'IB - B&amp;D&amp;H'!$E$25:$W$45,12)</f>
        <v>#NUM!</v>
      </c>
      <c r="H79" s="442"/>
      <c r="I79" s="445" t="e">
        <f>HLOOKUP(I$68,'IB - B&amp;D&amp;H'!$E$25:$W$45,12)</f>
        <v>#NUM!</v>
      </c>
      <c r="J79" s="442"/>
      <c r="K79" s="445" t="e">
        <f>HLOOKUP(K$68,'IB - E&amp;PH'!$E$25:$W$45,12)</f>
        <v>#NUM!</v>
      </c>
      <c r="L79" s="442"/>
      <c r="M79" s="445" t="e">
        <f>HLOOKUP(M$68,'IB - E&amp;PH'!$E$25:$W$45,12)</f>
        <v>#NUM!</v>
      </c>
      <c r="N79" s="442"/>
      <c r="O79" s="445" t="e">
        <f>HLOOKUP(O$68,'IB - E&amp;PH'!$E$25:$W$45,12)</f>
        <v>#NUM!</v>
      </c>
    </row>
    <row r="80" spans="3:17" s="428" customFormat="1">
      <c r="C80" s="442"/>
      <c r="D80" s="443"/>
      <c r="E80" s="445" t="e">
        <f>HLOOKUP(E$68,'IB - B&amp;D&amp;H'!$E$25:$W$45,13)</f>
        <v>#NUM!</v>
      </c>
      <c r="F80" s="442"/>
      <c r="G80" s="445" t="e">
        <f>HLOOKUP(G$68,'IB - B&amp;D&amp;H'!$E$25:$W$45,13)</f>
        <v>#NUM!</v>
      </c>
      <c r="H80" s="442"/>
      <c r="I80" s="445" t="e">
        <f>HLOOKUP(I$68,'IB - B&amp;D&amp;H'!$E$25:$W$45,13)</f>
        <v>#NUM!</v>
      </c>
      <c r="J80" s="442"/>
      <c r="K80" s="445" t="e">
        <f>HLOOKUP(K$68,'IB - E&amp;PH'!$E$25:$W$45,13)</f>
        <v>#NUM!</v>
      </c>
      <c r="L80" s="442"/>
      <c r="M80" s="445" t="e">
        <f>HLOOKUP(M$68,'IB - E&amp;PH'!$E$25:$W$45,13)</f>
        <v>#NUM!</v>
      </c>
      <c r="N80" s="442"/>
      <c r="O80" s="445" t="e">
        <f>HLOOKUP(O$68,'IB - E&amp;PH'!$E$25:$W$45,13)</f>
        <v>#NUM!</v>
      </c>
    </row>
    <row r="81" spans="2:18" s="428" customFormat="1">
      <c r="B81" s="440"/>
      <c r="C81" s="442"/>
      <c r="D81" s="443"/>
      <c r="E81" s="445" t="e">
        <f>HLOOKUP(E$68,'IB - B&amp;D&amp;H'!$E$25:$W$45,14)</f>
        <v>#NUM!</v>
      </c>
      <c r="F81" s="442"/>
      <c r="G81" s="445" t="e">
        <f>HLOOKUP(G$68,'IB - B&amp;D&amp;H'!$E$25:$W$45,14)</f>
        <v>#NUM!</v>
      </c>
      <c r="H81" s="442"/>
      <c r="I81" s="445" t="e">
        <f>HLOOKUP(I$68,'IB - B&amp;D&amp;H'!$E$25:$W$45,14)</f>
        <v>#NUM!</v>
      </c>
      <c r="J81" s="442"/>
      <c r="K81" s="445" t="e">
        <f>HLOOKUP(K$68,'IB - E&amp;PH'!$E$25:$W$45,14)</f>
        <v>#NUM!</v>
      </c>
      <c r="L81" s="442"/>
      <c r="M81" s="445" t="e">
        <f>HLOOKUP(M$68,'IB - E&amp;PH'!$E$25:$W$45,14)</f>
        <v>#NUM!</v>
      </c>
      <c r="N81" s="442"/>
      <c r="O81" s="445" t="e">
        <f>HLOOKUP(O$68,'IB - E&amp;PH'!$E$25:$W$45,14)</f>
        <v>#NUM!</v>
      </c>
    </row>
    <row r="82" spans="2:18" s="428" customFormat="1">
      <c r="B82" s="440"/>
      <c r="C82" s="442"/>
      <c r="D82" s="443"/>
      <c r="E82" s="445" t="e">
        <f>HLOOKUP(E$68,'IB - B&amp;D&amp;H'!$E$25:$W$45,15)</f>
        <v>#NUM!</v>
      </c>
      <c r="F82" s="442"/>
      <c r="G82" s="445" t="e">
        <f>HLOOKUP(G$68,'IB - B&amp;D&amp;H'!$E$25:$W$45,15)</f>
        <v>#NUM!</v>
      </c>
      <c r="H82" s="442"/>
      <c r="I82" s="445" t="e">
        <f>HLOOKUP(I$68,'IB - B&amp;D&amp;H'!$E$25:$W$45,15)</f>
        <v>#NUM!</v>
      </c>
      <c r="J82" s="442"/>
      <c r="K82" s="445" t="e">
        <f>HLOOKUP(K$68,'IB - E&amp;PH'!$E$25:$W$45,15)</f>
        <v>#NUM!</v>
      </c>
      <c r="L82" s="442"/>
      <c r="M82" s="445" t="e">
        <f>HLOOKUP(M$68,'IB - E&amp;PH'!$E$25:$W$45,15)</f>
        <v>#NUM!</v>
      </c>
      <c r="N82" s="442"/>
      <c r="O82" s="445" t="e">
        <f>HLOOKUP(O$68,'IB - E&amp;PH'!$E$25:$W$45,15)</f>
        <v>#NUM!</v>
      </c>
    </row>
    <row r="83" spans="2:18" s="428" customFormat="1">
      <c r="B83" s="440"/>
      <c r="C83" s="442"/>
      <c r="D83" s="443"/>
      <c r="E83" s="445" t="e">
        <f>HLOOKUP(E$68,'IB - B&amp;D&amp;H'!$E$25:$W$45,16)</f>
        <v>#NUM!</v>
      </c>
      <c r="F83" s="442"/>
      <c r="G83" s="445" t="e">
        <f>HLOOKUP(G$68,'IB - B&amp;D&amp;H'!$E$25:$W$45,16)</f>
        <v>#NUM!</v>
      </c>
      <c r="H83" s="442"/>
      <c r="I83" s="445" t="e">
        <f>HLOOKUP(I$68,'IB - B&amp;D&amp;H'!$E$25:$W$45,16)</f>
        <v>#NUM!</v>
      </c>
      <c r="J83" s="442"/>
      <c r="K83" s="445" t="e">
        <f>HLOOKUP(K$68,'IB - E&amp;PH'!$E$25:$W$45,16)</f>
        <v>#NUM!</v>
      </c>
      <c r="L83" s="442"/>
      <c r="M83" s="445" t="e">
        <f>HLOOKUP(M$68,'IB - E&amp;PH'!$E$25:$W$45,16)</f>
        <v>#NUM!</v>
      </c>
      <c r="N83" s="442"/>
      <c r="O83" s="445" t="e">
        <f>HLOOKUP(O$68,'IB - E&amp;PH'!$E$25:$W$45,16)</f>
        <v>#NUM!</v>
      </c>
    </row>
    <row r="84" spans="2:18" s="428" customFormat="1">
      <c r="B84" s="440"/>
      <c r="C84" s="442"/>
      <c r="D84" s="443"/>
      <c r="E84" s="445" t="e">
        <f>HLOOKUP(E$68,'IB - B&amp;D&amp;H'!$E$25:$W$45,17)</f>
        <v>#NUM!</v>
      </c>
      <c r="F84" s="442"/>
      <c r="G84" s="445" t="e">
        <f>HLOOKUP(G$68,'IB - B&amp;D&amp;H'!$E$25:$W$45,17)</f>
        <v>#NUM!</v>
      </c>
      <c r="H84" s="442"/>
      <c r="I84" s="445" t="e">
        <f>HLOOKUP(I$68,'IB - B&amp;D&amp;H'!$E$25:$W$45,17)</f>
        <v>#NUM!</v>
      </c>
      <c r="J84" s="442"/>
      <c r="K84" s="445" t="e">
        <f>HLOOKUP(K$68,'IB - E&amp;PH'!$E$25:$W$45,17)</f>
        <v>#NUM!</v>
      </c>
      <c r="L84" s="442"/>
      <c r="M84" s="445" t="e">
        <f>HLOOKUP(M$68,'IB - E&amp;PH'!$E$25:$W$45,17)</f>
        <v>#NUM!</v>
      </c>
      <c r="N84" s="442"/>
      <c r="O84" s="445" t="e">
        <f>HLOOKUP(O$68,'IB - E&amp;PH'!$E$25:$W$45,17)</f>
        <v>#NUM!</v>
      </c>
    </row>
    <row r="85" spans="2:18" s="428" customFormat="1">
      <c r="B85" s="440"/>
      <c r="C85" s="442"/>
      <c r="D85" s="443"/>
      <c r="E85" s="445" t="e">
        <f>HLOOKUP(E$68,'IB - B&amp;D&amp;H'!$E$25:$W$45,18)</f>
        <v>#NUM!</v>
      </c>
      <c r="F85" s="442"/>
      <c r="G85" s="445" t="e">
        <f>HLOOKUP(G$68,'IB - B&amp;D&amp;H'!$E$25:$W$45,18)</f>
        <v>#NUM!</v>
      </c>
      <c r="H85" s="442"/>
      <c r="I85" s="445" t="e">
        <f>HLOOKUP(I$68,'IB - B&amp;D&amp;H'!$E$25:$W$45,18)</f>
        <v>#NUM!</v>
      </c>
      <c r="J85" s="442"/>
      <c r="K85" s="445" t="e">
        <f>HLOOKUP(K$68,'IB - E&amp;PH'!$E$25:$W$45,18)</f>
        <v>#NUM!</v>
      </c>
      <c r="L85" s="442"/>
      <c r="M85" s="445" t="e">
        <f>HLOOKUP(M$68,'IB - E&amp;PH'!$E$25:$W$45,18)</f>
        <v>#NUM!</v>
      </c>
      <c r="N85" s="442"/>
      <c r="O85" s="445" t="e">
        <f>HLOOKUP(O$68,'IB - E&amp;PH'!$E$25:$W$45,18)</f>
        <v>#NUM!</v>
      </c>
    </row>
    <row r="86" spans="2:18" s="428" customFormat="1">
      <c r="B86" s="440"/>
      <c r="C86" s="442"/>
      <c r="D86" s="443"/>
      <c r="E86" s="445" t="e">
        <f>HLOOKUP(E$68,'IB - B&amp;D&amp;H'!$E$25:$W$45,19)</f>
        <v>#NUM!</v>
      </c>
      <c r="F86" s="442"/>
      <c r="G86" s="445" t="e">
        <f>HLOOKUP(G$68,'IB - B&amp;D&amp;H'!$E$25:$W$45,19)</f>
        <v>#NUM!</v>
      </c>
      <c r="H86" s="442"/>
      <c r="I86" s="445" t="e">
        <f>HLOOKUP(I$68,'IB - B&amp;D&amp;H'!$E$25:$W$45,19)</f>
        <v>#NUM!</v>
      </c>
      <c r="J86" s="442"/>
      <c r="K86" s="445" t="e">
        <f>HLOOKUP(K$68,'IB - E&amp;PH'!$E$25:$W$45,19)</f>
        <v>#NUM!</v>
      </c>
      <c r="L86" s="442"/>
      <c r="M86" s="445" t="e">
        <f>HLOOKUP(M$68,'IB - E&amp;PH'!$E$25:$W$45,19)</f>
        <v>#NUM!</v>
      </c>
      <c r="N86" s="442"/>
      <c r="O86" s="445" t="e">
        <f>HLOOKUP(O$68,'IB - E&amp;PH'!$E$25:$W$45,19)</f>
        <v>#NUM!</v>
      </c>
    </row>
    <row r="87" spans="2:18" s="428" customFormat="1">
      <c r="B87" s="440"/>
      <c r="C87" s="442"/>
      <c r="D87" s="443"/>
      <c r="E87" s="445" t="e">
        <f>HLOOKUP(E$68,'IB - B&amp;D&amp;H'!$E$25:$W$45,20)</f>
        <v>#NUM!</v>
      </c>
      <c r="F87" s="442"/>
      <c r="G87" s="445" t="e">
        <f>HLOOKUP(G$68,'IB - B&amp;D&amp;H'!$E$25:$W$45,20)</f>
        <v>#NUM!</v>
      </c>
      <c r="H87" s="442"/>
      <c r="I87" s="445" t="e">
        <f>HLOOKUP(I$68,'IB - B&amp;D&amp;H'!$E$25:$W$45,20)</f>
        <v>#NUM!</v>
      </c>
      <c r="J87" s="442"/>
      <c r="K87" s="445" t="e">
        <f>HLOOKUP(K$68,'IB - E&amp;PH'!$E$25:$W$45,20)</f>
        <v>#NUM!</v>
      </c>
      <c r="L87" s="442"/>
      <c r="M87" s="445" t="e">
        <f>HLOOKUP(M$68,'IB - E&amp;PH'!$E$25:$W$45,20)</f>
        <v>#NUM!</v>
      </c>
      <c r="N87" s="442"/>
      <c r="O87" s="445" t="e">
        <f>HLOOKUP(O$68,'IB - E&amp;PH'!$E$25:$W$45,20)</f>
        <v>#NUM!</v>
      </c>
    </row>
    <row r="88" spans="2:18" s="428" customFormat="1">
      <c r="B88" s="440"/>
      <c r="C88" s="442"/>
      <c r="D88" s="443"/>
      <c r="E88" s="445"/>
      <c r="F88" s="442"/>
      <c r="G88" s="442"/>
      <c r="H88" s="442"/>
      <c r="I88" s="442"/>
      <c r="J88" s="442"/>
      <c r="K88" s="442"/>
      <c r="L88" s="442"/>
      <c r="M88" s="442"/>
      <c r="N88" s="442"/>
      <c r="O88" s="445"/>
    </row>
    <row r="89" spans="2:18" s="428" customFormat="1">
      <c r="B89" s="440"/>
      <c r="C89" s="442"/>
      <c r="D89" s="443"/>
      <c r="E89" s="445"/>
      <c r="F89" s="442"/>
      <c r="G89" s="442"/>
      <c r="H89" s="442"/>
      <c r="I89" s="442"/>
      <c r="J89" s="442"/>
      <c r="K89" s="442"/>
      <c r="L89" s="442"/>
      <c r="M89" s="442"/>
      <c r="N89" s="442"/>
      <c r="O89" s="442"/>
    </row>
    <row r="90" spans="2:18" s="428" customFormat="1">
      <c r="B90" s="440"/>
      <c r="C90" s="442" t="s">
        <v>124</v>
      </c>
      <c r="D90" s="443"/>
      <c r="E90" s="445" t="e">
        <f>$E$12</f>
        <v>#NUM!</v>
      </c>
      <c r="F90" s="445"/>
      <c r="G90" s="445" t="e">
        <f>$G$12</f>
        <v>#NUM!</v>
      </c>
      <c r="H90" s="445"/>
      <c r="I90" s="445" t="e">
        <f>$I$12</f>
        <v>#NUM!</v>
      </c>
      <c r="J90" s="445"/>
      <c r="K90" s="445" t="e">
        <f>$K$12</f>
        <v>#NUM!</v>
      </c>
      <c r="L90" s="445"/>
      <c r="M90" s="445" t="e">
        <f>$M$12</f>
        <v>#NUM!</v>
      </c>
      <c r="N90" s="445"/>
      <c r="O90" s="445" t="e">
        <f>$O$12</f>
        <v>#NUM!</v>
      </c>
    </row>
    <row r="91" spans="2:18" s="428" customFormat="1">
      <c r="B91" s="440"/>
      <c r="C91" s="442"/>
      <c r="D91" s="443"/>
      <c r="E91" s="445" t="e">
        <f>HLOOKUP(E$90,'IB - B&amp;D&amp;H'!$E$95:$W$115,2)</f>
        <v>#NUM!</v>
      </c>
      <c r="F91" s="442"/>
      <c r="G91" s="445" t="e">
        <f>HLOOKUP(G$90,'IB - B&amp;D&amp;H'!$E$95:$W$115,2)</f>
        <v>#NUM!</v>
      </c>
      <c r="H91" s="442"/>
      <c r="I91" s="445" t="e">
        <f>HLOOKUP(I$90,'IB - B&amp;D&amp;H'!$E$95:$W$115,2)</f>
        <v>#NUM!</v>
      </c>
      <c r="J91" s="442"/>
      <c r="K91" s="445" t="e">
        <f>HLOOKUP(K$90,'IB - E&amp;PH'!$E$95:$W$115,2)</f>
        <v>#NUM!</v>
      </c>
      <c r="L91" s="442"/>
      <c r="M91" s="445" t="e">
        <f>HLOOKUP(M$90,'IB - E&amp;PH'!$E$95:$W$115,2)</f>
        <v>#NUM!</v>
      </c>
      <c r="N91" s="442"/>
      <c r="O91" s="445" t="e">
        <f>HLOOKUP(O$90,'IB - E&amp;PH'!$E$95:$W$115,2)</f>
        <v>#NUM!</v>
      </c>
    </row>
    <row r="92" spans="2:18" s="428" customFormat="1">
      <c r="B92" s="440"/>
      <c r="C92" s="442"/>
      <c r="D92" s="443"/>
      <c r="E92" s="445" t="e">
        <f>HLOOKUP(E$90,'IB - B&amp;D&amp;H'!$E$95:$W$115,3)</f>
        <v>#NUM!</v>
      </c>
      <c r="F92" s="442"/>
      <c r="G92" s="445" t="e">
        <f>HLOOKUP(G$90,'IB - B&amp;D&amp;H'!$E$95:$W$115,3)</f>
        <v>#NUM!</v>
      </c>
      <c r="H92" s="442"/>
      <c r="I92" s="445" t="e">
        <f>HLOOKUP(I$90,'IB - B&amp;D&amp;H'!$E$95:$W$115,3)</f>
        <v>#NUM!</v>
      </c>
      <c r="J92" s="442"/>
      <c r="K92" s="445" t="e">
        <f>HLOOKUP(K$90,'IB - E&amp;PH'!$E$95:$W$115,3)</f>
        <v>#NUM!</v>
      </c>
      <c r="L92" s="442"/>
      <c r="M92" s="445" t="e">
        <f>HLOOKUP(M$90,'IB - E&amp;PH'!$E$95:$W$115,3)</f>
        <v>#NUM!</v>
      </c>
      <c r="N92" s="442"/>
      <c r="O92" s="445" t="e">
        <f>HLOOKUP(O$90,'IB - E&amp;PH'!$E$95:$W$115,3)</f>
        <v>#NUM!</v>
      </c>
    </row>
    <row r="93" spans="2:18" s="428" customFormat="1">
      <c r="B93" s="440"/>
      <c r="C93" s="442"/>
      <c r="D93" s="443"/>
      <c r="E93" s="445" t="e">
        <f>HLOOKUP(E$90,'IB - B&amp;D&amp;H'!$E$95:$W$115,4)</f>
        <v>#NUM!</v>
      </c>
      <c r="F93" s="442"/>
      <c r="G93" s="445" t="e">
        <f>HLOOKUP(G$90,'IB - B&amp;D&amp;H'!$E$95:$W$115,4)</f>
        <v>#NUM!</v>
      </c>
      <c r="H93" s="442"/>
      <c r="I93" s="445" t="e">
        <f>HLOOKUP(I$90,'IB - B&amp;D&amp;H'!$E$95:$W$115,4)</f>
        <v>#NUM!</v>
      </c>
      <c r="J93" s="442"/>
      <c r="K93" s="445" t="e">
        <f>HLOOKUP(K$90,'IB - E&amp;PH'!$E$95:$W$115,4)</f>
        <v>#NUM!</v>
      </c>
      <c r="L93" s="442"/>
      <c r="M93" s="445" t="e">
        <f>HLOOKUP(M$90,'IB - E&amp;PH'!$E$95:$W$115,4)</f>
        <v>#NUM!</v>
      </c>
      <c r="N93" s="442"/>
      <c r="O93" s="445" t="e">
        <f>HLOOKUP(O$90,'IB - E&amp;PH'!$E$95:$W$115,4)</f>
        <v>#NUM!</v>
      </c>
    </row>
    <row r="94" spans="2:18" s="428" customFormat="1">
      <c r="B94" s="440"/>
      <c r="C94" s="442"/>
      <c r="D94" s="443"/>
      <c r="E94" s="445" t="e">
        <f>HLOOKUP(E$90,'IB - B&amp;D&amp;H'!$E$95:$W$115,5)</f>
        <v>#NUM!</v>
      </c>
      <c r="F94" s="442"/>
      <c r="G94" s="445" t="e">
        <f>HLOOKUP(G$90,'IB - B&amp;D&amp;H'!$E$95:$W$115,5)</f>
        <v>#NUM!</v>
      </c>
      <c r="H94" s="442"/>
      <c r="I94" s="445" t="e">
        <f>HLOOKUP(I$90,'IB - B&amp;D&amp;H'!$E$95:$W$115,5)</f>
        <v>#NUM!</v>
      </c>
      <c r="J94" s="442"/>
      <c r="K94" s="445" t="e">
        <f>HLOOKUP(K$90,'IB - E&amp;PH'!$E$95:$W$115,5)</f>
        <v>#NUM!</v>
      </c>
      <c r="L94" s="442"/>
      <c r="M94" s="445" t="e">
        <f>HLOOKUP(M$90,'IB - E&amp;PH'!$E$95:$W$115,5)</f>
        <v>#NUM!</v>
      </c>
      <c r="N94" s="442"/>
      <c r="O94" s="445" t="e">
        <f>HLOOKUP(O$90,'IB - E&amp;PH'!$E$95:$W$115,5)</f>
        <v>#NUM!</v>
      </c>
    </row>
    <row r="95" spans="2:18" s="428" customFormat="1">
      <c r="B95" s="440"/>
      <c r="C95" s="442"/>
      <c r="D95" s="443"/>
      <c r="E95" s="445" t="e">
        <f>HLOOKUP(E$90,'IB - B&amp;D&amp;H'!$E$95:$W$115,6)</f>
        <v>#NUM!</v>
      </c>
      <c r="F95" s="442"/>
      <c r="G95" s="445" t="e">
        <f>HLOOKUP(G$90,'IB - B&amp;D&amp;H'!$E$95:$W$115,6)</f>
        <v>#NUM!</v>
      </c>
      <c r="H95" s="442"/>
      <c r="I95" s="445" t="e">
        <f>HLOOKUP(I$90,'IB - B&amp;D&amp;H'!$E$95:$W$115,6)</f>
        <v>#NUM!</v>
      </c>
      <c r="J95" s="442"/>
      <c r="K95" s="445" t="e">
        <f>HLOOKUP(K$90,'IB - E&amp;PH'!$E$95:$W$115,6)</f>
        <v>#NUM!</v>
      </c>
      <c r="L95" s="442"/>
      <c r="M95" s="445" t="e">
        <f>HLOOKUP(M$90,'IB - E&amp;PH'!$E$95:$W$115,6)</f>
        <v>#NUM!</v>
      </c>
      <c r="N95" s="442"/>
      <c r="O95" s="445" t="e">
        <f>HLOOKUP(O$90,'IB - E&amp;PH'!$E$95:$W$115,6)</f>
        <v>#NUM!</v>
      </c>
    </row>
    <row r="96" spans="2:18" s="428" customFormat="1">
      <c r="B96" s="440"/>
      <c r="C96" s="442"/>
      <c r="D96" s="443"/>
      <c r="E96" s="445" t="e">
        <f>HLOOKUP(E$90,'IB - B&amp;D&amp;H'!$E$95:$W$115,7)</f>
        <v>#NUM!</v>
      </c>
      <c r="F96" s="442"/>
      <c r="G96" s="445" t="e">
        <f>HLOOKUP(G$90,'IB - B&amp;D&amp;H'!$E$95:$W$115,7)</f>
        <v>#NUM!</v>
      </c>
      <c r="H96" s="442"/>
      <c r="I96" s="445" t="e">
        <f>HLOOKUP(I$90,'IB - B&amp;D&amp;H'!$E$95:$W$115,7)</f>
        <v>#NUM!</v>
      </c>
      <c r="J96" s="442"/>
      <c r="K96" s="445" t="e">
        <f>HLOOKUP(K$90,'IB - E&amp;PH'!$E$95:$W$115,7)</f>
        <v>#NUM!</v>
      </c>
      <c r="L96" s="442"/>
      <c r="M96" s="445" t="e">
        <f>HLOOKUP(M$90,'IB - E&amp;PH'!$E$95:$W$115,7)</f>
        <v>#NUM!</v>
      </c>
      <c r="N96" s="442"/>
      <c r="O96" s="445" t="e">
        <f>HLOOKUP(O$90,'IB - E&amp;PH'!$E$95:$W$115,7)</f>
        <v>#NUM!</v>
      </c>
      <c r="P96" s="442"/>
      <c r="Q96" s="442"/>
      <c r="R96" s="442"/>
    </row>
    <row r="97" spans="2:18" s="428" customFormat="1">
      <c r="B97" s="440"/>
      <c r="C97" s="442"/>
      <c r="D97" s="443"/>
      <c r="E97" s="445" t="e">
        <f>HLOOKUP(E$90,'IB - B&amp;D&amp;H'!$E$95:$W$115,8)</f>
        <v>#NUM!</v>
      </c>
      <c r="F97" s="442"/>
      <c r="G97" s="445" t="e">
        <f>HLOOKUP(G$90,'IB - B&amp;D&amp;H'!$E$95:$W$115,8)</f>
        <v>#NUM!</v>
      </c>
      <c r="H97" s="442"/>
      <c r="I97" s="445" t="e">
        <f>HLOOKUP(I$90,'IB - B&amp;D&amp;H'!$E$95:$W$115,8)</f>
        <v>#NUM!</v>
      </c>
      <c r="J97" s="442"/>
      <c r="K97" s="445" t="e">
        <f>HLOOKUP(K$90,'IB - E&amp;PH'!$E$95:$W$115,8)</f>
        <v>#NUM!</v>
      </c>
      <c r="L97" s="442"/>
      <c r="M97" s="445" t="e">
        <f>HLOOKUP(M$90,'IB - E&amp;PH'!$E$95:$W$115,8)</f>
        <v>#NUM!</v>
      </c>
      <c r="N97" s="442"/>
      <c r="O97" s="445" t="e">
        <f>HLOOKUP(O$90,'IB - E&amp;PH'!$E$95:$W$115,8)</f>
        <v>#NUM!</v>
      </c>
      <c r="P97" s="442"/>
      <c r="Q97" s="442"/>
      <c r="R97" s="442"/>
    </row>
    <row r="98" spans="2:18" s="428" customFormat="1">
      <c r="B98" s="440"/>
      <c r="C98" s="442"/>
      <c r="D98" s="443"/>
      <c r="E98" s="445" t="e">
        <f>HLOOKUP(E$90,'IB - B&amp;D&amp;H'!$E$95:$W$115,9)</f>
        <v>#NUM!</v>
      </c>
      <c r="F98" s="442"/>
      <c r="G98" s="445" t="e">
        <f>HLOOKUP(G$90,'IB - B&amp;D&amp;H'!$E$95:$W$115,9)</f>
        <v>#NUM!</v>
      </c>
      <c r="H98" s="442"/>
      <c r="I98" s="445" t="e">
        <f>HLOOKUP(I$90,'IB - B&amp;D&amp;H'!$E$95:$W$115,9)</f>
        <v>#NUM!</v>
      </c>
      <c r="J98" s="442"/>
      <c r="K98" s="445" t="e">
        <f>HLOOKUP(K$90,'IB - E&amp;PH'!$E$95:$W$115,9)</f>
        <v>#NUM!</v>
      </c>
      <c r="L98" s="442"/>
      <c r="M98" s="445" t="e">
        <f>HLOOKUP(M$90,'IB - E&amp;PH'!$E$95:$W$115,9)</f>
        <v>#NUM!</v>
      </c>
      <c r="N98" s="442"/>
      <c r="O98" s="445" t="e">
        <f>HLOOKUP(O$90,'IB - E&amp;PH'!$E$95:$W$115,9)</f>
        <v>#NUM!</v>
      </c>
      <c r="P98" s="442"/>
      <c r="Q98" s="442"/>
      <c r="R98" s="442"/>
    </row>
    <row r="99" spans="2:18" s="428" customFormat="1">
      <c r="B99" s="440"/>
      <c r="C99" s="442"/>
      <c r="D99" s="443"/>
      <c r="E99" s="445" t="e">
        <f>HLOOKUP(E$90,'IB - B&amp;D&amp;H'!$E$95:$W$115,10)</f>
        <v>#NUM!</v>
      </c>
      <c r="F99" s="442"/>
      <c r="G99" s="445" t="e">
        <f>HLOOKUP(G$90,'IB - B&amp;D&amp;H'!$E$95:$W$115,10)</f>
        <v>#NUM!</v>
      </c>
      <c r="H99" s="442"/>
      <c r="I99" s="445" t="e">
        <f>HLOOKUP(I$90,'IB - B&amp;D&amp;H'!$E$95:$W$115,10)</f>
        <v>#NUM!</v>
      </c>
      <c r="J99" s="442"/>
      <c r="K99" s="445" t="e">
        <f>HLOOKUP(K$90,'IB - E&amp;PH'!$E$95:$W$115,10)</f>
        <v>#NUM!</v>
      </c>
      <c r="L99" s="442"/>
      <c r="M99" s="445" t="e">
        <f>HLOOKUP(M$90,'IB - E&amp;PH'!$E$95:$W$115,10)</f>
        <v>#NUM!</v>
      </c>
      <c r="N99" s="442"/>
      <c r="O99" s="445" t="e">
        <f>HLOOKUP(O$90,'IB - E&amp;PH'!$E$95:$W$115,10)</f>
        <v>#NUM!</v>
      </c>
      <c r="P99" s="442"/>
      <c r="Q99" s="442"/>
      <c r="R99" s="442"/>
    </row>
    <row r="100" spans="2:18" s="428" customFormat="1">
      <c r="B100" s="440"/>
      <c r="C100" s="442"/>
      <c r="D100" s="443"/>
      <c r="E100" s="445" t="e">
        <f>HLOOKUP(E$90,'IB - B&amp;D&amp;H'!$E$95:$W$115,11)</f>
        <v>#NUM!</v>
      </c>
      <c r="F100" s="442"/>
      <c r="G100" s="445" t="e">
        <f>HLOOKUP(G$90,'IB - B&amp;D&amp;H'!$E$95:$W$115,11)</f>
        <v>#NUM!</v>
      </c>
      <c r="H100" s="442"/>
      <c r="I100" s="445" t="e">
        <f>HLOOKUP(I$90,'IB - B&amp;D&amp;H'!$E$95:$W$115,11)</f>
        <v>#NUM!</v>
      </c>
      <c r="J100" s="442"/>
      <c r="K100" s="445" t="e">
        <f>HLOOKUP(K$90,'IB - E&amp;PH'!$E$95:$W$115,11)</f>
        <v>#NUM!</v>
      </c>
      <c r="L100" s="442"/>
      <c r="M100" s="445" t="e">
        <f>HLOOKUP(M$90,'IB - E&amp;PH'!$E$95:$W$115,11)</f>
        <v>#NUM!</v>
      </c>
      <c r="N100" s="442"/>
      <c r="O100" s="445" t="e">
        <f>HLOOKUP(O$90,'IB - E&amp;PH'!$E$95:$W$115,11)</f>
        <v>#NUM!</v>
      </c>
      <c r="P100" s="445"/>
      <c r="Q100" s="442"/>
      <c r="R100" s="442"/>
    </row>
    <row r="101" spans="2:18" s="428" customFormat="1">
      <c r="B101" s="440"/>
      <c r="C101" s="442"/>
      <c r="D101" s="443"/>
      <c r="E101" s="445" t="e">
        <f>HLOOKUP(E$90,'IB - B&amp;D&amp;H'!$E$95:$W$115,12)</f>
        <v>#NUM!</v>
      </c>
      <c r="F101" s="442"/>
      <c r="G101" s="445" t="e">
        <f>HLOOKUP(G$90,'IB - B&amp;D&amp;H'!$E$95:$W$115,12)</f>
        <v>#NUM!</v>
      </c>
      <c r="H101" s="442"/>
      <c r="I101" s="445" t="e">
        <f>HLOOKUP(I$90,'IB - B&amp;D&amp;H'!$E$95:$W$115,12)</f>
        <v>#NUM!</v>
      </c>
      <c r="J101" s="442"/>
      <c r="K101" s="445" t="e">
        <f>HLOOKUP(K$90,'IB - E&amp;PH'!$E$95:$W$115,12)</f>
        <v>#NUM!</v>
      </c>
      <c r="L101" s="442"/>
      <c r="M101" s="445" t="e">
        <f>HLOOKUP(M$90,'IB - E&amp;PH'!$E$95:$W$115,12)</f>
        <v>#NUM!</v>
      </c>
      <c r="N101" s="442"/>
      <c r="O101" s="445" t="e">
        <f>HLOOKUP(O$90,'IB - E&amp;PH'!$E$95:$W$115,12)</f>
        <v>#NUM!</v>
      </c>
      <c r="P101" s="442"/>
      <c r="Q101" s="442"/>
      <c r="R101" s="442"/>
    </row>
    <row r="102" spans="2:18" s="428" customFormat="1">
      <c r="B102" s="440"/>
      <c r="C102" s="442"/>
      <c r="D102" s="443"/>
      <c r="E102" s="445" t="e">
        <f>HLOOKUP(E$90,'IB - B&amp;D&amp;H'!$E$95:$W$115,13)</f>
        <v>#NUM!</v>
      </c>
      <c r="F102" s="442"/>
      <c r="G102" s="445" t="e">
        <f>HLOOKUP(G$90,'IB - B&amp;D&amp;H'!$E$95:$W$115,13)</f>
        <v>#NUM!</v>
      </c>
      <c r="H102" s="442"/>
      <c r="I102" s="445" t="e">
        <f>HLOOKUP(I$90,'IB - B&amp;D&amp;H'!$E$95:$W$115,13)</f>
        <v>#NUM!</v>
      </c>
      <c r="J102" s="442"/>
      <c r="K102" s="445" t="e">
        <f>HLOOKUP(K$90,'IB - E&amp;PH'!$E$95:$W$115,13)</f>
        <v>#NUM!</v>
      </c>
      <c r="L102" s="442"/>
      <c r="M102" s="445" t="e">
        <f>HLOOKUP(M$90,'IB - E&amp;PH'!$E$95:$W$115,13)</f>
        <v>#NUM!</v>
      </c>
      <c r="N102" s="442"/>
      <c r="O102" s="445" t="e">
        <f>HLOOKUP(O$90,'IB - E&amp;PH'!$E$95:$W$115,13)</f>
        <v>#NUM!</v>
      </c>
      <c r="P102" s="442"/>
      <c r="Q102" s="442"/>
      <c r="R102" s="442"/>
    </row>
    <row r="103" spans="2:18" s="428" customFormat="1">
      <c r="B103" s="440"/>
      <c r="C103" s="442"/>
      <c r="D103" s="443"/>
      <c r="E103" s="445" t="e">
        <f>HLOOKUP(E$90,'IB - B&amp;D&amp;H'!$E$95:$W$115,14)</f>
        <v>#NUM!</v>
      </c>
      <c r="F103" s="442"/>
      <c r="G103" s="445" t="e">
        <f>HLOOKUP(G$90,'IB - B&amp;D&amp;H'!$E$95:$W$115,14)</f>
        <v>#NUM!</v>
      </c>
      <c r="H103" s="442"/>
      <c r="I103" s="445" t="e">
        <f>HLOOKUP(I$90,'IB - B&amp;D&amp;H'!$E$95:$W$115,14)</f>
        <v>#NUM!</v>
      </c>
      <c r="J103" s="442"/>
      <c r="K103" s="445" t="e">
        <f>HLOOKUP(K$90,'IB - E&amp;PH'!$E$95:$W$115,14)</f>
        <v>#NUM!</v>
      </c>
      <c r="L103" s="442"/>
      <c r="M103" s="445" t="e">
        <f>HLOOKUP(M$90,'IB - E&amp;PH'!$E$95:$W$115,14)</f>
        <v>#NUM!</v>
      </c>
      <c r="N103" s="442"/>
      <c r="O103" s="445" t="e">
        <f>HLOOKUP(O$90,'IB - E&amp;PH'!$E$95:$W$115,14)</f>
        <v>#NUM!</v>
      </c>
      <c r="P103" s="442"/>
      <c r="Q103" s="442"/>
      <c r="R103" s="442"/>
    </row>
    <row r="104" spans="2:18" s="428" customFormat="1">
      <c r="B104" s="440"/>
      <c r="C104" s="442"/>
      <c r="D104" s="443"/>
      <c r="E104" s="445" t="e">
        <f>HLOOKUP(E$90,'IB - B&amp;D&amp;H'!$E$95:$W$115,15)</f>
        <v>#NUM!</v>
      </c>
      <c r="F104" s="442"/>
      <c r="G104" s="445" t="e">
        <f>HLOOKUP(G$90,'IB - B&amp;D&amp;H'!$E$95:$W$115,15)</f>
        <v>#NUM!</v>
      </c>
      <c r="H104" s="442"/>
      <c r="I104" s="445" t="e">
        <f>HLOOKUP(I$90,'IB - B&amp;D&amp;H'!$E$95:$W$115,15)</f>
        <v>#NUM!</v>
      </c>
      <c r="J104" s="442"/>
      <c r="K104" s="445" t="e">
        <f>HLOOKUP(K$90,'IB - E&amp;PH'!$E$95:$W$115,15)</f>
        <v>#NUM!</v>
      </c>
      <c r="L104" s="442"/>
      <c r="M104" s="445" t="e">
        <f>HLOOKUP(M$90,'IB - E&amp;PH'!$E$95:$W$115,15)</f>
        <v>#NUM!</v>
      </c>
      <c r="N104" s="442"/>
      <c r="O104" s="445" t="e">
        <f>HLOOKUP(O$90,'IB - E&amp;PH'!$E$95:$W$115,15)</f>
        <v>#NUM!</v>
      </c>
      <c r="P104" s="442"/>
      <c r="Q104" s="442"/>
      <c r="R104" s="442"/>
    </row>
    <row r="105" spans="2:18" s="428" customFormat="1">
      <c r="B105" s="440"/>
      <c r="C105" s="442"/>
      <c r="D105" s="443"/>
      <c r="E105" s="445" t="e">
        <f>HLOOKUP(E$90,'IB - B&amp;D&amp;H'!$E$95:$W$115,16)</f>
        <v>#NUM!</v>
      </c>
      <c r="F105" s="442"/>
      <c r="G105" s="445" t="e">
        <f>HLOOKUP(G$90,'IB - B&amp;D&amp;H'!$E$95:$W$115,16)</f>
        <v>#NUM!</v>
      </c>
      <c r="H105" s="442"/>
      <c r="I105" s="445" t="e">
        <f>HLOOKUP(I$90,'IB - B&amp;D&amp;H'!$E$95:$W$115,16)</f>
        <v>#NUM!</v>
      </c>
      <c r="J105" s="442"/>
      <c r="K105" s="445" t="e">
        <f>HLOOKUP(K$90,'IB - E&amp;PH'!$E$95:$W$115,16)</f>
        <v>#NUM!</v>
      </c>
      <c r="L105" s="442"/>
      <c r="M105" s="445" t="e">
        <f>HLOOKUP(M$90,'IB - E&amp;PH'!$E$95:$W$115,16)</f>
        <v>#NUM!</v>
      </c>
      <c r="N105" s="442"/>
      <c r="O105" s="445" t="e">
        <f>HLOOKUP(O$90,'IB - E&amp;PH'!$E$95:$W$115,16)</f>
        <v>#NUM!</v>
      </c>
      <c r="P105" s="442"/>
      <c r="Q105" s="442"/>
      <c r="R105" s="442"/>
    </row>
    <row r="106" spans="2:18" s="428" customFormat="1">
      <c r="B106" s="440"/>
      <c r="C106" s="442"/>
      <c r="D106" s="443"/>
      <c r="E106" s="445" t="e">
        <f>HLOOKUP(E$90,'IB - B&amp;D&amp;H'!$E$95:$W$115,17)</f>
        <v>#NUM!</v>
      </c>
      <c r="F106" s="442"/>
      <c r="G106" s="445" t="e">
        <f>HLOOKUP(G$90,'IB - B&amp;D&amp;H'!$E$95:$W$115,17)</f>
        <v>#NUM!</v>
      </c>
      <c r="H106" s="442"/>
      <c r="I106" s="445" t="e">
        <f>HLOOKUP(I$90,'IB - B&amp;D&amp;H'!$E$95:$W$115,17)</f>
        <v>#NUM!</v>
      </c>
      <c r="J106" s="442"/>
      <c r="K106" s="445" t="e">
        <f>HLOOKUP(K$90,'IB - E&amp;PH'!$E$95:$W$115,17)</f>
        <v>#NUM!</v>
      </c>
      <c r="L106" s="442"/>
      <c r="M106" s="445" t="e">
        <f>HLOOKUP(M$90,'IB - E&amp;PH'!$E$95:$W$115,17)</f>
        <v>#NUM!</v>
      </c>
      <c r="N106" s="442"/>
      <c r="O106" s="445" t="e">
        <f>HLOOKUP(O$90,'IB - E&amp;PH'!$E$95:$W$115,17)</f>
        <v>#NUM!</v>
      </c>
      <c r="P106" s="442"/>
      <c r="Q106" s="442"/>
      <c r="R106" s="442"/>
    </row>
    <row r="107" spans="2:18" s="428" customFormat="1">
      <c r="B107" s="440"/>
      <c r="C107" s="442"/>
      <c r="D107" s="443"/>
      <c r="E107" s="445" t="e">
        <f>HLOOKUP(E$90,'IB - B&amp;D&amp;H'!$E$95:$W$115,18)</f>
        <v>#NUM!</v>
      </c>
      <c r="F107" s="442"/>
      <c r="G107" s="445" t="e">
        <f>HLOOKUP(G$90,'IB - B&amp;D&amp;H'!$E$95:$W$115,18)</f>
        <v>#NUM!</v>
      </c>
      <c r="H107" s="442"/>
      <c r="I107" s="445" t="e">
        <f>HLOOKUP(I$90,'IB - B&amp;D&amp;H'!$E$95:$W$115,18)</f>
        <v>#NUM!</v>
      </c>
      <c r="J107" s="442"/>
      <c r="K107" s="445" t="e">
        <f>HLOOKUP(K$90,'IB - E&amp;PH'!$E$95:$W$115,18)</f>
        <v>#NUM!</v>
      </c>
      <c r="L107" s="442"/>
      <c r="M107" s="445" t="e">
        <f>HLOOKUP(M$90,'IB - E&amp;PH'!$E$95:$W$115,18)</f>
        <v>#NUM!</v>
      </c>
      <c r="N107" s="442"/>
      <c r="O107" s="445" t="e">
        <f>HLOOKUP(O$90,'IB - E&amp;PH'!$E$95:$W$115,18)</f>
        <v>#NUM!</v>
      </c>
      <c r="P107" s="442"/>
      <c r="Q107" s="442"/>
      <c r="R107" s="442"/>
    </row>
    <row r="108" spans="2:18" s="428" customFormat="1">
      <c r="B108" s="440"/>
      <c r="C108" s="442"/>
      <c r="D108" s="443"/>
      <c r="E108" s="445" t="e">
        <f>HLOOKUP(E$90,'IB - B&amp;D&amp;H'!$E$95:$W$115,19)</f>
        <v>#NUM!</v>
      </c>
      <c r="F108" s="442"/>
      <c r="G108" s="445" t="e">
        <f>HLOOKUP(G$90,'IB - B&amp;D&amp;H'!$E$95:$W$115,19)</f>
        <v>#NUM!</v>
      </c>
      <c r="H108" s="442"/>
      <c r="I108" s="445" t="e">
        <f>HLOOKUP(I$90,'IB - B&amp;D&amp;H'!$E$95:$W$115,19)</f>
        <v>#NUM!</v>
      </c>
      <c r="J108" s="442"/>
      <c r="K108" s="445" t="e">
        <f>HLOOKUP(K$90,'IB - E&amp;PH'!$E$95:$W$115,19)</f>
        <v>#NUM!</v>
      </c>
      <c r="L108" s="442"/>
      <c r="M108" s="445" t="e">
        <f>HLOOKUP(M$90,'IB - E&amp;PH'!$E$95:$W$115,19)</f>
        <v>#NUM!</v>
      </c>
      <c r="N108" s="442"/>
      <c r="O108" s="445" t="e">
        <f>HLOOKUP(O$90,'IB - E&amp;PH'!$E$95:$W$115,19)</f>
        <v>#NUM!</v>
      </c>
      <c r="P108" s="442"/>
      <c r="Q108" s="442"/>
      <c r="R108" s="442"/>
    </row>
    <row r="109" spans="2:18" s="428" customFormat="1">
      <c r="B109" s="440"/>
      <c r="C109" s="442"/>
      <c r="D109" s="443"/>
      <c r="E109" s="445" t="e">
        <f>HLOOKUP(E$90,'IB - B&amp;D&amp;H'!$E$95:$W$115,20)</f>
        <v>#NUM!</v>
      </c>
      <c r="F109" s="442"/>
      <c r="G109" s="445" t="e">
        <f>HLOOKUP(G$90,'IB - B&amp;D&amp;H'!$E$95:$W$115,20)</f>
        <v>#NUM!</v>
      </c>
      <c r="H109" s="442"/>
      <c r="I109" s="445" t="e">
        <f>HLOOKUP(I$90,'IB - B&amp;D&amp;H'!$E$95:$W$115,20)</f>
        <v>#NUM!</v>
      </c>
      <c r="J109" s="442"/>
      <c r="K109" s="445" t="e">
        <f>HLOOKUP(K$90,'IB - E&amp;PH'!$E$95:$W$115,20)</f>
        <v>#NUM!</v>
      </c>
      <c r="L109" s="442"/>
      <c r="M109" s="445" t="e">
        <f>HLOOKUP(M$90,'IB - E&amp;PH'!$E$95:$W$115,20)</f>
        <v>#NUM!</v>
      </c>
      <c r="N109" s="442"/>
      <c r="O109" s="445" t="e">
        <f>HLOOKUP(O$90,'IB - E&amp;PH'!$E$95:$W$115,20)</f>
        <v>#NUM!</v>
      </c>
      <c r="P109" s="442"/>
      <c r="Q109" s="442"/>
      <c r="R109" s="442"/>
    </row>
    <row r="110" spans="2:18" s="428" customFormat="1">
      <c r="B110" s="440"/>
      <c r="C110" s="442"/>
      <c r="D110" s="443"/>
      <c r="E110" s="445"/>
      <c r="F110" s="442"/>
      <c r="G110" s="442"/>
      <c r="H110" s="442"/>
      <c r="I110" s="442"/>
      <c r="J110" s="442"/>
      <c r="K110" s="442"/>
      <c r="L110" s="442"/>
      <c r="M110" s="442"/>
      <c r="N110" s="442"/>
      <c r="O110" s="445"/>
      <c r="P110" s="442"/>
      <c r="Q110" s="442"/>
      <c r="R110" s="442"/>
    </row>
    <row r="111" spans="2:18" s="428" customFormat="1">
      <c r="B111" s="440"/>
      <c r="C111" s="442"/>
      <c r="D111" s="443"/>
      <c r="E111" s="445"/>
      <c r="F111" s="442"/>
      <c r="G111" s="442"/>
      <c r="H111" s="442"/>
      <c r="I111" s="442"/>
      <c r="J111" s="442"/>
      <c r="K111" s="442"/>
      <c r="L111" s="442"/>
      <c r="M111" s="442"/>
      <c r="N111" s="442"/>
      <c r="O111" s="445"/>
      <c r="P111" s="442"/>
      <c r="Q111" s="442"/>
      <c r="R111" s="442"/>
    </row>
    <row r="112" spans="2:18" s="428" customFormat="1">
      <c r="B112" s="440"/>
      <c r="C112" s="442"/>
      <c r="D112" s="443"/>
      <c r="E112" s="445"/>
      <c r="F112" s="442"/>
      <c r="G112" s="442"/>
      <c r="H112" s="442"/>
      <c r="I112" s="442"/>
      <c r="J112" s="442"/>
      <c r="K112" s="442"/>
      <c r="L112" s="442"/>
      <c r="M112" s="442"/>
      <c r="N112" s="442"/>
      <c r="O112" s="445"/>
      <c r="P112" s="442"/>
      <c r="Q112" s="442"/>
      <c r="R112" s="442"/>
    </row>
    <row r="113" spans="2:18" s="428" customFormat="1">
      <c r="B113" s="440"/>
      <c r="C113" s="442"/>
      <c r="D113" s="443"/>
      <c r="E113" s="445"/>
      <c r="F113" s="442"/>
      <c r="G113" s="442"/>
      <c r="H113" s="442"/>
      <c r="I113" s="442"/>
      <c r="J113" s="442"/>
      <c r="K113" s="442"/>
      <c r="L113" s="442"/>
      <c r="M113" s="442"/>
      <c r="N113" s="442"/>
      <c r="O113" s="445"/>
      <c r="P113" s="442"/>
      <c r="Q113" s="442"/>
      <c r="R113" s="442"/>
    </row>
    <row r="114" spans="2:18" s="428" customFormat="1" hidden="1">
      <c r="B114" s="440"/>
      <c r="C114" s="442"/>
      <c r="D114" s="443"/>
      <c r="E114" s="445"/>
      <c r="F114" s="442"/>
      <c r="G114" s="442"/>
      <c r="H114" s="442"/>
      <c r="I114" s="442"/>
      <c r="J114" s="442"/>
      <c r="K114" s="442"/>
      <c r="L114" s="442"/>
      <c r="M114" s="442"/>
      <c r="N114" s="442"/>
      <c r="O114" s="445"/>
      <c r="P114" s="442"/>
      <c r="Q114" s="442"/>
      <c r="R114" s="442"/>
    </row>
    <row r="115" spans="2:18" s="428" customFormat="1" hidden="1">
      <c r="B115" s="440"/>
      <c r="C115" s="442"/>
      <c r="D115" s="443"/>
      <c r="E115" s="445"/>
      <c r="F115" s="442"/>
      <c r="G115" s="442"/>
      <c r="H115" s="442"/>
      <c r="I115" s="442"/>
      <c r="J115" s="442"/>
      <c r="K115" s="442"/>
      <c r="L115" s="442"/>
      <c r="M115" s="442"/>
      <c r="N115" s="442"/>
      <c r="O115" s="445"/>
      <c r="P115" s="442"/>
      <c r="Q115" s="442"/>
      <c r="R115" s="442"/>
    </row>
    <row r="116" spans="2:18" s="428" customFormat="1" hidden="1">
      <c r="B116" s="440"/>
      <c r="C116" s="442"/>
      <c r="D116" s="443"/>
      <c r="E116" s="445"/>
      <c r="F116" s="442"/>
      <c r="G116" s="442"/>
      <c r="H116" s="442"/>
      <c r="I116" s="442"/>
      <c r="J116" s="442"/>
      <c r="K116" s="442"/>
      <c r="L116" s="442"/>
      <c r="M116" s="442"/>
      <c r="N116" s="442"/>
      <c r="O116" s="442"/>
      <c r="P116" s="442"/>
      <c r="Q116" s="442"/>
      <c r="R116" s="442"/>
    </row>
    <row r="117" spans="2:18" s="428" customFormat="1" hidden="1">
      <c r="B117" s="440"/>
      <c r="C117" s="442"/>
      <c r="D117" s="443"/>
      <c r="E117" s="446"/>
      <c r="F117" s="442"/>
      <c r="G117" s="442"/>
      <c r="H117" s="442"/>
      <c r="I117" s="442"/>
      <c r="J117" s="442"/>
      <c r="K117" s="442"/>
      <c r="L117" s="442"/>
      <c r="M117" s="442"/>
      <c r="N117" s="442"/>
      <c r="O117" s="446"/>
      <c r="P117" s="442"/>
      <c r="Q117" s="442"/>
      <c r="R117" s="442"/>
    </row>
    <row r="118" spans="2:18" s="428" customFormat="1" hidden="1">
      <c r="B118" s="440"/>
      <c r="C118" s="442"/>
      <c r="D118" s="443"/>
      <c r="E118" s="445"/>
      <c r="F118" s="442"/>
      <c r="G118" s="442"/>
      <c r="H118" s="442"/>
      <c r="I118" s="442"/>
      <c r="J118" s="442"/>
      <c r="K118" s="442"/>
      <c r="L118" s="442"/>
      <c r="M118" s="442"/>
      <c r="N118" s="442"/>
      <c r="O118" s="446"/>
      <c r="P118" s="442"/>
      <c r="Q118" s="442"/>
      <c r="R118" s="442"/>
    </row>
    <row r="119" spans="2:18" s="428" customFormat="1" hidden="1">
      <c r="B119" s="440"/>
      <c r="C119" s="442"/>
      <c r="D119" s="443"/>
      <c r="E119" s="445"/>
      <c r="F119" s="442"/>
      <c r="G119" s="442"/>
      <c r="H119" s="442"/>
      <c r="I119" s="442"/>
      <c r="J119" s="442"/>
      <c r="K119" s="442"/>
      <c r="L119" s="442"/>
      <c r="M119" s="442"/>
      <c r="N119" s="442"/>
      <c r="O119" s="446"/>
      <c r="P119" s="442"/>
      <c r="Q119" s="442"/>
      <c r="R119" s="442"/>
    </row>
    <row r="120" spans="2:18" s="428" customFormat="1" hidden="1">
      <c r="B120" s="440"/>
      <c r="C120" s="442"/>
      <c r="D120" s="443"/>
      <c r="E120" s="445"/>
      <c r="F120" s="442"/>
      <c r="G120" s="442"/>
      <c r="H120" s="442"/>
      <c r="I120" s="442"/>
      <c r="J120" s="442"/>
      <c r="K120" s="442"/>
      <c r="L120" s="442"/>
      <c r="M120" s="442"/>
      <c r="N120" s="442"/>
      <c r="O120" s="446"/>
      <c r="P120" s="442"/>
      <c r="Q120" s="442"/>
      <c r="R120" s="442"/>
    </row>
    <row r="121" spans="2:18" s="428" customFormat="1" hidden="1">
      <c r="B121" s="440"/>
      <c r="C121" s="442"/>
      <c r="D121" s="443"/>
      <c r="E121" s="445"/>
      <c r="F121" s="442"/>
      <c r="G121" s="442"/>
      <c r="H121" s="442"/>
      <c r="I121" s="442"/>
      <c r="J121" s="442"/>
      <c r="K121" s="442"/>
      <c r="L121" s="442"/>
      <c r="M121" s="442"/>
      <c r="N121" s="442"/>
      <c r="O121" s="446"/>
      <c r="P121" s="442"/>
      <c r="Q121" s="442"/>
      <c r="R121" s="442"/>
    </row>
    <row r="122" spans="2:18" s="428" customFormat="1" hidden="1">
      <c r="B122" s="440"/>
      <c r="C122" s="442"/>
      <c r="D122" s="443"/>
      <c r="E122" s="445"/>
      <c r="F122" s="442"/>
      <c r="G122" s="442"/>
      <c r="H122" s="442"/>
      <c r="I122" s="442"/>
      <c r="J122" s="442"/>
      <c r="K122" s="442"/>
      <c r="L122" s="442"/>
      <c r="M122" s="442"/>
      <c r="N122" s="442"/>
      <c r="O122" s="446"/>
      <c r="P122" s="442"/>
      <c r="Q122" s="442"/>
      <c r="R122" s="442"/>
    </row>
    <row r="123" spans="2:18" s="428" customFormat="1" hidden="1">
      <c r="B123" s="440"/>
      <c r="C123" s="442"/>
      <c r="D123" s="443"/>
      <c r="E123" s="445"/>
      <c r="F123" s="442"/>
      <c r="G123" s="442"/>
      <c r="H123" s="442"/>
      <c r="I123" s="442"/>
      <c r="J123" s="442"/>
      <c r="K123" s="442"/>
      <c r="L123" s="442"/>
      <c r="M123" s="442"/>
      <c r="N123" s="442"/>
      <c r="O123" s="446"/>
      <c r="P123" s="442"/>
      <c r="Q123" s="442"/>
      <c r="R123" s="442"/>
    </row>
    <row r="124" spans="2:18" s="428" customFormat="1" hidden="1">
      <c r="B124" s="440"/>
      <c r="C124" s="442"/>
      <c r="D124" s="443"/>
      <c r="E124" s="445"/>
      <c r="F124" s="442"/>
      <c r="G124" s="442"/>
      <c r="H124" s="442"/>
      <c r="I124" s="442"/>
      <c r="J124" s="442"/>
      <c r="K124" s="442"/>
      <c r="L124" s="442"/>
      <c r="M124" s="442"/>
      <c r="N124" s="442"/>
      <c r="O124" s="446"/>
      <c r="P124" s="442"/>
      <c r="Q124" s="442"/>
      <c r="R124" s="442"/>
    </row>
    <row r="125" spans="2:18" s="428" customFormat="1" hidden="1">
      <c r="B125" s="440"/>
      <c r="C125" s="442"/>
      <c r="D125" s="443"/>
      <c r="E125" s="445"/>
      <c r="F125" s="442"/>
      <c r="G125" s="442"/>
      <c r="H125" s="442"/>
      <c r="I125" s="442"/>
      <c r="J125" s="442"/>
      <c r="K125" s="442"/>
      <c r="L125" s="442"/>
      <c r="M125" s="442"/>
      <c r="N125" s="442"/>
      <c r="O125" s="446"/>
      <c r="P125" s="442"/>
      <c r="Q125" s="442"/>
      <c r="R125" s="442"/>
    </row>
    <row r="126" spans="2:18" s="428" customFormat="1" hidden="1">
      <c r="B126" s="440"/>
      <c r="C126" s="442"/>
      <c r="D126" s="443"/>
      <c r="E126" s="445"/>
      <c r="F126" s="442"/>
      <c r="G126" s="442"/>
      <c r="H126" s="442"/>
      <c r="I126" s="442"/>
      <c r="J126" s="442"/>
      <c r="K126" s="442"/>
      <c r="L126" s="442"/>
      <c r="M126" s="442"/>
      <c r="N126" s="442"/>
      <c r="O126" s="446"/>
      <c r="P126" s="442"/>
      <c r="Q126" s="442"/>
      <c r="R126" s="442"/>
    </row>
    <row r="127" spans="2:18" s="428" customFormat="1" hidden="1">
      <c r="B127" s="440"/>
      <c r="C127" s="442"/>
      <c r="D127" s="443"/>
      <c r="E127" s="445"/>
      <c r="F127" s="442"/>
      <c r="G127" s="442"/>
      <c r="H127" s="442"/>
      <c r="I127" s="442"/>
      <c r="J127" s="442"/>
      <c r="K127" s="442"/>
      <c r="L127" s="442"/>
      <c r="M127" s="442"/>
      <c r="N127" s="442"/>
      <c r="O127" s="446"/>
      <c r="P127" s="442"/>
      <c r="Q127" s="442"/>
      <c r="R127" s="442"/>
    </row>
    <row r="128" spans="2:18" s="428" customFormat="1" hidden="1">
      <c r="B128" s="440"/>
      <c r="C128" s="442"/>
      <c r="D128" s="443"/>
      <c r="E128" s="445"/>
      <c r="F128" s="442"/>
      <c r="G128" s="442"/>
      <c r="H128" s="442"/>
      <c r="I128" s="442"/>
      <c r="J128" s="442"/>
      <c r="K128" s="442"/>
      <c r="L128" s="442"/>
      <c r="M128" s="442"/>
      <c r="N128" s="442"/>
      <c r="O128" s="446"/>
      <c r="P128" s="442"/>
      <c r="Q128" s="442"/>
      <c r="R128" s="442"/>
    </row>
    <row r="129" spans="2:18" s="428" customFormat="1" hidden="1">
      <c r="B129" s="440"/>
      <c r="C129" s="442"/>
      <c r="D129" s="443"/>
      <c r="E129" s="445"/>
      <c r="F129" s="442"/>
      <c r="G129" s="442"/>
      <c r="H129" s="442"/>
      <c r="I129" s="442"/>
      <c r="J129" s="442"/>
      <c r="K129" s="442"/>
      <c r="L129" s="442"/>
      <c r="M129" s="442"/>
      <c r="N129" s="442"/>
      <c r="O129" s="446"/>
      <c r="P129" s="442"/>
      <c r="Q129" s="442"/>
      <c r="R129" s="442"/>
    </row>
    <row r="130" spans="2:18" s="428" customFormat="1" hidden="1">
      <c r="B130" s="440"/>
      <c r="C130" s="442"/>
      <c r="D130" s="443"/>
      <c r="E130" s="445"/>
      <c r="F130" s="442"/>
      <c r="G130" s="442"/>
      <c r="H130" s="442"/>
      <c r="I130" s="442"/>
      <c r="J130" s="442"/>
      <c r="K130" s="442"/>
      <c r="L130" s="442"/>
      <c r="M130" s="442"/>
      <c r="N130" s="442"/>
      <c r="O130" s="446"/>
      <c r="P130" s="442"/>
      <c r="Q130" s="442"/>
      <c r="R130" s="442"/>
    </row>
    <row r="131" spans="2:18" s="428" customFormat="1" hidden="1">
      <c r="B131" s="440"/>
      <c r="C131" s="442"/>
      <c r="D131" s="443"/>
      <c r="E131" s="445"/>
      <c r="F131" s="442"/>
      <c r="G131" s="442"/>
      <c r="H131" s="442"/>
      <c r="I131" s="442"/>
      <c r="J131" s="442"/>
      <c r="K131" s="442"/>
      <c r="L131" s="442"/>
      <c r="M131" s="442"/>
      <c r="N131" s="442"/>
      <c r="O131" s="446"/>
      <c r="P131" s="442"/>
      <c r="Q131" s="442"/>
      <c r="R131" s="442"/>
    </row>
    <row r="132" spans="2:18" s="428" customFormat="1" hidden="1">
      <c r="B132" s="440"/>
      <c r="C132" s="442"/>
      <c r="D132" s="443"/>
      <c r="E132" s="445" t="e">
        <v>#N/A</v>
      </c>
      <c r="F132" s="442"/>
      <c r="G132" s="442"/>
      <c r="H132" s="442"/>
      <c r="I132" s="442"/>
      <c r="J132" s="442"/>
      <c r="K132" s="442"/>
      <c r="L132" s="442"/>
      <c r="M132" s="442"/>
      <c r="N132" s="442"/>
      <c r="O132" s="446" t="e">
        <v>#N/A</v>
      </c>
      <c r="P132" s="442"/>
      <c r="Q132" s="442"/>
      <c r="R132" s="442"/>
    </row>
    <row r="133" spans="2:18" s="428" customFormat="1" hidden="1">
      <c r="B133" s="440"/>
      <c r="C133" s="442"/>
      <c r="D133" s="443"/>
      <c r="E133" s="446"/>
      <c r="F133" s="442"/>
      <c r="G133" s="442"/>
      <c r="H133" s="442"/>
      <c r="I133" s="442"/>
      <c r="J133" s="442"/>
      <c r="K133" s="442"/>
      <c r="L133" s="442"/>
      <c r="M133" s="442"/>
      <c r="N133" s="442"/>
      <c r="O133" s="442"/>
      <c r="P133" s="442"/>
      <c r="Q133" s="442"/>
      <c r="R133" s="442"/>
    </row>
    <row r="134" spans="2:18" s="428" customFormat="1" hidden="1">
      <c r="B134" s="440"/>
      <c r="C134" s="442"/>
      <c r="D134" s="443"/>
      <c r="E134" s="446"/>
      <c r="F134" s="442"/>
      <c r="G134" s="442"/>
      <c r="H134" s="442"/>
      <c r="I134" s="442"/>
      <c r="J134" s="442"/>
      <c r="K134" s="442"/>
      <c r="L134" s="442"/>
      <c r="M134" s="442"/>
      <c r="N134" s="442"/>
      <c r="O134" s="442"/>
      <c r="P134" s="442"/>
      <c r="Q134" s="442"/>
      <c r="R134" s="442"/>
    </row>
    <row r="135" spans="2:18" s="428" customFormat="1" hidden="1">
      <c r="B135" s="440"/>
      <c r="C135" s="442"/>
      <c r="D135" s="443"/>
      <c r="E135" s="446"/>
      <c r="F135" s="442"/>
      <c r="G135" s="442"/>
      <c r="H135" s="442"/>
      <c r="I135" s="442"/>
      <c r="J135" s="442"/>
      <c r="K135" s="442"/>
      <c r="L135" s="442"/>
      <c r="M135" s="442"/>
      <c r="N135" s="442"/>
      <c r="O135" s="442"/>
      <c r="P135" s="442"/>
      <c r="Q135" s="442"/>
      <c r="R135" s="442"/>
    </row>
    <row r="136" spans="2:18" s="428" customFormat="1" hidden="1">
      <c r="B136" s="440"/>
      <c r="C136" s="442"/>
      <c r="D136" s="443"/>
      <c r="E136" s="446"/>
      <c r="F136" s="442"/>
      <c r="G136" s="442"/>
      <c r="H136" s="442"/>
      <c r="I136" s="442"/>
      <c r="J136" s="442"/>
      <c r="K136" s="442"/>
      <c r="L136" s="442"/>
      <c r="M136" s="442"/>
      <c r="N136" s="442"/>
      <c r="O136" s="442"/>
      <c r="P136" s="442"/>
      <c r="Q136" s="442"/>
      <c r="R136" s="442"/>
    </row>
    <row r="137" spans="2:18" s="428" customFormat="1" hidden="1">
      <c r="B137" s="440"/>
      <c r="C137" s="442"/>
      <c r="D137" s="443"/>
      <c r="E137" s="446"/>
      <c r="F137" s="442"/>
      <c r="G137" s="442"/>
      <c r="H137" s="442"/>
      <c r="I137" s="442"/>
      <c r="J137" s="442"/>
      <c r="K137" s="442"/>
      <c r="L137" s="442"/>
      <c r="M137" s="442"/>
      <c r="N137" s="442"/>
      <c r="O137" s="442"/>
      <c r="P137" s="442"/>
      <c r="Q137" s="442"/>
      <c r="R137" s="442"/>
    </row>
    <row r="138" spans="2:18" s="428" customFormat="1" hidden="1">
      <c r="B138" s="440"/>
      <c r="C138" s="442"/>
      <c r="D138" s="443"/>
      <c r="E138" s="446"/>
      <c r="F138" s="442"/>
      <c r="G138" s="442"/>
      <c r="H138" s="442"/>
      <c r="I138" s="442"/>
      <c r="J138" s="442"/>
      <c r="K138" s="442"/>
      <c r="L138" s="442"/>
      <c r="M138" s="442"/>
      <c r="N138" s="442"/>
      <c r="O138" s="442"/>
      <c r="P138" s="442"/>
      <c r="Q138" s="442"/>
      <c r="R138" s="442"/>
    </row>
    <row r="139" spans="2:18" s="428" customFormat="1" hidden="1">
      <c r="B139" s="440"/>
      <c r="C139" s="442"/>
      <c r="D139" s="443"/>
      <c r="E139" s="446"/>
      <c r="F139" s="442"/>
      <c r="G139" s="442"/>
      <c r="H139" s="442"/>
      <c r="I139" s="442"/>
      <c r="J139" s="442"/>
      <c r="K139" s="442"/>
      <c r="L139" s="442"/>
      <c r="M139" s="442"/>
      <c r="N139" s="442"/>
      <c r="O139" s="442"/>
      <c r="P139" s="442"/>
      <c r="Q139" s="442"/>
      <c r="R139" s="442"/>
    </row>
    <row r="140" spans="2:18" s="428" customFormat="1" hidden="1">
      <c r="B140" s="440"/>
      <c r="C140" s="442"/>
      <c r="D140" s="443"/>
      <c r="E140" s="446"/>
      <c r="F140" s="442"/>
      <c r="G140" s="442"/>
      <c r="H140" s="442"/>
      <c r="I140" s="442"/>
      <c r="J140" s="442"/>
      <c r="K140" s="442"/>
      <c r="L140" s="442"/>
      <c r="M140" s="442"/>
      <c r="N140" s="442"/>
      <c r="O140" s="442"/>
      <c r="P140" s="442"/>
      <c r="Q140" s="442"/>
      <c r="R140" s="442"/>
    </row>
    <row r="141" spans="2:18" s="428" customFormat="1" hidden="1">
      <c r="B141" s="440"/>
      <c r="C141" s="442"/>
      <c r="D141" s="443"/>
      <c r="E141" s="446"/>
      <c r="F141" s="442"/>
      <c r="G141" s="442"/>
      <c r="H141" s="442"/>
      <c r="I141" s="442"/>
      <c r="J141" s="442"/>
      <c r="K141" s="442"/>
      <c r="L141" s="442"/>
      <c r="M141" s="442"/>
      <c r="N141" s="442"/>
      <c r="O141" s="442"/>
      <c r="P141" s="442"/>
      <c r="Q141" s="442"/>
      <c r="R141" s="442"/>
    </row>
    <row r="142" spans="2:18" s="428" customFormat="1" hidden="1">
      <c r="B142" s="440"/>
      <c r="C142" s="442"/>
      <c r="D142" s="443"/>
      <c r="E142" s="446"/>
      <c r="F142" s="442"/>
      <c r="G142" s="442"/>
      <c r="H142" s="442"/>
      <c r="I142" s="442"/>
      <c r="J142" s="442"/>
      <c r="K142" s="442"/>
      <c r="L142" s="442"/>
      <c r="M142" s="442"/>
      <c r="N142" s="442"/>
      <c r="O142" s="442"/>
      <c r="P142" s="442"/>
      <c r="Q142" s="442"/>
      <c r="R142" s="442"/>
    </row>
    <row r="143" spans="2:18" s="428" customFormat="1" hidden="1">
      <c r="B143" s="440"/>
      <c r="C143" s="442"/>
      <c r="D143" s="443"/>
      <c r="E143" s="446"/>
      <c r="F143" s="442"/>
      <c r="G143" s="442"/>
      <c r="H143" s="442"/>
      <c r="I143" s="442"/>
      <c r="J143" s="442"/>
      <c r="K143" s="442"/>
      <c r="L143" s="442"/>
      <c r="M143" s="442"/>
      <c r="N143" s="442"/>
      <c r="O143" s="442"/>
      <c r="P143" s="442"/>
      <c r="Q143" s="442"/>
      <c r="R143" s="442"/>
    </row>
    <row r="144" spans="2:18" s="428" customFormat="1" hidden="1">
      <c r="B144" s="440"/>
      <c r="C144" s="442"/>
      <c r="D144" s="443"/>
      <c r="E144" s="446"/>
      <c r="F144" s="442"/>
      <c r="G144" s="442"/>
      <c r="H144" s="442"/>
      <c r="I144" s="442"/>
      <c r="J144" s="442"/>
      <c r="K144" s="442"/>
      <c r="L144" s="442"/>
      <c r="M144" s="442"/>
      <c r="N144" s="442"/>
      <c r="O144" s="442"/>
      <c r="P144" s="442"/>
      <c r="Q144" s="442"/>
      <c r="R144" s="442"/>
    </row>
    <row r="145" spans="2:18" s="428" customFormat="1" hidden="1">
      <c r="B145" s="440"/>
      <c r="C145" s="442"/>
      <c r="D145" s="443"/>
      <c r="E145" s="446"/>
      <c r="F145" s="442"/>
      <c r="G145" s="442"/>
      <c r="H145" s="442"/>
      <c r="I145" s="442"/>
      <c r="J145" s="442"/>
      <c r="K145" s="442"/>
      <c r="L145" s="442"/>
      <c r="M145" s="442"/>
      <c r="N145" s="442"/>
      <c r="O145" s="442"/>
      <c r="P145" s="442"/>
      <c r="Q145" s="442"/>
      <c r="R145" s="442"/>
    </row>
    <row r="146" spans="2:18" s="428" customFormat="1" hidden="1">
      <c r="B146" s="440"/>
      <c r="C146" s="442"/>
      <c r="D146" s="443"/>
      <c r="E146" s="446"/>
      <c r="F146" s="442"/>
      <c r="G146" s="442"/>
      <c r="H146" s="442"/>
      <c r="I146" s="442"/>
      <c r="J146" s="442"/>
      <c r="K146" s="442"/>
      <c r="L146" s="442"/>
      <c r="M146" s="442"/>
      <c r="N146" s="442"/>
      <c r="O146" s="442"/>
      <c r="P146" s="442"/>
      <c r="Q146" s="442"/>
      <c r="R146" s="442"/>
    </row>
    <row r="147" spans="2:18" s="428" customFormat="1" hidden="1">
      <c r="B147" s="440"/>
      <c r="C147" s="442"/>
      <c r="D147" s="443"/>
      <c r="E147" s="442"/>
      <c r="F147" s="442"/>
      <c r="G147" s="442"/>
      <c r="H147" s="442"/>
      <c r="I147" s="442"/>
      <c r="J147" s="442"/>
      <c r="K147" s="442"/>
      <c r="L147" s="442"/>
      <c r="M147" s="442"/>
      <c r="N147" s="442"/>
      <c r="O147" s="442"/>
      <c r="P147" s="442"/>
      <c r="Q147" s="442"/>
      <c r="R147" s="442"/>
    </row>
    <row r="148" spans="2:18" s="428" customFormat="1" hidden="1">
      <c r="B148" s="440"/>
      <c r="C148" s="442"/>
      <c r="D148" s="443"/>
      <c r="E148" s="442"/>
      <c r="F148" s="442"/>
      <c r="G148" s="442"/>
      <c r="H148" s="442"/>
      <c r="I148" s="442"/>
      <c r="J148" s="442"/>
      <c r="K148" s="442"/>
      <c r="L148" s="442"/>
      <c r="M148" s="442"/>
      <c r="N148" s="442"/>
      <c r="O148" s="442"/>
      <c r="P148" s="442"/>
      <c r="Q148" s="442"/>
      <c r="R148" s="442"/>
    </row>
    <row r="149" spans="2:18" s="428" customFormat="1" hidden="1">
      <c r="B149" s="440"/>
      <c r="C149" s="442"/>
      <c r="D149" s="443"/>
      <c r="E149" s="442"/>
      <c r="F149" s="442"/>
      <c r="G149" s="442"/>
      <c r="H149" s="442"/>
      <c r="I149" s="442"/>
      <c r="J149" s="442"/>
      <c r="K149" s="442"/>
      <c r="L149" s="442"/>
      <c r="M149" s="442"/>
      <c r="N149" s="442"/>
      <c r="O149" s="442"/>
      <c r="P149" s="442"/>
      <c r="Q149" s="442"/>
      <c r="R149" s="442"/>
    </row>
    <row r="150" spans="2:18" s="428" customFormat="1" hidden="1">
      <c r="B150" s="440"/>
      <c r="C150" s="442"/>
      <c r="D150" s="443"/>
      <c r="E150" s="442"/>
      <c r="F150" s="442"/>
      <c r="G150" s="442"/>
      <c r="H150" s="442"/>
      <c r="I150" s="442"/>
      <c r="J150" s="442"/>
      <c r="K150" s="442"/>
      <c r="L150" s="442"/>
      <c r="M150" s="442"/>
      <c r="N150" s="442"/>
      <c r="O150" s="442"/>
      <c r="P150" s="442"/>
      <c r="Q150" s="442"/>
      <c r="R150" s="442"/>
    </row>
    <row r="151" spans="2:18" s="428" customFormat="1" hidden="1">
      <c r="B151" s="440"/>
      <c r="C151" s="442"/>
      <c r="D151" s="443"/>
      <c r="E151" s="442"/>
      <c r="F151" s="442"/>
      <c r="G151" s="442"/>
      <c r="H151" s="442"/>
      <c r="I151" s="442"/>
      <c r="J151" s="442"/>
      <c r="K151" s="442"/>
      <c r="L151" s="442"/>
      <c r="M151" s="442"/>
      <c r="N151" s="442"/>
      <c r="O151" s="442"/>
      <c r="P151" s="442"/>
      <c r="Q151" s="442"/>
      <c r="R151" s="442"/>
    </row>
    <row r="152" spans="2:18" s="428" customFormat="1" hidden="1">
      <c r="B152" s="440"/>
      <c r="C152" s="442"/>
      <c r="D152" s="443"/>
      <c r="E152" s="442"/>
      <c r="F152" s="442"/>
      <c r="G152" s="442"/>
      <c r="H152" s="442"/>
      <c r="I152" s="442"/>
      <c r="J152" s="442"/>
      <c r="K152" s="442"/>
      <c r="L152" s="442"/>
      <c r="M152" s="442"/>
      <c r="N152" s="442"/>
      <c r="O152" s="442"/>
      <c r="P152" s="442"/>
      <c r="Q152" s="442"/>
      <c r="R152" s="442"/>
    </row>
    <row r="153" spans="2:18" s="428" customFormat="1" hidden="1">
      <c r="B153" s="440"/>
      <c r="C153" s="442"/>
      <c r="D153" s="443"/>
      <c r="E153" s="442"/>
      <c r="F153" s="442"/>
      <c r="G153" s="442"/>
      <c r="H153" s="442"/>
      <c r="I153" s="442"/>
      <c r="J153" s="442"/>
      <c r="K153" s="442"/>
      <c r="L153" s="442"/>
      <c r="M153" s="442"/>
      <c r="N153" s="442"/>
      <c r="O153" s="442"/>
      <c r="P153" s="442"/>
      <c r="Q153" s="442"/>
      <c r="R153" s="442"/>
    </row>
    <row r="154" spans="2:18" s="428" customFormat="1" hidden="1">
      <c r="B154" s="440"/>
      <c r="C154" s="442"/>
      <c r="D154" s="443"/>
      <c r="E154" s="442"/>
      <c r="F154" s="442"/>
      <c r="G154" s="442"/>
      <c r="H154" s="442"/>
      <c r="I154" s="442"/>
      <c r="J154" s="442"/>
      <c r="K154" s="442"/>
      <c r="L154" s="442"/>
      <c r="M154" s="442"/>
      <c r="N154" s="442"/>
      <c r="O154" s="442"/>
      <c r="P154" s="442"/>
      <c r="Q154" s="442"/>
      <c r="R154" s="442"/>
    </row>
    <row r="155" spans="2:18" s="428" customFormat="1" hidden="1">
      <c r="B155" s="440"/>
      <c r="C155" s="442"/>
      <c r="D155" s="443"/>
      <c r="E155" s="442"/>
      <c r="F155" s="442"/>
      <c r="G155" s="442"/>
      <c r="H155" s="442"/>
      <c r="I155" s="442"/>
      <c r="J155" s="442"/>
      <c r="K155" s="442"/>
      <c r="L155" s="442"/>
      <c r="M155" s="442"/>
      <c r="N155" s="442"/>
      <c r="O155" s="442"/>
      <c r="P155" s="442"/>
      <c r="Q155" s="442"/>
      <c r="R155" s="442"/>
    </row>
    <row r="156" spans="2:18" s="428" customFormat="1" hidden="1">
      <c r="B156" s="440"/>
      <c r="C156" s="442"/>
      <c r="D156" s="443"/>
      <c r="E156" s="442"/>
      <c r="F156" s="442"/>
      <c r="G156" s="442"/>
      <c r="H156" s="442"/>
      <c r="I156" s="442"/>
      <c r="J156" s="442"/>
      <c r="K156" s="442"/>
      <c r="L156" s="442"/>
      <c r="M156" s="442"/>
      <c r="N156" s="442"/>
      <c r="O156" s="442"/>
      <c r="P156" s="442"/>
      <c r="Q156" s="442"/>
      <c r="R156" s="442"/>
    </row>
    <row r="157" spans="2:18" s="428" customFormat="1" hidden="1">
      <c r="B157" s="440"/>
      <c r="C157" s="442"/>
      <c r="D157" s="443"/>
      <c r="E157" s="442"/>
      <c r="F157" s="442"/>
      <c r="G157" s="442"/>
      <c r="H157" s="442"/>
      <c r="I157" s="442"/>
      <c r="J157" s="442"/>
      <c r="K157" s="442"/>
      <c r="L157" s="442"/>
      <c r="M157" s="442"/>
      <c r="N157" s="442"/>
      <c r="O157" s="442"/>
      <c r="P157" s="442"/>
      <c r="Q157" s="442"/>
      <c r="R157" s="442"/>
    </row>
    <row r="158" spans="2:18" s="428" customFormat="1" hidden="1">
      <c r="B158" s="440"/>
      <c r="D158" s="441"/>
    </row>
    <row r="159" spans="2:18" s="428" customFormat="1" hidden="1">
      <c r="B159" s="440"/>
      <c r="D159" s="441"/>
    </row>
    <row r="160" spans="2:18" s="428" customFormat="1" hidden="1">
      <c r="B160" s="440"/>
      <c r="D160" s="441"/>
    </row>
    <row r="161" spans="2:4" s="428" customFormat="1" hidden="1">
      <c r="B161" s="440"/>
      <c r="D161" s="441"/>
    </row>
    <row r="162" spans="2:4" s="428" customFormat="1" hidden="1">
      <c r="B162" s="440"/>
      <c r="D162" s="441"/>
    </row>
    <row r="163" spans="2:4" s="428" customFormat="1" hidden="1">
      <c r="B163" s="440"/>
      <c r="D163" s="441"/>
    </row>
    <row r="164" spans="2:4" s="428" customFormat="1" hidden="1">
      <c r="B164" s="440"/>
      <c r="D164" s="441"/>
    </row>
    <row r="165" spans="2:4" s="428" customFormat="1" hidden="1">
      <c r="B165" s="440"/>
      <c r="D165" s="441"/>
    </row>
    <row r="166" spans="2:4" s="428" customFormat="1" hidden="1">
      <c r="B166" s="440"/>
      <c r="D166" s="441"/>
    </row>
  </sheetData>
  <sheetProtection sheet="1" scenarios="1"/>
  <dataConsolidate/>
  <mergeCells count="2">
    <mergeCell ref="E8:I8"/>
    <mergeCell ref="K8:O8"/>
  </mergeCells>
  <phoneticPr fontId="45" type="noConversion"/>
  <dataValidations count="1">
    <dataValidation operator="greaterThanOrEqual" allowBlank="1" showInputMessage="1" showErrorMessage="1" error="Indtast et positivt tal" sqref="I12:I14 E12:E14 G12:G14 M12:M14 K12:K14 O12:O14" xr:uid="{641E20CE-7EAF-45D4-B52A-35EBE8B2CC31}"/>
  </dataValidations>
  <pageMargins left="0.25" right="0.25" top="0.75" bottom="0.75" header="0.3" footer="0.3"/>
  <pageSetup paperSize="9" scale="95" orientation="landscape"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4D3A0-24BF-40EA-AAC4-2D8EE9706BA3}">
  <sheetPr codeName="Sheet3">
    <tabColor rgb="FF92D050"/>
  </sheetPr>
  <dimension ref="A1"/>
  <sheetViews>
    <sheetView showGridLines="0" zoomScaleNormal="100" workbookViewId="0"/>
  </sheetViews>
  <sheetFormatPr defaultColWidth="11.3828125" defaultRowHeight="14.6"/>
  <sheetData/>
  <sheetProtection sheet="1" objects="1" scenarios="1" selectLockedCells="1" selectUnlockedCells="1"/>
  <pageMargins left="0.75" right="0.75" top="1" bottom="1" header="0.5" footer="0.5"/>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D88B0-CBF0-4185-A8B6-936BED97A3A2}">
  <sheetPr>
    <tabColor theme="4"/>
  </sheetPr>
  <dimension ref="A1:T128"/>
  <sheetViews>
    <sheetView showGridLines="0" showRowColHeaders="0" zoomScaleNormal="100" workbookViewId="0"/>
  </sheetViews>
  <sheetFormatPr defaultColWidth="0" defaultRowHeight="12.45" zeroHeight="1"/>
  <cols>
    <col min="1" max="2" width="8.84375" style="234" customWidth="1"/>
    <col min="3" max="3" width="38.3828125" style="234" customWidth="1"/>
    <col min="4" max="4" width="21.3046875" style="234" customWidth="1"/>
    <col min="5" max="5" width="31.3828125" style="234" customWidth="1"/>
    <col min="6" max="6" width="27.69140625" style="234" customWidth="1"/>
    <col min="7" max="7" width="34.3828125" style="234" customWidth="1"/>
    <col min="8" max="8" width="29.15234375" style="234" customWidth="1"/>
    <col min="9" max="9" width="29" style="234" customWidth="1"/>
    <col min="10" max="10" width="20.3828125" style="234" customWidth="1"/>
    <col min="11" max="11" width="23.84375" style="234" customWidth="1"/>
    <col min="12" max="12" width="20.3828125" style="234" customWidth="1"/>
    <col min="13" max="13" width="36.84375" style="234" customWidth="1"/>
    <col min="14" max="14" width="29" style="234" customWidth="1"/>
    <col min="15" max="15" width="30.3828125" style="234" customWidth="1"/>
    <col min="16" max="16" width="27" style="234" customWidth="1"/>
    <col min="17" max="17" width="27.3828125" style="234" customWidth="1"/>
    <col min="18" max="18" width="38.3828125" style="234" customWidth="1"/>
    <col min="19" max="19" width="17.3828125" style="234" customWidth="1"/>
    <col min="20" max="20" width="8.84375" style="234" customWidth="1"/>
    <col min="21" max="16384" width="8.84375" style="234" hidden="1"/>
  </cols>
  <sheetData>
    <row r="1" spans="1:19" ht="37.299999999999997">
      <c r="E1" s="245" t="s">
        <v>238</v>
      </c>
      <c r="F1" s="529">
        <v>0.502</v>
      </c>
      <c r="G1" s="234" t="s">
        <v>214</v>
      </c>
      <c r="J1" s="250" t="s">
        <v>80</v>
      </c>
      <c r="K1" s="250"/>
      <c r="L1" s="250"/>
      <c r="M1" s="250"/>
      <c r="P1" s="234" t="s">
        <v>53</v>
      </c>
      <c r="S1" s="234" t="s">
        <v>55</v>
      </c>
    </row>
    <row r="2" spans="1:19">
      <c r="A2" s="450" t="s">
        <v>109</v>
      </c>
      <c r="C2" s="450" t="s">
        <v>157</v>
      </c>
      <c r="D2" s="450" t="s">
        <v>158</v>
      </c>
      <c r="E2" s="251" t="s">
        <v>56</v>
      </c>
      <c r="J2" s="234" t="s">
        <v>81</v>
      </c>
      <c r="P2" s="234" t="s">
        <v>39</v>
      </c>
      <c r="S2" s="234">
        <v>100</v>
      </c>
    </row>
    <row r="3" spans="1:19">
      <c r="A3" s="450" t="s">
        <v>110</v>
      </c>
      <c r="C3" s="450" t="s">
        <v>159</v>
      </c>
      <c r="D3" s="450" t="s">
        <v>160</v>
      </c>
      <c r="P3" s="234" t="s">
        <v>43</v>
      </c>
      <c r="S3" s="234" t="b">
        <f>SUM($P18:$R18)&lt;=Fremskrivninger!$S$2</f>
        <v>0</v>
      </c>
    </row>
    <row r="4" spans="1:19">
      <c r="C4" s="450" t="s">
        <v>161</v>
      </c>
      <c r="D4" s="450" t="s">
        <v>161</v>
      </c>
    </row>
    <row r="5" spans="1:19">
      <c r="A5" s="561" t="s">
        <v>57</v>
      </c>
      <c r="B5" s="561"/>
      <c r="C5" s="561"/>
      <c r="D5" s="561"/>
      <c r="E5" s="561"/>
      <c r="F5" s="561"/>
      <c r="G5" s="561"/>
      <c r="H5" s="561"/>
      <c r="I5" s="561"/>
      <c r="J5" s="561"/>
      <c r="K5" s="561"/>
      <c r="L5" s="561"/>
      <c r="M5" s="561"/>
      <c r="N5" s="561"/>
      <c r="O5" s="561"/>
      <c r="P5" s="561"/>
      <c r="Q5" s="561"/>
      <c r="R5" s="561"/>
      <c r="S5" s="561"/>
    </row>
    <row r="6" spans="1:19">
      <c r="A6" s="252"/>
      <c r="B6" s="562" t="s">
        <v>58</v>
      </c>
      <c r="C6" s="562"/>
      <c r="D6" s="562"/>
      <c r="E6" s="562"/>
      <c r="F6" s="562"/>
      <c r="G6" s="562"/>
      <c r="H6" s="562"/>
      <c r="I6" s="562"/>
      <c r="J6" s="562"/>
      <c r="K6" s="563" t="s">
        <v>59</v>
      </c>
      <c r="L6" s="563"/>
      <c r="M6" s="563"/>
      <c r="N6" s="563"/>
      <c r="O6" s="563"/>
      <c r="P6" s="564" t="s">
        <v>60</v>
      </c>
      <c r="Q6" s="564"/>
      <c r="R6" s="564"/>
      <c r="S6" s="564"/>
    </row>
    <row r="7" spans="1:19" ht="15.75" customHeight="1">
      <c r="A7" s="252" t="s">
        <v>52</v>
      </c>
      <c r="B7" s="234" t="s">
        <v>61</v>
      </c>
      <c r="C7" s="234" t="s">
        <v>78</v>
      </c>
      <c r="D7" s="234" t="s">
        <v>62</v>
      </c>
      <c r="E7" s="233" t="s">
        <v>63</v>
      </c>
      <c r="F7" s="231" t="s">
        <v>64</v>
      </c>
      <c r="G7" s="231" t="s">
        <v>65</v>
      </c>
      <c r="H7" s="231" t="s">
        <v>66</v>
      </c>
      <c r="I7" s="231" t="s">
        <v>67</v>
      </c>
      <c r="J7" s="232" t="s">
        <v>68</v>
      </c>
      <c r="K7" s="253" t="s">
        <v>0</v>
      </c>
      <c r="L7" s="253" t="s">
        <v>69</v>
      </c>
      <c r="M7" s="253" t="s">
        <v>70</v>
      </c>
      <c r="N7" s="253" t="s">
        <v>71</v>
      </c>
      <c r="O7" s="253" t="s">
        <v>72</v>
      </c>
      <c r="P7" s="254" t="s">
        <v>0</v>
      </c>
      <c r="Q7" s="254" t="s">
        <v>73</v>
      </c>
      <c r="R7" s="254" t="s">
        <v>70</v>
      </c>
      <c r="S7" s="254" t="s">
        <v>71</v>
      </c>
    </row>
    <row r="8" spans="1:19" ht="15.75" customHeight="1">
      <c r="A8" s="252">
        <v>2020</v>
      </c>
      <c r="B8" s="234">
        <v>0</v>
      </c>
      <c r="C8" s="234" t="s">
        <v>74</v>
      </c>
      <c r="D8" s="234" t="s">
        <v>74</v>
      </c>
      <c r="E8" s="237" t="s">
        <v>74</v>
      </c>
      <c r="F8" s="237" t="s">
        <v>74</v>
      </c>
      <c r="G8" s="237" t="s">
        <v>74</v>
      </c>
      <c r="H8" s="237" t="s">
        <v>74</v>
      </c>
      <c r="I8" s="237" t="s">
        <v>74</v>
      </c>
      <c r="J8" s="237" t="s">
        <v>74</v>
      </c>
      <c r="K8" s="253"/>
      <c r="L8" s="253"/>
      <c r="M8" s="253"/>
      <c r="N8" s="253"/>
      <c r="O8" s="253"/>
      <c r="P8" s="254"/>
      <c r="Q8" s="254"/>
      <c r="R8" s="254"/>
      <c r="S8" s="254"/>
    </row>
    <row r="9" spans="1:19">
      <c r="A9" s="252">
        <v>2021</v>
      </c>
      <c r="B9" s="234">
        <v>1</v>
      </c>
      <c r="C9" s="255">
        <f>F1+E9</f>
        <v>1.851</v>
      </c>
      <c r="D9" s="256" t="str">
        <f>IF('El og plugin hybrid'!$E$72="nej",'El og plugin hybrid'!$E$75,"")</f>
        <v/>
      </c>
      <c r="E9" s="235">
        <f t="shared" ref="E9:E38" si="0">SUM(F9:J9)</f>
        <v>1.349</v>
      </c>
      <c r="F9" s="238">
        <v>0.89200000000000002</v>
      </c>
      <c r="G9" s="238">
        <v>6.2E-2</v>
      </c>
      <c r="H9" s="234">
        <v>0.29799999999999999</v>
      </c>
      <c r="I9" s="234">
        <v>5.2999999999999999E-2</v>
      </c>
      <c r="J9" s="236">
        <v>4.3999999999999997E-2</v>
      </c>
      <c r="K9" s="253">
        <f t="shared" ref="K9:K38" si="1">B9</f>
        <v>1</v>
      </c>
      <c r="L9" s="253">
        <v>8.8999999999999996E-2</v>
      </c>
      <c r="M9" s="253">
        <v>0</v>
      </c>
      <c r="N9" s="253">
        <v>0</v>
      </c>
      <c r="O9" s="257" t="e">
        <f>IF(#REF!="ja",#REF!,#REF!)</f>
        <v>#REF!</v>
      </c>
      <c r="P9" s="254">
        <f t="shared" ref="P9:P38" si="2">K9</f>
        <v>1</v>
      </c>
      <c r="Q9" s="258">
        <v>4855.6000000000004</v>
      </c>
      <c r="R9" s="254">
        <v>0</v>
      </c>
      <c r="S9" s="254">
        <v>0</v>
      </c>
    </row>
    <row r="10" spans="1:19">
      <c r="A10" s="252">
        <v>2022</v>
      </c>
      <c r="B10" s="234">
        <v>2</v>
      </c>
      <c r="C10" s="255">
        <f>((C9-E9)*(1+'El og plugin hybrid'!$E$74)+E9)</f>
        <v>1.8593834</v>
      </c>
      <c r="D10" s="528" t="e">
        <f>((D9-E10)*(1+'El og plugin hybrid'!$E$76))+Fremskrivninger!E10</f>
        <v>#VALUE!</v>
      </c>
      <c r="E10" s="235">
        <f t="shared" si="0"/>
        <v>1.2869999999999999</v>
      </c>
      <c r="F10" s="238">
        <v>0.89200000000000002</v>
      </c>
      <c r="G10" s="238">
        <v>0</v>
      </c>
      <c r="H10" s="234">
        <v>0.29799999999999999</v>
      </c>
      <c r="I10" s="234">
        <v>5.2999999999999999E-2</v>
      </c>
      <c r="J10" s="236">
        <v>4.3999999999999997E-2</v>
      </c>
      <c r="K10" s="253">
        <f t="shared" si="1"/>
        <v>2</v>
      </c>
      <c r="L10" s="253">
        <v>7.0000000000000007E-2</v>
      </c>
      <c r="M10" s="259">
        <f t="shared" ref="M10:M38" si="3">(L10-$L$9)/$L$9</f>
        <v>-0.21348314606741561</v>
      </c>
      <c r="N10" s="259">
        <f>AVERAGE($M$9:M10)</f>
        <v>-0.10674157303370781</v>
      </c>
      <c r="O10" s="257" t="e">
        <f>IF(#REF!="ja",#REF!,#REF!)</f>
        <v>#REF!</v>
      </c>
      <c r="P10" s="254">
        <f t="shared" si="2"/>
        <v>2</v>
      </c>
      <c r="Q10" s="258">
        <f t="shared" ref="Q10:Q17" si="4">$Q$9+(224/15*P10)</f>
        <v>4885.4666666666672</v>
      </c>
      <c r="R10" s="260">
        <f t="shared" ref="R10:R38" si="5">(Q10-$Q$9)/$Q$9</f>
        <v>6.1509734464673341E-3</v>
      </c>
      <c r="S10" s="261">
        <f>AVERAGE($R$9:R10)</f>
        <v>3.0754867232336671E-3</v>
      </c>
    </row>
    <row r="11" spans="1:19">
      <c r="A11" s="252">
        <v>2023</v>
      </c>
      <c r="B11" s="234">
        <v>3</v>
      </c>
      <c r="C11" s="255">
        <f>((C10-E10)*(1+'El og plugin hybrid'!$E$74)+E10)</f>
        <v>1.86894220278</v>
      </c>
      <c r="D11" s="528" t="e">
        <f>((D10-E11)*(1+'El og plugin hybrid'!$E$76))+Fremskrivninger!E11</f>
        <v>#VALUE!</v>
      </c>
      <c r="E11" s="235">
        <f t="shared" si="0"/>
        <v>1.2869999999999999</v>
      </c>
      <c r="F11" s="238">
        <v>0.89200000000000002</v>
      </c>
      <c r="G11" s="238">
        <v>0</v>
      </c>
      <c r="H11" s="234">
        <v>0.29799999999999999</v>
      </c>
      <c r="I11" s="234">
        <v>5.2999999999999999E-2</v>
      </c>
      <c r="J11" s="236">
        <v>4.3999999999999997E-2</v>
      </c>
      <c r="K11" s="253">
        <f t="shared" si="1"/>
        <v>3</v>
      </c>
      <c r="L11" s="253">
        <v>5.8000000000000003E-2</v>
      </c>
      <c r="M11" s="259">
        <f t="shared" si="3"/>
        <v>-0.348314606741573</v>
      </c>
      <c r="N11" s="259">
        <f>AVERAGE($M$9:M11)</f>
        <v>-0.18726591760299618</v>
      </c>
      <c r="O11" s="257" t="e">
        <f>IF(#REF!="ja",#REF!,#REF!)</f>
        <v>#REF!</v>
      </c>
      <c r="P11" s="254">
        <f t="shared" si="2"/>
        <v>3</v>
      </c>
      <c r="Q11" s="258">
        <f t="shared" si="4"/>
        <v>4900.4000000000005</v>
      </c>
      <c r="R11" s="260">
        <f t="shared" si="5"/>
        <v>9.2264601697010003E-3</v>
      </c>
      <c r="S11" s="261">
        <f>AVERAGE($R$9:R11)</f>
        <v>5.1258112053894451E-3</v>
      </c>
    </row>
    <row r="12" spans="1:19">
      <c r="A12" s="252">
        <v>2024</v>
      </c>
      <c r="B12" s="234">
        <v>4</v>
      </c>
      <c r="C12" s="255">
        <f>((C11-E11)*(1+'El og plugin hybrid'!$E$74)+E11)</f>
        <v>1.8786606375664259</v>
      </c>
      <c r="D12" s="528" t="e">
        <f>((D11-E12)*(1+'El og plugin hybrid'!$E$76))+Fremskrivninger!E12</f>
        <v>#VALUE!</v>
      </c>
      <c r="E12" s="235">
        <f t="shared" si="0"/>
        <v>1.2869999999999999</v>
      </c>
      <c r="F12" s="238">
        <v>0.89200000000000002</v>
      </c>
      <c r="G12" s="238">
        <v>0</v>
      </c>
      <c r="H12" s="234">
        <v>0.29799999999999999</v>
      </c>
      <c r="I12" s="234">
        <v>5.2999999999999999E-2</v>
      </c>
      <c r="J12" s="236">
        <v>4.3999999999999997E-2</v>
      </c>
      <c r="K12" s="253">
        <f t="shared" si="1"/>
        <v>4</v>
      </c>
      <c r="L12" s="253">
        <v>5.3999999999999999E-2</v>
      </c>
      <c r="M12" s="259">
        <f t="shared" si="3"/>
        <v>-0.3932584269662921</v>
      </c>
      <c r="N12" s="259">
        <f>AVERAGE($M$9:M12)</f>
        <v>-0.23876404494382017</v>
      </c>
      <c r="O12" s="257" t="e">
        <f>IF(#REF!="ja",#REF!,#REF!)</f>
        <v>#REF!</v>
      </c>
      <c r="P12" s="254">
        <f t="shared" si="2"/>
        <v>4</v>
      </c>
      <c r="Q12" s="258">
        <f t="shared" si="4"/>
        <v>4915.3333333333339</v>
      </c>
      <c r="R12" s="260">
        <f t="shared" si="5"/>
        <v>1.2301946892934668E-2</v>
      </c>
      <c r="S12" s="261">
        <f>AVERAGE($R$9:R12)</f>
        <v>6.9198451272757507E-3</v>
      </c>
    </row>
    <row r="13" spans="1:19">
      <c r="A13" s="252">
        <v>2025</v>
      </c>
      <c r="B13" s="234">
        <v>5</v>
      </c>
      <c r="C13" s="255">
        <f>((C12-E12)*(1+'El og plugin hybrid'!$E$74)+E12)</f>
        <v>1.888541370213785</v>
      </c>
      <c r="D13" s="528" t="e">
        <f>((D12-E13)*(1+'El og plugin hybrid'!$E$76))+Fremskrivninger!E13</f>
        <v>#VALUE!</v>
      </c>
      <c r="E13" s="235">
        <f t="shared" si="0"/>
        <v>1.2869999999999999</v>
      </c>
      <c r="F13" s="238">
        <v>0.89200000000000002</v>
      </c>
      <c r="G13" s="238">
        <v>0</v>
      </c>
      <c r="H13" s="234">
        <v>0.29799999999999999</v>
      </c>
      <c r="I13" s="234">
        <v>5.2999999999999999E-2</v>
      </c>
      <c r="J13" s="236">
        <v>4.3999999999999997E-2</v>
      </c>
      <c r="K13" s="253">
        <f t="shared" si="1"/>
        <v>5</v>
      </c>
      <c r="L13" s="253">
        <v>0.05</v>
      </c>
      <c r="M13" s="259">
        <f t="shared" si="3"/>
        <v>-0.4382022471910112</v>
      </c>
      <c r="N13" s="259">
        <f>AVERAGE($M$9:M13)</f>
        <v>-0.27865168539325841</v>
      </c>
      <c r="O13" s="257" t="e">
        <f>IF(#REF!="ja",#REF!,#REF!)</f>
        <v>#REF!</v>
      </c>
      <c r="P13" s="254">
        <f t="shared" si="2"/>
        <v>5</v>
      </c>
      <c r="Q13" s="258">
        <f t="shared" si="4"/>
        <v>4930.2666666666673</v>
      </c>
      <c r="R13" s="260">
        <f t="shared" si="5"/>
        <v>1.5377433616168334E-2</v>
      </c>
      <c r="S13" s="261">
        <f>AVERAGE($R$9:R13)</f>
        <v>8.6113628250542671E-3</v>
      </c>
    </row>
    <row r="14" spans="1:19">
      <c r="A14" s="252">
        <v>2026</v>
      </c>
      <c r="B14" s="234">
        <v>6</v>
      </c>
      <c r="C14" s="255">
        <f>((C13-E13)*(1+'El og plugin hybrid'!$E$74)+E13)</f>
        <v>1.8985871110963553</v>
      </c>
      <c r="D14" s="528" t="e">
        <f>((D13-E14)*(1+'El og plugin hybrid'!$E$76))+Fremskrivninger!E14</f>
        <v>#VALUE!</v>
      </c>
      <c r="E14" s="235">
        <f t="shared" si="0"/>
        <v>1.2869999999999999</v>
      </c>
      <c r="F14" s="238">
        <v>0.89200000000000002</v>
      </c>
      <c r="G14" s="238">
        <v>0</v>
      </c>
      <c r="H14" s="234">
        <v>0.29799999999999999</v>
      </c>
      <c r="I14" s="234">
        <v>5.2999999999999999E-2</v>
      </c>
      <c r="J14" s="236">
        <v>4.3999999999999997E-2</v>
      </c>
      <c r="K14" s="253">
        <f t="shared" si="1"/>
        <v>6</v>
      </c>
      <c r="L14" s="253">
        <v>4.2000000000000003E-2</v>
      </c>
      <c r="M14" s="259">
        <f t="shared" si="3"/>
        <v>-0.5280898876404494</v>
      </c>
      <c r="N14" s="259">
        <f>AVERAGE($M$9:M14)</f>
        <v>-0.32022471910112354</v>
      </c>
      <c r="O14" s="257" t="e">
        <f>IF(#REF!="ja",#REF!,#REF!)</f>
        <v>#REF!</v>
      </c>
      <c r="P14" s="254">
        <f t="shared" si="2"/>
        <v>6</v>
      </c>
      <c r="Q14" s="258">
        <f t="shared" si="4"/>
        <v>4945.2000000000007</v>
      </c>
      <c r="R14" s="260">
        <f t="shared" si="5"/>
        <v>1.8452920339402001E-2</v>
      </c>
      <c r="S14" s="261">
        <f>AVERAGE($R$9:R14)</f>
        <v>1.025162241077889E-2</v>
      </c>
    </row>
    <row r="15" spans="1:19">
      <c r="A15" s="252">
        <v>2027</v>
      </c>
      <c r="B15" s="234">
        <v>7</v>
      </c>
      <c r="C15" s="255">
        <f>((C14-E14)*(1+'El og plugin hybrid'!$E$74)+E14)</f>
        <v>1.9088006158516644</v>
      </c>
      <c r="D15" s="528" t="e">
        <f>((D14-E15)*(1+'El og plugin hybrid'!$E$76))+Fremskrivninger!E15</f>
        <v>#VALUE!</v>
      </c>
      <c r="E15" s="235">
        <f t="shared" si="0"/>
        <v>1.2869999999999999</v>
      </c>
      <c r="F15" s="238">
        <v>0.89200000000000002</v>
      </c>
      <c r="G15" s="238">
        <v>0</v>
      </c>
      <c r="H15" s="234">
        <v>0.29799999999999999</v>
      </c>
      <c r="I15" s="234">
        <v>5.2999999999999999E-2</v>
      </c>
      <c r="J15" s="236">
        <v>4.3999999999999997E-2</v>
      </c>
      <c r="K15" s="253">
        <f t="shared" si="1"/>
        <v>7</v>
      </c>
      <c r="L15" s="253">
        <v>3.6999999999999998E-2</v>
      </c>
      <c r="M15" s="259">
        <f t="shared" si="3"/>
        <v>-0.5842696629213483</v>
      </c>
      <c r="N15" s="259">
        <f>AVERAGE($M$9:M15)</f>
        <v>-0.35794542536115564</v>
      </c>
      <c r="O15" s="257" t="e">
        <f>IF(#REF!="ja",#REF!,#REF!)</f>
        <v>#REF!</v>
      </c>
      <c r="P15" s="254">
        <f t="shared" si="2"/>
        <v>7</v>
      </c>
      <c r="Q15" s="258">
        <f t="shared" si="4"/>
        <v>4960.1333333333341</v>
      </c>
      <c r="R15" s="260">
        <f t="shared" si="5"/>
        <v>2.1528407062635667E-2</v>
      </c>
      <c r="S15" s="261">
        <f>AVERAGE($R$9:R15)</f>
        <v>1.186259164675843E-2</v>
      </c>
    </row>
    <row r="16" spans="1:19">
      <c r="A16" s="252">
        <v>2028</v>
      </c>
      <c r="B16" s="234">
        <v>8</v>
      </c>
      <c r="C16" s="255">
        <f>((C15-E15)*(1+'El og plugin hybrid'!$E$74)+E15)</f>
        <v>1.9191846861363873</v>
      </c>
      <c r="D16" s="528" t="e">
        <f>((D15-E16)*(1+'El og plugin hybrid'!$E$76))+Fremskrivninger!E16</f>
        <v>#VALUE!</v>
      </c>
      <c r="E16" s="235">
        <f t="shared" si="0"/>
        <v>1.2869999999999999</v>
      </c>
      <c r="F16" s="238">
        <v>0.89200000000000002</v>
      </c>
      <c r="G16" s="238">
        <v>0</v>
      </c>
      <c r="H16" s="234">
        <v>0.29799999999999999</v>
      </c>
      <c r="I16" s="234">
        <v>5.2999999999999999E-2</v>
      </c>
      <c r="J16" s="236">
        <v>4.3999999999999997E-2</v>
      </c>
      <c r="K16" s="253">
        <f t="shared" si="1"/>
        <v>8</v>
      </c>
      <c r="L16" s="253">
        <v>3.2000000000000001E-2</v>
      </c>
      <c r="M16" s="259">
        <f t="shared" si="3"/>
        <v>-0.6404494382022472</v>
      </c>
      <c r="N16" s="259">
        <f>AVERAGE($M$9:M16)</f>
        <v>-0.3932584269662921</v>
      </c>
      <c r="O16" s="257" t="e">
        <f>IF(#REF!="ja",#REF!,#REF!)</f>
        <v>#REF!</v>
      </c>
      <c r="P16" s="254">
        <f t="shared" si="2"/>
        <v>8</v>
      </c>
      <c r="Q16" s="258">
        <f t="shared" si="4"/>
        <v>4975.0666666666666</v>
      </c>
      <c r="R16" s="260">
        <f t="shared" si="5"/>
        <v>2.4603893785869149E-2</v>
      </c>
      <c r="S16" s="261">
        <f>AVERAGE($R$9:R16)</f>
        <v>1.345525441414727E-2</v>
      </c>
    </row>
    <row r="17" spans="1:19">
      <c r="A17" s="252">
        <v>2029</v>
      </c>
      <c r="B17" s="234">
        <v>9</v>
      </c>
      <c r="C17" s="255">
        <f>((C16-E16)*(1+'El og plugin hybrid'!$E$74)+E16)</f>
        <v>1.929742170394865</v>
      </c>
      <c r="D17" s="528" t="e">
        <f>((D16-E17)*(1+'El og plugin hybrid'!$E$76))+Fremskrivninger!E17</f>
        <v>#VALUE!</v>
      </c>
      <c r="E17" s="235">
        <f t="shared" si="0"/>
        <v>1.2869999999999999</v>
      </c>
      <c r="F17" s="238">
        <v>0.89200000000000002</v>
      </c>
      <c r="G17" s="238">
        <v>0</v>
      </c>
      <c r="H17" s="234">
        <v>0.29799999999999999</v>
      </c>
      <c r="I17" s="234">
        <v>5.2999999999999999E-2</v>
      </c>
      <c r="J17" s="236">
        <v>4.3999999999999997E-2</v>
      </c>
      <c r="K17" s="253">
        <f t="shared" si="1"/>
        <v>9</v>
      </c>
      <c r="L17" s="253">
        <v>1.2999999999999999E-2</v>
      </c>
      <c r="M17" s="259">
        <f t="shared" si="3"/>
        <v>-0.8539325842696629</v>
      </c>
      <c r="N17" s="259">
        <f>AVERAGE($M$9:M17)</f>
        <v>-0.44444444444444442</v>
      </c>
      <c r="O17" s="257" t="e">
        <f>IF(#REF!="ja",#REF!,#REF!)</f>
        <v>#REF!</v>
      </c>
      <c r="P17" s="254">
        <f t="shared" si="2"/>
        <v>9</v>
      </c>
      <c r="Q17" s="258">
        <f t="shared" si="4"/>
        <v>4990</v>
      </c>
      <c r="R17" s="260">
        <f t="shared" si="5"/>
        <v>2.7679380509102815E-2</v>
      </c>
      <c r="S17" s="261">
        <f>AVERAGE($R$9:R17)</f>
        <v>1.5035712869142329E-2</v>
      </c>
    </row>
    <row r="18" spans="1:19">
      <c r="A18" s="252">
        <v>2030</v>
      </c>
      <c r="B18" s="234">
        <v>10</v>
      </c>
      <c r="C18" s="255">
        <f>((C17-E17)*(1+'El og plugin hybrid'!$E$74)+E17)</f>
        <v>1.9404759646404592</v>
      </c>
      <c r="D18" s="528" t="e">
        <f>((D17-E18)*(1+'El og plugin hybrid'!$E$76))+Fremskrivninger!E18</f>
        <v>#VALUE!</v>
      </c>
      <c r="E18" s="235">
        <f t="shared" si="0"/>
        <v>1.2869999999999999</v>
      </c>
      <c r="F18" s="238">
        <v>0.89200000000000002</v>
      </c>
      <c r="G18" s="238">
        <v>0</v>
      </c>
      <c r="H18" s="234">
        <v>0.29799999999999999</v>
      </c>
      <c r="I18" s="234">
        <v>5.2999999999999999E-2</v>
      </c>
      <c r="J18" s="236">
        <v>4.3999999999999997E-2</v>
      </c>
      <c r="K18" s="253">
        <f t="shared" si="1"/>
        <v>10</v>
      </c>
      <c r="L18" s="253">
        <v>1.2E-2</v>
      </c>
      <c r="M18" s="259">
        <f t="shared" si="3"/>
        <v>-0.8651685393258427</v>
      </c>
      <c r="N18" s="259">
        <f>AVERAGE($M$9:M18)</f>
        <v>-0.48651685393258426</v>
      </c>
      <c r="O18" s="257" t="e">
        <f>IF(#REF!="ja",#REF!,#REF!)</f>
        <v>#REF!</v>
      </c>
      <c r="P18" s="254">
        <f t="shared" si="2"/>
        <v>10</v>
      </c>
      <c r="Q18" s="258">
        <v>4990</v>
      </c>
      <c r="R18" s="260">
        <f t="shared" si="5"/>
        <v>2.7679380509102815E-2</v>
      </c>
      <c r="S18" s="261">
        <f>AVERAGE($R$9:R18)</f>
        <v>1.6300079633138377E-2</v>
      </c>
    </row>
    <row r="19" spans="1:19">
      <c r="A19" s="252">
        <v>2031</v>
      </c>
      <c r="B19" s="234">
        <v>11</v>
      </c>
      <c r="C19" s="255">
        <f>((C18-E18)*(1+'El og plugin hybrid'!$E$74)+E18)</f>
        <v>1.9513890132499547</v>
      </c>
      <c r="D19" s="528" t="e">
        <f>((D18-E19)*(1+'El og plugin hybrid'!$E$76))+Fremskrivninger!E19</f>
        <v>#VALUE!</v>
      </c>
      <c r="E19" s="235">
        <f t="shared" si="0"/>
        <v>1.2869999999999999</v>
      </c>
      <c r="F19" s="238">
        <v>0.89200000000000002</v>
      </c>
      <c r="G19" s="238">
        <v>0</v>
      </c>
      <c r="H19" s="234">
        <v>0.29799999999999999</v>
      </c>
      <c r="I19" s="234">
        <v>5.2999999999999999E-2</v>
      </c>
      <c r="J19" s="236">
        <v>4.3999999999999997E-2</v>
      </c>
      <c r="K19" s="253">
        <f t="shared" si="1"/>
        <v>11</v>
      </c>
      <c r="L19" s="253">
        <v>1.2E-2</v>
      </c>
      <c r="M19" s="259">
        <f t="shared" si="3"/>
        <v>-0.8651685393258427</v>
      </c>
      <c r="N19" s="259">
        <f>AVERAGE($M$9:M19)</f>
        <v>-0.52093973442288044</v>
      </c>
      <c r="O19" s="257" t="e">
        <f>IF(#REF!="ja",#REF!,#REF!)</f>
        <v>#REF!</v>
      </c>
      <c r="P19" s="254">
        <f t="shared" si="2"/>
        <v>11</v>
      </c>
      <c r="Q19" s="258">
        <f t="shared" ref="Q19:Q37" si="6">$Q$18+(447/21*(P19-12))</f>
        <v>4968.7142857142853</v>
      </c>
      <c r="R19" s="260">
        <f t="shared" si="5"/>
        <v>2.3295635084085376E-2</v>
      </c>
      <c r="S19" s="261">
        <f>AVERAGE($R$9:R19)</f>
        <v>1.6936039219588108E-2</v>
      </c>
    </row>
    <row r="20" spans="1:19">
      <c r="A20" s="252">
        <v>2032</v>
      </c>
      <c r="B20" s="234">
        <v>12</v>
      </c>
      <c r="C20" s="255">
        <f>((C19-E19)*(1+'El og plugin hybrid'!$E$74)+E19)</f>
        <v>1.962484309771229</v>
      </c>
      <c r="D20" s="528" t="e">
        <f>((D19-E20)*(1+'El og plugin hybrid'!$E$76))+Fremskrivninger!E20</f>
        <v>#VALUE!</v>
      </c>
      <c r="E20" s="235">
        <f t="shared" si="0"/>
        <v>1.2869999999999999</v>
      </c>
      <c r="F20" s="238">
        <v>0.89200000000000002</v>
      </c>
      <c r="G20" s="238">
        <v>0</v>
      </c>
      <c r="H20" s="234">
        <v>0.29799999999999999</v>
      </c>
      <c r="I20" s="234">
        <v>5.2999999999999999E-2</v>
      </c>
      <c r="J20" s="236">
        <v>4.3999999999999997E-2</v>
      </c>
      <c r="K20" s="253">
        <f t="shared" si="1"/>
        <v>12</v>
      </c>
      <c r="L20" s="253">
        <v>1.2E-2</v>
      </c>
      <c r="M20" s="259">
        <f t="shared" si="3"/>
        <v>-0.8651685393258427</v>
      </c>
      <c r="N20" s="259">
        <f>AVERAGE($M$9:M20)</f>
        <v>-0.54962546816479396</v>
      </c>
      <c r="O20" s="257" t="e">
        <f>IF(#REF!="ja",#REF!,#REF!)</f>
        <v>#REF!</v>
      </c>
      <c r="P20" s="254">
        <f t="shared" si="2"/>
        <v>12</v>
      </c>
      <c r="Q20" s="258">
        <f t="shared" si="6"/>
        <v>4990</v>
      </c>
      <c r="R20" s="260">
        <f t="shared" si="5"/>
        <v>2.7679380509102815E-2</v>
      </c>
      <c r="S20" s="261">
        <f>AVERAGE($R$9:R20)</f>
        <v>1.7831317660380999E-2</v>
      </c>
    </row>
    <row r="21" spans="1:19">
      <c r="A21" s="252">
        <v>2033</v>
      </c>
      <c r="B21" s="234">
        <v>13</v>
      </c>
      <c r="C21" s="255">
        <f>((C20-E20)*(1+'El og plugin hybrid'!$E$74)+E20)</f>
        <v>1.9737648977444084</v>
      </c>
      <c r="D21" s="528" t="e">
        <f>((D20-E21)*(1+'El og plugin hybrid'!$E$76))+Fremskrivninger!E21</f>
        <v>#VALUE!</v>
      </c>
      <c r="E21" s="235">
        <f t="shared" si="0"/>
        <v>1.2869999999999999</v>
      </c>
      <c r="F21" s="238">
        <v>0.89200000000000002</v>
      </c>
      <c r="G21" s="238">
        <v>0</v>
      </c>
      <c r="H21" s="234">
        <v>0.29799999999999999</v>
      </c>
      <c r="I21" s="234">
        <v>5.2999999999999999E-2</v>
      </c>
      <c r="J21" s="236">
        <v>4.3999999999999997E-2</v>
      </c>
      <c r="K21" s="253">
        <f t="shared" si="1"/>
        <v>13</v>
      </c>
      <c r="L21" s="253">
        <v>1.2E-2</v>
      </c>
      <c r="M21" s="259">
        <f t="shared" si="3"/>
        <v>-0.8651685393258427</v>
      </c>
      <c r="N21" s="259">
        <f>AVERAGE($M$9:M21)</f>
        <v>-0.57389801210025915</v>
      </c>
      <c r="O21" s="257" t="e">
        <f>IF(#REF!="ja",#REF!,#REF!)</f>
        <v>#REF!</v>
      </c>
      <c r="P21" s="254">
        <f t="shared" si="2"/>
        <v>13</v>
      </c>
      <c r="Q21" s="258">
        <f t="shared" si="6"/>
        <v>5011.2857142857147</v>
      </c>
      <c r="R21" s="260">
        <f t="shared" si="5"/>
        <v>3.2063125934120251E-2</v>
      </c>
      <c r="S21" s="261">
        <f>AVERAGE($R$9:R21)</f>
        <v>1.8926072142976327E-2</v>
      </c>
    </row>
    <row r="22" spans="1:19">
      <c r="A22" s="252">
        <v>2034</v>
      </c>
      <c r="B22" s="234">
        <v>14</v>
      </c>
      <c r="C22" s="255">
        <f>((C21-E21)*(1+'El og plugin hybrid'!$E$74)+E21)</f>
        <v>1.9852338715367401</v>
      </c>
      <c r="D22" s="528" t="e">
        <f>((D21-E22)*(1+'El og plugin hybrid'!$E$76))+Fremskrivninger!E22</f>
        <v>#VALUE!</v>
      </c>
      <c r="E22" s="235">
        <f t="shared" si="0"/>
        <v>1.2869999999999999</v>
      </c>
      <c r="F22" s="238">
        <v>0.89200000000000002</v>
      </c>
      <c r="G22" s="238">
        <v>0</v>
      </c>
      <c r="H22" s="234">
        <v>0.29799999999999999</v>
      </c>
      <c r="I22" s="234">
        <v>5.2999999999999999E-2</v>
      </c>
      <c r="J22" s="236">
        <v>4.3999999999999997E-2</v>
      </c>
      <c r="K22" s="253">
        <f t="shared" si="1"/>
        <v>14</v>
      </c>
      <c r="L22" s="253">
        <v>1.2E-2</v>
      </c>
      <c r="M22" s="259">
        <f t="shared" si="3"/>
        <v>-0.8651685393258427</v>
      </c>
      <c r="N22" s="259">
        <f>AVERAGE($M$9:M22)</f>
        <v>-0.5947030497592295</v>
      </c>
      <c r="O22" s="257" t="e">
        <f>IF(#REF!="ja",#REF!,#REF!)</f>
        <v>#REF!</v>
      </c>
      <c r="P22" s="254">
        <f t="shared" si="2"/>
        <v>14</v>
      </c>
      <c r="Q22" s="258">
        <f t="shared" si="6"/>
        <v>5032.5714285714284</v>
      </c>
      <c r="R22" s="260">
        <f t="shared" si="5"/>
        <v>3.6446871359137503E-2</v>
      </c>
      <c r="S22" s="261">
        <f>AVERAGE($R$9:R22)</f>
        <v>2.0177557801273553E-2</v>
      </c>
    </row>
    <row r="23" spans="1:19">
      <c r="A23" s="252">
        <v>2035</v>
      </c>
      <c r="B23" s="234">
        <v>15</v>
      </c>
      <c r="C23" s="255">
        <f>((C22-E22)*(1+'El og plugin hybrid'!$E$74)+E22)</f>
        <v>1.9968943771914036</v>
      </c>
      <c r="D23" s="528" t="e">
        <f>((D22-E23)*(1+'El og plugin hybrid'!$E$76))+Fremskrivninger!E23</f>
        <v>#VALUE!</v>
      </c>
      <c r="E23" s="235">
        <f t="shared" si="0"/>
        <v>1.2869999999999999</v>
      </c>
      <c r="F23" s="238">
        <v>0.89200000000000002</v>
      </c>
      <c r="G23" s="238">
        <v>0</v>
      </c>
      <c r="H23" s="234">
        <v>0.29799999999999999</v>
      </c>
      <c r="I23" s="234">
        <v>5.2999999999999999E-2</v>
      </c>
      <c r="J23" s="236">
        <v>4.3999999999999997E-2</v>
      </c>
      <c r="K23" s="253">
        <f t="shared" si="1"/>
        <v>15</v>
      </c>
      <c r="L23" s="253">
        <v>1.2E-2</v>
      </c>
      <c r="M23" s="259">
        <f t="shared" si="3"/>
        <v>-0.8651685393258427</v>
      </c>
      <c r="N23" s="259">
        <f>AVERAGE($M$9:M23)</f>
        <v>-0.61273408239700378</v>
      </c>
      <c r="O23" s="257" t="e">
        <f>IF(#REF!="ja",#REF!,#REF!)</f>
        <v>#REF!</v>
      </c>
      <c r="P23" s="254">
        <f t="shared" si="2"/>
        <v>15</v>
      </c>
      <c r="Q23" s="258">
        <f t="shared" si="6"/>
        <v>5053.8571428571431</v>
      </c>
      <c r="R23" s="260">
        <f t="shared" si="5"/>
        <v>4.0830616784154943E-2</v>
      </c>
      <c r="S23" s="261">
        <f>AVERAGE($R$9:R23)</f>
        <v>2.1554428400132313E-2</v>
      </c>
    </row>
    <row r="24" spans="1:19">
      <c r="A24" s="252">
        <v>2036</v>
      </c>
      <c r="B24" s="234">
        <v>16</v>
      </c>
      <c r="C24" s="255">
        <f>((C23-E23)*(1+'El og plugin hybrid'!$E$74)+E23)</f>
        <v>2.0087496132905001</v>
      </c>
      <c r="D24" s="528" t="e">
        <f>((D23-E24)*(1+'El og plugin hybrid'!$E$76))+Fremskrivninger!E24</f>
        <v>#VALUE!</v>
      </c>
      <c r="E24" s="235">
        <f t="shared" si="0"/>
        <v>1.2869999999999999</v>
      </c>
      <c r="F24" s="238">
        <v>0.89200000000000002</v>
      </c>
      <c r="G24" s="238">
        <v>0</v>
      </c>
      <c r="H24" s="234">
        <v>0.29799999999999999</v>
      </c>
      <c r="I24" s="234">
        <v>5.2999999999999999E-2</v>
      </c>
      <c r="J24" s="236">
        <v>4.3999999999999997E-2</v>
      </c>
      <c r="K24" s="253">
        <f t="shared" si="1"/>
        <v>16</v>
      </c>
      <c r="L24" s="253">
        <v>1.2E-2</v>
      </c>
      <c r="M24" s="259">
        <f t="shared" si="3"/>
        <v>-0.8651685393258427</v>
      </c>
      <c r="N24" s="259">
        <f>AVERAGE($M$9:M24)</f>
        <v>-0.6285112359550562</v>
      </c>
      <c r="O24" s="257" t="e">
        <f>IF(#REF!="ja",#REF!,#REF!)</f>
        <v>#REF!</v>
      </c>
      <c r="P24" s="254">
        <f t="shared" si="2"/>
        <v>16</v>
      </c>
      <c r="Q24" s="258">
        <f t="shared" si="6"/>
        <v>5075.1428571428569</v>
      </c>
      <c r="R24" s="260">
        <f t="shared" si="5"/>
        <v>4.5214362209172194E-2</v>
      </c>
      <c r="S24" s="261">
        <f>AVERAGE($R$9:R24)</f>
        <v>2.3033174263197304E-2</v>
      </c>
    </row>
    <row r="25" spans="1:19">
      <c r="A25" s="252">
        <v>2037</v>
      </c>
      <c r="B25" s="234">
        <v>17</v>
      </c>
      <c r="C25" s="255">
        <f>((C24-E24)*(1+'El og plugin hybrid'!$E$74)+E24)</f>
        <v>2.0208028318324516</v>
      </c>
      <c r="D25" s="528" t="e">
        <f>((D24-E25)*(1+'El og plugin hybrid'!$E$76))+Fremskrivninger!E25</f>
        <v>#VALUE!</v>
      </c>
      <c r="E25" s="235">
        <f t="shared" si="0"/>
        <v>1.2869999999999999</v>
      </c>
      <c r="F25" s="238">
        <v>0.89200000000000002</v>
      </c>
      <c r="G25" s="238">
        <v>0</v>
      </c>
      <c r="H25" s="234">
        <v>0.29799999999999999</v>
      </c>
      <c r="I25" s="234">
        <v>5.2999999999999999E-2</v>
      </c>
      <c r="J25" s="236">
        <v>4.3999999999999997E-2</v>
      </c>
      <c r="K25" s="253">
        <f t="shared" si="1"/>
        <v>17</v>
      </c>
      <c r="L25" s="253">
        <v>1.2E-2</v>
      </c>
      <c r="M25" s="259">
        <f t="shared" si="3"/>
        <v>-0.8651685393258427</v>
      </c>
      <c r="N25" s="259">
        <f>AVERAGE($M$9:M25)</f>
        <v>-0.64243225380039659</v>
      </c>
      <c r="O25" s="257" t="e">
        <f>IF(#REF!="ja",#REF!,#REF!)</f>
        <v>#REF!</v>
      </c>
      <c r="P25" s="254">
        <f t="shared" si="2"/>
        <v>17</v>
      </c>
      <c r="Q25" s="258">
        <f t="shared" si="6"/>
        <v>5096.4285714285716</v>
      </c>
      <c r="R25" s="260">
        <f t="shared" si="5"/>
        <v>4.9598107634189634E-2</v>
      </c>
      <c r="S25" s="261">
        <f>AVERAGE($R$9:R25)</f>
        <v>2.4595817402667444E-2</v>
      </c>
    </row>
    <row r="26" spans="1:19">
      <c r="A26" s="252">
        <v>2038</v>
      </c>
      <c r="B26" s="234">
        <v>18</v>
      </c>
      <c r="C26" s="255">
        <f>((C25-E25)*(1+'El og plugin hybrid'!$E$74)+E25)</f>
        <v>2.0330573391240536</v>
      </c>
      <c r="D26" s="528" t="e">
        <f>((D25-E26)*(1+'El og plugin hybrid'!$E$76))+Fremskrivninger!E26</f>
        <v>#VALUE!</v>
      </c>
      <c r="E26" s="235">
        <f t="shared" si="0"/>
        <v>1.2869999999999999</v>
      </c>
      <c r="F26" s="238">
        <v>0.89200000000000002</v>
      </c>
      <c r="G26" s="238">
        <v>0</v>
      </c>
      <c r="H26" s="234">
        <v>0.29799999999999999</v>
      </c>
      <c r="I26" s="234">
        <v>5.2999999999999999E-2</v>
      </c>
      <c r="J26" s="236">
        <v>4.3999999999999997E-2</v>
      </c>
      <c r="K26" s="253">
        <f t="shared" si="1"/>
        <v>18</v>
      </c>
      <c r="L26" s="253">
        <v>1.2E-2</v>
      </c>
      <c r="M26" s="259">
        <f t="shared" si="3"/>
        <v>-0.8651685393258427</v>
      </c>
      <c r="N26" s="259">
        <f>AVERAGE($M$9:M26)</f>
        <v>-0.65480649188514362</v>
      </c>
      <c r="O26" s="257" t="e">
        <f>IF(#REF!="ja",#REF!,#REF!)</f>
        <v>#REF!</v>
      </c>
      <c r="P26" s="254">
        <f t="shared" si="2"/>
        <v>18</v>
      </c>
      <c r="Q26" s="258">
        <f t="shared" si="6"/>
        <v>5117.7142857142853</v>
      </c>
      <c r="R26" s="260">
        <f t="shared" si="5"/>
        <v>5.3981853059206886E-2</v>
      </c>
      <c r="S26" s="261">
        <f>AVERAGE($R$9:R26)</f>
        <v>2.6228374939141857E-2</v>
      </c>
    </row>
    <row r="27" spans="1:19">
      <c r="A27" s="252">
        <v>2039</v>
      </c>
      <c r="B27" s="234">
        <v>19</v>
      </c>
      <c r="C27" s="255">
        <f>((C26-E26)*(1+'El og plugin hybrid'!$E$74)+E26)</f>
        <v>2.0455164966874255</v>
      </c>
      <c r="D27" s="528" t="e">
        <f>((D26-E27)*(1+'El og plugin hybrid'!$E$76))+Fremskrivninger!E27</f>
        <v>#VALUE!</v>
      </c>
      <c r="E27" s="235">
        <f t="shared" si="0"/>
        <v>1.2869999999999999</v>
      </c>
      <c r="F27" s="238">
        <v>0.89200000000000002</v>
      </c>
      <c r="G27" s="238">
        <v>0</v>
      </c>
      <c r="H27" s="234">
        <v>0.29799999999999999</v>
      </c>
      <c r="I27" s="234">
        <v>5.2999999999999999E-2</v>
      </c>
      <c r="J27" s="236">
        <v>4.3999999999999997E-2</v>
      </c>
      <c r="K27" s="253">
        <f t="shared" si="1"/>
        <v>19</v>
      </c>
      <c r="L27" s="253">
        <v>1.2E-2</v>
      </c>
      <c r="M27" s="259">
        <f t="shared" si="3"/>
        <v>-0.8651685393258427</v>
      </c>
      <c r="N27" s="259">
        <f>AVERAGE($M$9:M27)</f>
        <v>-0.66587817859254894</v>
      </c>
      <c r="O27" s="257" t="e">
        <f>IF(#REF!="ja",#REF!,#REF!)</f>
        <v>#REF!</v>
      </c>
      <c r="P27" s="254">
        <f t="shared" si="2"/>
        <v>19</v>
      </c>
      <c r="Q27" s="258">
        <f t="shared" si="6"/>
        <v>5139</v>
      </c>
      <c r="R27" s="260">
        <f t="shared" si="5"/>
        <v>5.8365598484224318E-2</v>
      </c>
      <c r="S27" s="261">
        <f>AVERAGE($R$9:R27)</f>
        <v>2.7919807757304089E-2</v>
      </c>
    </row>
    <row r="28" spans="1:19">
      <c r="A28" s="252">
        <v>2040</v>
      </c>
      <c r="B28" s="234">
        <v>20</v>
      </c>
      <c r="C28" s="255">
        <f>((C27-E27)*(1+'El og plugin hybrid'!$E$74)+E27)</f>
        <v>2.0581837221821053</v>
      </c>
      <c r="D28" s="528" t="e">
        <f>((D27-E28)*(1+'El og plugin hybrid'!$E$76))+Fremskrivninger!E28</f>
        <v>#VALUE!</v>
      </c>
      <c r="E28" s="235">
        <f t="shared" si="0"/>
        <v>1.2869999999999999</v>
      </c>
      <c r="F28" s="238">
        <v>0.89200000000000002</v>
      </c>
      <c r="G28" s="238">
        <v>0</v>
      </c>
      <c r="H28" s="234">
        <v>0.29799999999999999</v>
      </c>
      <c r="I28" s="234">
        <v>5.2999999999999999E-2</v>
      </c>
      <c r="J28" s="236">
        <v>4.3999999999999997E-2</v>
      </c>
      <c r="K28" s="253">
        <f t="shared" si="1"/>
        <v>20</v>
      </c>
      <c r="L28" s="253">
        <v>1.2E-2</v>
      </c>
      <c r="M28" s="259">
        <f t="shared" si="3"/>
        <v>-0.8651685393258427</v>
      </c>
      <c r="N28" s="259">
        <f>AVERAGE($M$9:M28)</f>
        <v>-0.67584269662921359</v>
      </c>
      <c r="O28" s="257" t="e">
        <f>IF(#REF!="ja",#REF!,#REF!)</f>
        <v>#REF!</v>
      </c>
      <c r="P28" s="254">
        <f t="shared" si="2"/>
        <v>20</v>
      </c>
      <c r="Q28" s="258">
        <f t="shared" si="6"/>
        <v>5160.2857142857147</v>
      </c>
      <c r="R28" s="260">
        <f t="shared" si="5"/>
        <v>6.2749343909241764E-2</v>
      </c>
      <c r="S28" s="261">
        <f>AVERAGE($R$9:R28)</f>
        <v>2.9661284564900976E-2</v>
      </c>
    </row>
    <row r="29" spans="1:19">
      <c r="A29" s="252">
        <v>2041</v>
      </c>
      <c r="B29" s="234">
        <v>21</v>
      </c>
      <c r="C29" s="255">
        <f>((C28-E28)*(1+'El og plugin hybrid'!$E$74)+E28)</f>
        <v>2.0710624903425465</v>
      </c>
      <c r="D29" s="528" t="e">
        <f>((D28-E29)*(1+'El og plugin hybrid'!$E$76))+Fremskrivninger!E29</f>
        <v>#VALUE!</v>
      </c>
      <c r="E29" s="235">
        <f t="shared" si="0"/>
        <v>1.2869999999999999</v>
      </c>
      <c r="F29" s="238">
        <v>0.89200000000000002</v>
      </c>
      <c r="G29" s="238">
        <v>0</v>
      </c>
      <c r="H29" s="234">
        <v>0.29799999999999999</v>
      </c>
      <c r="I29" s="234">
        <v>5.2999999999999999E-2</v>
      </c>
      <c r="J29" s="236">
        <v>4.3999999999999997E-2</v>
      </c>
      <c r="K29" s="253">
        <f t="shared" si="1"/>
        <v>21</v>
      </c>
      <c r="L29" s="253">
        <v>1.2E-2</v>
      </c>
      <c r="M29" s="259">
        <f t="shared" si="3"/>
        <v>-0.8651685393258427</v>
      </c>
      <c r="N29" s="259">
        <f>AVERAGE($M$9:M29)</f>
        <v>-0.68485821294810079</v>
      </c>
      <c r="O29" s="257" t="e">
        <f>IF(#REF!="ja",#REF!,#REF!)</f>
        <v>#REF!</v>
      </c>
      <c r="P29" s="254">
        <f t="shared" si="2"/>
        <v>21</v>
      </c>
      <c r="Q29" s="258">
        <f t="shared" si="6"/>
        <v>5181.5714285714284</v>
      </c>
      <c r="R29" s="260">
        <f t="shared" si="5"/>
        <v>6.7133089334259016E-2</v>
      </c>
      <c r="S29" s="261">
        <f>AVERAGE($R$9:R29)</f>
        <v>3.1445656220584692E-2</v>
      </c>
    </row>
    <row r="30" spans="1:19">
      <c r="A30" s="252">
        <v>2042</v>
      </c>
      <c r="B30" s="234">
        <v>22</v>
      </c>
      <c r="C30" s="255">
        <f>((C29-E29)*(1+'El og plugin hybrid'!$E$74)+E29)</f>
        <v>2.0841563339312668</v>
      </c>
      <c r="D30" s="528" t="e">
        <f>((D29-E30)*(1+'El og plugin hybrid'!$E$76))+Fremskrivninger!E30</f>
        <v>#VALUE!</v>
      </c>
      <c r="E30" s="235">
        <f t="shared" si="0"/>
        <v>1.2869999999999999</v>
      </c>
      <c r="F30" s="238">
        <v>0.89200000000000002</v>
      </c>
      <c r="G30" s="238">
        <v>0</v>
      </c>
      <c r="H30" s="234">
        <v>0.29799999999999999</v>
      </c>
      <c r="I30" s="234">
        <v>5.2999999999999999E-2</v>
      </c>
      <c r="J30" s="236">
        <v>4.3999999999999997E-2</v>
      </c>
      <c r="K30" s="253">
        <f t="shared" si="1"/>
        <v>22</v>
      </c>
      <c r="L30" s="253">
        <v>1.2E-2</v>
      </c>
      <c r="M30" s="259">
        <f t="shared" si="3"/>
        <v>-0.8651685393258427</v>
      </c>
      <c r="N30" s="259">
        <f>AVERAGE($M$9:M30)</f>
        <v>-0.69305413687436179</v>
      </c>
      <c r="O30" s="257" t="e">
        <f>IF(#REF!="ja",#REF!,#REF!)</f>
        <v>#REF!</v>
      </c>
      <c r="P30" s="254">
        <f t="shared" si="2"/>
        <v>22</v>
      </c>
      <c r="Q30" s="258">
        <f t="shared" si="6"/>
        <v>5202.8571428571431</v>
      </c>
      <c r="R30" s="260">
        <f t="shared" si="5"/>
        <v>7.1516834759276449E-2</v>
      </c>
      <c r="S30" s="261">
        <f>AVERAGE($R$9:R30)</f>
        <v>3.3267073426888859E-2</v>
      </c>
    </row>
    <row r="31" spans="1:19">
      <c r="A31" s="252">
        <v>2043</v>
      </c>
      <c r="B31" s="234">
        <v>23</v>
      </c>
      <c r="C31" s="255">
        <f>((C30-E30)*(1+'El og plugin hybrid'!$E$74)+E30)</f>
        <v>2.0974688447079188</v>
      </c>
      <c r="D31" s="528" t="e">
        <f>((D30-E31)*(1+'El og plugin hybrid'!$E$76))+Fremskrivninger!E31</f>
        <v>#VALUE!</v>
      </c>
      <c r="E31" s="235">
        <f t="shared" si="0"/>
        <v>1.2869999999999999</v>
      </c>
      <c r="F31" s="238">
        <v>0.89200000000000002</v>
      </c>
      <c r="G31" s="238">
        <v>0</v>
      </c>
      <c r="H31" s="234">
        <v>0.29799999999999999</v>
      </c>
      <c r="I31" s="234">
        <v>5.2999999999999999E-2</v>
      </c>
      <c r="J31" s="236">
        <v>4.3999999999999997E-2</v>
      </c>
      <c r="K31" s="253">
        <f t="shared" si="1"/>
        <v>23</v>
      </c>
      <c r="L31" s="253">
        <v>1.2E-2</v>
      </c>
      <c r="M31" s="259">
        <f t="shared" si="3"/>
        <v>-0.8651685393258427</v>
      </c>
      <c r="N31" s="259">
        <f>AVERAGE($M$9:M31)</f>
        <v>-0.70053737176355657</v>
      </c>
      <c r="O31" s="257" t="e">
        <f>IF(#REF!="ja",#REF!,#REF!)</f>
        <v>#REF!</v>
      </c>
      <c r="P31" s="254">
        <f t="shared" si="2"/>
        <v>23</v>
      </c>
      <c r="Q31" s="258">
        <f t="shared" si="6"/>
        <v>5224.1428571428569</v>
      </c>
      <c r="R31" s="260">
        <f t="shared" si="5"/>
        <v>7.5900580184293701E-2</v>
      </c>
      <c r="S31" s="261">
        <f>AVERAGE($R$9:R31)</f>
        <v>3.512070415547168E-2</v>
      </c>
    </row>
    <row r="32" spans="1:19">
      <c r="A32" s="252">
        <v>2044</v>
      </c>
      <c r="B32" s="234">
        <v>24</v>
      </c>
      <c r="C32" s="255">
        <f>((C31-E31)*(1+'El og plugin hybrid'!$E$74)+E31)</f>
        <v>2.1110036744145413</v>
      </c>
      <c r="D32" s="528" t="e">
        <f>((D31-E32)*(1+'El og plugin hybrid'!$E$76))+Fremskrivninger!E32</f>
        <v>#VALUE!</v>
      </c>
      <c r="E32" s="235">
        <f t="shared" si="0"/>
        <v>1.2869999999999999</v>
      </c>
      <c r="F32" s="238">
        <v>0.89200000000000002</v>
      </c>
      <c r="G32" s="238">
        <v>0</v>
      </c>
      <c r="H32" s="234">
        <v>0.29799999999999999</v>
      </c>
      <c r="I32" s="234">
        <v>5.2999999999999999E-2</v>
      </c>
      <c r="J32" s="236">
        <v>4.3999999999999997E-2</v>
      </c>
      <c r="K32" s="253">
        <f t="shared" si="1"/>
        <v>24</v>
      </c>
      <c r="L32" s="253">
        <v>1.2E-2</v>
      </c>
      <c r="M32" s="259">
        <f t="shared" si="3"/>
        <v>-0.8651685393258427</v>
      </c>
      <c r="N32" s="259">
        <f>AVERAGE($M$9:M32)</f>
        <v>-0.70739700374531855</v>
      </c>
      <c r="O32" s="257" t="e">
        <f>IF(#REF!="ja",#REF!,#REF!)</f>
        <v>#REF!</v>
      </c>
      <c r="P32" s="254">
        <f t="shared" si="2"/>
        <v>24</v>
      </c>
      <c r="Q32" s="258">
        <f t="shared" si="6"/>
        <v>5245.4285714285716</v>
      </c>
      <c r="R32" s="260">
        <f t="shared" si="5"/>
        <v>8.0284325609311133E-2</v>
      </c>
      <c r="S32" s="261">
        <f>AVERAGE($R$9:R32)</f>
        <v>3.7002521716048321E-2</v>
      </c>
    </row>
    <row r="33" spans="1:20">
      <c r="A33" s="252">
        <v>2045</v>
      </c>
      <c r="B33" s="234">
        <v>25</v>
      </c>
      <c r="C33" s="255">
        <f>((C32-E32)*(1+'El og plugin hybrid'!$E$74)+E32)</f>
        <v>2.1247645357772642</v>
      </c>
      <c r="D33" s="528" t="e">
        <f>((D32-E33)*(1+'El og plugin hybrid'!$E$76))+Fremskrivninger!E33</f>
        <v>#VALUE!</v>
      </c>
      <c r="E33" s="235">
        <f t="shared" si="0"/>
        <v>1.2869999999999999</v>
      </c>
      <c r="F33" s="238">
        <v>0.89200000000000002</v>
      </c>
      <c r="G33" s="238">
        <v>0</v>
      </c>
      <c r="H33" s="234">
        <v>0.29799999999999999</v>
      </c>
      <c r="I33" s="234">
        <v>5.2999999999999999E-2</v>
      </c>
      <c r="J33" s="236">
        <v>4.3999999999999997E-2</v>
      </c>
      <c r="K33" s="253">
        <f t="shared" si="1"/>
        <v>25</v>
      </c>
      <c r="L33" s="253">
        <v>1.2E-2</v>
      </c>
      <c r="M33" s="259">
        <f t="shared" si="3"/>
        <v>-0.8651685393258427</v>
      </c>
      <c r="N33" s="259">
        <f>AVERAGE($M$9:M33)</f>
        <v>-0.71370786516853957</v>
      </c>
      <c r="O33" s="257" t="e">
        <f>IF(#REF!="ja",#REF!,#REF!)</f>
        <v>#REF!</v>
      </c>
      <c r="P33" s="254">
        <f t="shared" si="2"/>
        <v>25</v>
      </c>
      <c r="Q33" s="258">
        <f t="shared" si="6"/>
        <v>5266.7142857142853</v>
      </c>
      <c r="R33" s="260">
        <f t="shared" si="5"/>
        <v>8.4668071034328385E-2</v>
      </c>
      <c r="S33" s="261">
        <f>AVERAGE($R$9:R33)</f>
        <v>3.890914368877952E-2</v>
      </c>
    </row>
    <row r="34" spans="1:20">
      <c r="A34" s="252">
        <v>2046</v>
      </c>
      <c r="B34" s="234">
        <v>26</v>
      </c>
      <c r="C34" s="255">
        <f>((C33-E33)*(1+'El og plugin hybrid'!$E$74)+E33)</f>
        <v>2.1387552035247444</v>
      </c>
      <c r="D34" s="528" t="e">
        <f>((D33-E34)*(1+'El og plugin hybrid'!$E$76))+Fremskrivninger!E34</f>
        <v>#VALUE!</v>
      </c>
      <c r="E34" s="235">
        <f t="shared" si="0"/>
        <v>1.2869999999999999</v>
      </c>
      <c r="F34" s="238">
        <v>0.89200000000000002</v>
      </c>
      <c r="G34" s="238">
        <v>0</v>
      </c>
      <c r="H34" s="234">
        <v>0.29799999999999999</v>
      </c>
      <c r="I34" s="234">
        <v>5.2999999999999999E-2</v>
      </c>
      <c r="J34" s="236">
        <v>4.3999999999999997E-2</v>
      </c>
      <c r="K34" s="253">
        <f t="shared" si="1"/>
        <v>26</v>
      </c>
      <c r="L34" s="253">
        <v>1.2E-2</v>
      </c>
      <c r="M34" s="259">
        <f t="shared" si="3"/>
        <v>-0.8651685393258427</v>
      </c>
      <c r="N34" s="259">
        <f>AVERAGE($M$9:M34)</f>
        <v>-0.71953327571305126</v>
      </c>
      <c r="O34" s="257" t="e">
        <f>IF(#REF!="ja",#REF!,#REF!)</f>
        <v>#REF!</v>
      </c>
      <c r="P34" s="254">
        <f t="shared" si="2"/>
        <v>26</v>
      </c>
      <c r="Q34" s="258">
        <f t="shared" si="6"/>
        <v>5288</v>
      </c>
      <c r="R34" s="260">
        <f t="shared" si="5"/>
        <v>8.9051816459345831E-2</v>
      </c>
      <c r="S34" s="261">
        <f>AVERAGE($R$9:R34)</f>
        <v>4.083770802610899E-2</v>
      </c>
    </row>
    <row r="35" spans="1:20">
      <c r="A35" s="252">
        <v>2047</v>
      </c>
      <c r="B35" s="234">
        <v>27</v>
      </c>
      <c r="C35" s="255">
        <f>((C34-E34)*(1+'El og plugin hybrid'!$E$74)+E34)</f>
        <v>2.1529795154236075</v>
      </c>
      <c r="D35" s="528" t="e">
        <f>((D34-E35)*(1+'El og plugin hybrid'!$E$76))+Fremskrivninger!E35</f>
        <v>#VALUE!</v>
      </c>
      <c r="E35" s="235">
        <f t="shared" si="0"/>
        <v>1.2869999999999999</v>
      </c>
      <c r="F35" s="238">
        <v>0.89200000000000002</v>
      </c>
      <c r="G35" s="238">
        <v>0</v>
      </c>
      <c r="H35" s="234">
        <v>0.29799999999999999</v>
      </c>
      <c r="I35" s="234">
        <v>5.2999999999999999E-2</v>
      </c>
      <c r="J35" s="236">
        <v>4.3999999999999997E-2</v>
      </c>
      <c r="K35" s="253">
        <f t="shared" si="1"/>
        <v>27</v>
      </c>
      <c r="L35" s="253">
        <v>1.2E-2</v>
      </c>
      <c r="M35" s="259">
        <f t="shared" si="3"/>
        <v>-0.8651685393258427</v>
      </c>
      <c r="N35" s="259">
        <f>AVERAGE($M$9:M35)</f>
        <v>-0.7249271743653769</v>
      </c>
      <c r="O35" s="257" t="e">
        <f>IF(#REF!="ja",#REF!,#REF!)</f>
        <v>#REF!</v>
      </c>
      <c r="P35" s="254">
        <f t="shared" si="2"/>
        <v>27</v>
      </c>
      <c r="Q35" s="258">
        <f t="shared" si="6"/>
        <v>5309.2857142857147</v>
      </c>
      <c r="R35" s="260">
        <f t="shared" si="5"/>
        <v>9.3435561884363263E-2</v>
      </c>
      <c r="S35" s="261">
        <f>AVERAGE($R$9:R35)</f>
        <v>4.2785776687525819E-2</v>
      </c>
    </row>
    <row r="36" spans="1:20">
      <c r="A36" s="252">
        <v>2048</v>
      </c>
      <c r="B36" s="234">
        <v>28</v>
      </c>
      <c r="C36" s="255">
        <f>((C35-E35)*(1+'El og plugin hybrid'!$E$74)+E35)</f>
        <v>2.1674413733311817</v>
      </c>
      <c r="D36" s="528" t="e">
        <f>((D35-E36)*(1+'El og plugin hybrid'!$E$76))+Fremskrivninger!E36</f>
        <v>#VALUE!</v>
      </c>
      <c r="E36" s="235">
        <f t="shared" si="0"/>
        <v>1.2869999999999999</v>
      </c>
      <c r="F36" s="238">
        <v>0.89200000000000002</v>
      </c>
      <c r="G36" s="238">
        <v>0</v>
      </c>
      <c r="H36" s="234">
        <v>0.29799999999999999</v>
      </c>
      <c r="I36" s="234">
        <v>5.2999999999999999E-2</v>
      </c>
      <c r="J36" s="236">
        <v>4.3999999999999997E-2</v>
      </c>
      <c r="K36" s="253">
        <f t="shared" si="1"/>
        <v>28</v>
      </c>
      <c r="L36" s="253">
        <v>1.2E-2</v>
      </c>
      <c r="M36" s="259">
        <f t="shared" si="3"/>
        <v>-0.8651685393258427</v>
      </c>
      <c r="N36" s="259">
        <f>AVERAGE($M$9:M36)</f>
        <v>-0.72993579454253632</v>
      </c>
      <c r="O36" s="257" t="e">
        <f>IF(#REF!="ja",#REF!,#REF!)</f>
        <v>#REF!</v>
      </c>
      <c r="P36" s="254">
        <f t="shared" si="2"/>
        <v>28</v>
      </c>
      <c r="Q36" s="258">
        <f t="shared" si="6"/>
        <v>5330.5714285714284</v>
      </c>
      <c r="R36" s="260">
        <f t="shared" si="5"/>
        <v>9.7819307309380515E-2</v>
      </c>
      <c r="S36" s="261">
        <f>AVERAGE($R$9:R36)</f>
        <v>4.4751259924020625E-2</v>
      </c>
    </row>
    <row r="37" spans="1:20">
      <c r="A37" s="252">
        <v>2049</v>
      </c>
      <c r="B37" s="234">
        <v>29</v>
      </c>
      <c r="C37" s="255">
        <f>((C36-E36)*(1+'El og plugin hybrid'!$E$74)+E36)</f>
        <v>2.1821447442658126</v>
      </c>
      <c r="D37" s="528" t="e">
        <f>((D36-E37)*(1+'El og plugin hybrid'!$E$76))+Fremskrivninger!E37</f>
        <v>#VALUE!</v>
      </c>
      <c r="E37" s="235">
        <f t="shared" si="0"/>
        <v>1.2869999999999999</v>
      </c>
      <c r="F37" s="238">
        <v>0.89200000000000002</v>
      </c>
      <c r="G37" s="238">
        <v>0</v>
      </c>
      <c r="H37" s="234">
        <v>0.29799999999999999</v>
      </c>
      <c r="I37" s="234">
        <v>5.2999999999999999E-2</v>
      </c>
      <c r="J37" s="236">
        <v>4.3999999999999997E-2</v>
      </c>
      <c r="K37" s="253">
        <f t="shared" si="1"/>
        <v>29</v>
      </c>
      <c r="L37" s="253">
        <v>1.2E-2</v>
      </c>
      <c r="M37" s="259">
        <f t="shared" si="3"/>
        <v>-0.8651685393258427</v>
      </c>
      <c r="N37" s="259">
        <f>AVERAGE($M$9:M37)</f>
        <v>-0.73459899263851247</v>
      </c>
      <c r="O37" s="257" t="e">
        <f>IF(#REF!="ja",#REF!,#REF!)</f>
        <v>#REF!</v>
      </c>
      <c r="P37" s="254">
        <f t="shared" si="2"/>
        <v>29</v>
      </c>
      <c r="Q37" s="258">
        <f t="shared" si="6"/>
        <v>5351.8571428571431</v>
      </c>
      <c r="R37" s="260">
        <f t="shared" si="5"/>
        <v>0.10220305273439796</v>
      </c>
      <c r="S37" s="261">
        <f>AVERAGE($R$9:R37)</f>
        <v>4.6732356227826739E-2</v>
      </c>
    </row>
    <row r="38" spans="1:20">
      <c r="A38" s="252">
        <v>2050</v>
      </c>
      <c r="B38" s="234">
        <v>30</v>
      </c>
      <c r="C38" s="255">
        <f>((C37-E37)*(1+'El og plugin hybrid'!$E$74)+E37)</f>
        <v>2.1970936614950514</v>
      </c>
      <c r="D38" s="528" t="e">
        <f>((D37-E38)*(1+'El og plugin hybrid'!$E$76))+Fremskrivninger!E38</f>
        <v>#VALUE!</v>
      </c>
      <c r="E38" s="240">
        <f t="shared" si="0"/>
        <v>1.2869999999999999</v>
      </c>
      <c r="F38" s="242">
        <v>0.89200000000000002</v>
      </c>
      <c r="G38" s="242">
        <v>0</v>
      </c>
      <c r="H38" s="239">
        <v>0.29799999999999999</v>
      </c>
      <c r="I38" s="239">
        <v>5.2999999999999999E-2</v>
      </c>
      <c r="J38" s="241">
        <v>4.3999999999999997E-2</v>
      </c>
      <c r="K38" s="253">
        <f t="shared" si="1"/>
        <v>30</v>
      </c>
      <c r="L38" s="253">
        <v>1.2E-2</v>
      </c>
      <c r="M38" s="259">
        <f t="shared" si="3"/>
        <v>-0.8651685393258427</v>
      </c>
      <c r="N38" s="259">
        <f>AVERAGE($M$9:M38)</f>
        <v>-0.73895131086142352</v>
      </c>
      <c r="O38" s="257" t="e">
        <f>IF(#REF!="ja",#REF!,#REF!)</f>
        <v>#REF!</v>
      </c>
      <c r="P38" s="254">
        <f t="shared" si="2"/>
        <v>30</v>
      </c>
      <c r="Q38" s="258">
        <v>5440</v>
      </c>
      <c r="R38" s="260">
        <f t="shared" si="5"/>
        <v>0.12035587774940266</v>
      </c>
      <c r="S38" s="261">
        <f>AVERAGE($R$9:R38)</f>
        <v>4.9186473611879271E-2</v>
      </c>
    </row>
    <row r="39" spans="1:20">
      <c r="A39" s="252"/>
      <c r="B39" s="252"/>
      <c r="C39" s="252"/>
      <c r="D39" s="252"/>
      <c r="E39" s="252"/>
      <c r="F39" s="252"/>
      <c r="G39" s="252"/>
      <c r="H39" s="252"/>
      <c r="I39" s="252"/>
      <c r="J39" s="252"/>
      <c r="K39" s="252"/>
      <c r="L39" s="252"/>
      <c r="M39" s="252"/>
      <c r="N39" s="252"/>
      <c r="O39" s="252"/>
      <c r="P39" s="252"/>
      <c r="Q39" s="252"/>
      <c r="R39" s="252"/>
      <c r="S39" s="252"/>
      <c r="T39" s="252"/>
    </row>
    <row r="40" spans="1:20" ht="12.75" customHeight="1">
      <c r="A40" s="252"/>
      <c r="B40" s="475"/>
      <c r="C40" s="567" t="s">
        <v>174</v>
      </c>
      <c r="D40" s="567"/>
      <c r="E40" s="567"/>
      <c r="F40" s="567"/>
      <c r="G40" s="567"/>
      <c r="H40" s="567"/>
      <c r="I40" s="567"/>
      <c r="J40" s="568"/>
      <c r="K40" s="565"/>
      <c r="L40" s="555" t="s">
        <v>175</v>
      </c>
      <c r="M40" s="555"/>
      <c r="N40" s="555"/>
      <c r="O40" s="555"/>
      <c r="P40" s="555"/>
      <c r="Q40" s="555"/>
      <c r="R40" s="555"/>
      <c r="S40" s="556"/>
      <c r="T40" s="252"/>
    </row>
    <row r="41" spans="1:20" ht="12.75" customHeight="1">
      <c r="A41" s="252"/>
      <c r="B41" s="237"/>
      <c r="C41" s="569"/>
      <c r="D41" s="569"/>
      <c r="E41" s="569"/>
      <c r="F41" s="569"/>
      <c r="G41" s="569"/>
      <c r="H41" s="569"/>
      <c r="I41" s="569"/>
      <c r="J41" s="570"/>
      <c r="K41" s="566"/>
      <c r="L41" s="557"/>
      <c r="M41" s="557"/>
      <c r="N41" s="557"/>
      <c r="O41" s="557"/>
      <c r="P41" s="557"/>
      <c r="Q41" s="557"/>
      <c r="R41" s="557"/>
      <c r="S41" s="558"/>
    </row>
    <row r="42" spans="1:20" ht="14.6">
      <c r="A42" s="252"/>
      <c r="B42" s="237"/>
      <c r="C42" s="279" t="s">
        <v>215</v>
      </c>
      <c r="D42" s="530">
        <f>'ENS udvikling i brændstofspris'!E7</f>
        <v>4.0768000000000004</v>
      </c>
      <c r="E42" s="279" t="s">
        <v>168</v>
      </c>
      <c r="F42" s="476" t="s">
        <v>163</v>
      </c>
      <c r="G42" s="279"/>
      <c r="H42" s="279"/>
      <c r="I42" s="279"/>
      <c r="J42" s="236"/>
      <c r="K42" s="237"/>
      <c r="L42" s="279" t="s">
        <v>215</v>
      </c>
      <c r="M42" s="530">
        <f>'ENS udvikling i brændstofspris'!E7</f>
        <v>4.0768000000000004</v>
      </c>
      <c r="N42" s="279" t="s">
        <v>168</v>
      </c>
      <c r="O42" s="476" t="s">
        <v>163</v>
      </c>
      <c r="P42" s="279"/>
      <c r="Q42" s="279"/>
      <c r="R42" s="279"/>
      <c r="S42" s="236"/>
    </row>
    <row r="43" spans="1:20">
      <c r="A43" s="252"/>
      <c r="B43" s="237"/>
      <c r="C43" s="279"/>
      <c r="D43" s="279"/>
      <c r="E43" s="279"/>
      <c r="F43" s="279"/>
      <c r="G43" s="279"/>
      <c r="H43" s="279"/>
      <c r="I43" s="279"/>
      <c r="J43" s="236"/>
      <c r="K43" s="237"/>
      <c r="L43" s="279"/>
      <c r="M43" s="279"/>
      <c r="N43" s="279"/>
      <c r="O43" s="279"/>
      <c r="P43" s="279"/>
      <c r="Q43" s="279"/>
      <c r="R43" s="279"/>
      <c r="S43" s="236"/>
    </row>
    <row r="44" spans="1:20">
      <c r="A44" s="252"/>
      <c r="B44" s="237"/>
      <c r="C44" s="550" t="s">
        <v>180</v>
      </c>
      <c r="D44" s="550"/>
      <c r="E44" s="550"/>
      <c r="F44" s="550"/>
      <c r="G44" s="550"/>
      <c r="H44" s="550"/>
      <c r="I44" s="550"/>
      <c r="J44" s="551"/>
      <c r="K44" s="237"/>
      <c r="L44" s="550" t="s">
        <v>180</v>
      </c>
      <c r="M44" s="550"/>
      <c r="N44" s="550"/>
      <c r="O44" s="550"/>
      <c r="P44" s="550"/>
      <c r="Q44" s="550"/>
      <c r="R44" s="550"/>
      <c r="S44" s="551"/>
    </row>
    <row r="45" spans="1:20">
      <c r="A45" s="252"/>
      <c r="B45" s="552" t="s">
        <v>164</v>
      </c>
      <c r="C45" s="550"/>
      <c r="D45" s="550"/>
      <c r="E45" s="550"/>
      <c r="F45" s="550"/>
      <c r="G45" s="550"/>
      <c r="H45" s="553" t="s">
        <v>176</v>
      </c>
      <c r="I45" s="553"/>
      <c r="J45" s="554"/>
      <c r="K45" s="559" t="s">
        <v>164</v>
      </c>
      <c r="L45" s="560"/>
      <c r="M45" s="560"/>
      <c r="N45" s="560"/>
      <c r="O45" s="560"/>
      <c r="P45" s="560"/>
      <c r="Q45" s="553" t="s">
        <v>176</v>
      </c>
      <c r="R45" s="553"/>
      <c r="S45" s="554"/>
    </row>
    <row r="46" spans="1:20">
      <c r="A46" s="252" t="s">
        <v>52</v>
      </c>
      <c r="B46" s="237" t="s">
        <v>61</v>
      </c>
      <c r="C46" s="279" t="s">
        <v>171</v>
      </c>
      <c r="D46" s="279" t="s">
        <v>170</v>
      </c>
      <c r="E46" s="233" t="s">
        <v>169</v>
      </c>
      <c r="F46" s="231" t="s">
        <v>172</v>
      </c>
      <c r="G46" s="232" t="s">
        <v>173</v>
      </c>
      <c r="H46" s="491" t="s">
        <v>179</v>
      </c>
      <c r="I46" s="491"/>
      <c r="J46" s="492"/>
      <c r="K46" s="237" t="s">
        <v>61</v>
      </c>
      <c r="L46" s="279" t="s">
        <v>171</v>
      </c>
      <c r="M46" s="279" t="s">
        <v>170</v>
      </c>
      <c r="N46" s="237" t="s">
        <v>169</v>
      </c>
      <c r="O46" s="279" t="s">
        <v>172</v>
      </c>
      <c r="P46" s="236" t="s">
        <v>173</v>
      </c>
      <c r="Q46" s="485" t="s">
        <v>179</v>
      </c>
      <c r="R46" s="485"/>
      <c r="S46" s="486"/>
    </row>
    <row r="47" spans="1:20">
      <c r="A47" s="252">
        <v>2020</v>
      </c>
      <c r="B47" s="237">
        <v>0</v>
      </c>
      <c r="C47" s="279" t="s">
        <v>74</v>
      </c>
      <c r="D47" s="279" t="s">
        <v>74</v>
      </c>
      <c r="E47" s="237" t="s">
        <v>74</v>
      </c>
      <c r="F47" s="237"/>
      <c r="G47" s="319"/>
      <c r="H47" s="485"/>
      <c r="I47" s="487"/>
      <c r="J47" s="488"/>
      <c r="K47" s="237">
        <v>0</v>
      </c>
      <c r="L47" s="279" t="s">
        <v>74</v>
      </c>
      <c r="M47" s="279" t="s">
        <v>74</v>
      </c>
      <c r="N47" s="237" t="s">
        <v>74</v>
      </c>
      <c r="O47" s="237"/>
      <c r="P47" s="319"/>
      <c r="Q47" s="487"/>
      <c r="R47" s="487"/>
      <c r="S47" s="488"/>
    </row>
    <row r="48" spans="1:20">
      <c r="A48" s="252">
        <v>2021</v>
      </c>
      <c r="B48" s="237">
        <v>1</v>
      </c>
      <c r="C48" s="238">
        <f>D42+E48</f>
        <v>8.7367999999999988</v>
      </c>
      <c r="D48" s="477" t="str">
        <f>IF('Benzin - diesel - hybrid'!$E$56="nej",'Benzin - diesel - hybrid'!$E$59,"")</f>
        <v/>
      </c>
      <c r="E48" s="235">
        <f>SUM(F48:G48)</f>
        <v>4.6599999999999993</v>
      </c>
      <c r="F48" s="238">
        <v>0.39</v>
      </c>
      <c r="G48" s="473">
        <v>4.2699999999999996</v>
      </c>
      <c r="H48" s="485">
        <v>2.52</v>
      </c>
      <c r="I48" s="485"/>
      <c r="J48" s="486"/>
      <c r="K48" s="237">
        <v>1</v>
      </c>
      <c r="L48" s="238">
        <f>M42+N48</f>
        <v>8.7367999999999988</v>
      </c>
      <c r="M48" s="477" t="str">
        <f>IF('El og plugin hybrid'!E78="nej",'El og plugin hybrid'!E81,"")</f>
        <v/>
      </c>
      <c r="N48" s="235">
        <f>SUM(O48:P48)</f>
        <v>4.6599999999999993</v>
      </c>
      <c r="O48" s="238">
        <v>0.39</v>
      </c>
      <c r="P48" s="473">
        <v>4.2699999999999996</v>
      </c>
      <c r="Q48" s="485">
        <v>2.52</v>
      </c>
      <c r="R48" s="485"/>
      <c r="S48" s="486"/>
    </row>
    <row r="49" spans="1:19">
      <c r="A49" s="252">
        <v>2022</v>
      </c>
      <c r="B49" s="237">
        <v>2</v>
      </c>
      <c r="C49" s="238">
        <f>((C48-E48)*(1+'Benzin - diesel - hybrid'!$E$58)+E48)</f>
        <v>8.7934675200000001</v>
      </c>
      <c r="D49" s="484" t="e">
        <f>((D48-E49)*(1+'Benzin - diesel - hybrid'!$E$60))+E49</f>
        <v>#VALUE!</v>
      </c>
      <c r="E49" s="235">
        <f t="shared" ref="E49:E77" si="7">SUM(F49:G49)</f>
        <v>4.6599999999999993</v>
      </c>
      <c r="F49" s="238">
        <v>0.39</v>
      </c>
      <c r="G49" s="473">
        <v>4.2699999999999996</v>
      </c>
      <c r="H49" s="485">
        <v>2.52</v>
      </c>
      <c r="I49" s="485"/>
      <c r="J49" s="486"/>
      <c r="K49" s="237">
        <v>2</v>
      </c>
      <c r="L49" s="238">
        <f>((L48-N48)*(1+0.0139)+N48)</f>
        <v>8.7934675200000001</v>
      </c>
      <c r="M49" s="484" t="e">
        <f>((M48-N49)*(1+'El og plugin hybrid'!E$82))+N49</f>
        <v>#VALUE!</v>
      </c>
      <c r="N49" s="235">
        <f t="shared" ref="N49:N77" si="8">SUM(O49:P49)</f>
        <v>4.6599999999999993</v>
      </c>
      <c r="O49" s="238">
        <v>0.39</v>
      </c>
      <c r="P49" s="473">
        <v>4.2699999999999996</v>
      </c>
      <c r="Q49" s="485">
        <v>2.52</v>
      </c>
      <c r="R49" s="485"/>
      <c r="S49" s="486"/>
    </row>
    <row r="50" spans="1:19">
      <c r="A50" s="252">
        <v>2023</v>
      </c>
      <c r="B50" s="237">
        <v>3</v>
      </c>
      <c r="C50" s="238">
        <f>((C49-E49)*(1+'Benzin - diesel - hybrid'!$E$58)+E49)</f>
        <v>8.8509227185280004</v>
      </c>
      <c r="D50" s="484" t="e">
        <f>((D49-E50)*(1+'Benzin - diesel - hybrid'!$E$60))+E50</f>
        <v>#VALUE!</v>
      </c>
      <c r="E50" s="235">
        <f t="shared" si="7"/>
        <v>4.6599999999999993</v>
      </c>
      <c r="F50" s="238">
        <v>0.39</v>
      </c>
      <c r="G50" s="473">
        <v>4.2699999999999996</v>
      </c>
      <c r="H50" s="485">
        <v>2.52</v>
      </c>
      <c r="I50" s="485"/>
      <c r="J50" s="486"/>
      <c r="K50" s="237">
        <v>3</v>
      </c>
      <c r="L50" s="238">
        <f t="shared" ref="L50:L77" si="9">((L49-N49)*(1+0.0139)+N49)</f>
        <v>8.8509227185280004</v>
      </c>
      <c r="M50" s="484" t="e">
        <f>((M49-N50)*(1+'El og plugin hybrid'!E$82))+N50</f>
        <v>#VALUE!</v>
      </c>
      <c r="N50" s="235">
        <f t="shared" si="8"/>
        <v>4.6599999999999993</v>
      </c>
      <c r="O50" s="238">
        <v>0.39</v>
      </c>
      <c r="P50" s="473">
        <v>4.2699999999999996</v>
      </c>
      <c r="Q50" s="485">
        <v>2.52</v>
      </c>
      <c r="R50" s="485"/>
      <c r="S50" s="486"/>
    </row>
    <row r="51" spans="1:19">
      <c r="A51" s="252">
        <v>2024</v>
      </c>
      <c r="B51" s="237">
        <v>4</v>
      </c>
      <c r="C51" s="238">
        <f>((C50-E50)*(1+'Benzin - diesel - hybrid'!$E$58)+E50)</f>
        <v>8.9091765443155388</v>
      </c>
      <c r="D51" s="484" t="e">
        <f>((D50-E51)*(1+'Benzin - diesel - hybrid'!$E$60))+E51</f>
        <v>#VALUE!</v>
      </c>
      <c r="E51" s="235">
        <f t="shared" si="7"/>
        <v>4.6599999999999993</v>
      </c>
      <c r="F51" s="238">
        <v>0.39</v>
      </c>
      <c r="G51" s="473">
        <v>4.2699999999999996</v>
      </c>
      <c r="H51" s="485">
        <v>2.52</v>
      </c>
      <c r="I51" s="485"/>
      <c r="J51" s="486"/>
      <c r="K51" s="237">
        <v>4</v>
      </c>
      <c r="L51" s="238">
        <f t="shared" si="9"/>
        <v>8.9091765443155388</v>
      </c>
      <c r="M51" s="484" t="e">
        <f>((M50-N51)*(1+'El og plugin hybrid'!E$82))+N51</f>
        <v>#VALUE!</v>
      </c>
      <c r="N51" s="235">
        <f t="shared" si="8"/>
        <v>4.6599999999999993</v>
      </c>
      <c r="O51" s="238">
        <v>0.39</v>
      </c>
      <c r="P51" s="473">
        <v>4.2699999999999996</v>
      </c>
      <c r="Q51" s="485">
        <v>2.52</v>
      </c>
      <c r="R51" s="485"/>
      <c r="S51" s="486"/>
    </row>
    <row r="52" spans="1:19">
      <c r="A52" s="252">
        <v>2025</v>
      </c>
      <c r="B52" s="237">
        <v>5</v>
      </c>
      <c r="C52" s="238">
        <f>((C51-E51)*(1+'Benzin - diesel - hybrid'!$E$58)+E51)</f>
        <v>8.9682400982815249</v>
      </c>
      <c r="D52" s="484" t="e">
        <f>((D51-E52)*(1+'Benzin - diesel - hybrid'!$E$60))+E52</f>
        <v>#VALUE!</v>
      </c>
      <c r="E52" s="235">
        <f t="shared" si="7"/>
        <v>4.6599999999999993</v>
      </c>
      <c r="F52" s="238">
        <v>0.39</v>
      </c>
      <c r="G52" s="473">
        <v>4.2699999999999996</v>
      </c>
      <c r="H52" s="485">
        <v>2.52</v>
      </c>
      <c r="I52" s="485"/>
      <c r="J52" s="486"/>
      <c r="K52" s="237">
        <v>5</v>
      </c>
      <c r="L52" s="238">
        <f t="shared" si="9"/>
        <v>8.9682400982815249</v>
      </c>
      <c r="M52" s="484" t="e">
        <f>((M51-N52)*(1+'El og plugin hybrid'!E$82))+N52</f>
        <v>#VALUE!</v>
      </c>
      <c r="N52" s="235">
        <f t="shared" si="8"/>
        <v>4.6599999999999993</v>
      </c>
      <c r="O52" s="238">
        <v>0.39</v>
      </c>
      <c r="P52" s="473">
        <v>4.2699999999999996</v>
      </c>
      <c r="Q52" s="485">
        <v>2.52</v>
      </c>
      <c r="R52" s="485"/>
      <c r="S52" s="486"/>
    </row>
    <row r="53" spans="1:19">
      <c r="A53" s="252">
        <v>2026</v>
      </c>
      <c r="B53" s="237">
        <v>6</v>
      </c>
      <c r="C53" s="238">
        <f>((C52-E52)*(1+'Benzin - diesel - hybrid'!$E$58)+E52)</f>
        <v>9.0281246356476395</v>
      </c>
      <c r="D53" s="484" t="e">
        <f>((D52-E53)*(1+'Benzin - diesel - hybrid'!$E$60))+E53</f>
        <v>#VALUE!</v>
      </c>
      <c r="E53" s="235">
        <f t="shared" si="7"/>
        <v>4.6599999999999993</v>
      </c>
      <c r="F53" s="238">
        <v>0.39</v>
      </c>
      <c r="G53" s="473">
        <v>4.2699999999999996</v>
      </c>
      <c r="H53" s="485">
        <v>2.52</v>
      </c>
      <c r="I53" s="485"/>
      <c r="J53" s="486"/>
      <c r="K53" s="237">
        <v>6</v>
      </c>
      <c r="L53" s="238">
        <f t="shared" si="9"/>
        <v>9.0281246356476395</v>
      </c>
      <c r="M53" s="484" t="e">
        <f>((M52-N53)*(1+'El og plugin hybrid'!E$82))+N53</f>
        <v>#VALUE!</v>
      </c>
      <c r="N53" s="235">
        <f t="shared" si="8"/>
        <v>4.6599999999999993</v>
      </c>
      <c r="O53" s="238">
        <v>0.39</v>
      </c>
      <c r="P53" s="473">
        <v>4.2699999999999996</v>
      </c>
      <c r="Q53" s="485">
        <v>2.52</v>
      </c>
      <c r="R53" s="485"/>
      <c r="S53" s="486"/>
    </row>
    <row r="54" spans="1:19">
      <c r="A54" s="252">
        <v>2027</v>
      </c>
      <c r="B54" s="237">
        <v>7</v>
      </c>
      <c r="C54" s="238">
        <f>((C53-E53)*(1+'Benzin - diesel - hybrid'!$E$58)+E53)</f>
        <v>9.0888415680831418</v>
      </c>
      <c r="D54" s="484" t="e">
        <f>((D53-E54)*(1+'Benzin - diesel - hybrid'!$E$60))+E54</f>
        <v>#VALUE!</v>
      </c>
      <c r="E54" s="235">
        <f t="shared" si="7"/>
        <v>4.6599999999999993</v>
      </c>
      <c r="F54" s="238">
        <v>0.39</v>
      </c>
      <c r="G54" s="473">
        <v>4.2699999999999996</v>
      </c>
      <c r="H54" s="485">
        <v>2.52</v>
      </c>
      <c r="I54" s="485"/>
      <c r="J54" s="486"/>
      <c r="K54" s="237">
        <v>7</v>
      </c>
      <c r="L54" s="238">
        <f t="shared" si="9"/>
        <v>9.0888415680831418</v>
      </c>
      <c r="M54" s="484" t="e">
        <f>((M53-N54)*(1+'El og plugin hybrid'!E$82))+N54</f>
        <v>#VALUE!</v>
      </c>
      <c r="N54" s="235">
        <f t="shared" si="8"/>
        <v>4.6599999999999993</v>
      </c>
      <c r="O54" s="238">
        <v>0.39</v>
      </c>
      <c r="P54" s="473">
        <v>4.2699999999999996</v>
      </c>
      <c r="Q54" s="485">
        <v>2.52</v>
      </c>
      <c r="R54" s="485"/>
      <c r="S54" s="486"/>
    </row>
    <row r="55" spans="1:19">
      <c r="A55" s="252">
        <v>2028</v>
      </c>
      <c r="B55" s="237">
        <v>8</v>
      </c>
      <c r="C55" s="238">
        <f>((C54-E54)*(1+'Benzin - diesel - hybrid'!$E$58)+E54)</f>
        <v>9.1504024658794982</v>
      </c>
      <c r="D55" s="484" t="e">
        <f>((D54-E55)*(1+'Benzin - diesel - hybrid'!$E$60))+E55</f>
        <v>#VALUE!</v>
      </c>
      <c r="E55" s="235">
        <f t="shared" si="7"/>
        <v>4.6599999999999993</v>
      </c>
      <c r="F55" s="238">
        <v>0.39</v>
      </c>
      <c r="G55" s="473">
        <v>4.2699999999999996</v>
      </c>
      <c r="H55" s="485">
        <v>2.52</v>
      </c>
      <c r="I55" s="485"/>
      <c r="J55" s="486"/>
      <c r="K55" s="237">
        <v>8</v>
      </c>
      <c r="L55" s="238">
        <f t="shared" si="9"/>
        <v>9.1504024658794982</v>
      </c>
      <c r="M55" s="484" t="e">
        <f>((M54-N55)*(1+'El og plugin hybrid'!E$82))+N55</f>
        <v>#VALUE!</v>
      </c>
      <c r="N55" s="235">
        <f t="shared" si="8"/>
        <v>4.6599999999999993</v>
      </c>
      <c r="O55" s="238">
        <v>0.39</v>
      </c>
      <c r="P55" s="473">
        <v>4.2699999999999996</v>
      </c>
      <c r="Q55" s="485">
        <v>2.52</v>
      </c>
      <c r="R55" s="485"/>
      <c r="S55" s="486"/>
    </row>
    <row r="56" spans="1:19">
      <c r="A56" s="252">
        <v>2029</v>
      </c>
      <c r="B56" s="237">
        <v>9</v>
      </c>
      <c r="C56" s="238">
        <f>((C55-E55)*(1+'Benzin - diesel - hybrid'!$E$58)+E55)</f>
        <v>9.2128190601552227</v>
      </c>
      <c r="D56" s="484" t="e">
        <f>((D55-E56)*(1+'Benzin - diesel - hybrid'!$E$60))+E56</f>
        <v>#VALUE!</v>
      </c>
      <c r="E56" s="235">
        <f t="shared" si="7"/>
        <v>4.6599999999999993</v>
      </c>
      <c r="F56" s="238">
        <v>0.39</v>
      </c>
      <c r="G56" s="473">
        <v>4.2699999999999996</v>
      </c>
      <c r="H56" s="485">
        <v>2.52</v>
      </c>
      <c r="I56" s="485"/>
      <c r="J56" s="486"/>
      <c r="K56" s="237">
        <v>9</v>
      </c>
      <c r="L56" s="238">
        <f t="shared" si="9"/>
        <v>9.2128190601552227</v>
      </c>
      <c r="M56" s="484" t="e">
        <f>((M55-N56)*(1+'El og plugin hybrid'!E$82))+N56</f>
        <v>#VALUE!</v>
      </c>
      <c r="N56" s="235">
        <f t="shared" si="8"/>
        <v>4.6599999999999993</v>
      </c>
      <c r="O56" s="238">
        <v>0.39</v>
      </c>
      <c r="P56" s="473">
        <v>4.2699999999999996</v>
      </c>
      <c r="Q56" s="485">
        <v>2.52</v>
      </c>
      <c r="R56" s="485"/>
      <c r="S56" s="486"/>
    </row>
    <row r="57" spans="1:19">
      <c r="A57" s="252">
        <v>2030</v>
      </c>
      <c r="B57" s="237">
        <v>10</v>
      </c>
      <c r="C57" s="238">
        <f>((C56-E56)*(1+'Benzin - diesel - hybrid'!$E$58)+E56)</f>
        <v>9.276103245091381</v>
      </c>
      <c r="D57" s="484" t="e">
        <f>((D56-E57)*(1+'Benzin - diesel - hybrid'!$E$60))+E57</f>
        <v>#VALUE!</v>
      </c>
      <c r="E57" s="235">
        <f t="shared" si="7"/>
        <v>4.6599999999999993</v>
      </c>
      <c r="F57" s="238">
        <v>0.39</v>
      </c>
      <c r="G57" s="473">
        <v>4.2699999999999996</v>
      </c>
      <c r="H57" s="485">
        <v>2.52</v>
      </c>
      <c r="I57" s="485"/>
      <c r="J57" s="486"/>
      <c r="K57" s="237">
        <v>10</v>
      </c>
      <c r="L57" s="238">
        <f t="shared" si="9"/>
        <v>9.276103245091381</v>
      </c>
      <c r="M57" s="484" t="e">
        <f>((M56-N57)*(1+'El og plugin hybrid'!E$82))+N57</f>
        <v>#VALUE!</v>
      </c>
      <c r="N57" s="235">
        <f t="shared" si="8"/>
        <v>4.6599999999999993</v>
      </c>
      <c r="O57" s="238">
        <v>0.39</v>
      </c>
      <c r="P57" s="473">
        <v>4.2699999999999996</v>
      </c>
      <c r="Q57" s="485">
        <v>2.52</v>
      </c>
      <c r="R57" s="485"/>
      <c r="S57" s="486"/>
    </row>
    <row r="58" spans="1:19">
      <c r="A58" s="252">
        <v>2031</v>
      </c>
      <c r="B58" s="237">
        <v>11</v>
      </c>
      <c r="C58" s="238">
        <f>((C57-E57)*(1+'Benzin - diesel - hybrid'!$E$58)+E57)</f>
        <v>9.3402670801981511</v>
      </c>
      <c r="D58" s="484" t="e">
        <f>((D57-E58)*(1+'Benzin - diesel - hybrid'!$E$60))+E58</f>
        <v>#VALUE!</v>
      </c>
      <c r="E58" s="235">
        <f t="shared" si="7"/>
        <v>4.6599999999999993</v>
      </c>
      <c r="F58" s="238">
        <v>0.39</v>
      </c>
      <c r="G58" s="473">
        <v>4.2699999999999996</v>
      </c>
      <c r="H58" s="485">
        <v>2.52</v>
      </c>
      <c r="I58" s="485"/>
      <c r="J58" s="486"/>
      <c r="K58" s="237">
        <v>11</v>
      </c>
      <c r="L58" s="238">
        <f t="shared" si="9"/>
        <v>9.3402670801981511</v>
      </c>
      <c r="M58" s="484" t="e">
        <f>((M57-N58)*(1+'El og plugin hybrid'!E$82))+N58</f>
        <v>#VALUE!</v>
      </c>
      <c r="N58" s="235">
        <f t="shared" si="8"/>
        <v>4.6599999999999993</v>
      </c>
      <c r="O58" s="238">
        <v>0.39</v>
      </c>
      <c r="P58" s="473">
        <v>4.2699999999999996</v>
      </c>
      <c r="Q58" s="485">
        <v>2.52</v>
      </c>
      <c r="R58" s="485"/>
      <c r="S58" s="486"/>
    </row>
    <row r="59" spans="1:19">
      <c r="A59" s="252">
        <v>2032</v>
      </c>
      <c r="B59" s="237">
        <v>12</v>
      </c>
      <c r="C59" s="238">
        <f>((C58-E58)*(1+'Benzin - diesel - hybrid'!$E$58)+E58)</f>
        <v>9.4053227926129068</v>
      </c>
      <c r="D59" s="484" t="e">
        <f>((D58-E59)*(1+'Benzin - diesel - hybrid'!$E$60))+E59</f>
        <v>#VALUE!</v>
      </c>
      <c r="E59" s="235">
        <f t="shared" si="7"/>
        <v>4.6599999999999993</v>
      </c>
      <c r="F59" s="238">
        <v>0.39</v>
      </c>
      <c r="G59" s="473">
        <v>4.2699999999999996</v>
      </c>
      <c r="H59" s="485">
        <v>2.52</v>
      </c>
      <c r="I59" s="485"/>
      <c r="J59" s="486"/>
      <c r="K59" s="237">
        <v>12</v>
      </c>
      <c r="L59" s="238">
        <f t="shared" si="9"/>
        <v>9.4053227926129068</v>
      </c>
      <c r="M59" s="484" t="e">
        <f>((M58-N59)*(1+'El og plugin hybrid'!E$82))+N59</f>
        <v>#VALUE!</v>
      </c>
      <c r="N59" s="235">
        <f t="shared" si="8"/>
        <v>4.6599999999999993</v>
      </c>
      <c r="O59" s="238">
        <v>0.39</v>
      </c>
      <c r="P59" s="473">
        <v>4.2699999999999996</v>
      </c>
      <c r="Q59" s="485">
        <v>2.52</v>
      </c>
      <c r="R59" s="485"/>
      <c r="S59" s="486"/>
    </row>
    <row r="60" spans="1:19">
      <c r="A60" s="252">
        <v>2033</v>
      </c>
      <c r="B60" s="237">
        <v>13</v>
      </c>
      <c r="C60" s="238">
        <f>((C59-E59)*(1+'Benzin - diesel - hybrid'!$E$58)+E59)</f>
        <v>9.4712827794302257</v>
      </c>
      <c r="D60" s="484" t="e">
        <f>((D59-E60)*(1+'Benzin - diesel - hybrid'!$E$60))+E60</f>
        <v>#VALUE!</v>
      </c>
      <c r="E60" s="235">
        <f t="shared" si="7"/>
        <v>4.6599999999999993</v>
      </c>
      <c r="F60" s="238">
        <v>0.39</v>
      </c>
      <c r="G60" s="473">
        <v>4.2699999999999996</v>
      </c>
      <c r="H60" s="485">
        <v>2.52</v>
      </c>
      <c r="I60" s="485"/>
      <c r="J60" s="486"/>
      <c r="K60" s="237">
        <v>13</v>
      </c>
      <c r="L60" s="238">
        <f t="shared" si="9"/>
        <v>9.4712827794302257</v>
      </c>
      <c r="M60" s="484" t="e">
        <f>((M59-N60)*(1+'El og plugin hybrid'!E$82))+N60</f>
        <v>#VALUE!</v>
      </c>
      <c r="N60" s="235">
        <f t="shared" si="8"/>
        <v>4.6599999999999993</v>
      </c>
      <c r="O60" s="238">
        <v>0.39</v>
      </c>
      <c r="P60" s="473">
        <v>4.2699999999999996</v>
      </c>
      <c r="Q60" s="485">
        <v>2.52</v>
      </c>
      <c r="R60" s="485"/>
      <c r="S60" s="486"/>
    </row>
    <row r="61" spans="1:19">
      <c r="A61" s="252">
        <v>2034</v>
      </c>
      <c r="B61" s="237">
        <v>14</v>
      </c>
      <c r="C61" s="238">
        <f>((C60-E60)*(1+'Benzin - diesel - hybrid'!$E$58)+E60)</f>
        <v>9.5381596100643051</v>
      </c>
      <c r="D61" s="484" t="e">
        <f>((D60-E61)*(1+'Benzin - diesel - hybrid'!$E$60))+E61</f>
        <v>#VALUE!</v>
      </c>
      <c r="E61" s="235">
        <f t="shared" si="7"/>
        <v>4.6599999999999993</v>
      </c>
      <c r="F61" s="238">
        <v>0.39</v>
      </c>
      <c r="G61" s="473">
        <v>4.2699999999999996</v>
      </c>
      <c r="H61" s="485">
        <v>2.52</v>
      </c>
      <c r="I61" s="485"/>
      <c r="J61" s="486"/>
      <c r="K61" s="237">
        <v>14</v>
      </c>
      <c r="L61" s="238">
        <f t="shared" si="9"/>
        <v>9.5381596100643051</v>
      </c>
      <c r="M61" s="484" t="e">
        <f>((M60-N61)*(1+'El og plugin hybrid'!E$82))+N61</f>
        <v>#VALUE!</v>
      </c>
      <c r="N61" s="235">
        <f t="shared" si="8"/>
        <v>4.6599999999999993</v>
      </c>
      <c r="O61" s="238">
        <v>0.39</v>
      </c>
      <c r="P61" s="473">
        <v>4.2699999999999996</v>
      </c>
      <c r="Q61" s="485">
        <v>2.52</v>
      </c>
      <c r="R61" s="485"/>
      <c r="S61" s="486"/>
    </row>
    <row r="62" spans="1:19">
      <c r="A62" s="252">
        <v>2035</v>
      </c>
      <c r="B62" s="237">
        <v>15</v>
      </c>
      <c r="C62" s="238">
        <f>((C61-E61)*(1+'Benzin - diesel - hybrid'!$E$58)+E61)</f>
        <v>9.6059660286442003</v>
      </c>
      <c r="D62" s="484" t="e">
        <f>((D61-E62)*(1+'Benzin - diesel - hybrid'!$E$60))+E62</f>
        <v>#VALUE!</v>
      </c>
      <c r="E62" s="235">
        <f t="shared" si="7"/>
        <v>4.6599999999999993</v>
      </c>
      <c r="F62" s="238">
        <v>0.39</v>
      </c>
      <c r="G62" s="473">
        <v>4.2699999999999996</v>
      </c>
      <c r="H62" s="485">
        <v>2.52</v>
      </c>
      <c r="I62" s="485"/>
      <c r="J62" s="486"/>
      <c r="K62" s="237">
        <v>15</v>
      </c>
      <c r="L62" s="238">
        <f t="shared" si="9"/>
        <v>9.6059660286442003</v>
      </c>
      <c r="M62" s="484" t="e">
        <f>((M61-N62)*(1+'El og plugin hybrid'!E$82))+N62</f>
        <v>#VALUE!</v>
      </c>
      <c r="N62" s="235">
        <f t="shared" si="8"/>
        <v>4.6599999999999993</v>
      </c>
      <c r="O62" s="238">
        <v>0.39</v>
      </c>
      <c r="P62" s="473">
        <v>4.2699999999999996</v>
      </c>
      <c r="Q62" s="485">
        <v>2.52</v>
      </c>
      <c r="R62" s="485"/>
      <c r="S62" s="486"/>
    </row>
    <row r="63" spans="1:19">
      <c r="A63" s="252">
        <v>2036</v>
      </c>
      <c r="B63" s="237">
        <v>16</v>
      </c>
      <c r="C63" s="238">
        <f>((C62-E62)*(1+'Benzin - diesel - hybrid'!$E$58)+E62)</f>
        <v>9.6747149564423545</v>
      </c>
      <c r="D63" s="484" t="e">
        <f>((D62-E63)*(1+'Benzin - diesel - hybrid'!$E$60))+E63</f>
        <v>#VALUE!</v>
      </c>
      <c r="E63" s="235">
        <f t="shared" si="7"/>
        <v>4.6599999999999993</v>
      </c>
      <c r="F63" s="238">
        <v>0.39</v>
      </c>
      <c r="G63" s="473">
        <v>4.2699999999999996</v>
      </c>
      <c r="H63" s="485">
        <v>2.52</v>
      </c>
      <c r="I63" s="485"/>
      <c r="J63" s="486"/>
      <c r="K63" s="237">
        <v>16</v>
      </c>
      <c r="L63" s="238">
        <f t="shared" si="9"/>
        <v>9.6747149564423545</v>
      </c>
      <c r="M63" s="484" t="e">
        <f>((M62-N63)*(1+'El og plugin hybrid'!E$82))+N63</f>
        <v>#VALUE!</v>
      </c>
      <c r="N63" s="235">
        <f t="shared" si="8"/>
        <v>4.6599999999999993</v>
      </c>
      <c r="O63" s="238">
        <v>0.39</v>
      </c>
      <c r="P63" s="473">
        <v>4.2699999999999996</v>
      </c>
      <c r="Q63" s="485">
        <v>2.52</v>
      </c>
      <c r="R63" s="485"/>
      <c r="S63" s="486"/>
    </row>
    <row r="64" spans="1:19">
      <c r="A64" s="252">
        <v>2037</v>
      </c>
      <c r="B64" s="237">
        <v>17</v>
      </c>
      <c r="C64" s="238">
        <f>((C63-E63)*(1+'Benzin - diesel - hybrid'!$E$58)+E63)</f>
        <v>9.7444194943369027</v>
      </c>
      <c r="D64" s="484" t="e">
        <f>((D63-E64)*(1+'Benzin - diesel - hybrid'!$E$60))+E64</f>
        <v>#VALUE!</v>
      </c>
      <c r="E64" s="235">
        <f t="shared" si="7"/>
        <v>4.6599999999999993</v>
      </c>
      <c r="F64" s="238">
        <v>0.39</v>
      </c>
      <c r="G64" s="473">
        <v>4.2699999999999996</v>
      </c>
      <c r="H64" s="485">
        <v>2.52</v>
      </c>
      <c r="I64" s="485"/>
      <c r="J64" s="486"/>
      <c r="K64" s="237">
        <v>17</v>
      </c>
      <c r="L64" s="238">
        <f t="shared" si="9"/>
        <v>9.7444194943369027</v>
      </c>
      <c r="M64" s="484" t="e">
        <f>((M63-N64)*(1+'El og plugin hybrid'!E$82))+N64</f>
        <v>#VALUE!</v>
      </c>
      <c r="N64" s="235">
        <f t="shared" si="8"/>
        <v>4.6599999999999993</v>
      </c>
      <c r="O64" s="238">
        <v>0.39</v>
      </c>
      <c r="P64" s="473">
        <v>4.2699999999999996</v>
      </c>
      <c r="Q64" s="485">
        <v>2.52</v>
      </c>
      <c r="R64" s="485"/>
      <c r="S64" s="486"/>
    </row>
    <row r="65" spans="1:19">
      <c r="A65" s="252">
        <v>2038</v>
      </c>
      <c r="B65" s="237">
        <v>18</v>
      </c>
      <c r="C65" s="238">
        <f>((C64-E64)*(1+'Benzin - diesel - hybrid'!$E$58)+E64)</f>
        <v>9.8150929253081856</v>
      </c>
      <c r="D65" s="484" t="e">
        <f>((D64-E65)*(1+'Benzin - diesel - hybrid'!$E$60))+E65</f>
        <v>#VALUE!</v>
      </c>
      <c r="E65" s="235">
        <f t="shared" si="7"/>
        <v>4.6599999999999993</v>
      </c>
      <c r="F65" s="238">
        <v>0.39</v>
      </c>
      <c r="G65" s="473">
        <v>4.2699999999999996</v>
      </c>
      <c r="H65" s="485">
        <v>2.52</v>
      </c>
      <c r="I65" s="485"/>
      <c r="J65" s="486"/>
      <c r="K65" s="237">
        <v>18</v>
      </c>
      <c r="L65" s="238">
        <f t="shared" si="9"/>
        <v>9.8150929253081856</v>
      </c>
      <c r="M65" s="484" t="e">
        <f>((M64-N65)*(1+'El og plugin hybrid'!E$82))+N65</f>
        <v>#VALUE!</v>
      </c>
      <c r="N65" s="235">
        <f t="shared" si="8"/>
        <v>4.6599999999999993</v>
      </c>
      <c r="O65" s="238">
        <v>0.39</v>
      </c>
      <c r="P65" s="473">
        <v>4.2699999999999996</v>
      </c>
      <c r="Q65" s="485">
        <v>2.52</v>
      </c>
      <c r="R65" s="485"/>
      <c r="S65" s="486"/>
    </row>
    <row r="66" spans="1:19">
      <c r="A66" s="252">
        <v>2039</v>
      </c>
      <c r="B66" s="237">
        <v>19</v>
      </c>
      <c r="C66" s="238">
        <f>((C65-E65)*(1+'Benzin - diesel - hybrid'!$E$58)+E65)</f>
        <v>9.8867487169699686</v>
      </c>
      <c r="D66" s="484" t="e">
        <f>((D65-E66)*(1+'Benzin - diesel - hybrid'!$E$60))+E66</f>
        <v>#VALUE!</v>
      </c>
      <c r="E66" s="235">
        <f t="shared" si="7"/>
        <v>4.6599999999999993</v>
      </c>
      <c r="F66" s="238">
        <v>0.39</v>
      </c>
      <c r="G66" s="473">
        <v>4.2699999999999996</v>
      </c>
      <c r="H66" s="485">
        <v>2.52</v>
      </c>
      <c r="I66" s="485"/>
      <c r="J66" s="486"/>
      <c r="K66" s="237">
        <v>19</v>
      </c>
      <c r="L66" s="238">
        <f t="shared" si="9"/>
        <v>9.8867487169699686</v>
      </c>
      <c r="M66" s="484" t="e">
        <f>((M65-N66)*(1+'El og plugin hybrid'!E$82))+N66</f>
        <v>#VALUE!</v>
      </c>
      <c r="N66" s="235">
        <f t="shared" si="8"/>
        <v>4.6599999999999993</v>
      </c>
      <c r="O66" s="238">
        <v>0.39</v>
      </c>
      <c r="P66" s="473">
        <v>4.2699999999999996</v>
      </c>
      <c r="Q66" s="485">
        <v>2.52</v>
      </c>
      <c r="R66" s="485"/>
      <c r="S66" s="486"/>
    </row>
    <row r="67" spans="1:19">
      <c r="A67" s="252">
        <v>2040</v>
      </c>
      <c r="B67" s="237">
        <v>20</v>
      </c>
      <c r="C67" s="238">
        <f>((C66-E66)*(1+'Benzin - diesel - hybrid'!$E$58)+E66)</f>
        <v>9.9594005241358516</v>
      </c>
      <c r="D67" s="484" t="e">
        <f>((D66-E67)*(1+'Benzin - diesel - hybrid'!$E$60))+E67</f>
        <v>#VALUE!</v>
      </c>
      <c r="E67" s="235">
        <f t="shared" si="7"/>
        <v>4.6599999999999993</v>
      </c>
      <c r="F67" s="238">
        <v>0.39</v>
      </c>
      <c r="G67" s="473">
        <v>4.2699999999999996</v>
      </c>
      <c r="H67" s="485">
        <v>2.52</v>
      </c>
      <c r="I67" s="485"/>
      <c r="J67" s="486"/>
      <c r="K67" s="237">
        <v>20</v>
      </c>
      <c r="L67" s="238">
        <f t="shared" si="9"/>
        <v>9.9594005241358516</v>
      </c>
      <c r="M67" s="484" t="e">
        <f>((M66-N67)*(1+'El og plugin hybrid'!E$82))+N67</f>
        <v>#VALUE!</v>
      </c>
      <c r="N67" s="235">
        <f t="shared" si="8"/>
        <v>4.6599999999999993</v>
      </c>
      <c r="O67" s="238">
        <v>0.39</v>
      </c>
      <c r="P67" s="473">
        <v>4.2699999999999996</v>
      </c>
      <c r="Q67" s="485">
        <v>2.52</v>
      </c>
      <c r="R67" s="485"/>
      <c r="S67" s="486"/>
    </row>
    <row r="68" spans="1:19">
      <c r="A68" s="252">
        <v>2041</v>
      </c>
      <c r="B68" s="237">
        <v>21</v>
      </c>
      <c r="C68" s="238">
        <f>((C67-E67)*(1+'Benzin - diesel - hybrid'!$E$58)+E67)</f>
        <v>10.03306219142134</v>
      </c>
      <c r="D68" s="484" t="e">
        <f>((D67-E68)*(1+'Benzin - diesel - hybrid'!$E$60))+E68</f>
        <v>#VALUE!</v>
      </c>
      <c r="E68" s="235">
        <f t="shared" si="7"/>
        <v>4.6599999999999993</v>
      </c>
      <c r="F68" s="238">
        <v>0.39</v>
      </c>
      <c r="G68" s="473">
        <v>4.2699999999999996</v>
      </c>
      <c r="H68" s="485">
        <v>2.52</v>
      </c>
      <c r="I68" s="485"/>
      <c r="J68" s="486"/>
      <c r="K68" s="237">
        <v>21</v>
      </c>
      <c r="L68" s="238">
        <f t="shared" si="9"/>
        <v>10.03306219142134</v>
      </c>
      <c r="M68" s="484" t="e">
        <f>((M67-N68)*(1+'El og plugin hybrid'!E$82))+N68</f>
        <v>#VALUE!</v>
      </c>
      <c r="N68" s="235">
        <f t="shared" si="8"/>
        <v>4.6599999999999993</v>
      </c>
      <c r="O68" s="238">
        <v>0.39</v>
      </c>
      <c r="P68" s="473">
        <v>4.2699999999999996</v>
      </c>
      <c r="Q68" s="485">
        <v>2.52</v>
      </c>
      <c r="R68" s="485"/>
      <c r="S68" s="486"/>
    </row>
    <row r="69" spans="1:19">
      <c r="A69" s="252">
        <v>2042</v>
      </c>
      <c r="B69" s="237">
        <v>22</v>
      </c>
      <c r="C69" s="238">
        <f>((C68-E68)*(1+'Benzin - diesel - hybrid'!$E$58)+E68)</f>
        <v>10.107747755882098</v>
      </c>
      <c r="D69" s="484" t="e">
        <f>((D68-E69)*(1+'Benzin - diesel - hybrid'!$E$60))+E69</f>
        <v>#VALUE!</v>
      </c>
      <c r="E69" s="235">
        <f t="shared" si="7"/>
        <v>4.6599999999999993</v>
      </c>
      <c r="F69" s="238">
        <v>0.39</v>
      </c>
      <c r="G69" s="473">
        <v>4.2699999999999996</v>
      </c>
      <c r="H69" s="485">
        <v>2.52</v>
      </c>
      <c r="I69" s="485"/>
      <c r="J69" s="486"/>
      <c r="K69" s="237">
        <v>22</v>
      </c>
      <c r="L69" s="238">
        <f t="shared" si="9"/>
        <v>10.107747755882098</v>
      </c>
      <c r="M69" s="484" t="e">
        <f>((M68-N69)*(1+'El og plugin hybrid'!E$82))+N69</f>
        <v>#VALUE!</v>
      </c>
      <c r="N69" s="235">
        <f t="shared" si="8"/>
        <v>4.6599999999999993</v>
      </c>
      <c r="O69" s="238">
        <v>0.39</v>
      </c>
      <c r="P69" s="473">
        <v>4.2699999999999996</v>
      </c>
      <c r="Q69" s="485">
        <v>2.52</v>
      </c>
      <c r="R69" s="485"/>
      <c r="S69" s="486"/>
    </row>
    <row r="70" spans="1:19">
      <c r="A70" s="252">
        <v>2043</v>
      </c>
      <c r="B70" s="237">
        <v>23</v>
      </c>
      <c r="C70" s="238">
        <f>((C69-E69)*(1+'Benzin - diesel - hybrid'!$E$58)+E69)</f>
        <v>10.183471449688859</v>
      </c>
      <c r="D70" s="484" t="e">
        <f>((D69-E70)*(1+'Benzin - diesel - hybrid'!$E$60))+E70</f>
        <v>#VALUE!</v>
      </c>
      <c r="E70" s="235">
        <f t="shared" si="7"/>
        <v>4.6599999999999993</v>
      </c>
      <c r="F70" s="238">
        <v>0.39</v>
      </c>
      <c r="G70" s="473">
        <v>4.2699999999999996</v>
      </c>
      <c r="H70" s="485">
        <v>2.52</v>
      </c>
      <c r="I70" s="485"/>
      <c r="J70" s="486"/>
      <c r="K70" s="237">
        <v>23</v>
      </c>
      <c r="L70" s="238">
        <f t="shared" si="9"/>
        <v>10.183471449688859</v>
      </c>
      <c r="M70" s="484" t="e">
        <f>((M69-N70)*(1+'El og plugin hybrid'!E$82))+N70</f>
        <v>#VALUE!</v>
      </c>
      <c r="N70" s="235">
        <f t="shared" si="8"/>
        <v>4.6599999999999993</v>
      </c>
      <c r="O70" s="238">
        <v>0.39</v>
      </c>
      <c r="P70" s="473">
        <v>4.2699999999999996</v>
      </c>
      <c r="Q70" s="485">
        <v>2.52</v>
      </c>
      <c r="R70" s="485"/>
      <c r="S70" s="486"/>
    </row>
    <row r="71" spans="1:19">
      <c r="A71" s="252">
        <v>2044</v>
      </c>
      <c r="B71" s="237">
        <v>24</v>
      </c>
      <c r="C71" s="238">
        <f>((C70-E70)*(1+'Benzin - diesel - hybrid'!$E$58)+E70)</f>
        <v>10.260247702839536</v>
      </c>
      <c r="D71" s="484" t="e">
        <f>((D70-E71)*(1+'Benzin - diesel - hybrid'!$E$60))+E71</f>
        <v>#VALUE!</v>
      </c>
      <c r="E71" s="235">
        <f t="shared" si="7"/>
        <v>4.6599999999999993</v>
      </c>
      <c r="F71" s="238">
        <v>0.39</v>
      </c>
      <c r="G71" s="473">
        <v>4.2699999999999996</v>
      </c>
      <c r="H71" s="485">
        <v>2.52</v>
      </c>
      <c r="I71" s="485"/>
      <c r="J71" s="486"/>
      <c r="K71" s="237">
        <v>24</v>
      </c>
      <c r="L71" s="238">
        <f t="shared" si="9"/>
        <v>10.260247702839536</v>
      </c>
      <c r="M71" s="484" t="e">
        <f>((M70-N71)*(1+'El og plugin hybrid'!E$82))+N71</f>
        <v>#VALUE!</v>
      </c>
      <c r="N71" s="235">
        <f t="shared" si="8"/>
        <v>4.6599999999999993</v>
      </c>
      <c r="O71" s="238">
        <v>0.39</v>
      </c>
      <c r="P71" s="473">
        <v>4.2699999999999996</v>
      </c>
      <c r="Q71" s="485">
        <v>2.52</v>
      </c>
      <c r="R71" s="485"/>
      <c r="S71" s="486"/>
    </row>
    <row r="72" spans="1:19">
      <c r="A72" s="252">
        <v>2045</v>
      </c>
      <c r="B72" s="237">
        <v>25</v>
      </c>
      <c r="C72" s="238">
        <f>((C71-E71)*(1+'Benzin - diesel - hybrid'!$E$58)+E71)</f>
        <v>10.338091145909004</v>
      </c>
      <c r="D72" s="484" t="e">
        <f>((D71-E72)*(1+'Benzin - diesel - hybrid'!$E$60))+E72</f>
        <v>#VALUE!</v>
      </c>
      <c r="E72" s="235">
        <f t="shared" si="7"/>
        <v>4.6599999999999993</v>
      </c>
      <c r="F72" s="238">
        <v>0.39</v>
      </c>
      <c r="G72" s="473">
        <v>4.2699999999999996</v>
      </c>
      <c r="H72" s="485">
        <v>2.52</v>
      </c>
      <c r="I72" s="485"/>
      <c r="J72" s="486"/>
      <c r="K72" s="237">
        <v>25</v>
      </c>
      <c r="L72" s="238">
        <f t="shared" si="9"/>
        <v>10.338091145909004</v>
      </c>
      <c r="M72" s="484" t="e">
        <f>((M71-N72)*(1+'El og plugin hybrid'!E$82))+N72</f>
        <v>#VALUE!</v>
      </c>
      <c r="N72" s="235">
        <f t="shared" si="8"/>
        <v>4.6599999999999993</v>
      </c>
      <c r="O72" s="238">
        <v>0.39</v>
      </c>
      <c r="P72" s="473">
        <v>4.2699999999999996</v>
      </c>
      <c r="Q72" s="485">
        <v>2.52</v>
      </c>
      <c r="R72" s="485"/>
      <c r="S72" s="486"/>
    </row>
    <row r="73" spans="1:19">
      <c r="A73" s="252">
        <v>2046</v>
      </c>
      <c r="B73" s="237">
        <v>26</v>
      </c>
      <c r="C73" s="238">
        <f>((C72-E72)*(1+'Benzin - diesel - hybrid'!$E$58)+E72)</f>
        <v>10.41701661283714</v>
      </c>
      <c r="D73" s="484" t="e">
        <f>((D72-E73)*(1+'Benzin - diesel - hybrid'!$E$60))+E73</f>
        <v>#VALUE!</v>
      </c>
      <c r="E73" s="235">
        <f t="shared" si="7"/>
        <v>4.6599999999999993</v>
      </c>
      <c r="F73" s="238">
        <v>0.39</v>
      </c>
      <c r="G73" s="473">
        <v>4.2699999999999996</v>
      </c>
      <c r="H73" s="485">
        <v>2.52</v>
      </c>
      <c r="I73" s="485"/>
      <c r="J73" s="486"/>
      <c r="K73" s="237">
        <v>26</v>
      </c>
      <c r="L73" s="238">
        <f t="shared" si="9"/>
        <v>10.41701661283714</v>
      </c>
      <c r="M73" s="484" t="e">
        <f>((M72-N73)*(1+'El og plugin hybrid'!E$82))+N73</f>
        <v>#VALUE!</v>
      </c>
      <c r="N73" s="235">
        <f t="shared" si="8"/>
        <v>4.6599999999999993</v>
      </c>
      <c r="O73" s="238">
        <v>0.39</v>
      </c>
      <c r="P73" s="473">
        <v>4.2699999999999996</v>
      </c>
      <c r="Q73" s="485">
        <v>2.52</v>
      </c>
      <c r="R73" s="485"/>
      <c r="S73" s="486"/>
    </row>
    <row r="74" spans="1:19">
      <c r="A74" s="252">
        <v>2047</v>
      </c>
      <c r="B74" s="237">
        <v>27</v>
      </c>
      <c r="C74" s="238">
        <f>((C73-E73)*(1+'Benzin - diesel - hybrid'!$E$58)+E73)</f>
        <v>10.497039143755575</v>
      </c>
      <c r="D74" s="484" t="e">
        <f>((D73-E74)*(1+'Benzin - diesel - hybrid'!$E$60))+E74</f>
        <v>#VALUE!</v>
      </c>
      <c r="E74" s="235">
        <f t="shared" si="7"/>
        <v>4.6599999999999993</v>
      </c>
      <c r="F74" s="238">
        <v>0.39</v>
      </c>
      <c r="G74" s="473">
        <v>4.2699999999999996</v>
      </c>
      <c r="H74" s="485">
        <v>2.52</v>
      </c>
      <c r="I74" s="485"/>
      <c r="J74" s="486"/>
      <c r="K74" s="237">
        <v>27</v>
      </c>
      <c r="L74" s="238">
        <f t="shared" si="9"/>
        <v>10.497039143755575</v>
      </c>
      <c r="M74" s="484" t="e">
        <f>((M73-N74)*(1+'El og plugin hybrid'!E$82))+N74</f>
        <v>#VALUE!</v>
      </c>
      <c r="N74" s="235">
        <f t="shared" si="8"/>
        <v>4.6599999999999993</v>
      </c>
      <c r="O74" s="238">
        <v>0.39</v>
      </c>
      <c r="P74" s="473">
        <v>4.2699999999999996</v>
      </c>
      <c r="Q74" s="485">
        <v>2.52</v>
      </c>
      <c r="R74" s="485"/>
      <c r="S74" s="486"/>
    </row>
    <row r="75" spans="1:19">
      <c r="A75" s="252">
        <v>2048</v>
      </c>
      <c r="B75" s="237">
        <v>28</v>
      </c>
      <c r="C75" s="238">
        <f>((C74-E74)*(1+'Benzin - diesel - hybrid'!$E$58)+E74)</f>
        <v>10.578173987853777</v>
      </c>
      <c r="D75" s="484" t="e">
        <f>((D74-E75)*(1+'Benzin - diesel - hybrid'!$E$60))+E75</f>
        <v>#VALUE!</v>
      </c>
      <c r="E75" s="235">
        <f t="shared" si="7"/>
        <v>4.6599999999999993</v>
      </c>
      <c r="F75" s="238">
        <v>0.39</v>
      </c>
      <c r="G75" s="473">
        <v>4.2699999999999996</v>
      </c>
      <c r="H75" s="485">
        <v>2.52</v>
      </c>
      <c r="I75" s="485"/>
      <c r="J75" s="486"/>
      <c r="K75" s="237">
        <v>28</v>
      </c>
      <c r="L75" s="238">
        <f t="shared" si="9"/>
        <v>10.578173987853777</v>
      </c>
      <c r="M75" s="484" t="e">
        <f>((M74-N75)*(1+'El og plugin hybrid'!E$82))+N75</f>
        <v>#VALUE!</v>
      </c>
      <c r="N75" s="235">
        <f t="shared" si="8"/>
        <v>4.6599999999999993</v>
      </c>
      <c r="O75" s="238">
        <v>0.39</v>
      </c>
      <c r="P75" s="473">
        <v>4.2699999999999996</v>
      </c>
      <c r="Q75" s="485">
        <v>2.52</v>
      </c>
      <c r="R75" s="485"/>
      <c r="S75" s="486"/>
    </row>
    <row r="76" spans="1:19">
      <c r="A76" s="252">
        <v>2049</v>
      </c>
      <c r="B76" s="237">
        <v>29</v>
      </c>
      <c r="C76" s="238">
        <f>((C75-E75)*(1+'Benzin - diesel - hybrid'!$E$58)+E75)</f>
        <v>10.660436606284945</v>
      </c>
      <c r="D76" s="484" t="e">
        <f>((D75-E76)*(1+'Benzin - diesel - hybrid'!$E$60))+E76</f>
        <v>#VALUE!</v>
      </c>
      <c r="E76" s="235">
        <f t="shared" si="7"/>
        <v>4.6599999999999993</v>
      </c>
      <c r="F76" s="238">
        <v>0.39</v>
      </c>
      <c r="G76" s="473">
        <v>4.2699999999999996</v>
      </c>
      <c r="H76" s="485">
        <v>2.52</v>
      </c>
      <c r="I76" s="485"/>
      <c r="J76" s="486"/>
      <c r="K76" s="237">
        <v>29</v>
      </c>
      <c r="L76" s="238">
        <f t="shared" si="9"/>
        <v>10.660436606284945</v>
      </c>
      <c r="M76" s="484" t="e">
        <f>((M75-N76)*(1+'El og plugin hybrid'!E$82))+N76</f>
        <v>#VALUE!</v>
      </c>
      <c r="N76" s="235">
        <f t="shared" si="8"/>
        <v>4.6599999999999993</v>
      </c>
      <c r="O76" s="238">
        <v>0.39</v>
      </c>
      <c r="P76" s="473">
        <v>4.2699999999999996</v>
      </c>
      <c r="Q76" s="485">
        <v>2.52</v>
      </c>
      <c r="R76" s="485"/>
      <c r="S76" s="486"/>
    </row>
    <row r="77" spans="1:19">
      <c r="A77" s="252">
        <v>2050</v>
      </c>
      <c r="B77" s="237">
        <v>30</v>
      </c>
      <c r="C77" s="238">
        <f>((C76-E76)*(1+'Benzin - diesel - hybrid'!$E$58)+E76)</f>
        <v>10.743842675112305</v>
      </c>
      <c r="D77" s="484" t="e">
        <f>((D76-E77)*(1+'Benzin - diesel - hybrid'!$E$60))+E77</f>
        <v>#VALUE!</v>
      </c>
      <c r="E77" s="235">
        <f t="shared" si="7"/>
        <v>4.6599999999999993</v>
      </c>
      <c r="F77" s="242">
        <v>0.39</v>
      </c>
      <c r="G77" s="474">
        <v>4.2699999999999996</v>
      </c>
      <c r="H77" s="485">
        <v>2.52</v>
      </c>
      <c r="I77" s="489"/>
      <c r="J77" s="490"/>
      <c r="K77" s="237">
        <v>30</v>
      </c>
      <c r="L77" s="238">
        <f t="shared" si="9"/>
        <v>10.743842675112305</v>
      </c>
      <c r="M77" s="484" t="e">
        <f>((M76-N77)*(1+'El og plugin hybrid'!E$82))+N77</f>
        <v>#VALUE!</v>
      </c>
      <c r="N77" s="235">
        <f t="shared" si="8"/>
        <v>4.6599999999999993</v>
      </c>
      <c r="O77" s="242">
        <v>0.39</v>
      </c>
      <c r="P77" s="474">
        <v>4.2699999999999996</v>
      </c>
      <c r="Q77" s="485">
        <v>2.52</v>
      </c>
      <c r="R77" s="489"/>
      <c r="S77" s="490"/>
    </row>
    <row r="78" spans="1:19">
      <c r="A78" s="252"/>
      <c r="B78" s="237"/>
      <c r="C78" s="238"/>
      <c r="D78" s="477"/>
      <c r="E78" s="240"/>
      <c r="F78" s="242"/>
      <c r="G78" s="242"/>
      <c r="H78" s="239"/>
      <c r="I78" s="239"/>
      <c r="J78" s="241"/>
      <c r="K78" s="237"/>
      <c r="L78" s="238"/>
      <c r="M78" s="477"/>
      <c r="N78" s="240"/>
      <c r="O78" s="242"/>
      <c r="P78" s="242"/>
      <c r="Q78" s="239"/>
      <c r="R78" s="239"/>
      <c r="S78" s="241"/>
    </row>
    <row r="79" spans="1:19">
      <c r="B79" s="478"/>
      <c r="C79" s="479"/>
      <c r="D79" s="477"/>
      <c r="E79" s="279"/>
      <c r="F79" s="279"/>
      <c r="G79" s="279"/>
      <c r="H79" s="279"/>
      <c r="I79" s="279"/>
      <c r="J79" s="236"/>
      <c r="K79" s="478"/>
      <c r="L79" s="479"/>
      <c r="M79" s="477"/>
      <c r="N79" s="279"/>
      <c r="O79" s="279"/>
      <c r="P79" s="279"/>
      <c r="Q79" s="279"/>
      <c r="R79" s="279"/>
      <c r="S79" s="236"/>
    </row>
    <row r="80" spans="1:19">
      <c r="B80" s="237"/>
      <c r="C80" s="279" t="s">
        <v>162</v>
      </c>
      <c r="D80" s="279"/>
      <c r="E80" s="279"/>
      <c r="F80" s="279"/>
      <c r="G80" s="279"/>
      <c r="H80" s="279"/>
      <c r="I80" s="279"/>
      <c r="J80" s="236"/>
      <c r="K80" s="237"/>
      <c r="L80" s="279" t="s">
        <v>162</v>
      </c>
      <c r="M80" s="279"/>
      <c r="N80" s="279"/>
      <c r="O80" s="279"/>
      <c r="P80" s="279"/>
      <c r="Q80" s="279"/>
      <c r="R80" s="279"/>
      <c r="S80" s="236"/>
    </row>
    <row r="81" spans="1:19">
      <c r="B81" s="237"/>
      <c r="C81" s="279"/>
      <c r="D81" s="279"/>
      <c r="E81" s="279"/>
      <c r="F81" s="279"/>
      <c r="G81" s="279"/>
      <c r="H81" s="279"/>
      <c r="I81" s="279"/>
      <c r="J81" s="236"/>
      <c r="K81" s="237"/>
      <c r="L81" s="279"/>
      <c r="M81" s="279"/>
      <c r="N81" s="279"/>
      <c r="O81" s="279"/>
      <c r="P81" s="279"/>
      <c r="Q81" s="279"/>
      <c r="R81" s="279"/>
      <c r="S81" s="236"/>
    </row>
    <row r="82" spans="1:19">
      <c r="B82" s="237"/>
      <c r="C82" s="279" t="s">
        <v>109</v>
      </c>
      <c r="D82" s="279" t="s">
        <v>163</v>
      </c>
      <c r="E82" s="279"/>
      <c r="F82" s="279"/>
      <c r="G82" s="279"/>
      <c r="H82" s="279"/>
      <c r="I82" s="279"/>
      <c r="J82" s="236"/>
      <c r="K82" s="237"/>
      <c r="L82" s="279" t="s">
        <v>109</v>
      </c>
      <c r="M82" s="279" t="s">
        <v>163</v>
      </c>
      <c r="N82" s="279"/>
      <c r="O82" s="279"/>
      <c r="P82" s="279"/>
      <c r="Q82" s="279"/>
      <c r="R82" s="279"/>
      <c r="S82" s="236"/>
    </row>
    <row r="83" spans="1:19">
      <c r="B83" s="237"/>
      <c r="C83" s="279"/>
      <c r="D83" s="279"/>
      <c r="E83" s="279"/>
      <c r="F83" s="279"/>
      <c r="G83" s="279"/>
      <c r="H83" s="279"/>
      <c r="I83" s="279"/>
      <c r="J83" s="236"/>
      <c r="K83" s="237"/>
      <c r="L83" s="279"/>
      <c r="M83" s="279"/>
      <c r="N83" s="279"/>
      <c r="O83" s="279"/>
      <c r="P83" s="279"/>
      <c r="Q83" s="279"/>
      <c r="R83" s="279"/>
      <c r="S83" s="236"/>
    </row>
    <row r="84" spans="1:19">
      <c r="A84" s="252"/>
      <c r="B84" s="480"/>
      <c r="C84" s="481"/>
      <c r="D84" s="481"/>
      <c r="E84" s="481"/>
      <c r="F84" s="481"/>
      <c r="G84" s="481"/>
      <c r="H84" s="481"/>
      <c r="I84" s="481"/>
      <c r="J84" s="482"/>
      <c r="K84" s="480"/>
      <c r="L84" s="481"/>
      <c r="M84" s="481"/>
      <c r="N84" s="481"/>
      <c r="O84" s="481"/>
      <c r="P84" s="481"/>
      <c r="Q84" s="481"/>
      <c r="R84" s="481"/>
      <c r="S84" s="482"/>
    </row>
    <row r="85" spans="1:19">
      <c r="A85" s="252"/>
      <c r="B85" s="237"/>
      <c r="C85" s="279"/>
      <c r="D85" s="279"/>
      <c r="E85" s="279"/>
      <c r="F85" s="279"/>
      <c r="G85" s="279"/>
      <c r="H85" s="279"/>
      <c r="I85" s="279"/>
      <c r="J85" s="236"/>
      <c r="K85" s="237"/>
      <c r="L85" s="279"/>
      <c r="M85" s="279"/>
      <c r="N85" s="279"/>
      <c r="O85" s="279"/>
      <c r="P85" s="279"/>
      <c r="Q85" s="279"/>
      <c r="R85" s="279"/>
      <c r="S85" s="236"/>
    </row>
    <row r="86" spans="1:19">
      <c r="A86" s="252"/>
      <c r="B86" s="237"/>
      <c r="C86" s="279" t="s">
        <v>216</v>
      </c>
      <c r="D86" s="530">
        <f>'ENS udvikling i brændstofspris'!F7</f>
        <v>4.3883999999999999</v>
      </c>
      <c r="E86" s="279"/>
      <c r="F86" s="279"/>
      <c r="G86" s="279"/>
      <c r="H86" s="279"/>
      <c r="I86" s="279"/>
      <c r="J86" s="236"/>
      <c r="K86" s="237"/>
      <c r="L86" s="279" t="s">
        <v>216</v>
      </c>
      <c r="M86" s="530">
        <f>'ENS udvikling i brændstofspris'!F7</f>
        <v>4.3883999999999999</v>
      </c>
      <c r="N86" s="279" t="s">
        <v>168</v>
      </c>
      <c r="O86" s="279" t="s">
        <v>166</v>
      </c>
      <c r="P86" s="279"/>
      <c r="Q86" s="279"/>
      <c r="R86" s="279"/>
      <c r="S86" s="236"/>
    </row>
    <row r="87" spans="1:19">
      <c r="A87" s="252"/>
      <c r="B87" s="237"/>
      <c r="C87" s="279"/>
      <c r="D87" s="279"/>
      <c r="E87" s="279"/>
      <c r="F87" s="279"/>
      <c r="G87" s="279"/>
      <c r="H87" s="279"/>
      <c r="I87" s="279"/>
      <c r="J87" s="236"/>
      <c r="K87" s="237"/>
      <c r="L87" s="279"/>
      <c r="M87" s="279"/>
      <c r="N87" s="279"/>
      <c r="O87" s="279"/>
      <c r="P87" s="279"/>
      <c r="Q87" s="279"/>
      <c r="R87" s="279"/>
      <c r="S87" s="236"/>
    </row>
    <row r="88" spans="1:19">
      <c r="A88" s="252"/>
      <c r="B88" s="237"/>
      <c r="C88" s="550" t="s">
        <v>167</v>
      </c>
      <c r="D88" s="550"/>
      <c r="E88" s="550"/>
      <c r="F88" s="550"/>
      <c r="G88" s="550"/>
      <c r="H88" s="550"/>
      <c r="I88" s="550"/>
      <c r="J88" s="551"/>
      <c r="K88" s="237"/>
      <c r="L88" s="550" t="s">
        <v>167</v>
      </c>
      <c r="M88" s="550"/>
      <c r="N88" s="550"/>
      <c r="O88" s="550"/>
      <c r="P88" s="550"/>
      <c r="Q88" s="550"/>
      <c r="R88" s="550"/>
      <c r="S88" s="551"/>
    </row>
    <row r="89" spans="1:19">
      <c r="A89" s="252"/>
      <c r="B89" s="552" t="s">
        <v>165</v>
      </c>
      <c r="C89" s="550"/>
      <c r="D89" s="550"/>
      <c r="E89" s="550"/>
      <c r="F89" s="550"/>
      <c r="G89" s="550"/>
      <c r="H89" s="553" t="s">
        <v>176</v>
      </c>
      <c r="I89" s="553"/>
      <c r="J89" s="554"/>
      <c r="K89" s="552" t="s">
        <v>165</v>
      </c>
      <c r="L89" s="550"/>
      <c r="M89" s="550"/>
      <c r="N89" s="550"/>
      <c r="O89" s="550"/>
      <c r="P89" s="550"/>
      <c r="Q89" s="553" t="s">
        <v>176</v>
      </c>
      <c r="R89" s="553"/>
      <c r="S89" s="554"/>
    </row>
    <row r="90" spans="1:19">
      <c r="A90" s="252" t="s">
        <v>52</v>
      </c>
      <c r="B90" s="237" t="s">
        <v>61</v>
      </c>
      <c r="C90" s="279" t="s">
        <v>171</v>
      </c>
      <c r="D90" s="279" t="s">
        <v>170</v>
      </c>
      <c r="E90" s="233" t="s">
        <v>169</v>
      </c>
      <c r="F90" s="231" t="s">
        <v>172</v>
      </c>
      <c r="G90" s="231" t="s">
        <v>173</v>
      </c>
      <c r="H90" s="491" t="s">
        <v>179</v>
      </c>
      <c r="I90" s="491"/>
      <c r="J90" s="492"/>
      <c r="K90" s="237" t="s">
        <v>61</v>
      </c>
      <c r="L90" s="279" t="s">
        <v>171</v>
      </c>
      <c r="M90" s="279" t="s">
        <v>170</v>
      </c>
      <c r="N90" s="233" t="s">
        <v>169</v>
      </c>
      <c r="O90" s="231" t="s">
        <v>172</v>
      </c>
      <c r="P90" s="231" t="s">
        <v>173</v>
      </c>
      <c r="Q90" s="491" t="s">
        <v>179</v>
      </c>
      <c r="R90" s="491"/>
      <c r="S90" s="492"/>
    </row>
    <row r="91" spans="1:19">
      <c r="A91" s="252">
        <v>2020</v>
      </c>
      <c r="B91" s="237">
        <v>0</v>
      </c>
      <c r="C91" s="279" t="s">
        <v>74</v>
      </c>
      <c r="D91" s="279" t="s">
        <v>74</v>
      </c>
      <c r="E91" s="237" t="s">
        <v>74</v>
      </c>
      <c r="F91" s="237"/>
      <c r="G91" s="237"/>
      <c r="H91" s="487"/>
      <c r="I91" s="487"/>
      <c r="J91" s="488"/>
      <c r="K91" s="237">
        <v>0</v>
      </c>
      <c r="L91" s="279" t="s">
        <v>74</v>
      </c>
      <c r="M91" s="279" t="s">
        <v>74</v>
      </c>
      <c r="N91" s="237" t="s">
        <v>74</v>
      </c>
      <c r="O91" s="237"/>
      <c r="P91" s="237"/>
      <c r="Q91" s="487"/>
      <c r="R91" s="487"/>
      <c r="S91" s="488"/>
    </row>
    <row r="92" spans="1:19">
      <c r="A92" s="252">
        <v>2021</v>
      </c>
      <c r="B92" s="237">
        <v>1</v>
      </c>
      <c r="C92" s="238">
        <f>D86+E92</f>
        <v>7.6283999999999992</v>
      </c>
      <c r="D92" s="477" t="str">
        <f>IF('Benzin - diesel - hybrid'!$E$62="nej",'Benzin - diesel - hybrid'!$E$65,"")</f>
        <v/>
      </c>
      <c r="E92" s="235">
        <f>SUM(F92:G92)</f>
        <v>3.2399999999999998</v>
      </c>
      <c r="F92" s="238">
        <v>0.44</v>
      </c>
      <c r="G92" s="238">
        <v>2.8</v>
      </c>
      <c r="H92" s="485">
        <v>2.98</v>
      </c>
      <c r="I92" s="485"/>
      <c r="J92" s="486"/>
      <c r="K92" s="237">
        <v>1</v>
      </c>
      <c r="L92" s="238">
        <f>M86+N92</f>
        <v>7.6283999999999992</v>
      </c>
      <c r="M92" s="477" t="str">
        <f>IF('El og plugin hybrid'!E$84="nej",'El og plugin hybrid'!E$87,"")</f>
        <v/>
      </c>
      <c r="N92" s="235">
        <f>SUM(O92:P92)</f>
        <v>3.2399999999999998</v>
      </c>
      <c r="O92" s="238">
        <v>0.44</v>
      </c>
      <c r="P92" s="238">
        <v>2.8</v>
      </c>
      <c r="Q92" s="485">
        <v>2.98</v>
      </c>
      <c r="R92" s="485"/>
      <c r="S92" s="486"/>
    </row>
    <row r="93" spans="1:19">
      <c r="A93" s="252">
        <v>2022</v>
      </c>
      <c r="B93" s="237">
        <v>2</v>
      </c>
      <c r="C93" s="238">
        <f>((C92-E92)*(1+'Benzin - diesel - hybrid'!$E$64)+E92)</f>
        <v>7.6920317999999988</v>
      </c>
      <c r="D93" s="484" t="e">
        <f>((D92-E93)*(1+'Benzin - diesel - hybrid'!$E$66))+Fremskrivninger!E93</f>
        <v>#VALUE!</v>
      </c>
      <c r="E93" s="235">
        <f t="shared" ref="E93:E121" si="10">SUM(F93:G93)</f>
        <v>3.2399999999999998</v>
      </c>
      <c r="F93" s="238">
        <v>0.44</v>
      </c>
      <c r="G93" s="238">
        <v>2.8</v>
      </c>
      <c r="H93" s="485">
        <v>2.98</v>
      </c>
      <c r="I93" s="485"/>
      <c r="J93" s="486"/>
      <c r="K93" s="237">
        <v>2</v>
      </c>
      <c r="L93" s="238">
        <f>((L92-N92)*(1+0.0145)+N92)</f>
        <v>7.6920317999999988</v>
      </c>
      <c r="M93" s="484" t="e">
        <f>((M92-N93)*(1+'El og plugin hybrid'!E$88))+N93</f>
        <v>#VALUE!</v>
      </c>
      <c r="N93" s="235">
        <f t="shared" ref="N93:N121" si="11">SUM(O93:P93)</f>
        <v>3.2399999999999998</v>
      </c>
      <c r="O93" s="238">
        <v>0.44</v>
      </c>
      <c r="P93" s="238">
        <v>2.8</v>
      </c>
      <c r="Q93" s="485">
        <v>2.98</v>
      </c>
      <c r="R93" s="485"/>
      <c r="S93" s="486"/>
    </row>
    <row r="94" spans="1:19">
      <c r="A94" s="252">
        <v>2023</v>
      </c>
      <c r="B94" s="237">
        <v>3</v>
      </c>
      <c r="C94" s="238">
        <f>((C93-E93)*(1+'Benzin - diesel - hybrid'!$E$64)+E93)</f>
        <v>7.7565862610999989</v>
      </c>
      <c r="D94" s="484" t="e">
        <f>((D93-E94)*(1+'Benzin - diesel - hybrid'!$E$66))+Fremskrivninger!E94</f>
        <v>#VALUE!</v>
      </c>
      <c r="E94" s="235">
        <f t="shared" si="10"/>
        <v>3.2399999999999998</v>
      </c>
      <c r="F94" s="238">
        <v>0.44</v>
      </c>
      <c r="G94" s="238">
        <v>2.8</v>
      </c>
      <c r="H94" s="485">
        <v>2.98</v>
      </c>
      <c r="I94" s="485"/>
      <c r="J94" s="486"/>
      <c r="K94" s="237">
        <v>3</v>
      </c>
      <c r="L94" s="238">
        <f t="shared" ref="L94:L121" si="12">((L93-N93)*(1+0.0145)+N93)</f>
        <v>7.7565862610999989</v>
      </c>
      <c r="M94" s="484" t="e">
        <f>((M93-N94)*(1+'El og plugin hybrid'!E$88))+N94</f>
        <v>#VALUE!</v>
      </c>
      <c r="N94" s="235">
        <f t="shared" si="11"/>
        <v>3.2399999999999998</v>
      </c>
      <c r="O94" s="238">
        <v>0.44</v>
      </c>
      <c r="P94" s="238">
        <v>2.8</v>
      </c>
      <c r="Q94" s="485">
        <v>2.98</v>
      </c>
      <c r="R94" s="485"/>
      <c r="S94" s="486"/>
    </row>
    <row r="95" spans="1:19">
      <c r="A95" s="252">
        <v>2024</v>
      </c>
      <c r="B95" s="237">
        <v>4</v>
      </c>
      <c r="C95" s="238">
        <f>((C94-E94)*(1+'Benzin - diesel - hybrid'!$E$64)+E94)</f>
        <v>7.822076761885949</v>
      </c>
      <c r="D95" s="484" t="e">
        <f>((D94-E95)*(1+'Benzin - diesel - hybrid'!$E$66))+Fremskrivninger!E95</f>
        <v>#VALUE!</v>
      </c>
      <c r="E95" s="235">
        <f t="shared" si="10"/>
        <v>3.2399999999999998</v>
      </c>
      <c r="F95" s="238">
        <v>0.44</v>
      </c>
      <c r="G95" s="238">
        <v>2.8</v>
      </c>
      <c r="H95" s="485">
        <v>2.98</v>
      </c>
      <c r="I95" s="485"/>
      <c r="J95" s="486"/>
      <c r="K95" s="237">
        <v>4</v>
      </c>
      <c r="L95" s="238">
        <f t="shared" si="12"/>
        <v>7.822076761885949</v>
      </c>
      <c r="M95" s="484" t="e">
        <f>((M94-N95)*(1+'El og plugin hybrid'!E$88))+N95</f>
        <v>#VALUE!</v>
      </c>
      <c r="N95" s="235">
        <f t="shared" si="11"/>
        <v>3.2399999999999998</v>
      </c>
      <c r="O95" s="238">
        <v>0.44</v>
      </c>
      <c r="P95" s="238">
        <v>2.8</v>
      </c>
      <c r="Q95" s="485">
        <v>2.98</v>
      </c>
      <c r="R95" s="485"/>
      <c r="S95" s="486"/>
    </row>
    <row r="96" spans="1:19">
      <c r="A96" s="252">
        <v>2025</v>
      </c>
      <c r="B96" s="237">
        <v>5</v>
      </c>
      <c r="C96" s="238">
        <f>((C95-E95)*(1+'Benzin - diesel - hybrid'!$E$64)+E95)</f>
        <v>7.8885168749332948</v>
      </c>
      <c r="D96" s="484" t="e">
        <f>((D95-E96)*(1+'Benzin - diesel - hybrid'!$E$66))+Fremskrivninger!E96</f>
        <v>#VALUE!</v>
      </c>
      <c r="E96" s="235">
        <f t="shared" si="10"/>
        <v>3.2399999999999998</v>
      </c>
      <c r="F96" s="238">
        <v>0.44</v>
      </c>
      <c r="G96" s="238">
        <v>2.8</v>
      </c>
      <c r="H96" s="485">
        <v>2.98</v>
      </c>
      <c r="I96" s="485"/>
      <c r="J96" s="486"/>
      <c r="K96" s="237">
        <v>5</v>
      </c>
      <c r="L96" s="238">
        <f t="shared" si="12"/>
        <v>7.8885168749332948</v>
      </c>
      <c r="M96" s="484" t="e">
        <f>((M95-N96)*(1+'El og plugin hybrid'!E$88))+N96</f>
        <v>#VALUE!</v>
      </c>
      <c r="N96" s="235">
        <f t="shared" si="11"/>
        <v>3.2399999999999998</v>
      </c>
      <c r="O96" s="238">
        <v>0.44</v>
      </c>
      <c r="P96" s="238">
        <v>2.8</v>
      </c>
      <c r="Q96" s="485">
        <v>2.98</v>
      </c>
      <c r="R96" s="485"/>
      <c r="S96" s="486"/>
    </row>
    <row r="97" spans="1:19">
      <c r="A97" s="252">
        <v>2026</v>
      </c>
      <c r="B97" s="237">
        <v>6</v>
      </c>
      <c r="C97" s="238">
        <f>((C96-E96)*(1+'Benzin - diesel - hybrid'!$E$64)+E96)</f>
        <v>7.9559203696198271</v>
      </c>
      <c r="D97" s="484" t="e">
        <f>((D96-E97)*(1+'Benzin - diesel - hybrid'!$E$66))+Fremskrivninger!E97</f>
        <v>#VALUE!</v>
      </c>
      <c r="E97" s="235">
        <f t="shared" si="10"/>
        <v>3.2399999999999998</v>
      </c>
      <c r="F97" s="238">
        <v>0.44</v>
      </c>
      <c r="G97" s="238">
        <v>2.8</v>
      </c>
      <c r="H97" s="485">
        <v>2.98</v>
      </c>
      <c r="I97" s="485"/>
      <c r="J97" s="486"/>
      <c r="K97" s="237">
        <v>6</v>
      </c>
      <c r="L97" s="238">
        <f t="shared" si="12"/>
        <v>7.9559203696198271</v>
      </c>
      <c r="M97" s="484" t="e">
        <f>((M96-N97)*(1+'El og plugin hybrid'!E$88))+N97</f>
        <v>#VALUE!</v>
      </c>
      <c r="N97" s="235">
        <f t="shared" si="11"/>
        <v>3.2399999999999998</v>
      </c>
      <c r="O97" s="238">
        <v>0.44</v>
      </c>
      <c r="P97" s="238">
        <v>2.8</v>
      </c>
      <c r="Q97" s="485">
        <v>2.98</v>
      </c>
      <c r="R97" s="485"/>
      <c r="S97" s="486"/>
    </row>
    <row r="98" spans="1:19">
      <c r="A98" s="252">
        <v>2027</v>
      </c>
      <c r="B98" s="237">
        <v>7</v>
      </c>
      <c r="C98" s="238">
        <f>((C97-E97)*(1+'Benzin - diesel - hybrid'!$E$64)+E97)</f>
        <v>8.0243012149793138</v>
      </c>
      <c r="D98" s="484" t="e">
        <f>((D97-E98)*(1+'Benzin - diesel - hybrid'!$E$66))+Fremskrivninger!E98</f>
        <v>#VALUE!</v>
      </c>
      <c r="E98" s="235">
        <f t="shared" si="10"/>
        <v>3.2399999999999998</v>
      </c>
      <c r="F98" s="238">
        <v>0.44</v>
      </c>
      <c r="G98" s="238">
        <v>2.8</v>
      </c>
      <c r="H98" s="485">
        <v>2.98</v>
      </c>
      <c r="I98" s="485"/>
      <c r="J98" s="486"/>
      <c r="K98" s="237">
        <v>7</v>
      </c>
      <c r="L98" s="238">
        <f t="shared" si="12"/>
        <v>8.0243012149793138</v>
      </c>
      <c r="M98" s="484" t="e">
        <f>((M97-N98)*(1+'El og plugin hybrid'!E$88))+N98</f>
        <v>#VALUE!</v>
      </c>
      <c r="N98" s="235">
        <f t="shared" si="11"/>
        <v>3.2399999999999998</v>
      </c>
      <c r="O98" s="238">
        <v>0.44</v>
      </c>
      <c r="P98" s="238">
        <v>2.8</v>
      </c>
      <c r="Q98" s="485">
        <v>2.98</v>
      </c>
      <c r="R98" s="485"/>
      <c r="S98" s="486"/>
    </row>
    <row r="99" spans="1:19">
      <c r="A99" s="252">
        <v>2028</v>
      </c>
      <c r="B99" s="237">
        <v>8</v>
      </c>
      <c r="C99" s="238">
        <f>((C98-E98)*(1+'Benzin - diesel - hybrid'!$E$64)+E98)</f>
        <v>8.093673582596514</v>
      </c>
      <c r="D99" s="484" t="e">
        <f>((D98-E99)*(1+'Benzin - diesel - hybrid'!$E$66))+Fremskrivninger!E99</f>
        <v>#VALUE!</v>
      </c>
      <c r="E99" s="235">
        <f t="shared" si="10"/>
        <v>3.2399999999999998</v>
      </c>
      <c r="F99" s="238">
        <v>0.44</v>
      </c>
      <c r="G99" s="238">
        <v>2.8</v>
      </c>
      <c r="H99" s="485">
        <v>2.98</v>
      </c>
      <c r="I99" s="485"/>
      <c r="J99" s="486"/>
      <c r="K99" s="237">
        <v>8</v>
      </c>
      <c r="L99" s="238">
        <f t="shared" si="12"/>
        <v>8.093673582596514</v>
      </c>
      <c r="M99" s="484" t="e">
        <f>((M98-N99)*(1+'El og plugin hybrid'!E$88))+N99</f>
        <v>#VALUE!</v>
      </c>
      <c r="N99" s="235">
        <f t="shared" si="11"/>
        <v>3.2399999999999998</v>
      </c>
      <c r="O99" s="238">
        <v>0.44</v>
      </c>
      <c r="P99" s="238">
        <v>2.8</v>
      </c>
      <c r="Q99" s="485">
        <v>2.98</v>
      </c>
      <c r="R99" s="485"/>
      <c r="S99" s="486"/>
    </row>
    <row r="100" spans="1:19">
      <c r="A100" s="252">
        <v>2029</v>
      </c>
      <c r="B100" s="237">
        <v>9</v>
      </c>
      <c r="C100" s="238">
        <f>((C99-E99)*(1+'Benzin - diesel - hybrid'!$E$64)+E99)</f>
        <v>8.1640518495441636</v>
      </c>
      <c r="D100" s="484" t="e">
        <f>((D99-E100)*(1+'Benzin - diesel - hybrid'!$E$66))+Fremskrivninger!E100</f>
        <v>#VALUE!</v>
      </c>
      <c r="E100" s="235">
        <f t="shared" si="10"/>
        <v>3.2399999999999998</v>
      </c>
      <c r="F100" s="238">
        <v>0.44</v>
      </c>
      <c r="G100" s="238">
        <v>2.8</v>
      </c>
      <c r="H100" s="485">
        <v>2.98</v>
      </c>
      <c r="I100" s="485"/>
      <c r="J100" s="486"/>
      <c r="K100" s="237">
        <v>9</v>
      </c>
      <c r="L100" s="238">
        <f t="shared" si="12"/>
        <v>8.1640518495441636</v>
      </c>
      <c r="M100" s="484" t="e">
        <f>((M99-N100)*(1+'El og plugin hybrid'!E$88))+N100</f>
        <v>#VALUE!</v>
      </c>
      <c r="N100" s="235">
        <f t="shared" si="11"/>
        <v>3.2399999999999998</v>
      </c>
      <c r="O100" s="238">
        <v>0.44</v>
      </c>
      <c r="P100" s="238">
        <v>2.8</v>
      </c>
      <c r="Q100" s="485">
        <v>2.98</v>
      </c>
      <c r="R100" s="485"/>
      <c r="S100" s="486"/>
    </row>
    <row r="101" spans="1:19">
      <c r="A101" s="252">
        <v>2030</v>
      </c>
      <c r="B101" s="237">
        <v>10</v>
      </c>
      <c r="C101" s="238">
        <f>((C100-E100)*(1+'Benzin - diesel - hybrid'!$E$64)+E100)</f>
        <v>8.2354506013625528</v>
      </c>
      <c r="D101" s="484" t="e">
        <f>((D100-E101)*(1+'Benzin - diesel - hybrid'!$E$66))+Fremskrivninger!E101</f>
        <v>#VALUE!</v>
      </c>
      <c r="E101" s="235">
        <f t="shared" si="10"/>
        <v>3.2399999999999998</v>
      </c>
      <c r="F101" s="238">
        <v>0.44</v>
      </c>
      <c r="G101" s="238">
        <v>2.8</v>
      </c>
      <c r="H101" s="485">
        <v>2.98</v>
      </c>
      <c r="I101" s="485"/>
      <c r="J101" s="486"/>
      <c r="K101" s="237">
        <v>10</v>
      </c>
      <c r="L101" s="238">
        <f t="shared" si="12"/>
        <v>8.2354506013625528</v>
      </c>
      <c r="M101" s="484" t="e">
        <f>((M100-N101)*(1+'El og plugin hybrid'!E$88))+N101</f>
        <v>#VALUE!</v>
      </c>
      <c r="N101" s="235">
        <f t="shared" si="11"/>
        <v>3.2399999999999998</v>
      </c>
      <c r="O101" s="238">
        <v>0.44</v>
      </c>
      <c r="P101" s="238">
        <v>2.8</v>
      </c>
      <c r="Q101" s="485">
        <v>2.98</v>
      </c>
      <c r="R101" s="485"/>
      <c r="S101" s="486"/>
    </row>
    <row r="102" spans="1:19">
      <c r="A102" s="252">
        <v>2031</v>
      </c>
      <c r="B102" s="237">
        <v>11</v>
      </c>
      <c r="C102" s="238">
        <f>((C101-E101)*(1+'Benzin - diesel - hybrid'!$E$64)+E101)</f>
        <v>8.3078846350823099</v>
      </c>
      <c r="D102" s="484" t="e">
        <f>((D101-E102)*(1+'Benzin - diesel - hybrid'!$E$66))+Fremskrivninger!E102</f>
        <v>#VALUE!</v>
      </c>
      <c r="E102" s="235">
        <f t="shared" si="10"/>
        <v>3.2399999999999998</v>
      </c>
      <c r="F102" s="238">
        <v>0.44</v>
      </c>
      <c r="G102" s="238">
        <v>2.8</v>
      </c>
      <c r="H102" s="485">
        <v>2.98</v>
      </c>
      <c r="I102" s="485"/>
      <c r="J102" s="486"/>
      <c r="K102" s="237">
        <v>11</v>
      </c>
      <c r="L102" s="238">
        <f t="shared" si="12"/>
        <v>8.3078846350823099</v>
      </c>
      <c r="M102" s="484" t="e">
        <f>((M101-N102)*(1+'El og plugin hybrid'!E$88))+N102</f>
        <v>#VALUE!</v>
      </c>
      <c r="N102" s="235">
        <f t="shared" si="11"/>
        <v>3.2399999999999998</v>
      </c>
      <c r="O102" s="238">
        <v>0.44</v>
      </c>
      <c r="P102" s="238">
        <v>2.8</v>
      </c>
      <c r="Q102" s="485">
        <v>2.98</v>
      </c>
      <c r="R102" s="485"/>
      <c r="S102" s="486"/>
    </row>
    <row r="103" spans="1:19">
      <c r="A103" s="252">
        <v>2032</v>
      </c>
      <c r="B103" s="237">
        <v>12</v>
      </c>
      <c r="C103" s="238">
        <f>((C102-E102)*(1+'Benzin - diesel - hybrid'!$E$64)+E102)</f>
        <v>8.3813689622910026</v>
      </c>
      <c r="D103" s="484" t="e">
        <f>((D102-E103)*(1+'Benzin - diesel - hybrid'!$E$66))+Fremskrivninger!E103</f>
        <v>#VALUE!</v>
      </c>
      <c r="E103" s="235">
        <f t="shared" si="10"/>
        <v>3.2399999999999998</v>
      </c>
      <c r="F103" s="238">
        <v>0.44</v>
      </c>
      <c r="G103" s="238">
        <v>2.8</v>
      </c>
      <c r="H103" s="485">
        <v>2.98</v>
      </c>
      <c r="I103" s="485"/>
      <c r="J103" s="486"/>
      <c r="K103" s="237">
        <v>12</v>
      </c>
      <c r="L103" s="238">
        <f t="shared" si="12"/>
        <v>8.3813689622910026</v>
      </c>
      <c r="M103" s="484" t="e">
        <f>((M102-N103)*(1+'El og plugin hybrid'!E$88))+N103</f>
        <v>#VALUE!</v>
      </c>
      <c r="N103" s="235">
        <f t="shared" si="11"/>
        <v>3.2399999999999998</v>
      </c>
      <c r="O103" s="238">
        <v>0.44</v>
      </c>
      <c r="P103" s="238">
        <v>2.8</v>
      </c>
      <c r="Q103" s="485">
        <v>2.98</v>
      </c>
      <c r="R103" s="485"/>
      <c r="S103" s="486"/>
    </row>
    <row r="104" spans="1:19">
      <c r="A104" s="252">
        <v>2033</v>
      </c>
      <c r="B104" s="237">
        <v>13</v>
      </c>
      <c r="C104" s="238">
        <f>((C103-E103)*(1+'Benzin - diesel - hybrid'!$E$64)+E103)</f>
        <v>8.4559188122442208</v>
      </c>
      <c r="D104" s="484" t="e">
        <f>((D103-E104)*(1+'Benzin - diesel - hybrid'!$E$66))+Fremskrivninger!E104</f>
        <v>#VALUE!</v>
      </c>
      <c r="E104" s="235">
        <f t="shared" si="10"/>
        <v>3.2399999999999998</v>
      </c>
      <c r="F104" s="238">
        <v>0.44</v>
      </c>
      <c r="G104" s="238">
        <v>2.8</v>
      </c>
      <c r="H104" s="485">
        <v>2.98</v>
      </c>
      <c r="I104" s="485"/>
      <c r="J104" s="486"/>
      <c r="K104" s="237">
        <v>13</v>
      </c>
      <c r="L104" s="238">
        <f t="shared" si="12"/>
        <v>8.4559188122442208</v>
      </c>
      <c r="M104" s="484" t="e">
        <f>((M103-N104)*(1+'El og plugin hybrid'!E$88))+N104</f>
        <v>#VALUE!</v>
      </c>
      <c r="N104" s="235">
        <f t="shared" si="11"/>
        <v>3.2399999999999998</v>
      </c>
      <c r="O104" s="238">
        <v>0.44</v>
      </c>
      <c r="P104" s="238">
        <v>2.8</v>
      </c>
      <c r="Q104" s="485">
        <v>2.98</v>
      </c>
      <c r="R104" s="485"/>
      <c r="S104" s="486"/>
    </row>
    <row r="105" spans="1:19">
      <c r="A105" s="252">
        <v>2034</v>
      </c>
      <c r="B105" s="237">
        <v>14</v>
      </c>
      <c r="C105" s="238">
        <f>((C104-E104)*(1+'Benzin - diesel - hybrid'!$E$64)+E104)</f>
        <v>8.5315496350217614</v>
      </c>
      <c r="D105" s="484" t="e">
        <f>((D104-E105)*(1+'Benzin - diesel - hybrid'!$E$66))+Fremskrivninger!E105</f>
        <v>#VALUE!</v>
      </c>
      <c r="E105" s="235">
        <f t="shared" si="10"/>
        <v>3.2399999999999998</v>
      </c>
      <c r="F105" s="238">
        <v>0.44</v>
      </c>
      <c r="G105" s="238">
        <v>2.8</v>
      </c>
      <c r="H105" s="485">
        <v>2.98</v>
      </c>
      <c r="I105" s="485"/>
      <c r="J105" s="486"/>
      <c r="K105" s="237">
        <v>14</v>
      </c>
      <c r="L105" s="238">
        <f t="shared" si="12"/>
        <v>8.5315496350217614</v>
      </c>
      <c r="M105" s="484" t="e">
        <f>((M104-N105)*(1+'El og plugin hybrid'!E$88))+N105</f>
        <v>#VALUE!</v>
      </c>
      <c r="N105" s="235">
        <f t="shared" si="11"/>
        <v>3.2399999999999998</v>
      </c>
      <c r="O105" s="238">
        <v>0.44</v>
      </c>
      <c r="P105" s="238">
        <v>2.8</v>
      </c>
      <c r="Q105" s="485">
        <v>2.98</v>
      </c>
      <c r="R105" s="485"/>
      <c r="S105" s="486"/>
    </row>
    <row r="106" spans="1:19">
      <c r="A106" s="252">
        <v>2035</v>
      </c>
      <c r="B106" s="237">
        <v>15</v>
      </c>
      <c r="C106" s="238">
        <f>((C105-E105)*(1+'Benzin - diesel - hybrid'!$E$64)+E105)</f>
        <v>8.6082771047295772</v>
      </c>
      <c r="D106" s="484" t="e">
        <f>((D105-E106)*(1+'Benzin - diesel - hybrid'!$E$66))+Fremskrivninger!E106</f>
        <v>#VALUE!</v>
      </c>
      <c r="E106" s="235">
        <f t="shared" si="10"/>
        <v>3.2399999999999998</v>
      </c>
      <c r="F106" s="238">
        <v>0.44</v>
      </c>
      <c r="G106" s="238">
        <v>2.8</v>
      </c>
      <c r="H106" s="485">
        <v>2.98</v>
      </c>
      <c r="I106" s="485"/>
      <c r="J106" s="486"/>
      <c r="K106" s="237">
        <v>15</v>
      </c>
      <c r="L106" s="238">
        <f t="shared" si="12"/>
        <v>8.6082771047295772</v>
      </c>
      <c r="M106" s="484" t="e">
        <f>((M105-N106)*(1+'El og plugin hybrid'!E$88))+N106</f>
        <v>#VALUE!</v>
      </c>
      <c r="N106" s="235">
        <f t="shared" si="11"/>
        <v>3.2399999999999998</v>
      </c>
      <c r="O106" s="238">
        <v>0.44</v>
      </c>
      <c r="P106" s="238">
        <v>2.8</v>
      </c>
      <c r="Q106" s="485">
        <v>2.98</v>
      </c>
      <c r="R106" s="485"/>
      <c r="S106" s="486"/>
    </row>
    <row r="107" spans="1:19">
      <c r="A107" s="252">
        <v>2036</v>
      </c>
      <c r="B107" s="237">
        <v>16</v>
      </c>
      <c r="C107" s="238">
        <f>((C106-E106)*(1+'Benzin - diesel - hybrid'!$E$64)+E106)</f>
        <v>8.6861171227481559</v>
      </c>
      <c r="D107" s="484" t="e">
        <f>((D106-E107)*(1+'Benzin - diesel - hybrid'!$E$66))+Fremskrivninger!E107</f>
        <v>#VALUE!</v>
      </c>
      <c r="E107" s="235">
        <f t="shared" si="10"/>
        <v>3.2399999999999998</v>
      </c>
      <c r="F107" s="238">
        <v>0.44</v>
      </c>
      <c r="G107" s="238">
        <v>2.8</v>
      </c>
      <c r="H107" s="485">
        <v>2.98</v>
      </c>
      <c r="I107" s="485"/>
      <c r="J107" s="486"/>
      <c r="K107" s="237">
        <v>16</v>
      </c>
      <c r="L107" s="238">
        <f t="shared" si="12"/>
        <v>8.6861171227481559</v>
      </c>
      <c r="M107" s="484" t="e">
        <f>((M106-N107)*(1+'El og plugin hybrid'!E$88))+N107</f>
        <v>#VALUE!</v>
      </c>
      <c r="N107" s="235">
        <f t="shared" si="11"/>
        <v>3.2399999999999998</v>
      </c>
      <c r="O107" s="238">
        <v>0.44</v>
      </c>
      <c r="P107" s="238">
        <v>2.8</v>
      </c>
      <c r="Q107" s="485">
        <v>2.98</v>
      </c>
      <c r="R107" s="485"/>
      <c r="S107" s="486"/>
    </row>
    <row r="108" spans="1:19">
      <c r="A108" s="252">
        <v>2037</v>
      </c>
      <c r="B108" s="237">
        <v>17</v>
      </c>
      <c r="C108" s="238">
        <f>((C107-E107)*(1+'Benzin - diesel - hybrid'!$E$64)+E107)</f>
        <v>8.7650858210280038</v>
      </c>
      <c r="D108" s="484" t="e">
        <f>((D107-E108)*(1+'Benzin - diesel - hybrid'!$E$66))+Fremskrivninger!E108</f>
        <v>#VALUE!</v>
      </c>
      <c r="E108" s="235">
        <f t="shared" si="10"/>
        <v>3.2399999999999998</v>
      </c>
      <c r="F108" s="238">
        <v>0.44</v>
      </c>
      <c r="G108" s="238">
        <v>2.8</v>
      </c>
      <c r="H108" s="485">
        <v>2.98</v>
      </c>
      <c r="I108" s="485"/>
      <c r="J108" s="486"/>
      <c r="K108" s="237">
        <v>17</v>
      </c>
      <c r="L108" s="238">
        <f t="shared" si="12"/>
        <v>8.7650858210280038</v>
      </c>
      <c r="M108" s="484" t="e">
        <f>((M107-N108)*(1+'El og plugin hybrid'!E$88))+N108</f>
        <v>#VALUE!</v>
      </c>
      <c r="N108" s="235">
        <f t="shared" si="11"/>
        <v>3.2399999999999998</v>
      </c>
      <c r="O108" s="238">
        <v>0.44</v>
      </c>
      <c r="P108" s="238">
        <v>2.8</v>
      </c>
      <c r="Q108" s="485">
        <v>2.98</v>
      </c>
      <c r="R108" s="485"/>
      <c r="S108" s="486"/>
    </row>
    <row r="109" spans="1:19">
      <c r="A109" s="252">
        <v>2038</v>
      </c>
      <c r="B109" s="237">
        <v>18</v>
      </c>
      <c r="C109" s="238">
        <f>((C108-E108)*(1+'Benzin - diesel - hybrid'!$E$64)+E108)</f>
        <v>8.8451995654329085</v>
      </c>
      <c r="D109" s="484" t="e">
        <f>((D108-E109)*(1+'Benzin - diesel - hybrid'!$E$66))+Fremskrivninger!E109</f>
        <v>#VALUE!</v>
      </c>
      <c r="E109" s="235">
        <f t="shared" si="10"/>
        <v>3.2399999999999998</v>
      </c>
      <c r="F109" s="238">
        <v>0.44</v>
      </c>
      <c r="G109" s="238">
        <v>2.8</v>
      </c>
      <c r="H109" s="485">
        <v>2.98</v>
      </c>
      <c r="I109" s="485"/>
      <c r="J109" s="486"/>
      <c r="K109" s="237">
        <v>18</v>
      </c>
      <c r="L109" s="238">
        <f t="shared" si="12"/>
        <v>8.8451995654329085</v>
      </c>
      <c r="M109" s="484" t="e">
        <f>((M108-N109)*(1+'El og plugin hybrid'!E$88))+N109</f>
        <v>#VALUE!</v>
      </c>
      <c r="N109" s="235">
        <f t="shared" si="11"/>
        <v>3.2399999999999998</v>
      </c>
      <c r="O109" s="238">
        <v>0.44</v>
      </c>
      <c r="P109" s="238">
        <v>2.8</v>
      </c>
      <c r="Q109" s="485">
        <v>2.98</v>
      </c>
      <c r="R109" s="485"/>
      <c r="S109" s="486"/>
    </row>
    <row r="110" spans="1:19">
      <c r="A110" s="252">
        <v>2039</v>
      </c>
      <c r="B110" s="237">
        <v>19</v>
      </c>
      <c r="C110" s="238">
        <f>((C109-E109)*(1+'Benzin - diesel - hybrid'!$E$64)+E109)</f>
        <v>8.926474959131685</v>
      </c>
      <c r="D110" s="484" t="e">
        <f>((D109-E110)*(1+'Benzin - diesel - hybrid'!$E$66))+Fremskrivninger!E110</f>
        <v>#VALUE!</v>
      </c>
      <c r="E110" s="235">
        <f t="shared" si="10"/>
        <v>3.2399999999999998</v>
      </c>
      <c r="F110" s="238">
        <v>0.44</v>
      </c>
      <c r="G110" s="238">
        <v>2.8</v>
      </c>
      <c r="H110" s="485">
        <v>2.98</v>
      </c>
      <c r="I110" s="485"/>
      <c r="J110" s="486"/>
      <c r="K110" s="237">
        <v>19</v>
      </c>
      <c r="L110" s="238">
        <f t="shared" si="12"/>
        <v>8.926474959131685</v>
      </c>
      <c r="M110" s="484" t="e">
        <f>((M109-N110)*(1+'El og plugin hybrid'!E$88))+N110</f>
        <v>#VALUE!</v>
      </c>
      <c r="N110" s="235">
        <f t="shared" si="11"/>
        <v>3.2399999999999998</v>
      </c>
      <c r="O110" s="238">
        <v>0.44</v>
      </c>
      <c r="P110" s="238">
        <v>2.8</v>
      </c>
      <c r="Q110" s="485">
        <v>2.98</v>
      </c>
      <c r="R110" s="485"/>
      <c r="S110" s="486"/>
    </row>
    <row r="111" spans="1:19">
      <c r="A111" s="252">
        <v>2040</v>
      </c>
      <c r="B111" s="237">
        <v>20</v>
      </c>
      <c r="C111" s="238">
        <f>((C110-E110)*(1+'Benzin - diesel - hybrid'!$E$64)+E110)</f>
        <v>9.0089288460390939</v>
      </c>
      <c r="D111" s="484" t="e">
        <f>((D110-E111)*(1+'Benzin - diesel - hybrid'!$E$66))+Fremskrivninger!E111</f>
        <v>#VALUE!</v>
      </c>
      <c r="E111" s="235">
        <f t="shared" si="10"/>
        <v>3.2399999999999998</v>
      </c>
      <c r="F111" s="238">
        <v>0.44</v>
      </c>
      <c r="G111" s="238">
        <v>2.8</v>
      </c>
      <c r="H111" s="485">
        <v>2.98</v>
      </c>
      <c r="I111" s="485"/>
      <c r="J111" s="486"/>
      <c r="K111" s="237">
        <v>20</v>
      </c>
      <c r="L111" s="238">
        <f t="shared" si="12"/>
        <v>9.0089288460390939</v>
      </c>
      <c r="M111" s="484" t="e">
        <f>((M110-N111)*(1+'El og plugin hybrid'!E$88))+N111</f>
        <v>#VALUE!</v>
      </c>
      <c r="N111" s="235">
        <f t="shared" si="11"/>
        <v>3.2399999999999998</v>
      </c>
      <c r="O111" s="238">
        <v>0.44</v>
      </c>
      <c r="P111" s="238">
        <v>2.8</v>
      </c>
      <c r="Q111" s="485">
        <v>2.98</v>
      </c>
      <c r="R111" s="485"/>
      <c r="S111" s="486"/>
    </row>
    <row r="112" spans="1:19">
      <c r="A112" s="252">
        <v>2041</v>
      </c>
      <c r="B112" s="237">
        <v>21</v>
      </c>
      <c r="C112" s="238">
        <f>((C111-E111)*(1+'Benzin - diesel - hybrid'!$E$64)+E111)</f>
        <v>9.0925783143066603</v>
      </c>
      <c r="D112" s="484" t="e">
        <f>((D111-E112)*(1+'Benzin - diesel - hybrid'!$E$66))+Fremskrivninger!E112</f>
        <v>#VALUE!</v>
      </c>
      <c r="E112" s="235">
        <f t="shared" si="10"/>
        <v>3.2399999999999998</v>
      </c>
      <c r="F112" s="238">
        <v>0.44</v>
      </c>
      <c r="G112" s="238">
        <v>2.8</v>
      </c>
      <c r="H112" s="485">
        <v>2.98</v>
      </c>
      <c r="I112" s="485"/>
      <c r="J112" s="486"/>
      <c r="K112" s="237">
        <v>21</v>
      </c>
      <c r="L112" s="238">
        <f t="shared" si="12"/>
        <v>9.0925783143066603</v>
      </c>
      <c r="M112" s="484" t="e">
        <f>((M111-N112)*(1+'El og plugin hybrid'!E$88))+N112</f>
        <v>#VALUE!</v>
      </c>
      <c r="N112" s="235">
        <f t="shared" si="11"/>
        <v>3.2399999999999998</v>
      </c>
      <c r="O112" s="238">
        <v>0.44</v>
      </c>
      <c r="P112" s="238">
        <v>2.8</v>
      </c>
      <c r="Q112" s="485">
        <v>2.98</v>
      </c>
      <c r="R112" s="485"/>
      <c r="S112" s="486"/>
    </row>
    <row r="113" spans="1:19">
      <c r="A113" s="252">
        <v>2042</v>
      </c>
      <c r="B113" s="237">
        <v>22</v>
      </c>
      <c r="C113" s="238">
        <f>((C112-E112)*(1+'Benzin - diesel - hybrid'!$E$64)+E112)</f>
        <v>9.1774406998641069</v>
      </c>
      <c r="D113" s="484" t="e">
        <f>((D112-E113)*(1+'Benzin - diesel - hybrid'!$E$66))+Fremskrivninger!E113</f>
        <v>#VALUE!</v>
      </c>
      <c r="E113" s="235">
        <f t="shared" si="10"/>
        <v>3.2399999999999998</v>
      </c>
      <c r="F113" s="238">
        <v>0.44</v>
      </c>
      <c r="G113" s="238">
        <v>2.8</v>
      </c>
      <c r="H113" s="485">
        <v>2.98</v>
      </c>
      <c r="I113" s="485"/>
      <c r="J113" s="486"/>
      <c r="K113" s="237">
        <v>22</v>
      </c>
      <c r="L113" s="238">
        <f t="shared" si="12"/>
        <v>9.1774406998641069</v>
      </c>
      <c r="M113" s="484" t="e">
        <f>((M112-N113)*(1+'El og plugin hybrid'!E$88))+N113</f>
        <v>#VALUE!</v>
      </c>
      <c r="N113" s="235">
        <f t="shared" si="11"/>
        <v>3.2399999999999998</v>
      </c>
      <c r="O113" s="238">
        <v>0.44</v>
      </c>
      <c r="P113" s="238">
        <v>2.8</v>
      </c>
      <c r="Q113" s="485">
        <v>2.98</v>
      </c>
      <c r="R113" s="485"/>
      <c r="S113" s="486"/>
    </row>
    <row r="114" spans="1:19">
      <c r="A114" s="252">
        <v>2043</v>
      </c>
      <c r="B114" s="237">
        <v>23</v>
      </c>
      <c r="C114" s="238">
        <f>((C113-E113)*(1+'Benzin - diesel - hybrid'!$E$64)+E113)</f>
        <v>9.2635335900121358</v>
      </c>
      <c r="D114" s="484" t="e">
        <f>((D113-E114)*(1+'Benzin - diesel - hybrid'!$E$66))+Fremskrivninger!E114</f>
        <v>#VALUE!</v>
      </c>
      <c r="E114" s="235">
        <f t="shared" si="10"/>
        <v>3.2399999999999998</v>
      </c>
      <c r="F114" s="238">
        <v>0.44</v>
      </c>
      <c r="G114" s="238">
        <v>2.8</v>
      </c>
      <c r="H114" s="485">
        <v>2.98</v>
      </c>
      <c r="I114" s="485"/>
      <c r="J114" s="486"/>
      <c r="K114" s="237">
        <v>23</v>
      </c>
      <c r="L114" s="238">
        <f t="shared" si="12"/>
        <v>9.2635335900121358</v>
      </c>
      <c r="M114" s="484" t="e">
        <f>((M113-N114)*(1+'El og plugin hybrid'!E$88))+N114</f>
        <v>#VALUE!</v>
      </c>
      <c r="N114" s="235">
        <f t="shared" si="11"/>
        <v>3.2399999999999998</v>
      </c>
      <c r="O114" s="238">
        <v>0.44</v>
      </c>
      <c r="P114" s="238">
        <v>2.8</v>
      </c>
      <c r="Q114" s="485">
        <v>2.98</v>
      </c>
      <c r="R114" s="485"/>
      <c r="S114" s="486"/>
    </row>
    <row r="115" spans="1:19">
      <c r="A115" s="252">
        <v>2044</v>
      </c>
      <c r="B115" s="237">
        <v>24</v>
      </c>
      <c r="C115" s="238">
        <f>((C114-E114)*(1+'Benzin - diesel - hybrid'!$E$64)+E114)</f>
        <v>9.3508748270673117</v>
      </c>
      <c r="D115" s="484" t="e">
        <f>((D114-E115)*(1+'Benzin - diesel - hybrid'!$E$66))+Fremskrivninger!E115</f>
        <v>#VALUE!</v>
      </c>
      <c r="E115" s="235">
        <f t="shared" si="10"/>
        <v>3.2399999999999998</v>
      </c>
      <c r="F115" s="238">
        <v>0.44</v>
      </c>
      <c r="G115" s="238">
        <v>2.8</v>
      </c>
      <c r="H115" s="485">
        <v>2.98</v>
      </c>
      <c r="I115" s="485"/>
      <c r="J115" s="486"/>
      <c r="K115" s="237">
        <v>24</v>
      </c>
      <c r="L115" s="238">
        <f t="shared" si="12"/>
        <v>9.3508748270673117</v>
      </c>
      <c r="M115" s="484" t="e">
        <f>((M114-N115)*(1+'El og plugin hybrid'!E$88))+N115</f>
        <v>#VALUE!</v>
      </c>
      <c r="N115" s="235">
        <f t="shared" si="11"/>
        <v>3.2399999999999998</v>
      </c>
      <c r="O115" s="238">
        <v>0.44</v>
      </c>
      <c r="P115" s="238">
        <v>2.8</v>
      </c>
      <c r="Q115" s="485">
        <v>2.98</v>
      </c>
      <c r="R115" s="485"/>
      <c r="S115" s="486"/>
    </row>
    <row r="116" spans="1:19">
      <c r="A116" s="252">
        <v>2045</v>
      </c>
      <c r="B116" s="237">
        <v>25</v>
      </c>
      <c r="C116" s="238">
        <f>((C115-E115)*(1+'Benzin - diesel - hybrid'!$E$64)+E115)</f>
        <v>9.4394825120597865</v>
      </c>
      <c r="D116" s="484" t="e">
        <f>((D115-E116)*(1+'Benzin - diesel - hybrid'!$E$66))+Fremskrivninger!E116</f>
        <v>#VALUE!</v>
      </c>
      <c r="E116" s="235">
        <f t="shared" si="10"/>
        <v>3.2399999999999998</v>
      </c>
      <c r="F116" s="238">
        <v>0.44</v>
      </c>
      <c r="G116" s="238">
        <v>2.8</v>
      </c>
      <c r="H116" s="485">
        <v>2.98</v>
      </c>
      <c r="I116" s="485"/>
      <c r="J116" s="486"/>
      <c r="K116" s="237">
        <v>25</v>
      </c>
      <c r="L116" s="238">
        <f t="shared" si="12"/>
        <v>9.4394825120597865</v>
      </c>
      <c r="M116" s="484" t="e">
        <f>((M115-N116)*(1+'El og plugin hybrid'!E$88))+N116</f>
        <v>#VALUE!</v>
      </c>
      <c r="N116" s="235">
        <f t="shared" si="11"/>
        <v>3.2399999999999998</v>
      </c>
      <c r="O116" s="238">
        <v>0.44</v>
      </c>
      <c r="P116" s="238">
        <v>2.8</v>
      </c>
      <c r="Q116" s="485">
        <v>2.98</v>
      </c>
      <c r="R116" s="485"/>
      <c r="S116" s="486"/>
    </row>
    <row r="117" spans="1:19">
      <c r="A117" s="252">
        <v>2046</v>
      </c>
      <c r="B117" s="237">
        <v>26</v>
      </c>
      <c r="C117" s="238">
        <f>((C116-E116)*(1+'Benzin - diesel - hybrid'!$E$64)+E116)</f>
        <v>9.5293750084846529</v>
      </c>
      <c r="D117" s="484" t="e">
        <f>((D116-E117)*(1+'Benzin - diesel - hybrid'!$E$66))+Fremskrivninger!E117</f>
        <v>#VALUE!</v>
      </c>
      <c r="E117" s="235">
        <f t="shared" si="10"/>
        <v>3.2399999999999998</v>
      </c>
      <c r="F117" s="238">
        <v>0.44</v>
      </c>
      <c r="G117" s="238">
        <v>2.8</v>
      </c>
      <c r="H117" s="485">
        <v>2.98</v>
      </c>
      <c r="I117" s="485"/>
      <c r="J117" s="486"/>
      <c r="K117" s="237">
        <v>26</v>
      </c>
      <c r="L117" s="238">
        <f t="shared" si="12"/>
        <v>9.5293750084846529</v>
      </c>
      <c r="M117" s="484" t="e">
        <f>((M116-N117)*(1+'El og plugin hybrid'!E$88))+N117</f>
        <v>#VALUE!</v>
      </c>
      <c r="N117" s="235">
        <f t="shared" si="11"/>
        <v>3.2399999999999998</v>
      </c>
      <c r="O117" s="238">
        <v>0.44</v>
      </c>
      <c r="P117" s="238">
        <v>2.8</v>
      </c>
      <c r="Q117" s="485">
        <v>2.98</v>
      </c>
      <c r="R117" s="485"/>
      <c r="S117" s="486"/>
    </row>
    <row r="118" spans="1:19">
      <c r="A118" s="252">
        <v>2047</v>
      </c>
      <c r="B118" s="237">
        <v>27</v>
      </c>
      <c r="C118" s="238">
        <f>((C117-E117)*(1+'Benzin - diesel - hybrid'!$E$64)+E117)</f>
        <v>9.62057094610768</v>
      </c>
      <c r="D118" s="484" t="e">
        <f>((D117-E118)*(1+'Benzin - diesel - hybrid'!$E$66))+Fremskrivninger!E118</f>
        <v>#VALUE!</v>
      </c>
      <c r="E118" s="235">
        <f t="shared" si="10"/>
        <v>3.2399999999999998</v>
      </c>
      <c r="F118" s="238">
        <v>0.44</v>
      </c>
      <c r="G118" s="238">
        <v>2.8</v>
      </c>
      <c r="H118" s="485">
        <v>2.98</v>
      </c>
      <c r="I118" s="485"/>
      <c r="J118" s="486"/>
      <c r="K118" s="237">
        <v>27</v>
      </c>
      <c r="L118" s="238">
        <f t="shared" si="12"/>
        <v>9.62057094610768</v>
      </c>
      <c r="M118" s="484" t="e">
        <f>((M117-N118)*(1+'El og plugin hybrid'!E$88))+N118</f>
        <v>#VALUE!</v>
      </c>
      <c r="N118" s="235">
        <f t="shared" si="11"/>
        <v>3.2399999999999998</v>
      </c>
      <c r="O118" s="238">
        <v>0.44</v>
      </c>
      <c r="P118" s="238">
        <v>2.8</v>
      </c>
      <c r="Q118" s="485">
        <v>2.98</v>
      </c>
      <c r="R118" s="485"/>
      <c r="S118" s="486"/>
    </row>
    <row r="119" spans="1:19">
      <c r="A119" s="252">
        <v>2048</v>
      </c>
      <c r="B119" s="237">
        <v>28</v>
      </c>
      <c r="C119" s="238">
        <f>((C118-E118)*(1+'Benzin - diesel - hybrid'!$E$64)+E118)</f>
        <v>9.7130892248262413</v>
      </c>
      <c r="D119" s="484" t="e">
        <f>((D118-E119)*(1+'Benzin - diesel - hybrid'!$E$66))+Fremskrivninger!E119</f>
        <v>#VALUE!</v>
      </c>
      <c r="E119" s="235">
        <f t="shared" si="10"/>
        <v>3.2399999999999998</v>
      </c>
      <c r="F119" s="238">
        <v>0.44</v>
      </c>
      <c r="G119" s="238">
        <v>2.8</v>
      </c>
      <c r="H119" s="485">
        <v>2.98</v>
      </c>
      <c r="I119" s="485"/>
      <c r="J119" s="486"/>
      <c r="K119" s="237">
        <v>28</v>
      </c>
      <c r="L119" s="238">
        <f t="shared" si="12"/>
        <v>9.7130892248262413</v>
      </c>
      <c r="M119" s="484" t="e">
        <f>((M118-N119)*(1+'El og plugin hybrid'!E$88))+N119</f>
        <v>#VALUE!</v>
      </c>
      <c r="N119" s="235">
        <f t="shared" si="11"/>
        <v>3.2399999999999998</v>
      </c>
      <c r="O119" s="238">
        <v>0.44</v>
      </c>
      <c r="P119" s="238">
        <v>2.8</v>
      </c>
      <c r="Q119" s="485">
        <v>2.98</v>
      </c>
      <c r="R119" s="485"/>
      <c r="S119" s="486"/>
    </row>
    <row r="120" spans="1:19">
      <c r="A120" s="252">
        <v>2049</v>
      </c>
      <c r="B120" s="237">
        <v>29</v>
      </c>
      <c r="C120" s="238">
        <f>((C119-E119)*(1+'Benzin - diesel - hybrid'!$E$64)+E119)</f>
        <v>9.8069490185862218</v>
      </c>
      <c r="D120" s="484" t="e">
        <f>((D119-E120)*(1+'Benzin - diesel - hybrid'!$E$66))+Fremskrivninger!E120</f>
        <v>#VALUE!</v>
      </c>
      <c r="E120" s="235">
        <f t="shared" si="10"/>
        <v>3.2399999999999998</v>
      </c>
      <c r="F120" s="238">
        <v>0.44</v>
      </c>
      <c r="G120" s="238">
        <v>2.8</v>
      </c>
      <c r="H120" s="485">
        <v>2.98</v>
      </c>
      <c r="I120" s="485"/>
      <c r="J120" s="486"/>
      <c r="K120" s="237">
        <v>29</v>
      </c>
      <c r="L120" s="238">
        <f t="shared" si="12"/>
        <v>9.8069490185862218</v>
      </c>
      <c r="M120" s="484" t="e">
        <f>((M119-N120)*(1+'El og plugin hybrid'!E$88))+N120</f>
        <v>#VALUE!</v>
      </c>
      <c r="N120" s="235">
        <f t="shared" si="11"/>
        <v>3.2399999999999998</v>
      </c>
      <c r="O120" s="238">
        <v>0.44</v>
      </c>
      <c r="P120" s="238">
        <v>2.8</v>
      </c>
      <c r="Q120" s="485">
        <v>2.98</v>
      </c>
      <c r="R120" s="485"/>
      <c r="S120" s="486"/>
    </row>
    <row r="121" spans="1:19">
      <c r="A121" s="252">
        <v>2050</v>
      </c>
      <c r="B121" s="237">
        <v>30</v>
      </c>
      <c r="C121" s="238">
        <f>((C120-E120)*(1+'Benzin - diesel - hybrid'!$E$64)+E120)</f>
        <v>9.902169779355722</v>
      </c>
      <c r="D121" s="484" t="e">
        <f>((D120-E121)*(1+'Benzin - diesel - hybrid'!$E$66))+Fremskrivninger!E121</f>
        <v>#VALUE!</v>
      </c>
      <c r="E121" s="235">
        <f t="shared" si="10"/>
        <v>3.2399999999999998</v>
      </c>
      <c r="F121" s="238">
        <v>0.44</v>
      </c>
      <c r="G121" s="238">
        <v>2.8</v>
      </c>
      <c r="H121" s="485">
        <v>2.98</v>
      </c>
      <c r="I121" s="489"/>
      <c r="J121" s="490"/>
      <c r="K121" s="237">
        <v>30</v>
      </c>
      <c r="L121" s="238">
        <f t="shared" si="12"/>
        <v>9.902169779355722</v>
      </c>
      <c r="M121" s="484" t="e">
        <f>((M120-N121)*(1+'El og plugin hybrid'!E$88))+N121</f>
        <v>#VALUE!</v>
      </c>
      <c r="N121" s="235">
        <f t="shared" si="11"/>
        <v>3.2399999999999998</v>
      </c>
      <c r="O121" s="238">
        <v>0.44</v>
      </c>
      <c r="P121" s="238">
        <v>2.8</v>
      </c>
      <c r="Q121" s="485">
        <v>2.98</v>
      </c>
      <c r="R121" s="489"/>
      <c r="S121" s="490"/>
    </row>
    <row r="122" spans="1:19">
      <c r="A122" s="252"/>
      <c r="B122" s="237"/>
      <c r="C122" s="238"/>
      <c r="D122" s="477"/>
      <c r="E122" s="240"/>
      <c r="F122" s="242"/>
      <c r="G122" s="242"/>
      <c r="H122" s="239"/>
      <c r="I122" s="239"/>
      <c r="J122" s="241"/>
      <c r="K122" s="237"/>
      <c r="L122" s="238"/>
      <c r="M122" s="477"/>
      <c r="N122" s="240"/>
      <c r="O122" s="242"/>
      <c r="P122" s="242"/>
      <c r="Q122" s="239"/>
      <c r="R122" s="239"/>
      <c r="S122" s="241"/>
    </row>
    <row r="123" spans="1:19">
      <c r="B123" s="478"/>
      <c r="C123" s="479"/>
      <c r="D123" s="477"/>
      <c r="E123" s="279"/>
      <c r="F123" s="279"/>
      <c r="G123" s="279"/>
      <c r="H123" s="279"/>
      <c r="I123" s="279"/>
      <c r="J123" s="236"/>
      <c r="K123" s="478"/>
      <c r="L123" s="479"/>
      <c r="M123" s="477"/>
      <c r="N123" s="279"/>
      <c r="O123" s="279"/>
      <c r="P123" s="279"/>
      <c r="Q123" s="279"/>
      <c r="R123" s="279"/>
      <c r="S123" s="236"/>
    </row>
    <row r="124" spans="1:19">
      <c r="B124" s="237"/>
      <c r="C124" s="279" t="s">
        <v>162</v>
      </c>
      <c r="D124" s="279"/>
      <c r="E124" s="279"/>
      <c r="F124" s="279"/>
      <c r="G124" s="279"/>
      <c r="H124" s="279"/>
      <c r="I124" s="279"/>
      <c r="J124" s="236"/>
      <c r="K124" s="237"/>
      <c r="L124" s="279" t="s">
        <v>162</v>
      </c>
      <c r="M124" s="279"/>
      <c r="N124" s="279"/>
      <c r="O124" s="279"/>
      <c r="P124" s="279"/>
      <c r="Q124" s="279"/>
      <c r="R124" s="279"/>
      <c r="S124" s="236"/>
    </row>
    <row r="125" spans="1:19">
      <c r="B125" s="237"/>
      <c r="C125" s="279"/>
      <c r="D125" s="279"/>
      <c r="E125" s="279"/>
      <c r="F125" s="279"/>
      <c r="G125" s="279"/>
      <c r="H125" s="279"/>
      <c r="I125" s="279"/>
      <c r="J125" s="236"/>
      <c r="K125" s="237"/>
      <c r="L125" s="279"/>
      <c r="M125" s="279"/>
      <c r="N125" s="279"/>
      <c r="O125" s="279"/>
      <c r="P125" s="279"/>
      <c r="Q125" s="279"/>
      <c r="R125" s="279"/>
      <c r="S125" s="236"/>
    </row>
    <row r="126" spans="1:19">
      <c r="B126" s="483"/>
      <c r="C126" s="239" t="s">
        <v>110</v>
      </c>
      <c r="D126" s="239" t="s">
        <v>166</v>
      </c>
      <c r="E126" s="239"/>
      <c r="F126" s="239"/>
      <c r="G126" s="239"/>
      <c r="H126" s="239"/>
      <c r="I126" s="239"/>
      <c r="J126" s="241"/>
      <c r="K126" s="483"/>
      <c r="L126" s="239" t="s">
        <v>110</v>
      </c>
      <c r="M126" s="239" t="s">
        <v>166</v>
      </c>
      <c r="N126" s="239"/>
      <c r="O126" s="239"/>
      <c r="P126" s="239"/>
      <c r="Q126" s="239"/>
      <c r="R126" s="239"/>
      <c r="S126" s="241"/>
    </row>
    <row r="127" spans="1:19"/>
    <row r="128" spans="1:19"/>
  </sheetData>
  <sheetProtection sheet="1" objects="1" scenarios="1"/>
  <protectedRanges>
    <protectedRange sqref="M86 D86 D42 M42 F1" name="Tilpas produktpriser"/>
  </protectedRanges>
  <mergeCells count="19">
    <mergeCell ref="A5:S5"/>
    <mergeCell ref="B6:J6"/>
    <mergeCell ref="K6:O6"/>
    <mergeCell ref="P6:S6"/>
    <mergeCell ref="C44:J44"/>
    <mergeCell ref="K40:K41"/>
    <mergeCell ref="C40:J41"/>
    <mergeCell ref="B45:G45"/>
    <mergeCell ref="H45:J45"/>
    <mergeCell ref="L40:S41"/>
    <mergeCell ref="L44:S44"/>
    <mergeCell ref="K45:P45"/>
    <mergeCell ref="Q45:S45"/>
    <mergeCell ref="L88:S88"/>
    <mergeCell ref="B89:G89"/>
    <mergeCell ref="H89:J89"/>
    <mergeCell ref="Q89:S89"/>
    <mergeCell ref="K89:P89"/>
    <mergeCell ref="C88:J88"/>
  </mergeCells>
  <hyperlinks>
    <hyperlink ref="E2" r:id="rId1" xr:uid="{F6546594-FD1B-4230-852B-C9A08CD80C14}"/>
    <hyperlink ref="F42" r:id="rId2" xr:uid="{4170F301-CC9C-4DD5-8446-9480175912EC}"/>
    <hyperlink ref="O42" r:id="rId3" xr:uid="{4922D3E4-8A08-42D6-B4F1-7A66F190BBDB}"/>
  </hyperlinks>
  <pageMargins left="0.7" right="0.7" top="0.75" bottom="0.75" header="0.3" footer="0.3"/>
  <pageSetup paperSize="9"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0E6E-A1AD-48C0-9D2A-C171C83DDC0D}">
  <sheetPr codeName="Ark13">
    <tabColor theme="4"/>
  </sheetPr>
  <dimension ref="A1:L49"/>
  <sheetViews>
    <sheetView showGridLines="0" zoomScaleNormal="100" workbookViewId="0">
      <selection activeCell="M20" sqref="M20"/>
    </sheetView>
  </sheetViews>
  <sheetFormatPr defaultColWidth="13.3046875" defaultRowHeight="14.6"/>
  <cols>
    <col min="1" max="1" width="13.3046875" style="334"/>
    <col min="2" max="2" width="15.84375" style="326" customWidth="1"/>
    <col min="3" max="4" width="14.69140625" style="326" customWidth="1"/>
    <col min="5" max="16384" width="13.3046875" style="326"/>
  </cols>
  <sheetData>
    <row r="1" spans="1:12" s="323" customFormat="1" ht="19.3">
      <c r="A1" s="322" t="s">
        <v>92</v>
      </c>
    </row>
    <row r="2" spans="1:12" s="323" customFormat="1" ht="19.3">
      <c r="A2" s="322" t="s">
        <v>93</v>
      </c>
    </row>
    <row r="4" spans="1:12" ht="36">
      <c r="A4" s="324" t="s">
        <v>94</v>
      </c>
      <c r="B4" s="325" t="s">
        <v>95</v>
      </c>
      <c r="C4" s="325" t="s">
        <v>96</v>
      </c>
      <c r="D4" s="325" t="s">
        <v>97</v>
      </c>
    </row>
    <row r="5" spans="1:12">
      <c r="A5" s="327">
        <v>2019</v>
      </c>
      <c r="B5" s="328">
        <v>350</v>
      </c>
      <c r="C5" s="328">
        <v>491.04027223076099</v>
      </c>
      <c r="D5" s="328">
        <v>675.27079961678908</v>
      </c>
      <c r="E5" s="329"/>
      <c r="K5" s="330"/>
      <c r="L5" s="330"/>
    </row>
    <row r="6" spans="1:12">
      <c r="A6" s="327">
        <v>2020</v>
      </c>
      <c r="B6" s="328">
        <v>370</v>
      </c>
      <c r="C6" s="328">
        <v>512.26056969585852</v>
      </c>
      <c r="D6" s="328">
        <v>696.49109708188655</v>
      </c>
      <c r="E6" s="329">
        <f>((C6/$C$5)^(1/(A6-$A$5)))-1</f>
        <v>4.3214983913020477E-2</v>
      </c>
      <c r="F6" s="331">
        <f>AVERAGE($E$6:E6)</f>
        <v>4.3214983913020477E-2</v>
      </c>
      <c r="K6" s="330"/>
      <c r="L6" s="330"/>
    </row>
    <row r="7" spans="1:12">
      <c r="A7" s="327">
        <v>2021</v>
      </c>
      <c r="B7" s="328">
        <v>360</v>
      </c>
      <c r="C7" s="328">
        <v>501.63687146843711</v>
      </c>
      <c r="D7" s="328">
        <v>685.86739885446525</v>
      </c>
      <c r="E7" s="329">
        <f>((C7/$C$5)^(1/(A7-$A$5)))-1</f>
        <v>1.0732357504783074E-2</v>
      </c>
      <c r="F7" s="331">
        <f>AVERAGE($E$6:E7)</f>
        <v>2.6973670708901776E-2</v>
      </c>
      <c r="K7" s="330"/>
      <c r="L7" s="330"/>
    </row>
    <row r="8" spans="1:12">
      <c r="A8" s="327">
        <v>2022</v>
      </c>
      <c r="B8" s="328">
        <v>360</v>
      </c>
      <c r="C8" s="328">
        <v>501.62868763702522</v>
      </c>
      <c r="D8" s="328">
        <v>685.85921502305325</v>
      </c>
      <c r="E8" s="329">
        <f t="shared" ref="E8:E26" si="0">((C8/$C$5)^(1/(A8-$A$5)))-1</f>
        <v>7.1366905495475752E-3</v>
      </c>
      <c r="F8" s="331">
        <f>AVERAGE($E$6:E8)</f>
        <v>2.0361343989117042E-2</v>
      </c>
      <c r="K8" s="330"/>
      <c r="L8" s="330"/>
    </row>
    <row r="9" spans="1:12">
      <c r="A9" s="327">
        <v>2023</v>
      </c>
      <c r="B9" s="328">
        <v>380</v>
      </c>
      <c r="C9" s="328">
        <v>522.85155531929979</v>
      </c>
      <c r="D9" s="328">
        <v>707.08208270532782</v>
      </c>
      <c r="E9" s="329">
        <f t="shared" si="0"/>
        <v>1.5816640953520311E-2</v>
      </c>
      <c r="F9" s="331">
        <f>AVERAGE($E$6:E9)</f>
        <v>1.9225168230217859E-2</v>
      </c>
      <c r="K9" s="330"/>
      <c r="L9" s="330"/>
    </row>
    <row r="10" spans="1:12">
      <c r="A10" s="327">
        <v>2024</v>
      </c>
      <c r="B10" s="328">
        <v>390</v>
      </c>
      <c r="C10" s="328">
        <v>533.46187389034321</v>
      </c>
      <c r="D10" s="328">
        <v>717.69240127637124</v>
      </c>
      <c r="E10" s="332">
        <f t="shared" si="0"/>
        <v>1.6710373911233534E-2</v>
      </c>
      <c r="F10" s="331">
        <f>AVERAGE($E$6:E10)</f>
        <v>1.8722209366420994E-2</v>
      </c>
      <c r="K10" s="330"/>
      <c r="L10" s="330"/>
    </row>
    <row r="11" spans="1:12">
      <c r="A11" s="327">
        <v>2025</v>
      </c>
      <c r="B11" s="328">
        <v>400</v>
      </c>
      <c r="C11" s="328">
        <v>544.07395991253111</v>
      </c>
      <c r="D11" s="328">
        <v>728.30448729855914</v>
      </c>
      <c r="E11" s="329">
        <f t="shared" si="0"/>
        <v>1.7240098928582581E-2</v>
      </c>
      <c r="F11" s="331">
        <f>AVERAGE($E$6:E11)</f>
        <v>1.8475190960114591E-2</v>
      </c>
      <c r="K11" s="330"/>
      <c r="L11" s="330"/>
    </row>
    <row r="12" spans="1:12">
      <c r="A12" s="327">
        <v>2026</v>
      </c>
      <c r="B12" s="328">
        <v>390</v>
      </c>
      <c r="C12" s="328">
        <v>533.47661210050194</v>
      </c>
      <c r="D12" s="328">
        <v>717.70713948652997</v>
      </c>
      <c r="E12" s="329">
        <f t="shared" si="0"/>
        <v>1.1911683699938669E-2</v>
      </c>
      <c r="F12" s="331">
        <f>AVERAGE($E$6:E12)</f>
        <v>1.7537547065803745E-2</v>
      </c>
      <c r="K12" s="330"/>
      <c r="L12" s="330"/>
    </row>
    <row r="13" spans="1:12">
      <c r="A13" s="327">
        <v>2027</v>
      </c>
      <c r="B13" s="328">
        <v>390</v>
      </c>
      <c r="C13" s="328">
        <v>533.4912983062361</v>
      </c>
      <c r="D13" s="328">
        <v>717.72182569226413</v>
      </c>
      <c r="E13" s="329">
        <f t="shared" si="0"/>
        <v>1.0418475121897863E-2</v>
      </c>
      <c r="F13" s="331">
        <f>AVERAGE($E$6:E13)</f>
        <v>1.6647663072815511E-2</v>
      </c>
      <c r="K13" s="330"/>
      <c r="L13" s="330"/>
    </row>
    <row r="14" spans="1:12">
      <c r="A14" s="327">
        <v>2028</v>
      </c>
      <c r="B14" s="328">
        <v>390</v>
      </c>
      <c r="C14" s="328">
        <v>533.50800983662907</v>
      </c>
      <c r="D14" s="328">
        <v>717.7385372226571</v>
      </c>
      <c r="E14" s="329">
        <f t="shared" si="0"/>
        <v>9.2590398204261959E-3</v>
      </c>
      <c r="F14" s="331">
        <f>AVERAGE($E$6:E14)</f>
        <v>1.5826704933661142E-2</v>
      </c>
      <c r="K14" s="330"/>
      <c r="L14" s="330"/>
    </row>
    <row r="15" spans="1:12">
      <c r="A15" s="327">
        <v>2029</v>
      </c>
      <c r="B15" s="328">
        <v>380</v>
      </c>
      <c r="C15" s="328">
        <v>522.90800951562835</v>
      </c>
      <c r="D15" s="328">
        <v>707.13853690165638</v>
      </c>
      <c r="E15" s="329">
        <f t="shared" si="0"/>
        <v>6.3077519338963217E-3</v>
      </c>
      <c r="F15" s="331">
        <f>AVERAGE($E$6:E15)</f>
        <v>1.487480963368466E-2</v>
      </c>
      <c r="K15" s="330"/>
      <c r="L15" s="330"/>
    </row>
    <row r="16" spans="1:12">
      <c r="A16" s="327">
        <v>2030</v>
      </c>
      <c r="B16" s="328">
        <v>380</v>
      </c>
      <c r="C16" s="328">
        <v>522.92238996038088</v>
      </c>
      <c r="D16" s="328">
        <v>707.15291734640891</v>
      </c>
      <c r="E16" s="329">
        <f t="shared" si="0"/>
        <v>5.7351939606606894E-3</v>
      </c>
      <c r="F16" s="331">
        <f>AVERAGE($E$6:E16)</f>
        <v>1.4043935481591573E-2</v>
      </c>
      <c r="K16" s="330"/>
      <c r="L16" s="330"/>
    </row>
    <row r="17" spans="1:12">
      <c r="A17" s="327">
        <v>2031</v>
      </c>
      <c r="B17" s="328">
        <v>380</v>
      </c>
      <c r="C17" s="328">
        <v>522.92238996038088</v>
      </c>
      <c r="D17" s="328">
        <v>707.15291734640891</v>
      </c>
      <c r="E17" s="329">
        <f t="shared" si="0"/>
        <v>5.2560074158845005E-3</v>
      </c>
      <c r="F17" s="331">
        <f>AVERAGE($E$6:E17)</f>
        <v>1.3311608142782649E-2</v>
      </c>
      <c r="K17" s="330"/>
      <c r="L17" s="330"/>
    </row>
    <row r="18" spans="1:12">
      <c r="A18" s="327">
        <v>2032</v>
      </c>
      <c r="B18" s="328">
        <v>380</v>
      </c>
      <c r="C18" s="328">
        <v>522.92238996038088</v>
      </c>
      <c r="D18" s="328">
        <v>707.15291734640891</v>
      </c>
      <c r="E18" s="329">
        <f t="shared" si="0"/>
        <v>4.8507202075911415E-3</v>
      </c>
      <c r="F18" s="331">
        <f>AVERAGE($E$6:E18)</f>
        <v>1.266077060930638E-2</v>
      </c>
      <c r="K18" s="330"/>
      <c r="L18" s="330"/>
    </row>
    <row r="19" spans="1:12">
      <c r="A19" s="327">
        <v>2033</v>
      </c>
      <c r="B19" s="328">
        <v>370</v>
      </c>
      <c r="C19" s="328">
        <v>512.30667870772697</v>
      </c>
      <c r="D19" s="328">
        <v>696.537206093755</v>
      </c>
      <c r="E19" s="329">
        <f t="shared" si="0"/>
        <v>3.0329674744697943E-3</v>
      </c>
      <c r="F19" s="331">
        <f>AVERAGE($E$6:E19)</f>
        <v>1.1973070385389481E-2</v>
      </c>
      <c r="K19" s="330"/>
      <c r="L19" s="330"/>
    </row>
    <row r="20" spans="1:12">
      <c r="A20" s="327">
        <v>2034</v>
      </c>
      <c r="B20" s="328">
        <v>380</v>
      </c>
      <c r="C20" s="328">
        <v>522.92238996038088</v>
      </c>
      <c r="D20" s="328">
        <v>707.15291734640891</v>
      </c>
      <c r="E20" s="329">
        <f t="shared" si="0"/>
        <v>4.2026005166180269E-3</v>
      </c>
      <c r="F20" s="331">
        <f>AVERAGE($E$6:E20)</f>
        <v>1.1455039060804717E-2</v>
      </c>
      <c r="K20" s="330"/>
      <c r="L20" s="330"/>
    </row>
    <row r="21" spans="1:12">
      <c r="A21" s="327">
        <v>2035</v>
      </c>
      <c r="B21" s="328">
        <v>370</v>
      </c>
      <c r="C21" s="328">
        <v>512.30667870772697</v>
      </c>
      <c r="D21" s="328">
        <v>696.537206093755</v>
      </c>
      <c r="E21" s="329">
        <f t="shared" si="0"/>
        <v>2.6533440470177805E-3</v>
      </c>
      <c r="F21" s="331">
        <f>AVERAGE($E$6:E21)</f>
        <v>1.0904933122443033E-2</v>
      </c>
      <c r="K21" s="330"/>
      <c r="L21" s="330"/>
    </row>
    <row r="22" spans="1:12">
      <c r="A22" s="327">
        <v>2036</v>
      </c>
      <c r="B22" s="328">
        <v>380</v>
      </c>
      <c r="C22" s="328">
        <v>522.92238996038088</v>
      </c>
      <c r="D22" s="328">
        <v>707.15291734640891</v>
      </c>
      <c r="E22" s="329">
        <f t="shared" si="0"/>
        <v>3.7072616534301606E-3</v>
      </c>
      <c r="F22" s="331">
        <f>AVERAGE($E$6:E22)</f>
        <v>1.0481540683089334E-2</v>
      </c>
      <c r="K22" s="330"/>
      <c r="L22" s="330"/>
    </row>
    <row r="23" spans="1:12">
      <c r="A23" s="327">
        <v>2037</v>
      </c>
      <c r="B23" s="328">
        <v>380</v>
      </c>
      <c r="C23" s="328">
        <v>522.92238996038088</v>
      </c>
      <c r="D23" s="328">
        <v>707.15291734640891</v>
      </c>
      <c r="E23" s="329">
        <f t="shared" si="0"/>
        <v>3.5009425797452032E-3</v>
      </c>
      <c r="F23" s="331">
        <f>AVERAGE($E$6:E23)</f>
        <v>1.0093729677347995E-2</v>
      </c>
      <c r="K23" s="330"/>
      <c r="L23" s="330"/>
    </row>
    <row r="24" spans="1:12">
      <c r="A24" s="327">
        <v>2038</v>
      </c>
      <c r="B24" s="328">
        <v>380</v>
      </c>
      <c r="C24" s="328">
        <v>522.92238996038088</v>
      </c>
      <c r="D24" s="328">
        <v>707.15291734640891</v>
      </c>
      <c r="E24" s="329">
        <f t="shared" si="0"/>
        <v>3.3163772524753554E-3</v>
      </c>
      <c r="F24" s="331">
        <f>AVERAGE($E$6:E24)</f>
        <v>9.7370269181441711E-3</v>
      </c>
      <c r="K24" s="330"/>
      <c r="L24" s="330"/>
    </row>
    <row r="25" spans="1:12">
      <c r="A25" s="327">
        <v>2039</v>
      </c>
      <c r="B25" s="328">
        <v>380</v>
      </c>
      <c r="C25" s="328">
        <v>522.92238996038088</v>
      </c>
      <c r="D25" s="328">
        <v>707.15291734640891</v>
      </c>
      <c r="E25" s="329">
        <f t="shared" si="0"/>
        <v>3.1502974815287299E-3</v>
      </c>
      <c r="F25" s="331">
        <f>AVERAGE($E$6:E25)</f>
        <v>9.4076904463133992E-3</v>
      </c>
    </row>
    <row r="26" spans="1:12">
      <c r="A26" s="327">
        <v>2040</v>
      </c>
      <c r="B26" s="328">
        <v>380</v>
      </c>
      <c r="C26" s="328">
        <v>522.92238996038088</v>
      </c>
      <c r="D26" s="328">
        <v>707.15291734640891</v>
      </c>
      <c r="E26" s="329">
        <f t="shared" si="0"/>
        <v>3.0000585204139618E-3</v>
      </c>
      <c r="F26" s="331">
        <f>AVERAGE($E$6:E26)</f>
        <v>9.1025651165086638E-3</v>
      </c>
    </row>
    <row r="27" spans="1:12">
      <c r="A27" s="333" t="s">
        <v>98</v>
      </c>
    </row>
    <row r="28" spans="1:12">
      <c r="A28" s="333" t="s">
        <v>99</v>
      </c>
    </row>
    <row r="29" spans="1:12">
      <c r="A29" s="333" t="s">
        <v>100</v>
      </c>
    </row>
    <row r="30" spans="1:12">
      <c r="A30"/>
      <c r="B30"/>
      <c r="C30"/>
      <c r="D30"/>
    </row>
    <row r="31" spans="1:12">
      <c r="A31"/>
      <c r="B31"/>
      <c r="C31"/>
      <c r="D31"/>
    </row>
    <row r="32" spans="1:12">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row r="45" spans="1:4">
      <c r="A45"/>
      <c r="B45"/>
      <c r="C45"/>
      <c r="D45"/>
    </row>
    <row r="46" spans="1:4">
      <c r="A46"/>
      <c r="B46"/>
      <c r="C46"/>
      <c r="D46"/>
    </row>
    <row r="47" spans="1:4">
      <c r="A47"/>
      <c r="B47"/>
      <c r="C47"/>
      <c r="D47"/>
    </row>
    <row r="48" spans="1:4">
      <c r="A48"/>
      <c r="B48"/>
      <c r="C48"/>
      <c r="D48"/>
    </row>
    <row r="49" spans="1:4">
      <c r="A49"/>
      <c r="B49"/>
      <c r="C49"/>
      <c r="D49"/>
    </row>
  </sheetData>
  <sheetProtection sheet="1" objects="1" scenarios="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5F03C-EC11-4055-92AB-2C948AF751BB}">
  <sheetPr codeName="Ark14">
    <tabColor theme="4"/>
  </sheetPr>
  <dimension ref="A1:P46"/>
  <sheetViews>
    <sheetView showGridLines="0" zoomScaleNormal="100" workbookViewId="0">
      <selection activeCell="M23" sqref="M23"/>
    </sheetView>
  </sheetViews>
  <sheetFormatPr defaultColWidth="13.3046875" defaultRowHeight="14.6"/>
  <cols>
    <col min="1" max="1" width="13.3046875" style="334"/>
    <col min="2" max="2" width="15.84375" style="326" customWidth="1"/>
    <col min="3" max="6" width="14.69140625" style="326" customWidth="1"/>
    <col min="7" max="16384" width="13.3046875" style="326"/>
  </cols>
  <sheetData>
    <row r="1" spans="1:16" s="323" customFormat="1" ht="19.3">
      <c r="A1" s="322" t="s">
        <v>101</v>
      </c>
    </row>
    <row r="2" spans="1:16" s="323" customFormat="1" ht="19.3">
      <c r="A2" s="322" t="s">
        <v>102</v>
      </c>
    </row>
    <row r="3" spans="1:16" ht="15" thickBot="1"/>
    <row r="4" spans="1:16" ht="48">
      <c r="A4" s="324" t="s">
        <v>103</v>
      </c>
      <c r="B4" s="325" t="s">
        <v>104</v>
      </c>
      <c r="C4" s="325" t="s">
        <v>105</v>
      </c>
      <c r="D4" s="335" t="s">
        <v>106</v>
      </c>
      <c r="E4" s="336" t="s">
        <v>107</v>
      </c>
      <c r="F4" s="337" t="s">
        <v>108</v>
      </c>
      <c r="G4" s="326" t="s">
        <v>109</v>
      </c>
      <c r="H4" s="326" t="s">
        <v>109</v>
      </c>
      <c r="I4" s="326" t="s">
        <v>110</v>
      </c>
      <c r="J4" s="326" t="s">
        <v>110</v>
      </c>
    </row>
    <row r="5" spans="1:16">
      <c r="A5" s="327">
        <v>2019</v>
      </c>
      <c r="B5" s="338">
        <v>73.900000000000006</v>
      </c>
      <c r="C5" s="338">
        <v>123.6</v>
      </c>
      <c r="D5" s="339">
        <v>118.1</v>
      </c>
      <c r="E5" s="340">
        <f>+C5*$C$34</f>
        <v>3.9552</v>
      </c>
      <c r="F5" s="341">
        <f>+D5*$C$35</f>
        <v>4.2515999999999998</v>
      </c>
      <c r="G5" s="329"/>
      <c r="O5" s="330"/>
      <c r="P5" s="330"/>
    </row>
    <row r="6" spans="1:16">
      <c r="A6" s="327">
        <v>2020</v>
      </c>
      <c r="B6" s="338">
        <v>75.900000000000006</v>
      </c>
      <c r="C6" s="338">
        <v>125.7</v>
      </c>
      <c r="D6" s="339">
        <v>120.1</v>
      </c>
      <c r="E6" s="340">
        <f t="shared" ref="E6:E26" si="0">+C6*$C$34</f>
        <v>4.0224000000000002</v>
      </c>
      <c r="F6" s="341">
        <f t="shared" ref="F6:F26" si="1">+D6*$C$35</f>
        <v>4.3235999999999999</v>
      </c>
      <c r="G6" s="329">
        <f>((C6/$C$5)^(1/(A6-$A$5)))-1</f>
        <v>1.6990291262136026E-2</v>
      </c>
      <c r="H6" s="331">
        <f>AVERAGE($G$6:G6)</f>
        <v>1.6990291262136026E-2</v>
      </c>
      <c r="I6" s="329">
        <f>((D6/$D$5)^(1/(A6-$A$5)))-1</f>
        <v>1.693480101608813E-2</v>
      </c>
      <c r="J6" s="331">
        <f>AVERAGE($I$6:I6)</f>
        <v>1.693480101608813E-2</v>
      </c>
      <c r="O6" s="330"/>
      <c r="P6" s="330"/>
    </row>
    <row r="7" spans="1:16">
      <c r="A7" s="327">
        <v>2021</v>
      </c>
      <c r="B7" s="338">
        <v>77.7</v>
      </c>
      <c r="C7" s="338">
        <v>127.4</v>
      </c>
      <c r="D7" s="339">
        <v>121.9</v>
      </c>
      <c r="E7" s="340">
        <f t="shared" si="0"/>
        <v>4.0768000000000004</v>
      </c>
      <c r="F7" s="341">
        <f t="shared" si="1"/>
        <v>4.3883999999999999</v>
      </c>
      <c r="G7" s="329">
        <f>((C7/$C$5)^(1/(A7-$A$5)))-1</f>
        <v>1.5255798589488112E-2</v>
      </c>
      <c r="H7" s="331">
        <f>AVERAGE($G$6:G7)</f>
        <v>1.6123044925812069E-2</v>
      </c>
      <c r="I7" s="329">
        <f t="shared" ref="I7:I26" si="2">((D7/$D$5)^(1/(A7-$A$5)))-1</f>
        <v>1.5960689165957609E-2</v>
      </c>
      <c r="J7" s="331">
        <f>AVERAGE($I$6:I7)</f>
        <v>1.644774509102287E-2</v>
      </c>
      <c r="O7" s="330"/>
      <c r="P7" s="330"/>
    </row>
    <row r="8" spans="1:16">
      <c r="A8" s="327">
        <v>2022</v>
      </c>
      <c r="B8" s="338">
        <v>79.3</v>
      </c>
      <c r="C8" s="338">
        <v>129</v>
      </c>
      <c r="D8" s="339">
        <v>123.5</v>
      </c>
      <c r="E8" s="340">
        <f t="shared" si="0"/>
        <v>4.1280000000000001</v>
      </c>
      <c r="F8" s="341">
        <f t="shared" si="1"/>
        <v>4.4459999999999997</v>
      </c>
      <c r="G8" s="329">
        <f t="shared" ref="G8:G26" si="3">((C8/$C$5)^(1/(A8-$A$5)))-1</f>
        <v>1.4356025102198133E-2</v>
      </c>
      <c r="H8" s="331">
        <f>AVERAGE($G$6:G8)</f>
        <v>1.5534038317940757E-2</v>
      </c>
      <c r="I8" s="329">
        <f t="shared" si="2"/>
        <v>1.5014749878575984E-2</v>
      </c>
      <c r="J8" s="331">
        <f>AVERAGE($I$6:I8)</f>
        <v>1.597008002020724E-2</v>
      </c>
      <c r="O8" s="330"/>
      <c r="P8" s="330"/>
    </row>
    <row r="9" spans="1:16">
      <c r="A9" s="327">
        <v>2023</v>
      </c>
      <c r="B9" s="338">
        <v>81</v>
      </c>
      <c r="C9" s="338">
        <v>130.80000000000001</v>
      </c>
      <c r="D9" s="339">
        <v>125.2</v>
      </c>
      <c r="E9" s="340">
        <f t="shared" si="0"/>
        <v>4.1856000000000009</v>
      </c>
      <c r="F9" s="341">
        <f t="shared" si="1"/>
        <v>4.5072000000000001</v>
      </c>
      <c r="G9" s="329">
        <f t="shared" si="3"/>
        <v>1.4255375940340098E-2</v>
      </c>
      <c r="H9" s="331">
        <f>AVERAGE($G$6:G9)</f>
        <v>1.5214372723540592E-2</v>
      </c>
      <c r="I9" s="329">
        <f t="shared" si="2"/>
        <v>1.470221363415769E-2</v>
      </c>
      <c r="J9" s="331">
        <f>AVERAGE($I$6:I9)</f>
        <v>1.5653113423694853E-2</v>
      </c>
      <c r="O9" s="330"/>
      <c r="P9" s="330"/>
    </row>
    <row r="10" spans="1:16">
      <c r="A10" s="327">
        <v>2024</v>
      </c>
      <c r="B10" s="338">
        <v>82.7</v>
      </c>
      <c r="C10" s="338">
        <v>132.4</v>
      </c>
      <c r="D10" s="339">
        <v>126.9</v>
      </c>
      <c r="E10" s="340">
        <f t="shared" si="0"/>
        <v>4.2368000000000006</v>
      </c>
      <c r="F10" s="341">
        <f t="shared" si="1"/>
        <v>4.5683999999999996</v>
      </c>
      <c r="G10" s="332">
        <f t="shared" si="3"/>
        <v>1.3850460757952376E-2</v>
      </c>
      <c r="H10" s="331">
        <f>AVERAGE($G$6:G10)</f>
        <v>1.4941590330422949E-2</v>
      </c>
      <c r="I10" s="332">
        <f t="shared" si="2"/>
        <v>1.4477326198338414E-2</v>
      </c>
      <c r="J10" s="331">
        <f>AVERAGE($I$6:I10)</f>
        <v>1.5417955978623565E-2</v>
      </c>
      <c r="O10" s="330"/>
      <c r="P10" s="330"/>
    </row>
    <row r="11" spans="1:16">
      <c r="A11" s="327">
        <v>2025</v>
      </c>
      <c r="B11" s="338">
        <v>84.1</v>
      </c>
      <c r="C11" s="338">
        <v>133.80000000000001</v>
      </c>
      <c r="D11" s="339">
        <v>128.19999999999999</v>
      </c>
      <c r="E11" s="340">
        <f t="shared" si="0"/>
        <v>4.2816000000000001</v>
      </c>
      <c r="F11" s="341">
        <f t="shared" si="1"/>
        <v>4.6151999999999989</v>
      </c>
      <c r="G11" s="329">
        <f t="shared" si="3"/>
        <v>1.3303650223536412E-2</v>
      </c>
      <c r="H11" s="331">
        <f>AVERAGE($G$6:G11)</f>
        <v>1.4668600312608526E-2</v>
      </c>
      <c r="I11" s="329">
        <f t="shared" si="2"/>
        <v>1.3770589910605313E-2</v>
      </c>
      <c r="J11" s="331">
        <f>AVERAGE($I$6:I11)</f>
        <v>1.5143394967287191E-2</v>
      </c>
      <c r="O11" s="330"/>
      <c r="P11" s="330"/>
    </row>
    <row r="12" spans="1:16">
      <c r="A12" s="327">
        <v>2026</v>
      </c>
      <c r="B12" s="338">
        <v>86.7</v>
      </c>
      <c r="C12" s="338">
        <v>136.4</v>
      </c>
      <c r="D12" s="339">
        <v>130.9</v>
      </c>
      <c r="E12" s="340">
        <f t="shared" si="0"/>
        <v>4.3648000000000007</v>
      </c>
      <c r="F12" s="341">
        <f t="shared" si="1"/>
        <v>4.7123999999999997</v>
      </c>
      <c r="G12" s="329">
        <f t="shared" si="3"/>
        <v>1.4176866323344806E-2</v>
      </c>
      <c r="H12" s="331">
        <f>AVERAGE($G$6:G12)</f>
        <v>1.4598352599856566E-2</v>
      </c>
      <c r="I12" s="329">
        <f t="shared" si="2"/>
        <v>1.4808859026894661E-2</v>
      </c>
      <c r="J12" s="331">
        <f>AVERAGE($I$6:I12)</f>
        <v>1.5095604118659687E-2</v>
      </c>
      <c r="O12" s="330"/>
      <c r="P12" s="330"/>
    </row>
    <row r="13" spans="1:16">
      <c r="A13" s="327">
        <v>2027</v>
      </c>
      <c r="B13" s="338">
        <v>88.2</v>
      </c>
      <c r="C13" s="338">
        <v>137.9</v>
      </c>
      <c r="D13" s="339">
        <v>132.4</v>
      </c>
      <c r="E13" s="340">
        <f t="shared" si="0"/>
        <v>4.4127999999999998</v>
      </c>
      <c r="F13" s="341">
        <f t="shared" si="1"/>
        <v>4.7664</v>
      </c>
      <c r="G13" s="329">
        <f t="shared" si="3"/>
        <v>1.3778845170805631E-2</v>
      </c>
      <c r="H13" s="331">
        <f>AVERAGE($G$6:G13)</f>
        <v>1.4495914171225199E-2</v>
      </c>
      <c r="I13" s="329">
        <f t="shared" si="2"/>
        <v>1.4389536859433782E-2</v>
      </c>
      <c r="J13" s="331">
        <f>AVERAGE($I$6:I13)</f>
        <v>1.5007345711256448E-2</v>
      </c>
      <c r="O13" s="330"/>
      <c r="P13" s="330"/>
    </row>
    <row r="14" spans="1:16">
      <c r="A14" s="327">
        <v>2028</v>
      </c>
      <c r="B14" s="338">
        <v>89.6</v>
      </c>
      <c r="C14" s="338">
        <v>139.30000000000001</v>
      </c>
      <c r="D14" s="339">
        <v>133.80000000000001</v>
      </c>
      <c r="E14" s="340">
        <f t="shared" si="0"/>
        <v>4.4576000000000002</v>
      </c>
      <c r="F14" s="341">
        <f t="shared" si="1"/>
        <v>4.8167999999999997</v>
      </c>
      <c r="G14" s="329">
        <f t="shared" si="3"/>
        <v>1.337525186093913E-2</v>
      </c>
      <c r="H14" s="331">
        <f>AVERAGE($G$6:G14)</f>
        <v>1.437139613674897E-2</v>
      </c>
      <c r="I14" s="329">
        <f t="shared" si="2"/>
        <v>1.3964879926149809E-2</v>
      </c>
      <c r="J14" s="331">
        <f>AVERAGE($I$6:I14)</f>
        <v>1.4891516179577933E-2</v>
      </c>
      <c r="O14" s="330"/>
      <c r="P14" s="330"/>
    </row>
    <row r="15" spans="1:16">
      <c r="A15" s="327">
        <v>2029</v>
      </c>
      <c r="B15" s="338">
        <v>90.9</v>
      </c>
      <c r="C15" s="338">
        <v>140.69999999999999</v>
      </c>
      <c r="D15" s="339">
        <v>135.1</v>
      </c>
      <c r="E15" s="340">
        <f t="shared" si="0"/>
        <v>4.5023999999999997</v>
      </c>
      <c r="F15" s="341">
        <f t="shared" si="1"/>
        <v>4.863599999999999</v>
      </c>
      <c r="G15" s="329">
        <f t="shared" si="3"/>
        <v>1.3042259840952974E-2</v>
      </c>
      <c r="H15" s="331">
        <f>AVERAGE($G$6:G15)</f>
        <v>1.4238482507169369E-2</v>
      </c>
      <c r="I15" s="329">
        <f t="shared" si="2"/>
        <v>1.3539188005064373E-2</v>
      </c>
      <c r="J15" s="331">
        <f>AVERAGE($I$6:I15)</f>
        <v>1.4756283362126577E-2</v>
      </c>
      <c r="O15" s="330"/>
      <c r="P15" s="330"/>
    </row>
    <row r="16" spans="1:16">
      <c r="A16" s="327">
        <v>2030</v>
      </c>
      <c r="B16" s="338">
        <v>92.1</v>
      </c>
      <c r="C16" s="338">
        <v>141.9</v>
      </c>
      <c r="D16" s="339">
        <v>136.30000000000001</v>
      </c>
      <c r="E16" s="340">
        <f t="shared" si="0"/>
        <v>4.5407999999999999</v>
      </c>
      <c r="F16" s="341">
        <f t="shared" si="1"/>
        <v>4.9067999999999996</v>
      </c>
      <c r="G16" s="329">
        <f t="shared" si="3"/>
        <v>1.2631110592491446E-2</v>
      </c>
      <c r="H16" s="331">
        <f>AVERAGE($G$6:G16)</f>
        <v>1.4092357787653194E-2</v>
      </c>
      <c r="I16" s="329">
        <f t="shared" si="2"/>
        <v>1.3114948644548985E-2</v>
      </c>
      <c r="J16" s="331">
        <f>AVERAGE($I$6:I16)</f>
        <v>1.4607071115074068E-2</v>
      </c>
      <c r="O16" s="330"/>
      <c r="P16" s="330"/>
    </row>
    <row r="17" spans="1:16">
      <c r="A17" s="327">
        <v>2031</v>
      </c>
      <c r="B17" s="338">
        <v>93.7</v>
      </c>
      <c r="C17" s="338">
        <v>143.4</v>
      </c>
      <c r="D17" s="339">
        <v>137.9</v>
      </c>
      <c r="E17" s="340">
        <f t="shared" si="0"/>
        <v>4.5888</v>
      </c>
      <c r="F17" s="341">
        <f t="shared" si="1"/>
        <v>4.9643999999999995</v>
      </c>
      <c r="G17" s="329">
        <f t="shared" si="3"/>
        <v>1.2459259773720754E-2</v>
      </c>
      <c r="H17" s="331">
        <f>AVERAGE($G$6:G17)</f>
        <v>1.3956266286492158E-2</v>
      </c>
      <c r="I17" s="329">
        <f t="shared" si="2"/>
        <v>1.3000199088065267E-2</v>
      </c>
      <c r="J17" s="331">
        <f>AVERAGE($I$6:I17)</f>
        <v>1.4473165112823335E-2</v>
      </c>
      <c r="O17" s="330"/>
      <c r="P17" s="330"/>
    </row>
    <row r="18" spans="1:16">
      <c r="A18" s="327">
        <v>2032</v>
      </c>
      <c r="B18" s="338">
        <v>95.6</v>
      </c>
      <c r="C18" s="338">
        <v>145.30000000000001</v>
      </c>
      <c r="D18" s="339">
        <v>139.69999999999999</v>
      </c>
      <c r="E18" s="340">
        <f t="shared" si="0"/>
        <v>4.6496000000000004</v>
      </c>
      <c r="F18" s="341">
        <f t="shared" si="1"/>
        <v>5.0291999999999994</v>
      </c>
      <c r="G18" s="329">
        <f t="shared" si="3"/>
        <v>1.2520037228344716E-2</v>
      </c>
      <c r="H18" s="331">
        <f>AVERAGE($G$6:G18)</f>
        <v>1.3845787128173125E-2</v>
      </c>
      <c r="I18" s="329">
        <f t="shared" si="2"/>
        <v>1.3004255746187576E-2</v>
      </c>
      <c r="J18" s="331">
        <f>AVERAGE($I$6:I18)</f>
        <v>1.4360172084620584E-2</v>
      </c>
      <c r="O18" s="330"/>
      <c r="P18" s="330"/>
    </row>
    <row r="19" spans="1:16">
      <c r="A19" s="327">
        <v>2033</v>
      </c>
      <c r="B19" s="338">
        <v>97.3</v>
      </c>
      <c r="C19" s="338">
        <v>147.1</v>
      </c>
      <c r="D19" s="339">
        <v>141.5</v>
      </c>
      <c r="E19" s="340">
        <f t="shared" si="0"/>
        <v>4.7072000000000003</v>
      </c>
      <c r="F19" s="341">
        <f t="shared" si="1"/>
        <v>5.0939999999999994</v>
      </c>
      <c r="G19" s="329">
        <f t="shared" si="3"/>
        <v>1.2510617029703797E-2</v>
      </c>
      <c r="H19" s="331">
        <f>AVERAGE($G$6:G19)</f>
        <v>1.3750417835425315E-2</v>
      </c>
      <c r="I19" s="329">
        <f t="shared" si="2"/>
        <v>1.2995719371205361E-2</v>
      </c>
      <c r="J19" s="331">
        <f>AVERAGE($I$6:I19)</f>
        <v>1.4262711176519496E-2</v>
      </c>
      <c r="O19" s="330"/>
      <c r="P19" s="330"/>
    </row>
    <row r="20" spans="1:16">
      <c r="A20" s="327">
        <v>2034</v>
      </c>
      <c r="B20" s="338">
        <v>99</v>
      </c>
      <c r="C20" s="338">
        <v>148.69999999999999</v>
      </c>
      <c r="D20" s="339">
        <v>143.19999999999999</v>
      </c>
      <c r="E20" s="340">
        <f t="shared" si="0"/>
        <v>4.7584</v>
      </c>
      <c r="F20" s="341">
        <f t="shared" si="1"/>
        <v>5.1551999999999989</v>
      </c>
      <c r="G20" s="329">
        <f t="shared" si="3"/>
        <v>1.2401624100809583E-2</v>
      </c>
      <c r="H20" s="331">
        <f>AVERAGE($G$6:G20)</f>
        <v>1.36604982531176E-2</v>
      </c>
      <c r="I20" s="329">
        <f t="shared" si="2"/>
        <v>1.2930250755056383E-2</v>
      </c>
      <c r="J20" s="331">
        <f>AVERAGE($I$6:I20)</f>
        <v>1.417388048175529E-2</v>
      </c>
      <c r="O20" s="330"/>
      <c r="P20" s="330"/>
    </row>
    <row r="21" spans="1:16">
      <c r="A21" s="327">
        <v>2035</v>
      </c>
      <c r="B21" s="338">
        <v>100.6</v>
      </c>
      <c r="C21" s="338">
        <v>150.30000000000001</v>
      </c>
      <c r="D21" s="339">
        <v>144.80000000000001</v>
      </c>
      <c r="E21" s="340">
        <f t="shared" si="0"/>
        <v>4.8096000000000005</v>
      </c>
      <c r="F21" s="341">
        <f t="shared" si="1"/>
        <v>5.2127999999999997</v>
      </c>
      <c r="G21" s="329">
        <f t="shared" si="3"/>
        <v>1.2298939475484216E-2</v>
      </c>
      <c r="H21" s="331">
        <f>AVERAGE($G$6:G21)</f>
        <v>1.3575400829515513E-2</v>
      </c>
      <c r="I21" s="329">
        <f t="shared" si="2"/>
        <v>1.2820344711908627E-2</v>
      </c>
      <c r="J21" s="331">
        <f>AVERAGE($I$6:I21)</f>
        <v>1.4089284496139873E-2</v>
      </c>
      <c r="O21" s="330"/>
      <c r="P21" s="330"/>
    </row>
    <row r="22" spans="1:16">
      <c r="A22" s="327">
        <v>2036</v>
      </c>
      <c r="B22" s="338">
        <v>102.1</v>
      </c>
      <c r="C22" s="338">
        <v>151.80000000000001</v>
      </c>
      <c r="D22" s="339">
        <v>146.30000000000001</v>
      </c>
      <c r="E22" s="340">
        <f t="shared" si="0"/>
        <v>4.8576000000000006</v>
      </c>
      <c r="F22" s="341">
        <f t="shared" si="1"/>
        <v>5.2667999999999999</v>
      </c>
      <c r="G22" s="329">
        <f t="shared" si="3"/>
        <v>1.2162386356991295E-2</v>
      </c>
      <c r="H22" s="331">
        <f>AVERAGE($G$6:G22)</f>
        <v>1.3492282331131736E-2</v>
      </c>
      <c r="I22" s="329">
        <f t="shared" si="2"/>
        <v>1.2675400729742492E-2</v>
      </c>
      <c r="J22" s="331">
        <f>AVERAGE($I$6:I22)</f>
        <v>1.400611486282238E-2</v>
      </c>
      <c r="O22" s="330"/>
      <c r="P22" s="330"/>
    </row>
    <row r="23" spans="1:16">
      <c r="A23" s="327">
        <v>2037</v>
      </c>
      <c r="B23" s="338">
        <v>103.5</v>
      </c>
      <c r="C23" s="338">
        <v>153.30000000000001</v>
      </c>
      <c r="D23" s="339">
        <v>147.69999999999999</v>
      </c>
      <c r="E23" s="340">
        <f t="shared" si="0"/>
        <v>4.9056000000000006</v>
      </c>
      <c r="F23" s="341">
        <f t="shared" si="1"/>
        <v>5.3171999999999988</v>
      </c>
      <c r="G23" s="329">
        <f t="shared" si="3"/>
        <v>1.2035531116097342E-2</v>
      </c>
      <c r="H23" s="331">
        <f>AVERAGE($G$6:G23)</f>
        <v>1.341135170807427E-2</v>
      </c>
      <c r="I23" s="329">
        <f t="shared" si="2"/>
        <v>1.2502593486070968E-2</v>
      </c>
      <c r="J23" s="331">
        <f>AVERAGE($I$6:I23)</f>
        <v>1.3922585897447302E-2</v>
      </c>
      <c r="O23" s="330"/>
      <c r="P23" s="330"/>
    </row>
    <row r="24" spans="1:16">
      <c r="A24" s="327">
        <v>2038</v>
      </c>
      <c r="B24" s="338">
        <v>104.9</v>
      </c>
      <c r="C24" s="338">
        <v>154.6</v>
      </c>
      <c r="D24" s="339">
        <v>149.1</v>
      </c>
      <c r="E24" s="340">
        <f t="shared" si="0"/>
        <v>4.9471999999999996</v>
      </c>
      <c r="F24" s="341">
        <f t="shared" si="1"/>
        <v>5.3675999999999995</v>
      </c>
      <c r="G24" s="329">
        <f t="shared" si="3"/>
        <v>1.1848091277497641E-2</v>
      </c>
      <c r="H24" s="331">
        <f>AVERAGE($G$6:G24)</f>
        <v>1.3329074843307078E-2</v>
      </c>
      <c r="I24" s="329">
        <f t="shared" si="2"/>
        <v>1.2343214183948126E-2</v>
      </c>
      <c r="J24" s="331">
        <f>AVERAGE($I$6:I24)</f>
        <v>1.3839461070421029E-2</v>
      </c>
      <c r="O24" s="330"/>
      <c r="P24" s="330"/>
    </row>
    <row r="25" spans="1:16">
      <c r="A25" s="327">
        <v>2039</v>
      </c>
      <c r="B25" s="338">
        <v>106.1</v>
      </c>
      <c r="C25" s="338">
        <v>155.9</v>
      </c>
      <c r="D25" s="339">
        <v>150.30000000000001</v>
      </c>
      <c r="E25" s="340">
        <f t="shared" si="0"/>
        <v>4.9888000000000003</v>
      </c>
      <c r="F25" s="341">
        <f t="shared" si="1"/>
        <v>5.4108000000000001</v>
      </c>
      <c r="G25" s="329">
        <f t="shared" si="3"/>
        <v>1.1675848300254366E-2</v>
      </c>
      <c r="H25" s="331">
        <f>AVERAGE($G$6:G25)</f>
        <v>1.3246413516154442E-2</v>
      </c>
      <c r="I25" s="329">
        <f t="shared" si="2"/>
        <v>1.2128034004737165E-2</v>
      </c>
      <c r="J25" s="331">
        <f>AVERAGE($I$6:I25)</f>
        <v>1.3753889717136836E-2</v>
      </c>
    </row>
    <row r="26" spans="1:16" ht="15" thickBot="1">
      <c r="A26" s="327">
        <v>2040</v>
      </c>
      <c r="B26" s="338">
        <v>107.3</v>
      </c>
      <c r="C26" s="338">
        <v>157</v>
      </c>
      <c r="D26" s="339">
        <v>151.5</v>
      </c>
      <c r="E26" s="342">
        <f t="shared" si="0"/>
        <v>5.024</v>
      </c>
      <c r="F26" s="343">
        <f t="shared" si="1"/>
        <v>5.4539999999999997</v>
      </c>
      <c r="G26" s="329">
        <f t="shared" si="3"/>
        <v>1.1455366388732902E-2</v>
      </c>
      <c r="H26" s="331">
        <f>AVERAGE($G$6:G26)</f>
        <v>1.3161125557705797E-2</v>
      </c>
      <c r="I26" s="329">
        <f t="shared" si="2"/>
        <v>1.1930314805916442E-2</v>
      </c>
      <c r="J26" s="331">
        <f>AVERAGE($I$6:I26)</f>
        <v>1.3667052816602531E-2</v>
      </c>
    </row>
    <row r="27" spans="1:16">
      <c r="A27" s="333"/>
    </row>
    <row r="28" spans="1:16">
      <c r="A28"/>
      <c r="B28"/>
      <c r="C28"/>
      <c r="D28"/>
      <c r="E28"/>
      <c r="F28"/>
    </row>
    <row r="29" spans="1:16" ht="19.3">
      <c r="A29" s="344" t="s">
        <v>111</v>
      </c>
      <c r="B29" s="344"/>
      <c r="C29" s="344"/>
      <c r="D29" s="344"/>
      <c r="E29" s="344"/>
      <c r="F29" s="344"/>
      <c r="G29" s="344"/>
      <c r="H29" s="344"/>
      <c r="I29" s="344"/>
      <c r="J29" s="345"/>
      <c r="K29" s="345"/>
      <c r="L29" s="345"/>
      <c r="M29" s="345"/>
    </row>
    <row r="30" spans="1:16" ht="19.3">
      <c r="A30" s="344" t="s">
        <v>112</v>
      </c>
      <c r="B30" s="344"/>
      <c r="C30" s="344"/>
      <c r="D30" s="344"/>
      <c r="E30" s="344"/>
      <c r="F30" s="344"/>
      <c r="G30" s="344"/>
      <c r="H30" s="344"/>
      <c r="I30" s="344"/>
      <c r="J30" s="345"/>
      <c r="K30" s="345"/>
      <c r="L30" s="345"/>
      <c r="M30" s="345"/>
    </row>
    <row r="31" spans="1:16">
      <c r="A31"/>
      <c r="B31"/>
      <c r="C31"/>
      <c r="D31"/>
      <c r="E31"/>
      <c r="F31"/>
    </row>
    <row r="32" spans="1:16">
      <c r="A32" s="346" t="s">
        <v>113</v>
      </c>
      <c r="B32"/>
      <c r="C32"/>
      <c r="D32"/>
      <c r="E32"/>
      <c r="F32"/>
    </row>
    <row r="33" spans="1:6">
      <c r="A33" s="347"/>
      <c r="B33" s="348" t="s">
        <v>114</v>
      </c>
      <c r="C33" s="348" t="s">
        <v>115</v>
      </c>
      <c r="D33"/>
      <c r="E33"/>
      <c r="F33"/>
    </row>
    <row r="34" spans="1:6">
      <c r="A34" s="347" t="s">
        <v>109</v>
      </c>
      <c r="B34" s="349">
        <v>32</v>
      </c>
      <c r="C34" s="349">
        <f>+B34/1000</f>
        <v>3.2000000000000001E-2</v>
      </c>
      <c r="D34"/>
      <c r="E34"/>
      <c r="F34"/>
    </row>
    <row r="35" spans="1:6">
      <c r="A35" s="347" t="s">
        <v>110</v>
      </c>
      <c r="B35" s="349">
        <v>36</v>
      </c>
      <c r="C35" s="349">
        <f>+B35/1000</f>
        <v>3.5999999999999997E-2</v>
      </c>
      <c r="D35"/>
      <c r="E35"/>
      <c r="F35"/>
    </row>
    <row r="36" spans="1:6">
      <c r="A36"/>
      <c r="B36"/>
      <c r="C36"/>
      <c r="D36"/>
      <c r="E36"/>
      <c r="F36"/>
    </row>
    <row r="37" spans="1:6">
      <c r="A37"/>
      <c r="B37"/>
      <c r="C37"/>
      <c r="D37"/>
      <c r="E37"/>
      <c r="F37"/>
    </row>
    <row r="38" spans="1:6">
      <c r="A38"/>
      <c r="B38"/>
      <c r="C38"/>
      <c r="D38"/>
      <c r="E38"/>
      <c r="F38"/>
    </row>
    <row r="39" spans="1:6">
      <c r="A39"/>
      <c r="B39"/>
      <c r="C39"/>
      <c r="D39"/>
      <c r="E39"/>
      <c r="F39"/>
    </row>
    <row r="40" spans="1:6">
      <c r="A40"/>
      <c r="B40"/>
      <c r="C40"/>
      <c r="D40"/>
      <c r="E40"/>
      <c r="F40"/>
    </row>
    <row r="41" spans="1:6">
      <c r="A41"/>
      <c r="B41"/>
      <c r="C41"/>
      <c r="D41"/>
      <c r="E41"/>
      <c r="F41"/>
    </row>
    <row r="42" spans="1:6">
      <c r="A42"/>
      <c r="B42"/>
      <c r="C42"/>
      <c r="D42"/>
      <c r="E42"/>
      <c r="F42"/>
    </row>
    <row r="43" spans="1:6">
      <c r="A43"/>
      <c r="B43"/>
      <c r="C43"/>
      <c r="D43"/>
      <c r="E43"/>
      <c r="F43"/>
    </row>
    <row r="44" spans="1:6">
      <c r="A44"/>
      <c r="B44"/>
      <c r="C44"/>
      <c r="D44"/>
      <c r="E44"/>
      <c r="F44"/>
    </row>
    <row r="45" spans="1:6">
      <c r="A45"/>
      <c r="B45"/>
      <c r="C45"/>
      <c r="D45"/>
      <c r="E45"/>
      <c r="F45"/>
    </row>
    <row r="46" spans="1:6">
      <c r="A46"/>
      <c r="B46"/>
      <c r="C46"/>
      <c r="D46"/>
      <c r="E46"/>
      <c r="F46"/>
    </row>
  </sheetData>
  <sheetProtection sheet="1" objects="1" scenarios="1"/>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6780F1154B26E42818FF63B6238849B" ma:contentTypeVersion="11" ma:contentTypeDescription="Create a new document." ma:contentTypeScope="" ma:versionID="b70796ecefd0f848841b3723affedebe">
  <xsd:schema xmlns:xsd="http://www.w3.org/2001/XMLSchema" xmlns:xs="http://www.w3.org/2001/XMLSchema" xmlns:p="http://schemas.microsoft.com/office/2006/metadata/properties" xmlns:ns2="12cdf330-f786-4630-b51f-6fa1d5c62ea5" xmlns:ns3="b89a2bef-930d-4c99-ab94-74f4b2325bbc" targetNamespace="http://schemas.microsoft.com/office/2006/metadata/properties" ma:root="true" ma:fieldsID="0a126ce99d47c68b9fa46fe4d64c3caa" ns2:_="" ns3:_="">
    <xsd:import namespace="12cdf330-f786-4630-b51f-6fa1d5c62ea5"/>
    <xsd:import namespace="b89a2bef-930d-4c99-ab94-74f4b2325bb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cdf330-f786-4630-b51f-6fa1d5c62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89a2bef-930d-4c99-ab94-74f4b2325bb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1F48ED-B465-409E-8FB4-562D8ABA74E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09EE6EF-9933-43CA-9F9E-7FF20027E4C8}">
  <ds:schemaRefs>
    <ds:schemaRef ds:uri="http://schemas.microsoft.com/sharepoint/v3/contenttype/forms"/>
  </ds:schemaRefs>
</ds:datastoreItem>
</file>

<file path=customXml/itemProps3.xml><?xml version="1.0" encoding="utf-8"?>
<ds:datastoreItem xmlns:ds="http://schemas.openxmlformats.org/officeDocument/2006/customXml" ds:itemID="{0193E80E-FADA-4D6B-A2FC-1D7E50D366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cdf330-f786-4630-b51f-6fa1d5c62ea5"/>
    <ds:schemaRef ds:uri="b89a2bef-930d-4c99-ab94-74f4b2325b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Introduktion</vt:lpstr>
      <vt:lpstr>Benzin - diesel - hybrid</vt:lpstr>
      <vt:lpstr>IB - B&amp;D&amp;H</vt:lpstr>
      <vt:lpstr>El og plugin hybrid</vt:lpstr>
      <vt:lpstr>IB - E&amp;PH</vt:lpstr>
      <vt:lpstr>Sammenligning på tværs</vt:lpstr>
      <vt:lpstr>Beregningsmetode</vt:lpstr>
      <vt:lpstr>Fremskrivninger</vt:lpstr>
      <vt:lpstr>ENS udvikling i elpris</vt:lpstr>
      <vt:lpstr>ENS udvikling i brændstofspris</vt:lpstr>
      <vt:lpstr>'Sammenligning på tværs'!Print_Area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2021-02-16T16:21:05Z</dcterms:created>
  <dcterms:modified xsi:type="dcterms:W3CDTF">2021-06-20T09:24:29Z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0x01010096780F1154B26E42818FF63B6238849B</vt:lpwstr>
  </property>
</Properties>
</file>