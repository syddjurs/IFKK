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filterPrivacy="1" codeName="ThisWorkbook" autoCompressPictures="0" defaultThemeVersion="124226"/>
  <xr:revisionPtr revIDLastSave="0" documentId="8_{BFAD7D8A-4124-42B8-89D0-11827DE33E37}" xr6:coauthVersionLast="47" xr6:coauthVersionMax="47" xr10:uidLastSave="{00000000-0000-0000-0000-000000000000}"/>
  <bookViews>
    <workbookView xWindow="-120" yWindow="-120" windowWidth="38640" windowHeight="21240" tabRatio="670" activeTab="1" xr2:uid="{00000000-000D-0000-FFFF-FFFF00000000}"/>
  </bookViews>
  <sheets>
    <sheet name="Introduktion" sheetId="10" r:id="rId1"/>
    <sheet name="Benzin - diesel - hybrid" sheetId="6" r:id="rId2"/>
    <sheet name="IB - B&amp;D&amp;H" sheetId="11" state="hidden" r:id="rId3"/>
    <sheet name="El og plugin hybrid" sheetId="23" r:id="rId4"/>
    <sheet name="IB - E&amp;PH" sheetId="24" state="hidden" r:id="rId5"/>
    <sheet name="Sammenligning på tværs" sheetId="22" r:id="rId6"/>
    <sheet name="Beregningsmetode" sheetId="19" r:id="rId7"/>
    <sheet name="Fremskrivninger" sheetId="17" r:id="rId8"/>
    <sheet name="ENS udvikling i elpris" sheetId="20" state="hidden" r:id="rId9"/>
    <sheet name="ENS udvikling i brændstofspris" sheetId="21" state="hidden" r:id="rId10"/>
  </sheets>
  <externalReferences>
    <externalReference r:id="rId11"/>
    <externalReference r:id="rId12"/>
    <externalReference r:id="rId13"/>
    <externalReference r:id="rId14"/>
    <externalReference r:id="rId15"/>
  </externalReferences>
  <definedNames>
    <definedName name="BF_Fastprisår">'[1]Info og Centrale forudsætninger'!$B$8</definedName>
    <definedName name="BFår" localSheetId="6">#REF!</definedName>
    <definedName name="BFår" localSheetId="9">#REF!</definedName>
    <definedName name="BFår" localSheetId="5">#REF!</definedName>
    <definedName name="BFår">#REF!</definedName>
    <definedName name="BFårBVT" localSheetId="6">#REF!</definedName>
    <definedName name="BFårBVT" localSheetId="9">#REF!</definedName>
    <definedName name="BFårBVT" localSheetId="5">#REF!</definedName>
    <definedName name="BFårBVT">#REF!</definedName>
    <definedName name="Brændværdi">'[2]Koefficienter brændsler (imp)'!$A$2:$C$16</definedName>
    <definedName name="chosencurrency" localSheetId="6">#REF!</definedName>
    <definedName name="chosencurrency" localSheetId="9">#REF!</definedName>
    <definedName name="chosencurrency" localSheetId="5">#REF!</definedName>
    <definedName name="chosencurrency">#REF!</definedName>
    <definedName name="DE_Prisår" localSheetId="6">#REF!</definedName>
    <definedName name="DE_Prisår" localSheetId="9">#REF!</definedName>
    <definedName name="DE_Prisår" localSheetId="5">#REF!</definedName>
    <definedName name="DE_Prisår">#REF!</definedName>
    <definedName name="Deflator">[3]Deflator!$A$5:$B$55</definedName>
    <definedName name="Deflator_og_Valutakurser" localSheetId="6">#REF!</definedName>
    <definedName name="Deflator_og_Valutakurser" localSheetId="9">#REF!</definedName>
    <definedName name="Deflator_og_Valutakurser" localSheetId="5">#REF!</definedName>
    <definedName name="Deflator_og_Valutakurser">#REF!</definedName>
    <definedName name="ElprodOmk_Prisår" localSheetId="6">#REF!</definedName>
    <definedName name="ElprodOmk_Prisår" localSheetId="9">#REF!</definedName>
    <definedName name="ElprodOmk_Prisår" localSheetId="5">#REF!</definedName>
    <definedName name="ElprodOmk_Prisår">#REF!</definedName>
    <definedName name="Fastprisår" localSheetId="6">#REF!</definedName>
    <definedName name="Fastprisår" localSheetId="9">#REF!</definedName>
    <definedName name="Fastprisår" localSheetId="5">#REF!</definedName>
    <definedName name="Fastprisår">#REF!</definedName>
    <definedName name="FastprisårBVT" localSheetId="9">#REF!</definedName>
    <definedName name="FastprisårBVT">#REF!</definedName>
    <definedName name="FilnavnRamsesElprismodel" localSheetId="9">#REF!</definedName>
    <definedName name="FilnavnRamsesElprismodel">#REF!</definedName>
    <definedName name="FilnavnRamsesResultater" localSheetId="9">#REF!</definedName>
    <definedName name="FilnavnRamsesResultater">#REF!</definedName>
    <definedName name="GridCostView" localSheetId="9">#REF!</definedName>
    <definedName name="GridCostView">#REF!</definedName>
    <definedName name="hh" localSheetId="9">#REF!</definedName>
    <definedName name="hh">#REF!</definedName>
    <definedName name="IEA_Prisår" localSheetId="9">#REF!</definedName>
    <definedName name="IEA_Prisår">#REF!</definedName>
    <definedName name="Imp_fossile">'[2]Fossile priser (imp)'!$A$3:$F$33</definedName>
    <definedName name="Konsulent_Prisår" localSheetId="6">#REF!</definedName>
    <definedName name="Konsulent_Prisår" localSheetId="9">#REF!</definedName>
    <definedName name="Konsulent_Prisår" localSheetId="5">#REF!</definedName>
    <definedName name="Konsulent_Prisår">#REF!</definedName>
    <definedName name="NaturgasAvance_Prisår" localSheetId="6">#REF!</definedName>
    <definedName name="NaturgasAvance_Prisår" localSheetId="9">#REF!</definedName>
    <definedName name="NaturgasAvance_Prisår" localSheetId="5">#REF!</definedName>
    <definedName name="NaturgasAvance_Prisår">#REF!</definedName>
    <definedName name="Omr_biomasse">'[2]Biomasse priser (omr)'!$A$4:$F$34</definedName>
    <definedName name="Omr_elemissioner">'[2]El-emissioner (omr)'!$A$5:$K$35</definedName>
    <definedName name="Omr_elpriser">'[2]Elpriser (omr)'!$A$4:$I$26</definedName>
    <definedName name="Omr_fossile">'[2]Fossile priser (omr)'!$A$4:$J$34</definedName>
    <definedName name="Omr_FV_omkostninger">'[2]Fjernvarmepriser (omr)'!$A$29:$P$51</definedName>
    <definedName name="Omr_FVemissioner">'[2]Fjernvarme-emissioner (omr)'!$A$5:$K$35</definedName>
    <definedName name="ooo">#REF!</definedName>
    <definedName name="PriceYear" localSheetId="6">#REF!</definedName>
    <definedName name="PriceYear" localSheetId="9">#REF!</definedName>
    <definedName name="PriceYear" localSheetId="5">#REF!</definedName>
    <definedName name="PriceYear">#REF!</definedName>
    <definedName name="_xlnm.Print_Area" localSheetId="5">'Sammenligning på tværs'!$B$2:$P$40</definedName>
    <definedName name="Prisår_Til_Ramses" localSheetId="6">#REF!</definedName>
    <definedName name="Prisår_Til_Ramses" localSheetId="9">#REF!</definedName>
    <definedName name="Prisår_Til_Ramses" localSheetId="5">#REF!</definedName>
    <definedName name="Prisår_Til_Ramses">#REF!</definedName>
    <definedName name="Ramses_Prisår" localSheetId="6">#REF!</definedName>
    <definedName name="Ramses_Prisår" localSheetId="9">#REF!</definedName>
    <definedName name="Ramses_Prisår" localSheetId="5">#REF!</definedName>
    <definedName name="Ramses_Prisår">#REF!</definedName>
    <definedName name="Startår">[2]Forside!$B$3</definedName>
    <definedName name="Svovl_NOx_Prisår" localSheetId="6">#REF!</definedName>
    <definedName name="Svovl_NOx_Prisår" localSheetId="9">#REF!</definedName>
    <definedName name="Svovl_NOx_Prisår" localSheetId="5">#REF!</definedName>
    <definedName name="Svovl_NOx_Prisår">#REF!</definedName>
    <definedName name="TechYear" localSheetId="6">#REF!</definedName>
    <definedName name="TechYear" localSheetId="9">#REF!</definedName>
    <definedName name="TechYear" localSheetId="5">#REF!</definedName>
    <definedName name="TechYear">#REF!</definedName>
    <definedName name="Vælg_produkt" localSheetId="6">'[4]Benzin - diesel - hybrid'!#REF!</definedName>
    <definedName name="Vælg_produkt" localSheetId="5">'[4]Benzin - diesel - hybrid'!#REF!</definedName>
    <definedName name="Vælg_produkt">#REF!</definedName>
    <definedName name="Vælg_produkt2" localSheetId="5">'Sammenligning på tværs'!#REF!</definedName>
    <definedName name="XX">[5]Elpris!$I$3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79" i="6" l="1"/>
  <c r="C102" i="23"/>
  <c r="D9" i="17"/>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W72" i="6"/>
  <c r="E50" i="24"/>
  <c r="E51" i="24"/>
  <c r="E52" i="24"/>
  <c r="E53" i="24"/>
  <c r="E54" i="24"/>
  <c r="E55" i="24"/>
  <c r="E56" i="24"/>
  <c r="E57" i="24"/>
  <c r="E58" i="24"/>
  <c r="E59" i="24"/>
  <c r="E60" i="24"/>
  <c r="E61" i="24"/>
  <c r="E62" i="24"/>
  <c r="E63" i="24"/>
  <c r="E64" i="24"/>
  <c r="E65" i="24"/>
  <c r="E66" i="24"/>
  <c r="E67" i="24"/>
  <c r="E68" i="24"/>
  <c r="E49" i="24"/>
  <c r="E93" i="23"/>
  <c r="E5" i="11"/>
  <c r="E6" i="11"/>
  <c r="E7" i="11"/>
  <c r="E8" i="11"/>
  <c r="E9" i="11"/>
  <c r="E10" i="11"/>
  <c r="E11" i="11"/>
  <c r="E12" i="11"/>
  <c r="E13" i="11"/>
  <c r="E14" i="11"/>
  <c r="E15" i="11"/>
  <c r="E16" i="11"/>
  <c r="E17" i="11"/>
  <c r="E18" i="11"/>
  <c r="E19" i="11"/>
  <c r="E20" i="11"/>
  <c r="E21" i="11"/>
  <c r="E22" i="11"/>
  <c r="E23" i="11"/>
  <c r="E4" i="11"/>
  <c r="E53" i="11"/>
  <c r="E54" i="11"/>
  <c r="E55" i="11"/>
  <c r="E56" i="11"/>
  <c r="E57" i="11"/>
  <c r="E58" i="11"/>
  <c r="E59" i="11"/>
  <c r="E60" i="11"/>
  <c r="E61" i="11"/>
  <c r="E62" i="11"/>
  <c r="E63" i="11"/>
  <c r="E64" i="11"/>
  <c r="E65" i="11"/>
  <c r="E66" i="11"/>
  <c r="E67" i="11"/>
  <c r="E68" i="11"/>
  <c r="E50" i="11"/>
  <c r="E51" i="11"/>
  <c r="E52" i="11"/>
  <c r="E49" i="11"/>
  <c r="E71" i="6"/>
  <c r="E73" i="6" l="1"/>
  <c r="E80" i="23"/>
  <c r="E74" i="23"/>
  <c r="M92" i="17"/>
  <c r="M93" i="17" s="1"/>
  <c r="M94" i="17" s="1"/>
  <c r="M95" i="17" s="1"/>
  <c r="M96" i="17" s="1"/>
  <c r="M97" i="17" s="1"/>
  <c r="M98" i="17" s="1"/>
  <c r="M99" i="17" s="1"/>
  <c r="M100" i="17" s="1"/>
  <c r="M101" i="17" s="1"/>
  <c r="M102" i="17" s="1"/>
  <c r="M103" i="17" s="1"/>
  <c r="M104" i="17" s="1"/>
  <c r="M105" i="17" s="1"/>
  <c r="M106" i="17" s="1"/>
  <c r="M107" i="17" s="1"/>
  <c r="M108" i="17" s="1"/>
  <c r="M109" i="17" s="1"/>
  <c r="M110" i="17" s="1"/>
  <c r="M111" i="17" s="1"/>
  <c r="M112" i="17" s="1"/>
  <c r="M113" i="17" s="1"/>
  <c r="M114" i="17" s="1"/>
  <c r="M115" i="17" s="1"/>
  <c r="M116" i="17" s="1"/>
  <c r="M117" i="17" s="1"/>
  <c r="M118" i="17" s="1"/>
  <c r="M119" i="17" s="1"/>
  <c r="M120" i="17" s="1"/>
  <c r="M121" i="17" s="1"/>
  <c r="M48" i="17"/>
  <c r="M49" i="17" s="1"/>
  <c r="M50" i="17" s="1"/>
  <c r="M51" i="17" s="1"/>
  <c r="M52" i="17" s="1"/>
  <c r="M53" i="17" s="1"/>
  <c r="M54" i="17" s="1"/>
  <c r="M55" i="17" s="1"/>
  <c r="M56" i="17" s="1"/>
  <c r="M57" i="17" s="1"/>
  <c r="M58" i="17" s="1"/>
  <c r="M59" i="17" s="1"/>
  <c r="M60" i="17" s="1"/>
  <c r="M61" i="17" s="1"/>
  <c r="M62" i="17" s="1"/>
  <c r="M63" i="17" s="1"/>
  <c r="M64" i="17" s="1"/>
  <c r="M65" i="17" s="1"/>
  <c r="M66" i="17" s="1"/>
  <c r="M67" i="17" s="1"/>
  <c r="M68" i="17" s="1"/>
  <c r="M69" i="17" s="1"/>
  <c r="M70" i="17" s="1"/>
  <c r="M71" i="17" s="1"/>
  <c r="M72" i="17" s="1"/>
  <c r="M73" i="17" s="1"/>
  <c r="M74" i="17" s="1"/>
  <c r="M75" i="17" s="1"/>
  <c r="M76" i="17" s="1"/>
  <c r="M77" i="17" s="1"/>
  <c r="F119" i="24"/>
  <c r="E119" i="24" s="1"/>
  <c r="F120" i="24"/>
  <c r="E120" i="24" s="1"/>
  <c r="F121" i="24"/>
  <c r="E121" i="24" s="1"/>
  <c r="F122" i="24"/>
  <c r="E122" i="24" s="1"/>
  <c r="F123" i="24"/>
  <c r="E123" i="24" s="1"/>
  <c r="F124" i="24"/>
  <c r="E124" i="24" s="1"/>
  <c r="F125" i="24"/>
  <c r="E125" i="24" s="1"/>
  <c r="F126" i="24"/>
  <c r="E126" i="24" s="1"/>
  <c r="F127" i="24"/>
  <c r="E127" i="24" s="1"/>
  <c r="F128" i="24"/>
  <c r="E128" i="24" s="1"/>
  <c r="F129" i="24"/>
  <c r="E129" i="24" s="1"/>
  <c r="F130" i="24"/>
  <c r="E130" i="24" s="1"/>
  <c r="F131" i="24"/>
  <c r="E131" i="24" s="1"/>
  <c r="F132" i="24"/>
  <c r="E132" i="24" s="1"/>
  <c r="F133" i="24"/>
  <c r="E133" i="24" s="1"/>
  <c r="F134" i="24"/>
  <c r="E134" i="24" s="1"/>
  <c r="F135" i="24"/>
  <c r="E135" i="24" s="1"/>
  <c r="F136" i="24"/>
  <c r="E136" i="24" s="1"/>
  <c r="F137" i="24"/>
  <c r="E137" i="24" s="1"/>
  <c r="F138" i="24"/>
  <c r="E138" i="24" s="1"/>
  <c r="G59" i="23"/>
  <c r="I59" i="23"/>
  <c r="E10" i="24"/>
  <c r="E11" i="24"/>
  <c r="E12" i="24"/>
  <c r="E13" i="24"/>
  <c r="E14" i="24"/>
  <c r="E15" i="24"/>
  <c r="E16" i="24"/>
  <c r="E17" i="24"/>
  <c r="E18" i="24"/>
  <c r="E19" i="24"/>
  <c r="E20" i="24"/>
  <c r="E21" i="24"/>
  <c r="E22" i="24"/>
  <c r="E23" i="24"/>
  <c r="W59" i="23"/>
  <c r="U59" i="23"/>
  <c r="S59" i="23"/>
  <c r="Q59" i="23"/>
  <c r="O59" i="23"/>
  <c r="K59" i="23"/>
  <c r="W60" i="23"/>
  <c r="U60" i="23"/>
  <c r="S60" i="23"/>
  <c r="Q60" i="23"/>
  <c r="O60" i="23"/>
  <c r="M60" i="23"/>
  <c r="K60" i="23"/>
  <c r="I60" i="23"/>
  <c r="G60" i="23"/>
  <c r="G65" i="23"/>
  <c r="I65" i="23"/>
  <c r="O65" i="23"/>
  <c r="W65" i="23"/>
  <c r="C206" i="24"/>
  <c r="C205" i="24"/>
  <c r="C204" i="24"/>
  <c r="C203" i="24"/>
  <c r="C202" i="24"/>
  <c r="C201" i="24"/>
  <c r="C200" i="24"/>
  <c r="C199" i="24"/>
  <c r="C198" i="24"/>
  <c r="C197" i="24"/>
  <c r="C196" i="24"/>
  <c r="C195" i="24"/>
  <c r="C194" i="24"/>
  <c r="C193" i="24"/>
  <c r="C192" i="24"/>
  <c r="C191" i="24"/>
  <c r="C190" i="24"/>
  <c r="C189" i="24"/>
  <c r="C188" i="24"/>
  <c r="C187" i="24"/>
  <c r="F184" i="24"/>
  <c r="C184" i="24"/>
  <c r="F183" i="24"/>
  <c r="C183" i="24"/>
  <c r="F182" i="24"/>
  <c r="C182" i="24"/>
  <c r="F181" i="24"/>
  <c r="C181" i="24"/>
  <c r="F180" i="24"/>
  <c r="C180" i="24"/>
  <c r="F179" i="24"/>
  <c r="C179" i="24"/>
  <c r="F178" i="24"/>
  <c r="C178" i="24"/>
  <c r="F177" i="24"/>
  <c r="C177" i="24"/>
  <c r="F176" i="24"/>
  <c r="C176" i="24"/>
  <c r="F175" i="24"/>
  <c r="C175" i="24"/>
  <c r="F174" i="24"/>
  <c r="C174" i="24"/>
  <c r="F173" i="24"/>
  <c r="C173" i="24"/>
  <c r="F172" i="24"/>
  <c r="C172" i="24"/>
  <c r="F171" i="24"/>
  <c r="C171" i="24"/>
  <c r="F170" i="24"/>
  <c r="C170" i="24"/>
  <c r="F169" i="24"/>
  <c r="C169" i="24"/>
  <c r="F168" i="24"/>
  <c r="C168" i="24"/>
  <c r="F167" i="24"/>
  <c r="C167" i="24"/>
  <c r="F166" i="24"/>
  <c r="C166" i="24"/>
  <c r="F165" i="24"/>
  <c r="C165" i="24"/>
  <c r="F161" i="24"/>
  <c r="C161" i="24"/>
  <c r="F160" i="24"/>
  <c r="E183" i="24" s="1"/>
  <c r="C160" i="24"/>
  <c r="F159" i="24"/>
  <c r="E182" i="24" s="1"/>
  <c r="C159" i="24"/>
  <c r="F158" i="24"/>
  <c r="C158" i="24"/>
  <c r="F157" i="24"/>
  <c r="C157" i="24"/>
  <c r="F156" i="24"/>
  <c r="E179" i="24" s="1"/>
  <c r="C156" i="24"/>
  <c r="F155" i="24"/>
  <c r="E178" i="24" s="1"/>
  <c r="C155" i="24"/>
  <c r="F154" i="24"/>
  <c r="E177" i="24" s="1"/>
  <c r="C154" i="24"/>
  <c r="F153" i="24"/>
  <c r="C153" i="24"/>
  <c r="F152" i="24"/>
  <c r="E175" i="24" s="1"/>
  <c r="C152" i="24"/>
  <c r="F151" i="24"/>
  <c r="E151" i="24" s="1"/>
  <c r="C151" i="24"/>
  <c r="F150" i="24"/>
  <c r="E173" i="24" s="1"/>
  <c r="C150" i="24"/>
  <c r="F149" i="24"/>
  <c r="C149" i="24"/>
  <c r="F148" i="24"/>
  <c r="E171" i="24" s="1"/>
  <c r="C148" i="24"/>
  <c r="F147" i="24"/>
  <c r="E147" i="24" s="1"/>
  <c r="C147" i="24"/>
  <c r="F146" i="24"/>
  <c r="E146" i="24" s="1"/>
  <c r="C146" i="24"/>
  <c r="F145" i="24"/>
  <c r="C145" i="24"/>
  <c r="F144" i="24"/>
  <c r="E167" i="24" s="1"/>
  <c r="C144" i="24"/>
  <c r="F143" i="24"/>
  <c r="E143" i="24" s="1"/>
  <c r="C143" i="24"/>
  <c r="F142" i="24"/>
  <c r="E165" i="24" s="1"/>
  <c r="C142" i="24"/>
  <c r="S141" i="24"/>
  <c r="T141" i="24" s="1"/>
  <c r="Q141" i="24"/>
  <c r="O141" i="24"/>
  <c r="P186" i="24" s="1"/>
  <c r="M141" i="24"/>
  <c r="K141" i="24"/>
  <c r="L141" i="24" s="1"/>
  <c r="I141" i="24"/>
  <c r="G141" i="24"/>
  <c r="G186" i="24" s="1"/>
  <c r="E141" i="24"/>
  <c r="C138" i="24"/>
  <c r="C137" i="24"/>
  <c r="C136" i="24"/>
  <c r="C135" i="24"/>
  <c r="C134" i="24"/>
  <c r="C133" i="24"/>
  <c r="C132" i="24"/>
  <c r="C131" i="24"/>
  <c r="C130" i="24"/>
  <c r="C129" i="24"/>
  <c r="C128" i="24"/>
  <c r="C127" i="24"/>
  <c r="C126" i="24"/>
  <c r="C125" i="24"/>
  <c r="C124" i="24"/>
  <c r="C123" i="24"/>
  <c r="C122" i="24"/>
  <c r="C121" i="24"/>
  <c r="C120" i="24"/>
  <c r="C119" i="24"/>
  <c r="S118" i="24"/>
  <c r="T118" i="24" s="1"/>
  <c r="Q118" i="24"/>
  <c r="R118" i="24" s="1"/>
  <c r="O118" i="24"/>
  <c r="P118" i="24" s="1"/>
  <c r="M118" i="24"/>
  <c r="N118" i="24" s="1"/>
  <c r="K118" i="24"/>
  <c r="L118" i="24" s="1"/>
  <c r="I118" i="24"/>
  <c r="J118" i="24" s="1"/>
  <c r="G118" i="24"/>
  <c r="H118" i="24" s="1"/>
  <c r="E118" i="24"/>
  <c r="F118" i="24" s="1"/>
  <c r="C115" i="24"/>
  <c r="C114" i="24"/>
  <c r="C113" i="24"/>
  <c r="C112" i="24"/>
  <c r="C111" i="24"/>
  <c r="C110" i="24"/>
  <c r="C109" i="24"/>
  <c r="C108" i="24"/>
  <c r="C107" i="24"/>
  <c r="C106" i="24"/>
  <c r="C105" i="24"/>
  <c r="C104" i="24"/>
  <c r="C103" i="24"/>
  <c r="C102" i="24"/>
  <c r="C101" i="24"/>
  <c r="C100" i="24"/>
  <c r="C99" i="24"/>
  <c r="C98" i="24"/>
  <c r="C97" i="24"/>
  <c r="C96" i="24"/>
  <c r="W92" i="24"/>
  <c r="U92" i="24"/>
  <c r="E92" i="24"/>
  <c r="C92" i="24"/>
  <c r="W91" i="24"/>
  <c r="U91" i="24"/>
  <c r="E91" i="24"/>
  <c r="C91" i="24"/>
  <c r="W90" i="24"/>
  <c r="U90" i="24"/>
  <c r="E90" i="24"/>
  <c r="C90" i="24"/>
  <c r="W89" i="24"/>
  <c r="U89" i="24"/>
  <c r="E89" i="24"/>
  <c r="C89" i="24"/>
  <c r="W88" i="24"/>
  <c r="U88" i="24"/>
  <c r="E88" i="24"/>
  <c r="C88" i="24"/>
  <c r="W87" i="24"/>
  <c r="U87" i="24"/>
  <c r="E87" i="24"/>
  <c r="C87" i="24"/>
  <c r="W86" i="24"/>
  <c r="U86" i="24"/>
  <c r="E86" i="24"/>
  <c r="C86" i="24"/>
  <c r="W85" i="24"/>
  <c r="U85" i="24"/>
  <c r="E85" i="24"/>
  <c r="C85" i="24"/>
  <c r="W84" i="24"/>
  <c r="U84" i="24"/>
  <c r="E84" i="24"/>
  <c r="C84" i="24"/>
  <c r="W83" i="24"/>
  <c r="U83" i="24"/>
  <c r="E83" i="24"/>
  <c r="C83" i="24"/>
  <c r="W82" i="24"/>
  <c r="U82" i="24"/>
  <c r="E82" i="24"/>
  <c r="C82" i="24"/>
  <c r="W81" i="24"/>
  <c r="U81" i="24"/>
  <c r="E81" i="24"/>
  <c r="C81" i="24"/>
  <c r="W80" i="24"/>
  <c r="U80" i="24"/>
  <c r="E80" i="24"/>
  <c r="C80" i="24"/>
  <c r="W79" i="24"/>
  <c r="U79" i="24"/>
  <c r="E79" i="24"/>
  <c r="C79" i="24"/>
  <c r="W78" i="24"/>
  <c r="U78" i="24"/>
  <c r="E78" i="24"/>
  <c r="C78" i="24"/>
  <c r="W77" i="24"/>
  <c r="U77" i="24"/>
  <c r="E77" i="24"/>
  <c r="C77" i="24"/>
  <c r="W76" i="24"/>
  <c r="U76" i="24"/>
  <c r="E76" i="24"/>
  <c r="C76" i="24"/>
  <c r="W75" i="24"/>
  <c r="U75" i="24"/>
  <c r="E75" i="24"/>
  <c r="C75" i="24"/>
  <c r="W74" i="24"/>
  <c r="U74" i="24"/>
  <c r="E74" i="24"/>
  <c r="C74" i="24"/>
  <c r="W73" i="24"/>
  <c r="U73" i="24"/>
  <c r="E73" i="24"/>
  <c r="C73" i="24"/>
  <c r="C68" i="24"/>
  <c r="C67" i="24"/>
  <c r="C66" i="24"/>
  <c r="C65" i="24"/>
  <c r="C64" i="24"/>
  <c r="C63" i="24"/>
  <c r="C62" i="24"/>
  <c r="C61" i="24"/>
  <c r="C60" i="24"/>
  <c r="C59" i="24"/>
  <c r="C58" i="24"/>
  <c r="C57" i="24"/>
  <c r="C56" i="24"/>
  <c r="C55" i="24"/>
  <c r="C54" i="24"/>
  <c r="C53" i="24"/>
  <c r="C52" i="24"/>
  <c r="C51" i="24"/>
  <c r="C50" i="24"/>
  <c r="C49" i="24"/>
  <c r="Z46" i="24"/>
  <c r="Z45" i="24"/>
  <c r="Z44" i="24"/>
  <c r="Z43" i="24"/>
  <c r="Z42" i="24"/>
  <c r="Z41" i="24"/>
  <c r="Z40" i="24"/>
  <c r="Z39" i="24"/>
  <c r="Z38" i="24"/>
  <c r="Z37" i="24"/>
  <c r="Z36" i="24"/>
  <c r="Z35" i="24"/>
  <c r="Z34" i="24"/>
  <c r="Z33" i="24"/>
  <c r="Z32" i="24"/>
  <c r="Z31" i="24"/>
  <c r="Z30" i="24"/>
  <c r="Z29" i="24"/>
  <c r="Z28" i="24"/>
  <c r="W25" i="24"/>
  <c r="W141" i="24" s="1"/>
  <c r="W186" i="24" s="1"/>
  <c r="U25" i="24"/>
  <c r="U95" i="24" s="1"/>
  <c r="S25" i="24"/>
  <c r="S95" i="24" s="1"/>
  <c r="S167" i="23" s="1"/>
  <c r="Q25" i="24"/>
  <c r="O25" i="24"/>
  <c r="O48" i="24" s="1"/>
  <c r="M25" i="24"/>
  <c r="M145" i="23" s="1"/>
  <c r="K25" i="24"/>
  <c r="K48" i="24" s="1"/>
  <c r="I25" i="24"/>
  <c r="I48" i="24" s="1"/>
  <c r="G25" i="24"/>
  <c r="G95" i="24" s="1"/>
  <c r="G167" i="23" s="1"/>
  <c r="E25" i="24"/>
  <c r="A5" i="24"/>
  <c r="C167" i="23"/>
  <c r="O145" i="23"/>
  <c r="C145" i="23"/>
  <c r="D102" i="23"/>
  <c r="C97" i="23"/>
  <c r="D97" i="23" s="1"/>
  <c r="E94" i="23"/>
  <c r="W71" i="23"/>
  <c r="U71" i="23"/>
  <c r="S71" i="23"/>
  <c r="Q71" i="23"/>
  <c r="O71" i="23"/>
  <c r="M71" i="23"/>
  <c r="K71" i="23"/>
  <c r="I71" i="23"/>
  <c r="G71" i="23"/>
  <c r="W70" i="23"/>
  <c r="U70" i="23"/>
  <c r="S70" i="23"/>
  <c r="Q70" i="23"/>
  <c r="O70" i="23"/>
  <c r="M70" i="23"/>
  <c r="K70" i="23"/>
  <c r="I70" i="23"/>
  <c r="G70" i="23"/>
  <c r="W69" i="23"/>
  <c r="U69" i="23"/>
  <c r="S69" i="23"/>
  <c r="Q69" i="23"/>
  <c r="O69" i="23"/>
  <c r="M69" i="23"/>
  <c r="K69" i="23"/>
  <c r="I69" i="23"/>
  <c r="G69" i="23"/>
  <c r="W67" i="23"/>
  <c r="U67" i="23"/>
  <c r="S67" i="23"/>
  <c r="Q67" i="23"/>
  <c r="O67" i="23"/>
  <c r="M67" i="23"/>
  <c r="K67" i="23"/>
  <c r="I67" i="23"/>
  <c r="G67" i="23"/>
  <c r="U65" i="23"/>
  <c r="S65" i="23"/>
  <c r="Q65" i="23"/>
  <c r="M65" i="23"/>
  <c r="K65" i="23"/>
  <c r="W56" i="23"/>
  <c r="U56" i="23"/>
  <c r="S56" i="23"/>
  <c r="Q56" i="23"/>
  <c r="O56" i="23"/>
  <c r="M56" i="23"/>
  <c r="K56" i="23"/>
  <c r="I56" i="23"/>
  <c r="G56" i="23"/>
  <c r="W55" i="23"/>
  <c r="U55" i="23"/>
  <c r="S55" i="23"/>
  <c r="Q55" i="23"/>
  <c r="O55" i="23"/>
  <c r="M55" i="23"/>
  <c r="K55" i="23"/>
  <c r="I55" i="23"/>
  <c r="G55" i="23"/>
  <c r="W49" i="23"/>
  <c r="U49" i="23"/>
  <c r="V130" i="24" s="1"/>
  <c r="S49" i="23"/>
  <c r="T166" i="24" s="1"/>
  <c r="Q49" i="23"/>
  <c r="R145" i="24" s="1"/>
  <c r="O49" i="23"/>
  <c r="M49" i="23"/>
  <c r="N135" i="24" s="1"/>
  <c r="K49" i="23"/>
  <c r="L160" i="24" s="1"/>
  <c r="I49" i="23"/>
  <c r="J134" i="24" s="1"/>
  <c r="G49" i="23"/>
  <c r="H127" i="24" s="1"/>
  <c r="W48" i="23"/>
  <c r="W93" i="23" s="1"/>
  <c r="U48" i="23"/>
  <c r="U93" i="23" s="1"/>
  <c r="S48" i="23"/>
  <c r="Q48" i="23"/>
  <c r="Q93" i="23" s="1"/>
  <c r="O48" i="23"/>
  <c r="M48" i="23"/>
  <c r="K48" i="23"/>
  <c r="I48" i="23"/>
  <c r="I93" i="23" s="1"/>
  <c r="G48" i="23"/>
  <c r="W43" i="23"/>
  <c r="U43" i="23"/>
  <c r="S43" i="23"/>
  <c r="Q43" i="23"/>
  <c r="O43" i="23"/>
  <c r="M43" i="23"/>
  <c r="K43" i="23"/>
  <c r="I43" i="23"/>
  <c r="G43" i="23"/>
  <c r="W42" i="23"/>
  <c r="U42" i="23"/>
  <c r="S42" i="23"/>
  <c r="Q42" i="23"/>
  <c r="O42" i="23"/>
  <c r="M42" i="23"/>
  <c r="K42" i="23"/>
  <c r="I42" i="23"/>
  <c r="G42" i="23"/>
  <c r="W41" i="23"/>
  <c r="U41" i="23"/>
  <c r="S41" i="23"/>
  <c r="Q41" i="23"/>
  <c r="O41" i="23"/>
  <c r="M41" i="23"/>
  <c r="K41" i="23"/>
  <c r="I41" i="23"/>
  <c r="G41" i="23"/>
  <c r="W39" i="23"/>
  <c r="U39" i="23"/>
  <c r="S39" i="23"/>
  <c r="Q39" i="23"/>
  <c r="O39" i="23"/>
  <c r="M39" i="23"/>
  <c r="K39" i="23"/>
  <c r="I39" i="23"/>
  <c r="G39" i="23"/>
  <c r="W38" i="23"/>
  <c r="U38" i="23"/>
  <c r="S38" i="23"/>
  <c r="Q38" i="23"/>
  <c r="O38" i="23"/>
  <c r="M38" i="23"/>
  <c r="K38" i="23"/>
  <c r="I38" i="23"/>
  <c r="G38" i="23"/>
  <c r="E37" i="23"/>
  <c r="W37" i="23" s="1"/>
  <c r="E36" i="23"/>
  <c r="U36" i="23" s="1"/>
  <c r="W35" i="23"/>
  <c r="U35" i="23"/>
  <c r="S35" i="23"/>
  <c r="Q35" i="23"/>
  <c r="O35" i="23"/>
  <c r="M35" i="23"/>
  <c r="K35" i="23"/>
  <c r="I35" i="23"/>
  <c r="G35" i="23"/>
  <c r="W33" i="23"/>
  <c r="U33" i="23"/>
  <c r="S33" i="23"/>
  <c r="Q33" i="23"/>
  <c r="O33" i="23"/>
  <c r="M33" i="23"/>
  <c r="K33" i="23"/>
  <c r="I33" i="23"/>
  <c r="G33" i="23"/>
  <c r="E32" i="23"/>
  <c r="U32" i="23" s="1"/>
  <c r="W31" i="23"/>
  <c r="U31" i="23"/>
  <c r="S31" i="23"/>
  <c r="Q31" i="23"/>
  <c r="O31" i="23"/>
  <c r="M31" i="23"/>
  <c r="K31" i="23"/>
  <c r="I31" i="23"/>
  <c r="G31" i="23"/>
  <c r="W29" i="23"/>
  <c r="U29" i="23"/>
  <c r="S29" i="23"/>
  <c r="Q29" i="23"/>
  <c r="O29" i="23"/>
  <c r="M29" i="23"/>
  <c r="K29" i="23"/>
  <c r="I29" i="23"/>
  <c r="G29" i="23"/>
  <c r="F184" i="11"/>
  <c r="F183" i="11"/>
  <c r="F182" i="11"/>
  <c r="F181" i="11"/>
  <c r="F180" i="11"/>
  <c r="F179" i="11"/>
  <c r="F178" i="11"/>
  <c r="F177" i="11"/>
  <c r="F176" i="11"/>
  <c r="F175" i="11"/>
  <c r="F174" i="11"/>
  <c r="F173" i="11"/>
  <c r="F172" i="11"/>
  <c r="F171" i="11"/>
  <c r="F170" i="11"/>
  <c r="F169" i="11"/>
  <c r="F168" i="11"/>
  <c r="F167" i="11"/>
  <c r="F166" i="11"/>
  <c r="F165" i="11"/>
  <c r="F142" i="11"/>
  <c r="E165" i="11" s="1"/>
  <c r="F143" i="11"/>
  <c r="E143" i="11" s="1"/>
  <c r="F188" i="11" s="1"/>
  <c r="E188" i="11" s="1"/>
  <c r="F144" i="11"/>
  <c r="F145" i="11"/>
  <c r="E168" i="11" s="1"/>
  <c r="F146" i="11"/>
  <c r="F147" i="11"/>
  <c r="E147" i="11" s="1"/>
  <c r="F192" i="11" s="1"/>
  <c r="E192" i="11" s="1"/>
  <c r="F148" i="11"/>
  <c r="F149" i="11"/>
  <c r="E172" i="11" s="1"/>
  <c r="F150" i="11"/>
  <c r="F151" i="11"/>
  <c r="E151" i="11" s="1"/>
  <c r="F196" i="11" s="1"/>
  <c r="E196" i="11" s="1"/>
  <c r="F152" i="11"/>
  <c r="F153" i="11"/>
  <c r="E176" i="11" s="1"/>
  <c r="F154" i="11"/>
  <c r="F155" i="11"/>
  <c r="E155" i="11" s="1"/>
  <c r="F200" i="11" s="1"/>
  <c r="E200" i="11" s="1"/>
  <c r="F156" i="11"/>
  <c r="F157" i="11"/>
  <c r="E180" i="11" s="1"/>
  <c r="F158" i="11"/>
  <c r="F159" i="11"/>
  <c r="E159" i="11" s="1"/>
  <c r="F204" i="11" s="1"/>
  <c r="E204" i="11" s="1"/>
  <c r="F160" i="11"/>
  <c r="F161" i="11"/>
  <c r="E184" i="11" s="1"/>
  <c r="A5" i="11"/>
  <c r="A6" i="11" s="1"/>
  <c r="A7" i="11" s="1"/>
  <c r="A8" i="11" s="1"/>
  <c r="A9" i="11" s="1"/>
  <c r="A10" i="11" s="1"/>
  <c r="A11" i="11" s="1"/>
  <c r="A12" i="11" s="1"/>
  <c r="A13" i="11" s="1"/>
  <c r="A14" i="11" s="1"/>
  <c r="A15" i="11" s="1"/>
  <c r="A16" i="11" s="1"/>
  <c r="A17" i="11" s="1"/>
  <c r="A18" i="11" s="1"/>
  <c r="A19" i="11" s="1"/>
  <c r="A20" i="11" s="1"/>
  <c r="A21" i="11" s="1"/>
  <c r="A22" i="11" s="1"/>
  <c r="A23" i="11" s="1"/>
  <c r="U25" i="11"/>
  <c r="U2" i="11" s="1"/>
  <c r="W25" i="11"/>
  <c r="W2" i="11" s="1"/>
  <c r="G64" i="24" l="1"/>
  <c r="G56" i="24"/>
  <c r="G63" i="24"/>
  <c r="G55" i="24"/>
  <c r="G62" i="24"/>
  <c r="G54" i="24"/>
  <c r="G61" i="24"/>
  <c r="G53" i="24"/>
  <c r="G68" i="24"/>
  <c r="G60" i="24"/>
  <c r="G52" i="24"/>
  <c r="G67" i="24"/>
  <c r="G59" i="24"/>
  <c r="G51" i="24"/>
  <c r="G66" i="24"/>
  <c r="G58" i="24"/>
  <c r="G50" i="24"/>
  <c r="G65" i="24"/>
  <c r="G57" i="24"/>
  <c r="G49" i="24"/>
  <c r="K64" i="24"/>
  <c r="K56" i="24"/>
  <c r="K63" i="24"/>
  <c r="K55" i="24"/>
  <c r="K62" i="24"/>
  <c r="K54" i="24"/>
  <c r="K61" i="24"/>
  <c r="K53" i="24"/>
  <c r="K68" i="24"/>
  <c r="K60" i="24"/>
  <c r="K52" i="24"/>
  <c r="K67" i="24"/>
  <c r="K59" i="24"/>
  <c r="K51" i="24"/>
  <c r="K66" i="24"/>
  <c r="K58" i="24"/>
  <c r="K50" i="24"/>
  <c r="K65" i="24"/>
  <c r="K57" i="24"/>
  <c r="K49" i="24"/>
  <c r="M68" i="24"/>
  <c r="M60" i="24"/>
  <c r="M52" i="24"/>
  <c r="M67" i="24"/>
  <c r="M59" i="24"/>
  <c r="M51" i="24"/>
  <c r="M66" i="24"/>
  <c r="M58" i="24"/>
  <c r="M50" i="24"/>
  <c r="M65" i="24"/>
  <c r="M57" i="24"/>
  <c r="M49" i="24"/>
  <c r="M64" i="24"/>
  <c r="M56" i="24"/>
  <c r="M63" i="24"/>
  <c r="M55" i="24"/>
  <c r="M62" i="24"/>
  <c r="M54" i="24"/>
  <c r="M61" i="24"/>
  <c r="M53" i="24"/>
  <c r="O64" i="24"/>
  <c r="O56" i="24"/>
  <c r="O63" i="24"/>
  <c r="O55" i="24"/>
  <c r="O62" i="24"/>
  <c r="O54" i="24"/>
  <c r="O61" i="24"/>
  <c r="O53" i="24"/>
  <c r="O68" i="24"/>
  <c r="O60" i="24"/>
  <c r="O52" i="24"/>
  <c r="O67" i="24"/>
  <c r="O59" i="24"/>
  <c r="O51" i="24"/>
  <c r="O66" i="24"/>
  <c r="O58" i="24"/>
  <c r="O50" i="24"/>
  <c r="O65" i="24"/>
  <c r="O57" i="24"/>
  <c r="O49" i="24"/>
  <c r="U68" i="24"/>
  <c r="U60" i="24"/>
  <c r="U52" i="24"/>
  <c r="U67" i="24"/>
  <c r="U59" i="24"/>
  <c r="U51" i="24"/>
  <c r="U66" i="24"/>
  <c r="U58" i="24"/>
  <c r="U50" i="24"/>
  <c r="U65" i="24"/>
  <c r="U57" i="24"/>
  <c r="U49" i="24"/>
  <c r="U64" i="24"/>
  <c r="U56" i="24"/>
  <c r="U63" i="24"/>
  <c r="U55" i="24"/>
  <c r="U62" i="24"/>
  <c r="U54" i="24"/>
  <c r="U61" i="24"/>
  <c r="U53" i="24"/>
  <c r="W64" i="24"/>
  <c r="W56" i="24"/>
  <c r="W63" i="24"/>
  <c r="W55" i="24"/>
  <c r="W62" i="24"/>
  <c r="W54" i="24"/>
  <c r="W61" i="24"/>
  <c r="W53" i="24"/>
  <c r="W68" i="24"/>
  <c r="W60" i="24"/>
  <c r="W52" i="24"/>
  <c r="W67" i="24"/>
  <c r="W59" i="24"/>
  <c r="W51" i="24"/>
  <c r="W66" i="24"/>
  <c r="W58" i="24"/>
  <c r="W50" i="24"/>
  <c r="W65" i="24"/>
  <c r="W57" i="24"/>
  <c r="W49" i="24"/>
  <c r="Q68" i="24"/>
  <c r="Q60" i="24"/>
  <c r="Q52" i="24"/>
  <c r="Q67" i="24"/>
  <c r="Q59" i="24"/>
  <c r="Q51" i="24"/>
  <c r="Q66" i="24"/>
  <c r="Q58" i="24"/>
  <c r="Q50" i="24"/>
  <c r="Q65" i="24"/>
  <c r="Q57" i="24"/>
  <c r="Q49" i="24"/>
  <c r="Q64" i="24"/>
  <c r="Q56" i="24"/>
  <c r="Q63" i="24"/>
  <c r="Q55" i="24"/>
  <c r="Q62" i="24"/>
  <c r="Q54" i="24"/>
  <c r="Q61" i="24"/>
  <c r="Q53" i="24"/>
  <c r="S64" i="24"/>
  <c r="S56" i="24"/>
  <c r="S63" i="24"/>
  <c r="S55" i="24"/>
  <c r="S62" i="24"/>
  <c r="S54" i="24"/>
  <c r="S61" i="24"/>
  <c r="S53" i="24"/>
  <c r="S68" i="24"/>
  <c r="S60" i="24"/>
  <c r="S52" i="24"/>
  <c r="S67" i="24"/>
  <c r="S59" i="24"/>
  <c r="S51" i="24"/>
  <c r="S66" i="24"/>
  <c r="S58" i="24"/>
  <c r="S50" i="24"/>
  <c r="S65" i="24"/>
  <c r="S57" i="24"/>
  <c r="S49" i="24"/>
  <c r="I68" i="24"/>
  <c r="I60" i="24"/>
  <c r="I52" i="24"/>
  <c r="I67" i="24"/>
  <c r="I59" i="24"/>
  <c r="I51" i="24"/>
  <c r="I66" i="24"/>
  <c r="I58" i="24"/>
  <c r="I50" i="24"/>
  <c r="I65" i="24"/>
  <c r="I57" i="24"/>
  <c r="I49" i="24"/>
  <c r="I64" i="24"/>
  <c r="I56" i="24"/>
  <c r="I63" i="24"/>
  <c r="I55" i="24"/>
  <c r="I62" i="24"/>
  <c r="I54" i="24"/>
  <c r="I61" i="24"/>
  <c r="I53" i="24"/>
  <c r="X206" i="24"/>
  <c r="W206" i="24" s="1"/>
  <c r="X203" i="24"/>
  <c r="W203" i="24" s="1"/>
  <c r="X198" i="24"/>
  <c r="W198" i="24" s="1"/>
  <c r="X195" i="24"/>
  <c r="W195" i="24" s="1"/>
  <c r="X190" i="24"/>
  <c r="W190" i="24" s="1"/>
  <c r="X187" i="24"/>
  <c r="W187" i="24" s="1"/>
  <c r="X202" i="24"/>
  <c r="W202" i="24" s="1"/>
  <c r="X191" i="24"/>
  <c r="W191" i="24" s="1"/>
  <c r="X205" i="24"/>
  <c r="W205" i="24" s="1"/>
  <c r="X200" i="24"/>
  <c r="W200" i="24" s="1"/>
  <c r="X197" i="24"/>
  <c r="W197" i="24" s="1"/>
  <c r="X192" i="24"/>
  <c r="W192" i="24" s="1"/>
  <c r="X189" i="24"/>
  <c r="W189" i="24" s="1"/>
  <c r="X199" i="24"/>
  <c r="W199" i="24" s="1"/>
  <c r="X194" i="24"/>
  <c r="W194" i="24" s="1"/>
  <c r="X204" i="24"/>
  <c r="W204" i="24" s="1"/>
  <c r="X193" i="24"/>
  <c r="W193" i="24" s="1"/>
  <c r="X201" i="24"/>
  <c r="W201" i="24" s="1"/>
  <c r="X188" i="24"/>
  <c r="W188" i="24" s="1"/>
  <c r="X196" i="24"/>
  <c r="W196" i="24" s="1"/>
  <c r="R205" i="24"/>
  <c r="Q205" i="24" s="1"/>
  <c r="R203" i="24"/>
  <c r="Q203" i="24" s="1"/>
  <c r="R201" i="24"/>
  <c r="Q201" i="24" s="1"/>
  <c r="R199" i="24"/>
  <c r="Q199" i="24" s="1"/>
  <c r="R197" i="24"/>
  <c r="Q197" i="24" s="1"/>
  <c r="R195" i="24"/>
  <c r="Q195" i="24" s="1"/>
  <c r="R193" i="24"/>
  <c r="Q193" i="24" s="1"/>
  <c r="R191" i="24"/>
  <c r="Q191" i="24" s="1"/>
  <c r="R189" i="24"/>
  <c r="Q189" i="24" s="1"/>
  <c r="R187" i="24"/>
  <c r="Q187" i="24" s="1"/>
  <c r="R206" i="24"/>
  <c r="Q206" i="24" s="1"/>
  <c r="R202" i="24"/>
  <c r="Q202" i="24" s="1"/>
  <c r="R198" i="24"/>
  <c r="Q198" i="24" s="1"/>
  <c r="R194" i="24"/>
  <c r="Q194" i="24" s="1"/>
  <c r="R204" i="24"/>
  <c r="Q204" i="24" s="1"/>
  <c r="R200" i="24"/>
  <c r="Q200" i="24" s="1"/>
  <c r="R196" i="24"/>
  <c r="Q196" i="24" s="1"/>
  <c r="R192" i="24"/>
  <c r="Q192" i="24" s="1"/>
  <c r="R188" i="24"/>
  <c r="Q188" i="24" s="1"/>
  <c r="R190" i="24"/>
  <c r="Q190" i="24" s="1"/>
  <c r="P202" i="24"/>
  <c r="O202" i="24" s="1"/>
  <c r="P199" i="24"/>
  <c r="O199" i="24" s="1"/>
  <c r="P194" i="24"/>
  <c r="O194" i="24" s="1"/>
  <c r="P191" i="24"/>
  <c r="O191" i="24" s="1"/>
  <c r="P204" i="24"/>
  <c r="O204" i="24" s="1"/>
  <c r="P201" i="24"/>
  <c r="O201" i="24" s="1"/>
  <c r="P196" i="24"/>
  <c r="O196" i="24" s="1"/>
  <c r="P193" i="24"/>
  <c r="O193" i="24" s="1"/>
  <c r="P188" i="24"/>
  <c r="O188" i="24" s="1"/>
  <c r="P205" i="24"/>
  <c r="O205" i="24" s="1"/>
  <c r="P200" i="24"/>
  <c r="O200" i="24" s="1"/>
  <c r="P189" i="24"/>
  <c r="O189" i="24" s="1"/>
  <c r="P206" i="24"/>
  <c r="O206" i="24" s="1"/>
  <c r="P190" i="24"/>
  <c r="O190" i="24" s="1"/>
  <c r="P203" i="24"/>
  <c r="O203" i="24" s="1"/>
  <c r="P198" i="24"/>
  <c r="O198" i="24" s="1"/>
  <c r="P187" i="24"/>
  <c r="O187" i="24" s="1"/>
  <c r="P197" i="24"/>
  <c r="O197" i="24" s="1"/>
  <c r="P192" i="24"/>
  <c r="O192" i="24" s="1"/>
  <c r="P195" i="24"/>
  <c r="O195" i="24" s="1"/>
  <c r="N206" i="24"/>
  <c r="M206" i="24" s="1"/>
  <c r="N203" i="24"/>
  <c r="M203" i="24" s="1"/>
  <c r="N198" i="24"/>
  <c r="M198" i="24" s="1"/>
  <c r="N195" i="24"/>
  <c r="M195" i="24" s="1"/>
  <c r="N190" i="24"/>
  <c r="M190" i="24" s="1"/>
  <c r="N187" i="24"/>
  <c r="M187" i="24" s="1"/>
  <c r="N205" i="24"/>
  <c r="M205" i="24" s="1"/>
  <c r="N200" i="24"/>
  <c r="M200" i="24" s="1"/>
  <c r="N197" i="24"/>
  <c r="M197" i="24" s="1"/>
  <c r="N192" i="24"/>
  <c r="M192" i="24" s="1"/>
  <c r="N189" i="24"/>
  <c r="M189" i="24" s="1"/>
  <c r="N204" i="24"/>
  <c r="M204" i="24" s="1"/>
  <c r="N193" i="24"/>
  <c r="M193" i="24" s="1"/>
  <c r="N188" i="24"/>
  <c r="M188" i="24" s="1"/>
  <c r="N199" i="24"/>
  <c r="M199" i="24" s="1"/>
  <c r="N202" i="24"/>
  <c r="M202" i="24" s="1"/>
  <c r="N191" i="24"/>
  <c r="M191" i="24" s="1"/>
  <c r="N201" i="24"/>
  <c r="M201" i="24" s="1"/>
  <c r="N196" i="24"/>
  <c r="M196" i="24" s="1"/>
  <c r="N194" i="24"/>
  <c r="M194" i="24" s="1"/>
  <c r="T206" i="24"/>
  <c r="S206" i="24" s="1"/>
  <c r="T203" i="24"/>
  <c r="S203" i="24" s="1"/>
  <c r="T198" i="24"/>
  <c r="S198" i="24" s="1"/>
  <c r="T195" i="24"/>
  <c r="S195" i="24" s="1"/>
  <c r="T190" i="24"/>
  <c r="S190" i="24" s="1"/>
  <c r="T187" i="24"/>
  <c r="S187" i="24" s="1"/>
  <c r="T202" i="24"/>
  <c r="S202" i="24" s="1"/>
  <c r="T191" i="24"/>
  <c r="S191" i="24" s="1"/>
  <c r="T205" i="24"/>
  <c r="S205" i="24" s="1"/>
  <c r="T200" i="24"/>
  <c r="S200" i="24" s="1"/>
  <c r="T197" i="24"/>
  <c r="S197" i="24" s="1"/>
  <c r="T192" i="24"/>
  <c r="S192" i="24" s="1"/>
  <c r="T189" i="24"/>
  <c r="S189" i="24" s="1"/>
  <c r="T199" i="24"/>
  <c r="S199" i="24" s="1"/>
  <c r="T194" i="24"/>
  <c r="S194" i="24" s="1"/>
  <c r="T201" i="24"/>
  <c r="S201" i="24" s="1"/>
  <c r="T193" i="24"/>
  <c r="S193" i="24" s="1"/>
  <c r="T188" i="24"/>
  <c r="S188" i="24" s="1"/>
  <c r="T196" i="24"/>
  <c r="S196" i="24" s="1"/>
  <c r="T204" i="24"/>
  <c r="S204" i="24" s="1"/>
  <c r="J206" i="24"/>
  <c r="I206" i="24" s="1"/>
  <c r="J203" i="24"/>
  <c r="I203" i="24" s="1"/>
  <c r="J198" i="24"/>
  <c r="I198" i="24" s="1"/>
  <c r="J195" i="24"/>
  <c r="I195" i="24" s="1"/>
  <c r="J190" i="24"/>
  <c r="I190" i="24" s="1"/>
  <c r="J187" i="24"/>
  <c r="I187" i="24" s="1"/>
  <c r="J205" i="24"/>
  <c r="I205" i="24" s="1"/>
  <c r="J200" i="24"/>
  <c r="I200" i="24" s="1"/>
  <c r="J197" i="24"/>
  <c r="I197" i="24" s="1"/>
  <c r="J192" i="24"/>
  <c r="I192" i="24" s="1"/>
  <c r="J189" i="24"/>
  <c r="I189" i="24" s="1"/>
  <c r="J201" i="24"/>
  <c r="I201" i="24" s="1"/>
  <c r="J196" i="24"/>
  <c r="I196" i="24" s="1"/>
  <c r="J199" i="24"/>
  <c r="I199" i="24" s="1"/>
  <c r="J194" i="24"/>
  <c r="I194" i="24" s="1"/>
  <c r="J204" i="24"/>
  <c r="I204" i="24" s="1"/>
  <c r="J193" i="24"/>
  <c r="I193" i="24" s="1"/>
  <c r="J188" i="24"/>
  <c r="I188" i="24" s="1"/>
  <c r="J202" i="24"/>
  <c r="I202" i="24" s="1"/>
  <c r="J191" i="24"/>
  <c r="I191" i="24" s="1"/>
  <c r="L202" i="24"/>
  <c r="K202" i="24" s="1"/>
  <c r="L199" i="24"/>
  <c r="K199" i="24" s="1"/>
  <c r="L194" i="24"/>
  <c r="K194" i="24" s="1"/>
  <c r="L191" i="24"/>
  <c r="K191" i="24" s="1"/>
  <c r="L204" i="24"/>
  <c r="K204" i="24" s="1"/>
  <c r="L201" i="24"/>
  <c r="K201" i="24" s="1"/>
  <c r="L196" i="24"/>
  <c r="K196" i="24" s="1"/>
  <c r="L193" i="24"/>
  <c r="K193" i="24" s="1"/>
  <c r="L188" i="24"/>
  <c r="K188" i="24" s="1"/>
  <c r="L197" i="24"/>
  <c r="K197" i="24" s="1"/>
  <c r="L192" i="24"/>
  <c r="K192" i="24" s="1"/>
  <c r="L198" i="24"/>
  <c r="K198" i="24" s="1"/>
  <c r="L187" i="24"/>
  <c r="K187" i="24" s="1"/>
  <c r="L206" i="24"/>
  <c r="K206" i="24" s="1"/>
  <c r="L195" i="24"/>
  <c r="K195" i="24" s="1"/>
  <c r="L190" i="24"/>
  <c r="K190" i="24" s="1"/>
  <c r="L205" i="24"/>
  <c r="K205" i="24" s="1"/>
  <c r="L200" i="24"/>
  <c r="K200" i="24" s="1"/>
  <c r="L189" i="24"/>
  <c r="K189" i="24" s="1"/>
  <c r="L203" i="24"/>
  <c r="K203" i="24" s="1"/>
  <c r="V202" i="24"/>
  <c r="U202" i="24" s="1"/>
  <c r="V199" i="24"/>
  <c r="U199" i="24" s="1"/>
  <c r="V194" i="24"/>
  <c r="U194" i="24" s="1"/>
  <c r="V191" i="24"/>
  <c r="U191" i="24" s="1"/>
  <c r="V206" i="24"/>
  <c r="U206" i="24" s="1"/>
  <c r="V187" i="24"/>
  <c r="U187" i="24" s="1"/>
  <c r="V204" i="24"/>
  <c r="U204" i="24" s="1"/>
  <c r="V201" i="24"/>
  <c r="U201" i="24" s="1"/>
  <c r="V196" i="24"/>
  <c r="U196" i="24" s="1"/>
  <c r="V193" i="24"/>
  <c r="U193" i="24" s="1"/>
  <c r="V188" i="24"/>
  <c r="U188" i="24" s="1"/>
  <c r="V203" i="24"/>
  <c r="U203" i="24" s="1"/>
  <c r="V198" i="24"/>
  <c r="U198" i="24" s="1"/>
  <c r="V195" i="24"/>
  <c r="U195" i="24" s="1"/>
  <c r="V190" i="24"/>
  <c r="U190" i="24" s="1"/>
  <c r="V192" i="24"/>
  <c r="U192" i="24" s="1"/>
  <c r="V205" i="24"/>
  <c r="U205" i="24" s="1"/>
  <c r="V200" i="24"/>
  <c r="U200" i="24" s="1"/>
  <c r="V189" i="24"/>
  <c r="U189" i="24" s="1"/>
  <c r="V197" i="24"/>
  <c r="U197" i="24" s="1"/>
  <c r="H202" i="24"/>
  <c r="G202" i="24" s="1"/>
  <c r="H199" i="24"/>
  <c r="G199" i="24" s="1"/>
  <c r="H194" i="24"/>
  <c r="G194" i="24" s="1"/>
  <c r="H191" i="24"/>
  <c r="G191" i="24" s="1"/>
  <c r="H204" i="24"/>
  <c r="G204" i="24" s="1"/>
  <c r="H201" i="24"/>
  <c r="G201" i="24" s="1"/>
  <c r="H196" i="24"/>
  <c r="G196" i="24" s="1"/>
  <c r="H193" i="24"/>
  <c r="G193" i="24" s="1"/>
  <c r="H188" i="24"/>
  <c r="G188" i="24" s="1"/>
  <c r="H205" i="24"/>
  <c r="G205" i="24" s="1"/>
  <c r="H200" i="24"/>
  <c r="G200" i="24" s="1"/>
  <c r="H189" i="24"/>
  <c r="G189" i="24" s="1"/>
  <c r="H206" i="24"/>
  <c r="G206" i="24" s="1"/>
  <c r="H195" i="24"/>
  <c r="G195" i="24" s="1"/>
  <c r="H190" i="24"/>
  <c r="G190" i="24" s="1"/>
  <c r="H203" i="24"/>
  <c r="G203" i="24" s="1"/>
  <c r="H198" i="24"/>
  <c r="G198" i="24" s="1"/>
  <c r="H187" i="24"/>
  <c r="G187" i="24" s="1"/>
  <c r="H197" i="24"/>
  <c r="G197" i="24" s="1"/>
  <c r="H192" i="24"/>
  <c r="G192" i="24" s="1"/>
  <c r="F192" i="24"/>
  <c r="S19" i="24"/>
  <c r="S93" i="23"/>
  <c r="G91" i="24"/>
  <c r="G93" i="23"/>
  <c r="G94" i="23" s="1"/>
  <c r="O75" i="24"/>
  <c r="O93" i="23"/>
  <c r="K19" i="24"/>
  <c r="K93" i="23"/>
  <c r="K94" i="23" s="1"/>
  <c r="M86" i="24"/>
  <c r="M93" i="23"/>
  <c r="M94" i="23" s="1"/>
  <c r="F196" i="24"/>
  <c r="E196" i="24" s="1"/>
  <c r="V165" i="24"/>
  <c r="O94" i="23"/>
  <c r="M73" i="24"/>
  <c r="V157" i="24"/>
  <c r="G78" i="24"/>
  <c r="U130" i="24"/>
  <c r="T174" i="24"/>
  <c r="L134" i="24"/>
  <c r="K134" i="24" s="1"/>
  <c r="S74" i="24"/>
  <c r="O79" i="24"/>
  <c r="M90" i="24"/>
  <c r="V150" i="24"/>
  <c r="U173" i="24" s="1"/>
  <c r="V119" i="24"/>
  <c r="U119" i="24" s="1"/>
  <c r="G75" i="24"/>
  <c r="G84" i="24"/>
  <c r="T144" i="24"/>
  <c r="V147" i="24"/>
  <c r="U147" i="24" s="1"/>
  <c r="K89" i="24"/>
  <c r="M77" i="24"/>
  <c r="I134" i="24"/>
  <c r="I15" i="24"/>
  <c r="I11" i="24"/>
  <c r="I23" i="24"/>
  <c r="P136" i="24"/>
  <c r="O136" i="24" s="1"/>
  <c r="P133" i="24"/>
  <c r="O133" i="24" s="1"/>
  <c r="P128" i="24"/>
  <c r="O128" i="24" s="1"/>
  <c r="P125" i="24"/>
  <c r="O125" i="24" s="1"/>
  <c r="P120" i="24"/>
  <c r="O120" i="24" s="1"/>
  <c r="P138" i="24"/>
  <c r="O138" i="24" s="1"/>
  <c r="P135" i="24"/>
  <c r="P130" i="24"/>
  <c r="O130" i="24" s="1"/>
  <c r="P127" i="24"/>
  <c r="P122" i="24"/>
  <c r="O122" i="24" s="1"/>
  <c r="P119" i="24"/>
  <c r="P137" i="24"/>
  <c r="O137" i="24" s="1"/>
  <c r="P132" i="24"/>
  <c r="O132" i="24" s="1"/>
  <c r="P129" i="24"/>
  <c r="O129" i="24" s="1"/>
  <c r="P124" i="24"/>
  <c r="O124" i="24" s="1"/>
  <c r="P121" i="24"/>
  <c r="O121" i="24" s="1"/>
  <c r="P134" i="24"/>
  <c r="O134" i="24" s="1"/>
  <c r="P123" i="24"/>
  <c r="O123" i="24" s="1"/>
  <c r="P131" i="24"/>
  <c r="U22" i="24"/>
  <c r="I19" i="24"/>
  <c r="S77" i="24"/>
  <c r="S15" i="24"/>
  <c r="S11" i="24"/>
  <c r="S23" i="24"/>
  <c r="S84" i="24"/>
  <c r="R149" i="24"/>
  <c r="Q172" i="24" s="1"/>
  <c r="R137" i="24"/>
  <c r="Q137" i="24" s="1"/>
  <c r="R132" i="24"/>
  <c r="Q132" i="24" s="1"/>
  <c r="R129" i="24"/>
  <c r="Q129" i="24" s="1"/>
  <c r="R124" i="24"/>
  <c r="Q124" i="24" s="1"/>
  <c r="R121" i="24"/>
  <c r="R134" i="24"/>
  <c r="Q134" i="24" s="1"/>
  <c r="R131" i="24"/>
  <c r="Q131" i="24" s="1"/>
  <c r="R126" i="24"/>
  <c r="Q126" i="24" s="1"/>
  <c r="R123" i="24"/>
  <c r="Q123" i="24" s="1"/>
  <c r="R136" i="24"/>
  <c r="Q136" i="24" s="1"/>
  <c r="R133" i="24"/>
  <c r="Q133" i="24" s="1"/>
  <c r="R128" i="24"/>
  <c r="Q128" i="24" s="1"/>
  <c r="R125" i="24"/>
  <c r="R120" i="24"/>
  <c r="Q120" i="24" s="1"/>
  <c r="R135" i="24"/>
  <c r="Q135" i="24" s="1"/>
  <c r="R122" i="24"/>
  <c r="Q122" i="24" s="1"/>
  <c r="R130" i="24"/>
  <c r="Q130" i="24" s="1"/>
  <c r="R119" i="24"/>
  <c r="Q119" i="24" s="1"/>
  <c r="G22" i="24"/>
  <c r="M135" i="24"/>
  <c r="M15" i="24"/>
  <c r="M11" i="24"/>
  <c r="M85" i="24"/>
  <c r="M23" i="24"/>
  <c r="M89" i="24"/>
  <c r="M87" i="24"/>
  <c r="U15" i="24"/>
  <c r="U11" i="24"/>
  <c r="U23" i="24"/>
  <c r="L136" i="24"/>
  <c r="K136" i="24" s="1"/>
  <c r="L133" i="24"/>
  <c r="K133" i="24" s="1"/>
  <c r="L128" i="24"/>
  <c r="K128" i="24" s="1"/>
  <c r="L125" i="24"/>
  <c r="K125" i="24" s="1"/>
  <c r="L120" i="24"/>
  <c r="K120" i="24" s="1"/>
  <c r="L138" i="24"/>
  <c r="K138" i="24" s="1"/>
  <c r="L135" i="24"/>
  <c r="K135" i="24" s="1"/>
  <c r="L130" i="24"/>
  <c r="K130" i="24" s="1"/>
  <c r="L127" i="24"/>
  <c r="K127" i="24" s="1"/>
  <c r="L122" i="24"/>
  <c r="K122" i="24" s="1"/>
  <c r="L119" i="24"/>
  <c r="L137" i="24"/>
  <c r="K137" i="24" s="1"/>
  <c r="L132" i="24"/>
  <c r="K132" i="24" s="1"/>
  <c r="L129" i="24"/>
  <c r="K129" i="24" s="1"/>
  <c r="L124" i="24"/>
  <c r="K124" i="24" s="1"/>
  <c r="L121" i="24"/>
  <c r="K121" i="24" s="1"/>
  <c r="L131" i="24"/>
  <c r="K131" i="24" s="1"/>
  <c r="L175" i="24"/>
  <c r="L166" i="24"/>
  <c r="L152" i="24"/>
  <c r="K152" i="24" s="1"/>
  <c r="L151" i="24"/>
  <c r="K174" i="24" s="1"/>
  <c r="L148" i="24"/>
  <c r="K171" i="24" s="1"/>
  <c r="L145" i="24"/>
  <c r="K145" i="24" s="1"/>
  <c r="L144" i="24"/>
  <c r="K144" i="24" s="1"/>
  <c r="L126" i="24"/>
  <c r="K126" i="24" s="1"/>
  <c r="L170" i="24"/>
  <c r="L149" i="24"/>
  <c r="K149" i="24" s="1"/>
  <c r="L147" i="24"/>
  <c r="K170" i="24" s="1"/>
  <c r="T136" i="24"/>
  <c r="S136" i="24" s="1"/>
  <c r="T133" i="24"/>
  <c r="S133" i="24" s="1"/>
  <c r="T128" i="24"/>
  <c r="S128" i="24" s="1"/>
  <c r="T125" i="24"/>
  <c r="S125" i="24" s="1"/>
  <c r="T120" i="24"/>
  <c r="S120" i="24" s="1"/>
  <c r="T138" i="24"/>
  <c r="S138" i="24" s="1"/>
  <c r="T135" i="24"/>
  <c r="S135" i="24" s="1"/>
  <c r="T130" i="24"/>
  <c r="S130" i="24" s="1"/>
  <c r="T127" i="24"/>
  <c r="S127" i="24" s="1"/>
  <c r="T122" i="24"/>
  <c r="S122" i="24" s="1"/>
  <c r="T119" i="24"/>
  <c r="S119" i="24" s="1"/>
  <c r="T137" i="24"/>
  <c r="S137" i="24" s="1"/>
  <c r="T132" i="24"/>
  <c r="S132" i="24" s="1"/>
  <c r="T129" i="24"/>
  <c r="S129" i="24" s="1"/>
  <c r="T124" i="24"/>
  <c r="S124" i="24" s="1"/>
  <c r="T121" i="24"/>
  <c r="S121" i="24" s="1"/>
  <c r="T126" i="24"/>
  <c r="S126" i="24" s="1"/>
  <c r="T167" i="24"/>
  <c r="T134" i="24"/>
  <c r="S134" i="24" s="1"/>
  <c r="T123" i="24"/>
  <c r="S123" i="24" s="1"/>
  <c r="T170" i="24"/>
  <c r="T142" i="24"/>
  <c r="S165" i="24" s="1"/>
  <c r="T131" i="24"/>
  <c r="S131" i="24" s="1"/>
  <c r="T183" i="24"/>
  <c r="T171" i="24"/>
  <c r="T159" i="24"/>
  <c r="S182" i="24" s="1"/>
  <c r="T156" i="24"/>
  <c r="S179" i="24" s="1"/>
  <c r="I22" i="24"/>
  <c r="Q22" i="24"/>
  <c r="S94" i="23"/>
  <c r="E145" i="23"/>
  <c r="E2" i="24"/>
  <c r="U167" i="23"/>
  <c r="U118" i="24"/>
  <c r="V118" i="24" s="1"/>
  <c r="G74" i="24"/>
  <c r="S78" i="24"/>
  <c r="M82" i="24"/>
  <c r="G87" i="24"/>
  <c r="T143" i="24"/>
  <c r="T152" i="24"/>
  <c r="S152" i="24" s="1"/>
  <c r="M19" i="24"/>
  <c r="R138" i="24"/>
  <c r="Q138" i="24" s="1"/>
  <c r="Q121" i="24"/>
  <c r="Q125" i="24"/>
  <c r="Q15" i="24"/>
  <c r="Q11" i="24"/>
  <c r="Q23" i="24"/>
  <c r="X136" i="24"/>
  <c r="W136" i="24" s="1"/>
  <c r="X133" i="24"/>
  <c r="W133" i="24" s="1"/>
  <c r="X128" i="24"/>
  <c r="W128" i="24" s="1"/>
  <c r="X125" i="24"/>
  <c r="W125" i="24" s="1"/>
  <c r="X120" i="24"/>
  <c r="W120" i="24" s="1"/>
  <c r="X138" i="24"/>
  <c r="W138" i="24" s="1"/>
  <c r="X135" i="24"/>
  <c r="W135" i="24" s="1"/>
  <c r="X130" i="24"/>
  <c r="W130" i="24" s="1"/>
  <c r="X127" i="24"/>
  <c r="W127" i="24" s="1"/>
  <c r="X122" i="24"/>
  <c r="W122" i="24" s="1"/>
  <c r="X119" i="24"/>
  <c r="W119" i="24" s="1"/>
  <c r="X137" i="24"/>
  <c r="X132" i="24"/>
  <c r="W132" i="24" s="1"/>
  <c r="X129" i="24"/>
  <c r="W129" i="24" s="1"/>
  <c r="X124" i="24"/>
  <c r="W124" i="24" s="1"/>
  <c r="X121" i="24"/>
  <c r="W121" i="24" s="1"/>
  <c r="X126" i="24"/>
  <c r="W126" i="24" s="1"/>
  <c r="X180" i="24"/>
  <c r="X134" i="24"/>
  <c r="W134" i="24" s="1"/>
  <c r="X123" i="24"/>
  <c r="W123" i="24" s="1"/>
  <c r="K119" i="24"/>
  <c r="K15" i="24"/>
  <c r="K11" i="24"/>
  <c r="K23" i="24"/>
  <c r="J137" i="24"/>
  <c r="I137" i="24" s="1"/>
  <c r="J135" i="24"/>
  <c r="I135" i="24" s="1"/>
  <c r="J133" i="24"/>
  <c r="I133" i="24" s="1"/>
  <c r="J131" i="24"/>
  <c r="I131" i="24" s="1"/>
  <c r="J129" i="24"/>
  <c r="I129" i="24" s="1"/>
  <c r="J127" i="24"/>
  <c r="I127" i="24" s="1"/>
  <c r="J125" i="24"/>
  <c r="I125" i="24" s="1"/>
  <c r="J123" i="24"/>
  <c r="I123" i="24" s="1"/>
  <c r="J121" i="24"/>
  <c r="I121" i="24" s="1"/>
  <c r="J119" i="24"/>
  <c r="I119" i="24" s="1"/>
  <c r="J132" i="24"/>
  <c r="I132" i="24" s="1"/>
  <c r="J124" i="24"/>
  <c r="I124" i="24" s="1"/>
  <c r="J138" i="24"/>
  <c r="I138" i="24" s="1"/>
  <c r="J130" i="24"/>
  <c r="I130" i="24" s="1"/>
  <c r="J122" i="24"/>
  <c r="I122" i="24" s="1"/>
  <c r="J165" i="24"/>
  <c r="J136" i="24"/>
  <c r="I136" i="24" s="1"/>
  <c r="J128" i="24"/>
  <c r="I128" i="24" s="1"/>
  <c r="J120" i="24"/>
  <c r="I120" i="24" s="1"/>
  <c r="S81" i="24"/>
  <c r="U19" i="24"/>
  <c r="J126" i="24"/>
  <c r="I126" i="24" s="1"/>
  <c r="R127" i="24"/>
  <c r="Q127" i="24" s="1"/>
  <c r="G127" i="24"/>
  <c r="G90" i="24"/>
  <c r="G88" i="24"/>
  <c r="O131" i="24"/>
  <c r="O135" i="24"/>
  <c r="O127" i="24"/>
  <c r="O119" i="24"/>
  <c r="O82" i="24"/>
  <c r="O92" i="24"/>
  <c r="W137" i="24"/>
  <c r="N137" i="24"/>
  <c r="M137" i="24" s="1"/>
  <c r="N132" i="24"/>
  <c r="M132" i="24" s="1"/>
  <c r="N129" i="24"/>
  <c r="M129" i="24" s="1"/>
  <c r="N124" i="24"/>
  <c r="M124" i="24" s="1"/>
  <c r="N121" i="24"/>
  <c r="M121" i="24" s="1"/>
  <c r="N134" i="24"/>
  <c r="M134" i="24" s="1"/>
  <c r="N131" i="24"/>
  <c r="M131" i="24" s="1"/>
  <c r="N126" i="24"/>
  <c r="M126" i="24" s="1"/>
  <c r="N123" i="24"/>
  <c r="M123" i="24" s="1"/>
  <c r="N136" i="24"/>
  <c r="M136" i="24" s="1"/>
  <c r="N133" i="24"/>
  <c r="M133" i="24" s="1"/>
  <c r="N128" i="24"/>
  <c r="M128" i="24" s="1"/>
  <c r="N125" i="24"/>
  <c r="M125" i="24" s="1"/>
  <c r="N120" i="24"/>
  <c r="M120" i="24" s="1"/>
  <c r="N122" i="24"/>
  <c r="M122" i="24" s="1"/>
  <c r="N165" i="24"/>
  <c r="N130" i="24"/>
  <c r="M130" i="24" s="1"/>
  <c r="N119" i="24"/>
  <c r="M119" i="24" s="1"/>
  <c r="N168" i="24"/>
  <c r="N147" i="24"/>
  <c r="M147" i="24" s="1"/>
  <c r="N143" i="24"/>
  <c r="M166" i="24" s="1"/>
  <c r="N138" i="24"/>
  <c r="M138" i="24" s="1"/>
  <c r="N127" i="24"/>
  <c r="M127" i="24" s="1"/>
  <c r="N169" i="24"/>
  <c r="V137" i="24"/>
  <c r="U137" i="24" s="1"/>
  <c r="V132" i="24"/>
  <c r="U132" i="24" s="1"/>
  <c r="V129" i="24"/>
  <c r="U129" i="24" s="1"/>
  <c r="V124" i="24"/>
  <c r="U124" i="24" s="1"/>
  <c r="V121" i="24"/>
  <c r="U121" i="24" s="1"/>
  <c r="V134" i="24"/>
  <c r="U134" i="24" s="1"/>
  <c r="V131" i="24"/>
  <c r="U131" i="24" s="1"/>
  <c r="V126" i="24"/>
  <c r="U126" i="24" s="1"/>
  <c r="V123" i="24"/>
  <c r="U123" i="24" s="1"/>
  <c r="V136" i="24"/>
  <c r="U136" i="24" s="1"/>
  <c r="V133" i="24"/>
  <c r="U133" i="24" s="1"/>
  <c r="V128" i="24"/>
  <c r="U128" i="24" s="1"/>
  <c r="V125" i="24"/>
  <c r="U125" i="24" s="1"/>
  <c r="V120" i="24"/>
  <c r="U120" i="24" s="1"/>
  <c r="V138" i="24"/>
  <c r="U138" i="24" s="1"/>
  <c r="V127" i="24"/>
  <c r="U127" i="24" s="1"/>
  <c r="V161" i="24"/>
  <c r="U161" i="24" s="1"/>
  <c r="V135" i="24"/>
  <c r="U135" i="24" s="1"/>
  <c r="V169" i="24"/>
  <c r="V146" i="24"/>
  <c r="U146" i="24" s="1"/>
  <c r="V122" i="24"/>
  <c r="U122" i="24" s="1"/>
  <c r="K22" i="24"/>
  <c r="S22" i="24"/>
  <c r="W94" i="23"/>
  <c r="M74" i="24"/>
  <c r="O76" i="24"/>
  <c r="M79" i="24"/>
  <c r="M83" i="24"/>
  <c r="O88" i="24"/>
  <c r="X142" i="24"/>
  <c r="W165" i="24" s="1"/>
  <c r="T151" i="24"/>
  <c r="S174" i="24" s="1"/>
  <c r="Q19" i="24"/>
  <c r="L123" i="24"/>
  <c r="K123" i="24" s="1"/>
  <c r="P126" i="24"/>
  <c r="O126" i="24" s="1"/>
  <c r="X131" i="24"/>
  <c r="W131" i="24" s="1"/>
  <c r="H137" i="24"/>
  <c r="G137" i="24" s="1"/>
  <c r="H132" i="24"/>
  <c r="G132" i="24" s="1"/>
  <c r="H129" i="24"/>
  <c r="G129" i="24" s="1"/>
  <c r="H124" i="24"/>
  <c r="G124" i="24" s="1"/>
  <c r="H121" i="24"/>
  <c r="G121" i="24" s="1"/>
  <c r="H134" i="24"/>
  <c r="G134" i="24" s="1"/>
  <c r="H131" i="24"/>
  <c r="G131" i="24" s="1"/>
  <c r="H126" i="24"/>
  <c r="G126" i="24" s="1"/>
  <c r="H123" i="24"/>
  <c r="G123" i="24" s="1"/>
  <c r="H136" i="24"/>
  <c r="G136" i="24" s="1"/>
  <c r="H133" i="24"/>
  <c r="G133" i="24" s="1"/>
  <c r="H128" i="24"/>
  <c r="G128" i="24" s="1"/>
  <c r="H125" i="24"/>
  <c r="G125" i="24" s="1"/>
  <c r="H120" i="24"/>
  <c r="G120" i="24" s="1"/>
  <c r="H135" i="24"/>
  <c r="G135" i="24" s="1"/>
  <c r="H122" i="24"/>
  <c r="G122" i="24" s="1"/>
  <c r="H130" i="24"/>
  <c r="G130" i="24" s="1"/>
  <c r="H119" i="24"/>
  <c r="G119" i="24" s="1"/>
  <c r="M22" i="24"/>
  <c r="H138" i="24"/>
  <c r="G138" i="24" s="1"/>
  <c r="F191" i="24"/>
  <c r="E191" i="24" s="1"/>
  <c r="U48" i="11"/>
  <c r="W95" i="11"/>
  <c r="W144" i="6" s="1"/>
  <c r="F188" i="24"/>
  <c r="E188" i="24" s="1"/>
  <c r="E192" i="24"/>
  <c r="G12" i="24"/>
  <c r="G16" i="24"/>
  <c r="G20" i="24"/>
  <c r="I12" i="24"/>
  <c r="I16" i="24"/>
  <c r="I20" i="24"/>
  <c r="K12" i="24"/>
  <c r="K16" i="24"/>
  <c r="K20" i="24"/>
  <c r="M12" i="24"/>
  <c r="M16" i="24"/>
  <c r="M20" i="24"/>
  <c r="O12" i="24"/>
  <c r="O16" i="24"/>
  <c r="O20" i="24"/>
  <c r="Q12" i="24"/>
  <c r="Q16" i="24"/>
  <c r="Q20" i="24"/>
  <c r="S12" i="24"/>
  <c r="S16" i="24"/>
  <c r="S20" i="24"/>
  <c r="U12" i="24"/>
  <c r="U16" i="24"/>
  <c r="U20" i="24"/>
  <c r="W12" i="24"/>
  <c r="W16" i="24"/>
  <c r="W20" i="24"/>
  <c r="G11" i="24"/>
  <c r="O11" i="24"/>
  <c r="O23" i="24"/>
  <c r="W15" i="24"/>
  <c r="W19" i="24"/>
  <c r="W23" i="24"/>
  <c r="G13" i="24"/>
  <c r="G17" i="24"/>
  <c r="G21" i="24"/>
  <c r="I13" i="24"/>
  <c r="I17" i="24"/>
  <c r="I21" i="24"/>
  <c r="K13" i="24"/>
  <c r="K17" i="24"/>
  <c r="K21" i="24"/>
  <c r="M13" i="24"/>
  <c r="M17" i="24"/>
  <c r="M21" i="24"/>
  <c r="O13" i="24"/>
  <c r="O17" i="24"/>
  <c r="O21" i="24"/>
  <c r="Q13" i="24"/>
  <c r="Q17" i="24"/>
  <c r="Q21" i="24"/>
  <c r="S13" i="24"/>
  <c r="S17" i="24"/>
  <c r="S21" i="24"/>
  <c r="U13" i="24"/>
  <c r="U17" i="24"/>
  <c r="U21" i="24"/>
  <c r="W13" i="24"/>
  <c r="W17" i="24"/>
  <c r="W21" i="24"/>
  <c r="G15" i="24"/>
  <c r="G19" i="24"/>
  <c r="G23" i="24"/>
  <c r="O15" i="24"/>
  <c r="O19" i="24"/>
  <c r="W11" i="24"/>
  <c r="G10" i="24"/>
  <c r="G14" i="24"/>
  <c r="G18" i="24"/>
  <c r="I10" i="24"/>
  <c r="I14" i="24"/>
  <c r="I18" i="24"/>
  <c r="K10" i="24"/>
  <c r="K14" i="24"/>
  <c r="K18" i="24"/>
  <c r="M10" i="24"/>
  <c r="M14" i="24"/>
  <c r="M18" i="24"/>
  <c r="O10" i="24"/>
  <c r="O14" i="24"/>
  <c r="O18" i="24"/>
  <c r="O22" i="24"/>
  <c r="Q10" i="24"/>
  <c r="Q14" i="24"/>
  <c r="Q18" i="24"/>
  <c r="S10" i="24"/>
  <c r="S14" i="24"/>
  <c r="S18" i="24"/>
  <c r="U10" i="24"/>
  <c r="U14" i="24"/>
  <c r="U18" i="24"/>
  <c r="W10" i="24"/>
  <c r="W14" i="24"/>
  <c r="W18" i="24"/>
  <c r="W22" i="24"/>
  <c r="U141" i="11"/>
  <c r="U164" i="11" s="1"/>
  <c r="V164" i="11" s="1"/>
  <c r="W48" i="11"/>
  <c r="E166" i="11"/>
  <c r="W141" i="11"/>
  <c r="U95" i="11"/>
  <c r="U144" i="6" s="1"/>
  <c r="S145" i="23"/>
  <c r="E155" i="24"/>
  <c r="O2" i="24"/>
  <c r="E96" i="23"/>
  <c r="Q36" i="23"/>
  <c r="W32" i="23"/>
  <c r="G36" i="23"/>
  <c r="W2" i="24"/>
  <c r="O95" i="24"/>
  <c r="O167" i="23" s="1"/>
  <c r="G145" i="23"/>
  <c r="G2" i="24"/>
  <c r="E159" i="24"/>
  <c r="I36" i="23"/>
  <c r="K37" i="23"/>
  <c r="W95" i="24"/>
  <c r="E152" i="24"/>
  <c r="E156" i="24"/>
  <c r="M37" i="23"/>
  <c r="E142" i="24"/>
  <c r="K32" i="23"/>
  <c r="S36" i="23"/>
  <c r="E148" i="24"/>
  <c r="W164" i="24"/>
  <c r="X164" i="24" s="1"/>
  <c r="O164" i="24"/>
  <c r="P164" i="24" s="1"/>
  <c r="O32" i="23"/>
  <c r="K145" i="23"/>
  <c r="S2" i="24"/>
  <c r="S48" i="24"/>
  <c r="P141" i="24"/>
  <c r="G32" i="23"/>
  <c r="Q32" i="23"/>
  <c r="K36" i="23"/>
  <c r="W36" i="23"/>
  <c r="U37" i="23"/>
  <c r="U2" i="24"/>
  <c r="W48" i="24"/>
  <c r="E169" i="24"/>
  <c r="O186" i="24"/>
  <c r="K95" i="24"/>
  <c r="K167" i="23" s="1"/>
  <c r="E174" i="24"/>
  <c r="I32" i="23"/>
  <c r="S32" i="23"/>
  <c r="O36" i="23"/>
  <c r="K2" i="24"/>
  <c r="H141" i="24"/>
  <c r="E144" i="24"/>
  <c r="E150" i="24"/>
  <c r="E154" i="24"/>
  <c r="G164" i="24"/>
  <c r="H164" i="24" s="1"/>
  <c r="E170" i="24"/>
  <c r="X186" i="24"/>
  <c r="N186" i="24"/>
  <c r="M186" i="24"/>
  <c r="M164" i="24"/>
  <c r="N164" i="24" s="1"/>
  <c r="N141" i="24"/>
  <c r="I90" i="24"/>
  <c r="I86" i="24"/>
  <c r="I82" i="24"/>
  <c r="I78" i="24"/>
  <c r="I74" i="24"/>
  <c r="I92" i="24"/>
  <c r="I89" i="24"/>
  <c r="I79" i="24"/>
  <c r="I76" i="24"/>
  <c r="I73" i="24"/>
  <c r="I91" i="24"/>
  <c r="I88" i="24"/>
  <c r="I85" i="24"/>
  <c r="I75" i="24"/>
  <c r="I83" i="24"/>
  <c r="I80" i="24"/>
  <c r="I87" i="24"/>
  <c r="I84" i="24"/>
  <c r="I81" i="24"/>
  <c r="I77" i="24"/>
  <c r="Q90" i="24"/>
  <c r="Q86" i="24"/>
  <c r="Q82" i="24"/>
  <c r="Q78" i="24"/>
  <c r="Q74" i="24"/>
  <c r="Q83" i="24"/>
  <c r="Q80" i="24"/>
  <c r="Q77" i="24"/>
  <c r="Q92" i="24"/>
  <c r="Q89" i="24"/>
  <c r="Q79" i="24"/>
  <c r="Q76" i="24"/>
  <c r="Q73" i="24"/>
  <c r="Q88" i="24"/>
  <c r="Q84" i="24"/>
  <c r="Q81" i="24"/>
  <c r="Q75" i="24"/>
  <c r="Q94" i="23"/>
  <c r="Q85" i="24"/>
  <c r="H182" i="24"/>
  <c r="H181" i="24"/>
  <c r="H184" i="24"/>
  <c r="H183" i="24"/>
  <c r="H177" i="24"/>
  <c r="H173" i="24"/>
  <c r="H180" i="24"/>
  <c r="H176" i="24"/>
  <c r="H172" i="24"/>
  <c r="H175" i="24"/>
  <c r="H174" i="24"/>
  <c r="H169" i="24"/>
  <c r="H165" i="24"/>
  <c r="H158" i="24"/>
  <c r="H154" i="24"/>
  <c r="H150" i="24"/>
  <c r="H146" i="24"/>
  <c r="H168" i="24"/>
  <c r="H161" i="24"/>
  <c r="H157" i="24"/>
  <c r="H153" i="24"/>
  <c r="H179" i="24"/>
  <c r="H178" i="24"/>
  <c r="H152" i="24"/>
  <c r="H155" i="24"/>
  <c r="H149" i="24"/>
  <c r="H144" i="24"/>
  <c r="H171" i="24"/>
  <c r="H160" i="24"/>
  <c r="H156" i="24"/>
  <c r="H148" i="24"/>
  <c r="H159" i="24"/>
  <c r="H151" i="24"/>
  <c r="H143" i="24"/>
  <c r="H142" i="24"/>
  <c r="H170" i="24"/>
  <c r="H166" i="24"/>
  <c r="H147" i="24"/>
  <c r="P182" i="24"/>
  <c r="P181" i="24"/>
  <c r="P184" i="24"/>
  <c r="P183" i="24"/>
  <c r="P177" i="24"/>
  <c r="P173" i="24"/>
  <c r="P180" i="24"/>
  <c r="P176" i="24"/>
  <c r="P172" i="24"/>
  <c r="P175" i="24"/>
  <c r="P174" i="24"/>
  <c r="P169" i="24"/>
  <c r="P165" i="24"/>
  <c r="P158" i="24"/>
  <c r="P154" i="24"/>
  <c r="P150" i="24"/>
  <c r="P146" i="24"/>
  <c r="P168" i="24"/>
  <c r="P161" i="24"/>
  <c r="P157" i="24"/>
  <c r="P153" i="24"/>
  <c r="P152" i="24"/>
  <c r="P147" i="24"/>
  <c r="P145" i="24"/>
  <c r="P144" i="24"/>
  <c r="P178" i="24"/>
  <c r="P170" i="24"/>
  <c r="P166" i="24"/>
  <c r="P149" i="24"/>
  <c r="P155" i="24"/>
  <c r="P148" i="24"/>
  <c r="P143" i="24"/>
  <c r="P142" i="24"/>
  <c r="P160" i="24"/>
  <c r="P171" i="24"/>
  <c r="P167" i="24"/>
  <c r="P156" i="24"/>
  <c r="P151" i="24"/>
  <c r="X182" i="24"/>
  <c r="X181" i="24"/>
  <c r="X184" i="24"/>
  <c r="X183" i="24"/>
  <c r="X177" i="24"/>
  <c r="X173" i="24"/>
  <c r="X176" i="24"/>
  <c r="X172" i="24"/>
  <c r="X175" i="24"/>
  <c r="X174" i="24"/>
  <c r="X169" i="24"/>
  <c r="X165" i="24"/>
  <c r="X158" i="24"/>
  <c r="X154" i="24"/>
  <c r="X150" i="24"/>
  <c r="X146" i="24"/>
  <c r="X168" i="24"/>
  <c r="X161" i="24"/>
  <c r="X157" i="24"/>
  <c r="X153" i="24"/>
  <c r="X179" i="24"/>
  <c r="X178" i="24"/>
  <c r="X152" i="24"/>
  <c r="X171" i="24"/>
  <c r="X167" i="24"/>
  <c r="X159" i="24"/>
  <c r="X151" i="24"/>
  <c r="X148" i="24"/>
  <c r="X170" i="24"/>
  <c r="X166" i="24"/>
  <c r="X143" i="24"/>
  <c r="X160" i="24"/>
  <c r="X156" i="24"/>
  <c r="X155" i="24"/>
  <c r="X147" i="24"/>
  <c r="X149" i="24"/>
  <c r="X145" i="24"/>
  <c r="X144" i="24"/>
  <c r="I94" i="23"/>
  <c r="Q87" i="24"/>
  <c r="Q91" i="24"/>
  <c r="U184" i="24"/>
  <c r="H167" i="24"/>
  <c r="P179" i="24"/>
  <c r="U180" i="24"/>
  <c r="U157" i="24"/>
  <c r="Q168" i="24"/>
  <c r="Q145" i="24"/>
  <c r="K91" i="24"/>
  <c r="K87" i="24"/>
  <c r="K83" i="24"/>
  <c r="K79" i="24"/>
  <c r="K75" i="24"/>
  <c r="K88" i="24"/>
  <c r="K85" i="24"/>
  <c r="K82" i="24"/>
  <c r="K84" i="24"/>
  <c r="K81" i="24"/>
  <c r="K78" i="24"/>
  <c r="K90" i="24"/>
  <c r="K86" i="24"/>
  <c r="K77" i="24"/>
  <c r="K73" i="24"/>
  <c r="K74" i="24"/>
  <c r="K92" i="24"/>
  <c r="S91" i="24"/>
  <c r="S87" i="24"/>
  <c r="S83" i="24"/>
  <c r="S79" i="24"/>
  <c r="S75" i="24"/>
  <c r="S92" i="24"/>
  <c r="S89" i="24"/>
  <c r="S86" i="24"/>
  <c r="S76" i="24"/>
  <c r="S73" i="24"/>
  <c r="S88" i="24"/>
  <c r="S85" i="24"/>
  <c r="S82" i="24"/>
  <c r="S144" i="24"/>
  <c r="S167" i="24"/>
  <c r="S90" i="24"/>
  <c r="S80" i="24"/>
  <c r="J184" i="24"/>
  <c r="J183" i="24"/>
  <c r="J179" i="24"/>
  <c r="J175" i="24"/>
  <c r="J178" i="24"/>
  <c r="J174" i="24"/>
  <c r="J182" i="24"/>
  <c r="J177" i="24"/>
  <c r="J176" i="24"/>
  <c r="J171" i="24"/>
  <c r="J167" i="24"/>
  <c r="J160" i="24"/>
  <c r="J156" i="24"/>
  <c r="J152" i="24"/>
  <c r="J148" i="24"/>
  <c r="J144" i="24"/>
  <c r="J170" i="24"/>
  <c r="J166" i="24"/>
  <c r="J159" i="24"/>
  <c r="J155" i="24"/>
  <c r="J151" i="24"/>
  <c r="J180" i="24"/>
  <c r="J154" i="24"/>
  <c r="J153" i="24"/>
  <c r="J149" i="24"/>
  <c r="J147" i="24"/>
  <c r="J146" i="24"/>
  <c r="J142" i="24"/>
  <c r="J181" i="24"/>
  <c r="J172" i="24"/>
  <c r="J169" i="24"/>
  <c r="J161" i="24"/>
  <c r="J168" i="24"/>
  <c r="J150" i="24"/>
  <c r="J157" i="24"/>
  <c r="J158" i="24"/>
  <c r="J145" i="24"/>
  <c r="J173" i="24"/>
  <c r="R184" i="24"/>
  <c r="R183" i="24"/>
  <c r="R179" i="24"/>
  <c r="R175" i="24"/>
  <c r="R178" i="24"/>
  <c r="R174" i="24"/>
  <c r="R177" i="24"/>
  <c r="R176" i="24"/>
  <c r="R171" i="24"/>
  <c r="R167" i="24"/>
  <c r="R160" i="24"/>
  <c r="R156" i="24"/>
  <c r="R152" i="24"/>
  <c r="R148" i="24"/>
  <c r="R144" i="24"/>
  <c r="R181" i="24"/>
  <c r="R170" i="24"/>
  <c r="R166" i="24"/>
  <c r="R159" i="24"/>
  <c r="R155" i="24"/>
  <c r="R151" i="24"/>
  <c r="R172" i="24"/>
  <c r="R154" i="24"/>
  <c r="R153" i="24"/>
  <c r="R142" i="24"/>
  <c r="R180" i="24"/>
  <c r="R165" i="24"/>
  <c r="R157" i="24"/>
  <c r="R143" i="24"/>
  <c r="R173" i="24"/>
  <c r="R169" i="24"/>
  <c r="R161" i="24"/>
  <c r="R150" i="24"/>
  <c r="R147" i="24"/>
  <c r="R146" i="24"/>
  <c r="R168" i="24"/>
  <c r="R182" i="24"/>
  <c r="R158" i="24"/>
  <c r="A6" i="24"/>
  <c r="E48" i="24"/>
  <c r="E95" i="24"/>
  <c r="E167" i="23" s="1"/>
  <c r="M48" i="24"/>
  <c r="M95" i="24"/>
  <c r="M167" i="23" s="1"/>
  <c r="M2" i="24"/>
  <c r="U48" i="24"/>
  <c r="U141" i="24"/>
  <c r="K76" i="24"/>
  <c r="K80" i="24"/>
  <c r="J143" i="24"/>
  <c r="H145" i="24"/>
  <c r="P159" i="24"/>
  <c r="U169" i="24"/>
  <c r="E149" i="24"/>
  <c r="E172" i="24"/>
  <c r="Q37" i="23"/>
  <c r="I37" i="23"/>
  <c r="I95" i="24"/>
  <c r="I167" i="23" s="1"/>
  <c r="I2" i="24"/>
  <c r="J186" i="24"/>
  <c r="I186" i="24"/>
  <c r="I164" i="24"/>
  <c r="J164" i="24" s="1"/>
  <c r="J141" i="24"/>
  <c r="K183" i="24"/>
  <c r="K160" i="24"/>
  <c r="O37" i="23"/>
  <c r="Q95" i="24"/>
  <c r="Q167" i="23" s="1"/>
  <c r="Q48" i="24"/>
  <c r="Q2" i="24"/>
  <c r="F186" i="24"/>
  <c r="E186" i="24"/>
  <c r="E164" i="24"/>
  <c r="F164" i="24" s="1"/>
  <c r="F141" i="24"/>
  <c r="U150" i="24"/>
  <c r="G37" i="23"/>
  <c r="S37" i="23"/>
  <c r="G89" i="24"/>
  <c r="G85" i="24"/>
  <c r="G81" i="24"/>
  <c r="G77" i="24"/>
  <c r="G73" i="24"/>
  <c r="G86" i="24"/>
  <c r="G83" i="24"/>
  <c r="G80" i="24"/>
  <c r="G92" i="24"/>
  <c r="G82" i="24"/>
  <c r="G79" i="24"/>
  <c r="G76" i="24"/>
  <c r="O89" i="24"/>
  <c r="O85" i="24"/>
  <c r="O81" i="24"/>
  <c r="O77" i="24"/>
  <c r="O73" i="24"/>
  <c r="O90" i="24"/>
  <c r="O87" i="24"/>
  <c r="O84" i="24"/>
  <c r="O74" i="24"/>
  <c r="O86" i="24"/>
  <c r="O83" i="24"/>
  <c r="O80" i="24"/>
  <c r="N184" i="24"/>
  <c r="N183" i="24"/>
  <c r="N182" i="24"/>
  <c r="N181" i="24"/>
  <c r="N179" i="24"/>
  <c r="N175" i="24"/>
  <c r="N178" i="24"/>
  <c r="N174" i="24"/>
  <c r="N180" i="24"/>
  <c r="N173" i="24"/>
  <c r="N172" i="24"/>
  <c r="N171" i="24"/>
  <c r="N167" i="24"/>
  <c r="N160" i="24"/>
  <c r="N156" i="24"/>
  <c r="N152" i="24"/>
  <c r="N148" i="24"/>
  <c r="N144" i="24"/>
  <c r="N170" i="24"/>
  <c r="N166" i="24"/>
  <c r="N159" i="24"/>
  <c r="N155" i="24"/>
  <c r="N151" i="24"/>
  <c r="N176" i="24"/>
  <c r="N150" i="24"/>
  <c r="N142" i="24"/>
  <c r="N145" i="24"/>
  <c r="N177" i="24"/>
  <c r="N158" i="24"/>
  <c r="N153" i="24"/>
  <c r="N149" i="24"/>
  <c r="V184" i="24"/>
  <c r="V180" i="24"/>
  <c r="V183" i="24"/>
  <c r="V182" i="24"/>
  <c r="V181" i="24"/>
  <c r="V179" i="24"/>
  <c r="V175" i="24"/>
  <c r="V178" i="24"/>
  <c r="V174" i="24"/>
  <c r="V173" i="24"/>
  <c r="V172" i="24"/>
  <c r="V167" i="24"/>
  <c r="V160" i="24"/>
  <c r="V156" i="24"/>
  <c r="V152" i="24"/>
  <c r="V148" i="24"/>
  <c r="V144" i="24"/>
  <c r="V171" i="24"/>
  <c r="V170" i="24"/>
  <c r="V166" i="24"/>
  <c r="V159" i="24"/>
  <c r="V155" i="24"/>
  <c r="V151" i="24"/>
  <c r="V145" i="24"/>
  <c r="V143" i="24"/>
  <c r="V142" i="24"/>
  <c r="V177" i="24"/>
  <c r="V168" i="24"/>
  <c r="V154" i="24"/>
  <c r="V176" i="24"/>
  <c r="V149" i="24"/>
  <c r="I145" i="23"/>
  <c r="Q145" i="23"/>
  <c r="O78" i="24"/>
  <c r="O91" i="24"/>
  <c r="R186" i="24"/>
  <c r="Q186" i="24"/>
  <c r="Q164" i="24"/>
  <c r="R164" i="24" s="1"/>
  <c r="R141" i="24"/>
  <c r="S166" i="24"/>
  <c r="S143" i="24"/>
  <c r="N146" i="24"/>
  <c r="V153" i="24"/>
  <c r="N154" i="24"/>
  <c r="N157" i="24"/>
  <c r="V158" i="24"/>
  <c r="N161" i="24"/>
  <c r="K151" i="24"/>
  <c r="S156" i="24"/>
  <c r="E180" i="24"/>
  <c r="E157" i="24"/>
  <c r="E184" i="24"/>
  <c r="E161" i="24"/>
  <c r="E166" i="24"/>
  <c r="M32" i="23"/>
  <c r="M36" i="23"/>
  <c r="M92" i="24"/>
  <c r="M88" i="24"/>
  <c r="M84" i="24"/>
  <c r="M80" i="24"/>
  <c r="M76" i="24"/>
  <c r="L182" i="24"/>
  <c r="L181" i="24"/>
  <c r="L177" i="24"/>
  <c r="L173" i="24"/>
  <c r="L180" i="24"/>
  <c r="L176" i="24"/>
  <c r="L172" i="24"/>
  <c r="L179" i="24"/>
  <c r="L178" i="24"/>
  <c r="L169" i="24"/>
  <c r="L165" i="24"/>
  <c r="L158" i="24"/>
  <c r="L154" i="24"/>
  <c r="L150" i="24"/>
  <c r="L146" i="24"/>
  <c r="L183" i="24"/>
  <c r="L168" i="24"/>
  <c r="L161" i="24"/>
  <c r="L157" i="24"/>
  <c r="L153" i="24"/>
  <c r="L174" i="24"/>
  <c r="L155" i="24"/>
  <c r="T182" i="24"/>
  <c r="T181" i="24"/>
  <c r="T177" i="24"/>
  <c r="T173" i="24"/>
  <c r="T180" i="24"/>
  <c r="T176" i="24"/>
  <c r="T172" i="24"/>
  <c r="T179" i="24"/>
  <c r="T178" i="24"/>
  <c r="T169" i="24"/>
  <c r="T165" i="24"/>
  <c r="T158" i="24"/>
  <c r="T154" i="24"/>
  <c r="T150" i="24"/>
  <c r="T146" i="24"/>
  <c r="T184" i="24"/>
  <c r="T168" i="24"/>
  <c r="T161" i="24"/>
  <c r="T157" i="24"/>
  <c r="T153" i="24"/>
  <c r="T175" i="24"/>
  <c r="T155" i="24"/>
  <c r="T149" i="24"/>
  <c r="T148" i="24"/>
  <c r="U94" i="23"/>
  <c r="G48" i="24"/>
  <c r="M75" i="24"/>
  <c r="M78" i="24"/>
  <c r="M81" i="24"/>
  <c r="M91" i="24"/>
  <c r="X141" i="24"/>
  <c r="L142" i="24"/>
  <c r="L143" i="24"/>
  <c r="T145" i="24"/>
  <c r="T147" i="24"/>
  <c r="E176" i="24"/>
  <c r="E153" i="24"/>
  <c r="L156" i="24"/>
  <c r="E181" i="24"/>
  <c r="E158" i="24"/>
  <c r="L159" i="24"/>
  <c r="T160" i="24"/>
  <c r="L167" i="24"/>
  <c r="L171" i="24"/>
  <c r="L184" i="24"/>
  <c r="L186" i="24"/>
  <c r="K186" i="24"/>
  <c r="T186" i="24"/>
  <c r="S186" i="24"/>
  <c r="E168" i="24"/>
  <c r="E145" i="24"/>
  <c r="K164" i="24"/>
  <c r="L164" i="24" s="1"/>
  <c r="S164" i="24"/>
  <c r="T164" i="24" s="1"/>
  <c r="H186" i="24"/>
  <c r="E160" i="24"/>
  <c r="E142" i="11"/>
  <c r="F187" i="11" s="1"/>
  <c r="E145" i="11"/>
  <c r="F190" i="11" s="1"/>
  <c r="E190" i="11" s="1"/>
  <c r="E161" i="11"/>
  <c r="F206" i="11" s="1"/>
  <c r="E206" i="11" s="1"/>
  <c r="E182" i="11"/>
  <c r="E150" i="11"/>
  <c r="F195" i="11" s="1"/>
  <c r="E195" i="11" s="1"/>
  <c r="E173" i="11"/>
  <c r="E157" i="11"/>
  <c r="F202" i="11" s="1"/>
  <c r="E202" i="11" s="1"/>
  <c r="E178" i="11"/>
  <c r="E154" i="11"/>
  <c r="F199" i="11" s="1"/>
  <c r="E199" i="11" s="1"/>
  <c r="E177" i="11"/>
  <c r="E146" i="11"/>
  <c r="F191" i="11" s="1"/>
  <c r="E191" i="11" s="1"/>
  <c r="E169" i="11"/>
  <c r="E183" i="11"/>
  <c r="E160" i="11"/>
  <c r="F205" i="11" s="1"/>
  <c r="E205" i="11" s="1"/>
  <c r="E179" i="11"/>
  <c r="E156" i="11"/>
  <c r="F201" i="11" s="1"/>
  <c r="E201" i="11" s="1"/>
  <c r="E175" i="11"/>
  <c r="E152" i="11"/>
  <c r="F197" i="11" s="1"/>
  <c r="E197" i="11" s="1"/>
  <c r="E171" i="11"/>
  <c r="E148" i="11"/>
  <c r="F193" i="11" s="1"/>
  <c r="E193" i="11" s="1"/>
  <c r="E167" i="11"/>
  <c r="E144" i="11"/>
  <c r="F189" i="11" s="1"/>
  <c r="E189" i="11" s="1"/>
  <c r="E153" i="11"/>
  <c r="F198" i="11" s="1"/>
  <c r="E198" i="11" s="1"/>
  <c r="E174" i="11"/>
  <c r="E158" i="11"/>
  <c r="F203" i="11" s="1"/>
  <c r="E203" i="11" s="1"/>
  <c r="E181" i="11"/>
  <c r="E149" i="11"/>
  <c r="F194" i="11" s="1"/>
  <c r="E194" i="11" s="1"/>
  <c r="E170" i="11"/>
  <c r="E187" i="11"/>
  <c r="E26" i="11" s="1"/>
  <c r="K168" i="24" l="1"/>
  <c r="S142" i="24"/>
  <c r="M170" i="24"/>
  <c r="K147" i="24"/>
  <c r="K175" i="24"/>
  <c r="K167" i="24"/>
  <c r="S151" i="24"/>
  <c r="K148" i="24"/>
  <c r="E27" i="11"/>
  <c r="E28" i="11" s="1"/>
  <c r="E29" i="11" s="1"/>
  <c r="E30" i="11" s="1"/>
  <c r="E31" i="11" s="1"/>
  <c r="E32" i="11" s="1"/>
  <c r="E33" i="11" s="1"/>
  <c r="E34" i="11" s="1"/>
  <c r="E35" i="11" s="1"/>
  <c r="E36" i="11" s="1"/>
  <c r="E37" i="11" s="1"/>
  <c r="E38" i="11" s="1"/>
  <c r="E39" i="11" s="1"/>
  <c r="E40" i="11" s="1"/>
  <c r="E41" i="11" s="1"/>
  <c r="E42" i="11" s="1"/>
  <c r="E43" i="11" s="1"/>
  <c r="E44" i="11" s="1"/>
  <c r="E45" i="11" s="1"/>
  <c r="E112" i="11"/>
  <c r="E105" i="11"/>
  <c r="E102" i="11"/>
  <c r="E99" i="11"/>
  <c r="E115" i="11"/>
  <c r="E101" i="11"/>
  <c r="E114" i="11"/>
  <c r="E100" i="11"/>
  <c r="E96" i="11"/>
  <c r="E109" i="11"/>
  <c r="E106" i="11"/>
  <c r="E103" i="11"/>
  <c r="E108" i="11"/>
  <c r="E98" i="11"/>
  <c r="E111" i="11"/>
  <c r="E104" i="11"/>
  <c r="E97" i="11"/>
  <c r="E113" i="11"/>
  <c r="E110" i="11"/>
  <c r="E107" i="11"/>
  <c r="W142" i="24"/>
  <c r="S175" i="24"/>
  <c r="K172" i="24"/>
  <c r="U170" i="24"/>
  <c r="M143" i="24"/>
  <c r="W167" i="23"/>
  <c r="W118" i="24"/>
  <c r="X118" i="24" s="1"/>
  <c r="S159" i="24"/>
  <c r="Q149" i="24"/>
  <c r="V141" i="11"/>
  <c r="F198" i="24"/>
  <c r="E198" i="24" s="1"/>
  <c r="F201" i="24"/>
  <c r="E201" i="24" s="1"/>
  <c r="F193" i="24"/>
  <c r="E193" i="24" s="1"/>
  <c r="F205" i="24"/>
  <c r="E205" i="24" s="1"/>
  <c r="F190" i="24"/>
  <c r="E190" i="24" s="1"/>
  <c r="F203" i="24"/>
  <c r="E203" i="24" s="1"/>
  <c r="F206" i="24"/>
  <c r="E206" i="24" s="1"/>
  <c r="F202" i="24"/>
  <c r="E202" i="24" s="1"/>
  <c r="F199" i="24"/>
  <c r="E199" i="24" s="1"/>
  <c r="F197" i="24"/>
  <c r="E197" i="24" s="1"/>
  <c r="F204" i="24"/>
  <c r="E204" i="24" s="1"/>
  <c r="F189" i="24"/>
  <c r="E189" i="24" s="1"/>
  <c r="F200" i="24"/>
  <c r="E200" i="24" s="1"/>
  <c r="F194" i="24"/>
  <c r="E194" i="24" s="1"/>
  <c r="F195" i="24"/>
  <c r="E195" i="24" s="1"/>
  <c r="F187" i="24"/>
  <c r="E187" i="24" s="1"/>
  <c r="X141" i="11"/>
  <c r="W164" i="11"/>
  <c r="X164" i="11" s="1"/>
  <c r="S96" i="23"/>
  <c r="I96" i="23"/>
  <c r="U96" i="23"/>
  <c r="Q96" i="23"/>
  <c r="U181" i="24"/>
  <c r="U158" i="24"/>
  <c r="Q143" i="24"/>
  <c r="Q166" i="24"/>
  <c r="I165" i="24"/>
  <c r="I142" i="24"/>
  <c r="I167" i="24"/>
  <c r="I144" i="24"/>
  <c r="I160" i="24"/>
  <c r="I183" i="24"/>
  <c r="S177" i="24"/>
  <c r="S154" i="24"/>
  <c r="K176" i="24"/>
  <c r="K153" i="24"/>
  <c r="K181" i="24"/>
  <c r="K158" i="24"/>
  <c r="M96" i="23"/>
  <c r="I176" i="24"/>
  <c r="I153" i="24"/>
  <c r="S170" i="24"/>
  <c r="S147" i="24"/>
  <c r="G96" i="23"/>
  <c r="W178" i="24"/>
  <c r="W155" i="24"/>
  <c r="W182" i="24"/>
  <c r="W159" i="24"/>
  <c r="W184" i="24"/>
  <c r="W161" i="24"/>
  <c r="W177" i="24"/>
  <c r="W154" i="24"/>
  <c r="Q173" i="24"/>
  <c r="Q150" i="24"/>
  <c r="Q171" i="24"/>
  <c r="Q148" i="24"/>
  <c r="I178" i="24"/>
  <c r="I155" i="24"/>
  <c r="O178" i="24"/>
  <c r="O155" i="24"/>
  <c r="O149" i="24"/>
  <c r="O172" i="24"/>
  <c r="O175" i="24"/>
  <c r="O152" i="24"/>
  <c r="O158" i="24"/>
  <c r="O181" i="24"/>
  <c r="G170" i="24"/>
  <c r="G147" i="24"/>
  <c r="K182" i="24"/>
  <c r="K159" i="24"/>
  <c r="K166" i="24"/>
  <c r="K143" i="24"/>
  <c r="S172" i="24"/>
  <c r="S149" i="24"/>
  <c r="S180" i="24"/>
  <c r="S157" i="24"/>
  <c r="S169" i="24"/>
  <c r="S146" i="24"/>
  <c r="K178" i="24"/>
  <c r="K155" i="24"/>
  <c r="K184" i="24"/>
  <c r="K161" i="24"/>
  <c r="K173" i="24"/>
  <c r="K150" i="24"/>
  <c r="U165" i="24"/>
  <c r="U142" i="24"/>
  <c r="U155" i="24"/>
  <c r="U178" i="24"/>
  <c r="U179" i="24"/>
  <c r="U156" i="24"/>
  <c r="M173" i="24"/>
  <c r="M150" i="24"/>
  <c r="M182" i="24"/>
  <c r="M159" i="24"/>
  <c r="M171" i="24"/>
  <c r="M148" i="24"/>
  <c r="G168" i="24"/>
  <c r="G145" i="24"/>
  <c r="G171" i="24"/>
  <c r="G148" i="24"/>
  <c r="G167" i="24"/>
  <c r="G144" i="24"/>
  <c r="G175" i="24"/>
  <c r="G152" i="24"/>
  <c r="G157" i="24"/>
  <c r="G180" i="24"/>
  <c r="G173" i="24"/>
  <c r="G150" i="24"/>
  <c r="K165" i="24"/>
  <c r="K142" i="24"/>
  <c r="S171" i="24"/>
  <c r="S148" i="24"/>
  <c r="S176" i="24"/>
  <c r="S153" i="24"/>
  <c r="S181" i="24"/>
  <c r="S158" i="24"/>
  <c r="K180" i="24"/>
  <c r="K157" i="24"/>
  <c r="K169" i="24"/>
  <c r="K146" i="24"/>
  <c r="M180" i="24"/>
  <c r="M157" i="24"/>
  <c r="U177" i="24"/>
  <c r="U154" i="24"/>
  <c r="U166" i="24"/>
  <c r="U143" i="24"/>
  <c r="U182" i="24"/>
  <c r="U159" i="24"/>
  <c r="U167" i="24"/>
  <c r="U144" i="24"/>
  <c r="U183" i="24"/>
  <c r="U160" i="24"/>
  <c r="M172" i="24"/>
  <c r="M149" i="24"/>
  <c r="M168" i="24"/>
  <c r="M145" i="24"/>
  <c r="M175" i="24"/>
  <c r="M152" i="24"/>
  <c r="I143" i="24"/>
  <c r="I166" i="24"/>
  <c r="Q184" i="24"/>
  <c r="Q161" i="24"/>
  <c r="Q180" i="24"/>
  <c r="Q157" i="24"/>
  <c r="Q142" i="24"/>
  <c r="Q165" i="24"/>
  <c r="Q151" i="24"/>
  <c r="Q174" i="24"/>
  <c r="Q175" i="24"/>
  <c r="Q152" i="24"/>
  <c r="I168" i="24"/>
  <c r="I145" i="24"/>
  <c r="I180" i="24"/>
  <c r="I157" i="24"/>
  <c r="I169" i="24"/>
  <c r="I146" i="24"/>
  <c r="I177" i="24"/>
  <c r="I154" i="24"/>
  <c r="I182" i="24"/>
  <c r="I159" i="24"/>
  <c r="I171" i="24"/>
  <c r="I148" i="24"/>
  <c r="W167" i="24"/>
  <c r="W144" i="24"/>
  <c r="W168" i="24"/>
  <c r="W145" i="24"/>
  <c r="W156" i="24"/>
  <c r="W179" i="24"/>
  <c r="W181" i="24"/>
  <c r="W158" i="24"/>
  <c r="O183" i="24"/>
  <c r="O160" i="24"/>
  <c r="O165" i="24"/>
  <c r="O142" i="24"/>
  <c r="O167" i="24"/>
  <c r="O144" i="24"/>
  <c r="O176" i="24"/>
  <c r="O153" i="24"/>
  <c r="O169" i="24"/>
  <c r="O146" i="24"/>
  <c r="G166" i="24"/>
  <c r="G143" i="24"/>
  <c r="G179" i="24"/>
  <c r="G156" i="24"/>
  <c r="G172" i="24"/>
  <c r="G149" i="24"/>
  <c r="G184" i="24"/>
  <c r="G161" i="24"/>
  <c r="G177" i="24"/>
  <c r="G154" i="24"/>
  <c r="M146" i="24"/>
  <c r="M169" i="24"/>
  <c r="M176" i="24"/>
  <c r="M153" i="24"/>
  <c r="M174" i="24"/>
  <c r="M151" i="24"/>
  <c r="K96" i="23"/>
  <c r="W96" i="23"/>
  <c r="O96" i="23"/>
  <c r="Q169" i="24"/>
  <c r="Q146" i="24"/>
  <c r="Q176" i="24"/>
  <c r="Q153" i="24"/>
  <c r="Q178" i="24"/>
  <c r="Q155" i="24"/>
  <c r="Q179" i="24"/>
  <c r="Q156" i="24"/>
  <c r="I181" i="24"/>
  <c r="I158" i="24"/>
  <c r="I173" i="24"/>
  <c r="I150" i="24"/>
  <c r="I170" i="24"/>
  <c r="I147" i="24"/>
  <c r="I175" i="24"/>
  <c r="I152" i="24"/>
  <c r="W149" i="24"/>
  <c r="W172" i="24"/>
  <c r="W183" i="24"/>
  <c r="W160" i="24"/>
  <c r="W171" i="24"/>
  <c r="W148" i="24"/>
  <c r="W176" i="24"/>
  <c r="W153" i="24"/>
  <c r="W169" i="24"/>
  <c r="W146" i="24"/>
  <c r="O174" i="24"/>
  <c r="O151" i="24"/>
  <c r="O179" i="24"/>
  <c r="O156" i="24"/>
  <c r="O166" i="24"/>
  <c r="O143" i="24"/>
  <c r="O168" i="24"/>
  <c r="O145" i="24"/>
  <c r="O180" i="24"/>
  <c r="O157" i="24"/>
  <c r="O173" i="24"/>
  <c r="O150" i="24"/>
  <c r="G174" i="24"/>
  <c r="G151" i="24"/>
  <c r="G183" i="24"/>
  <c r="G160" i="24"/>
  <c r="G178" i="24"/>
  <c r="G155" i="24"/>
  <c r="G181" i="24"/>
  <c r="G158" i="24"/>
  <c r="M154" i="24"/>
  <c r="M177" i="24"/>
  <c r="U168" i="24"/>
  <c r="U145" i="24"/>
  <c r="U171" i="24"/>
  <c r="U148" i="24"/>
  <c r="M179" i="24"/>
  <c r="M156" i="24"/>
  <c r="S183" i="24"/>
  <c r="S160" i="24"/>
  <c r="K179" i="24"/>
  <c r="K156" i="24"/>
  <c r="S168" i="24"/>
  <c r="S145" i="24"/>
  <c r="S178" i="24"/>
  <c r="S155" i="24"/>
  <c r="S161" i="24"/>
  <c r="S184" i="24"/>
  <c r="S173" i="24"/>
  <c r="S150" i="24"/>
  <c r="K177" i="24"/>
  <c r="K154" i="24"/>
  <c r="M184" i="24"/>
  <c r="M161" i="24"/>
  <c r="U176" i="24"/>
  <c r="U153" i="24"/>
  <c r="U172" i="24"/>
  <c r="U149" i="24"/>
  <c r="U174" i="24"/>
  <c r="U151" i="24"/>
  <c r="U175" i="24"/>
  <c r="U152" i="24"/>
  <c r="M181" i="24"/>
  <c r="M158" i="24"/>
  <c r="M165" i="24"/>
  <c r="M142" i="24"/>
  <c r="M178" i="24"/>
  <c r="M155" i="24"/>
  <c r="M167" i="24"/>
  <c r="M144" i="24"/>
  <c r="M183" i="24"/>
  <c r="M160" i="24"/>
  <c r="O182" i="24"/>
  <c r="O159" i="24"/>
  <c r="V186" i="24"/>
  <c r="U186" i="24"/>
  <c r="U164" i="24"/>
  <c r="V164" i="24" s="1"/>
  <c r="V141" i="24"/>
  <c r="A7" i="24"/>
  <c r="Q181" i="24"/>
  <c r="Q158" i="24"/>
  <c r="Q170" i="24"/>
  <c r="Q147" i="24"/>
  <c r="Q177" i="24"/>
  <c r="Q154" i="24"/>
  <c r="Q182" i="24"/>
  <c r="Q159" i="24"/>
  <c r="Q167" i="24"/>
  <c r="Q144" i="24"/>
  <c r="Q183" i="24"/>
  <c r="Q160" i="24"/>
  <c r="I184" i="24"/>
  <c r="I161" i="24"/>
  <c r="I172" i="24"/>
  <c r="I149" i="24"/>
  <c r="I151" i="24"/>
  <c r="I174" i="24"/>
  <c r="I179" i="24"/>
  <c r="I156" i="24"/>
  <c r="W170" i="24"/>
  <c r="W147" i="24"/>
  <c r="W166" i="24"/>
  <c r="W143" i="24"/>
  <c r="W174" i="24"/>
  <c r="W151" i="24"/>
  <c r="W175" i="24"/>
  <c r="W152" i="24"/>
  <c r="W180" i="24"/>
  <c r="W157" i="24"/>
  <c r="W173" i="24"/>
  <c r="W150" i="24"/>
  <c r="O148" i="24"/>
  <c r="O171" i="24"/>
  <c r="O170" i="24"/>
  <c r="O147" i="24"/>
  <c r="O184" i="24"/>
  <c r="O161" i="24"/>
  <c r="O177" i="24"/>
  <c r="O154" i="24"/>
  <c r="G165" i="24"/>
  <c r="G142" i="24"/>
  <c r="G182" i="24"/>
  <c r="G159" i="24"/>
  <c r="G176" i="24"/>
  <c r="G153" i="24"/>
  <c r="G169" i="24"/>
  <c r="G146" i="24"/>
  <c r="E79" i="6"/>
  <c r="E102" i="23" l="1"/>
  <c r="E97" i="23"/>
  <c r="W97" i="23"/>
  <c r="O102" i="23"/>
  <c r="Q102" i="23"/>
  <c r="U102" i="23"/>
  <c r="S102" i="23"/>
  <c r="I102" i="23"/>
  <c r="K102" i="23"/>
  <c r="G102" i="23"/>
  <c r="M102" i="23"/>
  <c r="A8" i="24"/>
  <c r="W102" i="23"/>
  <c r="S97" i="23"/>
  <c r="U97" i="23" l="1"/>
  <c r="O97" i="23"/>
  <c r="G97" i="23"/>
  <c r="I97" i="23"/>
  <c r="Q97" i="23"/>
  <c r="M97" i="23"/>
  <c r="K97" i="23"/>
  <c r="A9" i="24"/>
  <c r="A10" i="24" l="1"/>
  <c r="A11" i="24" l="1"/>
  <c r="A12" i="24" l="1"/>
  <c r="A13" i="24" l="1"/>
  <c r="A14" i="24" l="1"/>
  <c r="A15" i="24" l="1"/>
  <c r="A16" i="24" l="1"/>
  <c r="A17" i="24" l="1"/>
  <c r="A18" i="24" l="1"/>
  <c r="A19" i="24" l="1"/>
  <c r="A20" i="24" l="1"/>
  <c r="A21" i="24" l="1"/>
  <c r="A22" i="24" l="1"/>
  <c r="A23" i="24" l="1"/>
  <c r="G49" i="6" l="1"/>
  <c r="E28" i="6" l="1"/>
  <c r="W28" i="6" s="1"/>
  <c r="E27" i="6"/>
  <c r="E77" i="17"/>
  <c r="E76" i="17"/>
  <c r="E75" i="17"/>
  <c r="E74" i="17"/>
  <c r="E73" i="17"/>
  <c r="E72" i="17"/>
  <c r="E71" i="17"/>
  <c r="E70" i="17"/>
  <c r="E69" i="17"/>
  <c r="E68" i="17"/>
  <c r="E67" i="17"/>
  <c r="E66" i="17"/>
  <c r="E65" i="17"/>
  <c r="E64" i="17"/>
  <c r="E63" i="17"/>
  <c r="E62" i="17"/>
  <c r="E61" i="17"/>
  <c r="E60" i="17"/>
  <c r="E59" i="17"/>
  <c r="E58" i="17"/>
  <c r="E57" i="17"/>
  <c r="E56" i="17"/>
  <c r="E55" i="17"/>
  <c r="E54" i="17"/>
  <c r="E53" i="17"/>
  <c r="E52" i="17"/>
  <c r="E51" i="17"/>
  <c r="E50" i="17"/>
  <c r="E49" i="17"/>
  <c r="E48" i="17"/>
  <c r="C48" i="17" s="1"/>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N121" i="17"/>
  <c r="N120" i="17"/>
  <c r="N119" i="17"/>
  <c r="N118" i="17"/>
  <c r="N117" i="17"/>
  <c r="N116" i="17"/>
  <c r="N115" i="17"/>
  <c r="N114" i="17"/>
  <c r="N113" i="17"/>
  <c r="N112" i="17"/>
  <c r="N111" i="17"/>
  <c r="N110" i="17"/>
  <c r="N109" i="17"/>
  <c r="N108" i="17"/>
  <c r="N107" i="17"/>
  <c r="N106" i="17"/>
  <c r="N105" i="17"/>
  <c r="N104" i="17"/>
  <c r="N103" i="17"/>
  <c r="N102" i="17"/>
  <c r="N101" i="17"/>
  <c r="N100" i="17"/>
  <c r="N99" i="17"/>
  <c r="N98" i="17"/>
  <c r="N97" i="17"/>
  <c r="N96" i="17"/>
  <c r="N95" i="17"/>
  <c r="N94" i="17"/>
  <c r="N93" i="17"/>
  <c r="N92" i="17"/>
  <c r="N49" i="17"/>
  <c r="N50" i="17"/>
  <c r="N51" i="17"/>
  <c r="N52" i="17"/>
  <c r="N53" i="17"/>
  <c r="N54" i="17"/>
  <c r="N55" i="17"/>
  <c r="N56" i="17"/>
  <c r="N57" i="17"/>
  <c r="N58" i="17"/>
  <c r="N59" i="17"/>
  <c r="N60" i="17"/>
  <c r="N61" i="17"/>
  <c r="N62" i="17"/>
  <c r="N63" i="17"/>
  <c r="N64" i="17"/>
  <c r="N65" i="17"/>
  <c r="N66" i="17"/>
  <c r="N67" i="17"/>
  <c r="N68" i="17"/>
  <c r="N69" i="17"/>
  <c r="N70" i="17"/>
  <c r="N71" i="17"/>
  <c r="N72" i="17"/>
  <c r="N73" i="17"/>
  <c r="N74" i="17"/>
  <c r="N75" i="17"/>
  <c r="N76" i="17"/>
  <c r="N77" i="17"/>
  <c r="N48" i="17"/>
  <c r="W49" i="6"/>
  <c r="U49" i="6"/>
  <c r="S49" i="6"/>
  <c r="Q49" i="6"/>
  <c r="O49" i="6"/>
  <c r="M49" i="6"/>
  <c r="K49" i="6"/>
  <c r="I49" i="6"/>
  <c r="C184" i="11"/>
  <c r="C183" i="11"/>
  <c r="C182" i="11"/>
  <c r="C181" i="11"/>
  <c r="C180" i="11"/>
  <c r="C179" i="11"/>
  <c r="C178" i="11"/>
  <c r="C177" i="11"/>
  <c r="C176" i="11"/>
  <c r="C175" i="11"/>
  <c r="C174" i="11"/>
  <c r="C173" i="11"/>
  <c r="C172" i="11"/>
  <c r="C171" i="11"/>
  <c r="C170" i="11"/>
  <c r="C169" i="11"/>
  <c r="C168" i="11"/>
  <c r="C167" i="11"/>
  <c r="C166" i="11"/>
  <c r="C165" i="11"/>
  <c r="M86" i="17"/>
  <c r="D86" i="17"/>
  <c r="M42" i="17"/>
  <c r="D42" i="17"/>
  <c r="D92" i="17"/>
  <c r="D48" i="17"/>
  <c r="D49" i="17" s="1"/>
  <c r="L92" i="17"/>
  <c r="L93" i="17" s="1"/>
  <c r="L94" i="17" s="1"/>
  <c r="W47" i="6"/>
  <c r="U47" i="6"/>
  <c r="S47" i="6"/>
  <c r="Q47" i="6"/>
  <c r="O47" i="6"/>
  <c r="M47" i="6"/>
  <c r="K47" i="6"/>
  <c r="I47" i="6"/>
  <c r="G47" i="6"/>
  <c r="G30" i="6"/>
  <c r="I30" i="6"/>
  <c r="K30" i="6"/>
  <c r="M30" i="6"/>
  <c r="O30" i="6"/>
  <c r="Q30" i="6"/>
  <c r="S30" i="6"/>
  <c r="U30" i="6"/>
  <c r="W30" i="6"/>
  <c r="W46" i="6"/>
  <c r="U46" i="6"/>
  <c r="W40" i="6"/>
  <c r="W39" i="6"/>
  <c r="U40" i="6"/>
  <c r="U39" i="6"/>
  <c r="W34" i="6"/>
  <c r="W33" i="6"/>
  <c r="W32" i="6"/>
  <c r="W29" i="6"/>
  <c r="W26" i="6"/>
  <c r="W24" i="6"/>
  <c r="U34" i="6"/>
  <c r="U33" i="6"/>
  <c r="U32" i="6"/>
  <c r="U29" i="6"/>
  <c r="U26" i="6"/>
  <c r="U24" i="6"/>
  <c r="X186" i="11"/>
  <c r="X138" i="11"/>
  <c r="W138" i="11" s="1"/>
  <c r="X137" i="11"/>
  <c r="W137" i="11" s="1"/>
  <c r="X136" i="11"/>
  <c r="W136" i="11" s="1"/>
  <c r="X135" i="11"/>
  <c r="W135" i="11" s="1"/>
  <c r="X134" i="11"/>
  <c r="W134" i="11" s="1"/>
  <c r="X133" i="11"/>
  <c r="W133" i="11" s="1"/>
  <c r="X132" i="11"/>
  <c r="W132" i="11" s="1"/>
  <c r="X131" i="11"/>
  <c r="W131" i="11" s="1"/>
  <c r="X130" i="11"/>
  <c r="W130" i="11" s="1"/>
  <c r="X129" i="11"/>
  <c r="W129" i="11" s="1"/>
  <c r="X128" i="11"/>
  <c r="W128" i="11" s="1"/>
  <c r="X127" i="11"/>
  <c r="W127" i="11" s="1"/>
  <c r="X126" i="11"/>
  <c r="W126" i="11" s="1"/>
  <c r="X125" i="11"/>
  <c r="W125" i="11" s="1"/>
  <c r="X124" i="11"/>
  <c r="W124" i="11" s="1"/>
  <c r="X123" i="11"/>
  <c r="W123" i="11" s="1"/>
  <c r="X122" i="11"/>
  <c r="W122" i="11" s="1"/>
  <c r="X121" i="11"/>
  <c r="W121" i="11" s="1"/>
  <c r="X120" i="11"/>
  <c r="W120" i="11" s="1"/>
  <c r="X119" i="11"/>
  <c r="W119" i="11" s="1"/>
  <c r="W118" i="11"/>
  <c r="W92" i="11"/>
  <c r="W91" i="11"/>
  <c r="W90" i="11"/>
  <c r="W89" i="11"/>
  <c r="W88" i="11"/>
  <c r="W87" i="11"/>
  <c r="W86" i="11"/>
  <c r="W85" i="11"/>
  <c r="W84" i="11"/>
  <c r="W83" i="11"/>
  <c r="W82" i="11"/>
  <c r="W81" i="11"/>
  <c r="W80" i="11"/>
  <c r="W79" i="11"/>
  <c r="W78" i="11"/>
  <c r="W77" i="11"/>
  <c r="W76" i="11"/>
  <c r="W75" i="11"/>
  <c r="W74" i="11"/>
  <c r="W73" i="11"/>
  <c r="V186" i="11"/>
  <c r="V138" i="11"/>
  <c r="U138" i="11" s="1"/>
  <c r="V137" i="11"/>
  <c r="U137" i="11" s="1"/>
  <c r="V136" i="11"/>
  <c r="U136" i="11" s="1"/>
  <c r="V135" i="11"/>
  <c r="U135" i="11" s="1"/>
  <c r="V134" i="11"/>
  <c r="U134" i="11" s="1"/>
  <c r="V133" i="11"/>
  <c r="U133" i="11" s="1"/>
  <c r="V132" i="11"/>
  <c r="U132" i="11" s="1"/>
  <c r="V131" i="11"/>
  <c r="U131" i="11" s="1"/>
  <c r="V130" i="11"/>
  <c r="U130" i="11" s="1"/>
  <c r="V129" i="11"/>
  <c r="U129" i="11" s="1"/>
  <c r="V128" i="11"/>
  <c r="U128" i="11" s="1"/>
  <c r="V127" i="11"/>
  <c r="U127" i="11" s="1"/>
  <c r="V126" i="11"/>
  <c r="U126" i="11" s="1"/>
  <c r="V125" i="11"/>
  <c r="U125" i="11" s="1"/>
  <c r="V124" i="11"/>
  <c r="U124" i="11" s="1"/>
  <c r="V123" i="11"/>
  <c r="U123" i="11" s="1"/>
  <c r="V122" i="11"/>
  <c r="U122" i="11" s="1"/>
  <c r="V121" i="11"/>
  <c r="U121" i="11" s="1"/>
  <c r="V120" i="11"/>
  <c r="U120" i="11" s="1"/>
  <c r="V119" i="11"/>
  <c r="U119" i="11" s="1"/>
  <c r="U118" i="11"/>
  <c r="U92" i="11"/>
  <c r="U91" i="11"/>
  <c r="U90" i="11"/>
  <c r="U89" i="11"/>
  <c r="U88" i="11"/>
  <c r="U87" i="11"/>
  <c r="U86" i="11"/>
  <c r="U85" i="11"/>
  <c r="U84" i="11"/>
  <c r="U83" i="11"/>
  <c r="U82" i="11"/>
  <c r="U81" i="11"/>
  <c r="U80" i="11"/>
  <c r="U79" i="11"/>
  <c r="U78" i="11"/>
  <c r="U77" i="11"/>
  <c r="U76" i="11"/>
  <c r="U75" i="11"/>
  <c r="U74" i="11"/>
  <c r="U73" i="11"/>
  <c r="C35" i="21"/>
  <c r="C34" i="21"/>
  <c r="I26" i="21"/>
  <c r="G26" i="21"/>
  <c r="F26" i="21"/>
  <c r="E26" i="21"/>
  <c r="I25" i="21"/>
  <c r="G25" i="21"/>
  <c r="F25" i="21"/>
  <c r="E25" i="21"/>
  <c r="I24" i="21"/>
  <c r="G24" i="21"/>
  <c r="F24" i="21"/>
  <c r="E24" i="21"/>
  <c r="I23" i="21"/>
  <c r="G23" i="21"/>
  <c r="F23" i="21"/>
  <c r="E23" i="21"/>
  <c r="I22" i="21"/>
  <c r="G22" i="21"/>
  <c r="F22" i="21"/>
  <c r="E22" i="21"/>
  <c r="I21" i="21"/>
  <c r="G21" i="21"/>
  <c r="F21" i="21"/>
  <c r="E21" i="21"/>
  <c r="I20" i="21"/>
  <c r="G20" i="21"/>
  <c r="F20" i="21"/>
  <c r="E20" i="21"/>
  <c r="I19" i="21"/>
  <c r="G19" i="21"/>
  <c r="F19" i="21"/>
  <c r="E19" i="21"/>
  <c r="I18" i="21"/>
  <c r="G18" i="21"/>
  <c r="F18" i="21"/>
  <c r="E18" i="21"/>
  <c r="I17" i="21"/>
  <c r="G17" i="21"/>
  <c r="F17" i="21"/>
  <c r="E17" i="21"/>
  <c r="I16" i="21"/>
  <c r="G16" i="21"/>
  <c r="F16" i="21"/>
  <c r="E16" i="21"/>
  <c r="I15" i="21"/>
  <c r="G15" i="21"/>
  <c r="F15" i="21"/>
  <c r="E15" i="21"/>
  <c r="I14" i="21"/>
  <c r="G14" i="21"/>
  <c r="F14" i="21"/>
  <c r="E14" i="21"/>
  <c r="I13" i="21"/>
  <c r="G13" i="21"/>
  <c r="F13" i="21"/>
  <c r="E13" i="21"/>
  <c r="I12" i="21"/>
  <c r="G12" i="21"/>
  <c r="F12" i="21"/>
  <c r="E12" i="21"/>
  <c r="I11" i="21"/>
  <c r="G11" i="21"/>
  <c r="F11" i="21"/>
  <c r="E11" i="21"/>
  <c r="I10" i="21"/>
  <c r="G10" i="21"/>
  <c r="F10" i="21"/>
  <c r="E10" i="21"/>
  <c r="I9" i="21"/>
  <c r="G9" i="21"/>
  <c r="F9" i="21"/>
  <c r="E9" i="21"/>
  <c r="I8" i="21"/>
  <c r="G8" i="21"/>
  <c r="F8" i="21"/>
  <c r="E8" i="21"/>
  <c r="I7" i="21"/>
  <c r="G7" i="21"/>
  <c r="H25" i="21" s="1"/>
  <c r="F7" i="21"/>
  <c r="E7" i="21"/>
  <c r="I6" i="21"/>
  <c r="J25" i="21" s="1"/>
  <c r="G6" i="21"/>
  <c r="H26" i="21" s="1"/>
  <c r="F6" i="21"/>
  <c r="E6" i="21"/>
  <c r="F5" i="21"/>
  <c r="E5" i="21"/>
  <c r="E26" i="20"/>
  <c r="E25" i="20"/>
  <c r="E24" i="20"/>
  <c r="E23" i="20"/>
  <c r="E22" i="20"/>
  <c r="E21" i="20"/>
  <c r="E20" i="20"/>
  <c r="E19" i="20"/>
  <c r="E18" i="20"/>
  <c r="E17" i="20"/>
  <c r="E16" i="20"/>
  <c r="E15" i="20"/>
  <c r="E14" i="20"/>
  <c r="E13" i="20"/>
  <c r="E12" i="20"/>
  <c r="E11" i="20"/>
  <c r="E10" i="20"/>
  <c r="E9" i="20"/>
  <c r="E8" i="20"/>
  <c r="E7" i="20"/>
  <c r="E6" i="20"/>
  <c r="F25" i="20" s="1"/>
  <c r="U63" i="11" l="1"/>
  <c r="U55" i="11"/>
  <c r="U62" i="11"/>
  <c r="U54" i="11"/>
  <c r="U61" i="11"/>
  <c r="U53" i="11"/>
  <c r="U68" i="11"/>
  <c r="U60" i="11"/>
  <c r="U52" i="11"/>
  <c r="U66" i="11"/>
  <c r="U58" i="11"/>
  <c r="U50" i="11"/>
  <c r="U65" i="11"/>
  <c r="U57" i="11"/>
  <c r="U49" i="11"/>
  <c r="U64" i="11"/>
  <c r="U56" i="11"/>
  <c r="U67" i="11"/>
  <c r="U59" i="11"/>
  <c r="U51" i="11"/>
  <c r="W52" i="11"/>
  <c r="W67" i="11"/>
  <c r="W59" i="11"/>
  <c r="W51" i="11"/>
  <c r="W73" i="6" s="1"/>
  <c r="W66" i="11"/>
  <c r="W58" i="11"/>
  <c r="W50" i="11"/>
  <c r="W65" i="11"/>
  <c r="W57" i="11"/>
  <c r="W49" i="11"/>
  <c r="W64" i="11"/>
  <c r="W56" i="11"/>
  <c r="W62" i="11"/>
  <c r="W54" i="11"/>
  <c r="W61" i="11"/>
  <c r="W53" i="11"/>
  <c r="W68" i="11"/>
  <c r="W60" i="11"/>
  <c r="W63" i="11"/>
  <c r="W55" i="11"/>
  <c r="W23" i="11"/>
  <c r="W19" i="11"/>
  <c r="W15" i="11"/>
  <c r="W11" i="11"/>
  <c r="W7" i="11"/>
  <c r="W71" i="6"/>
  <c r="W22" i="11"/>
  <c r="W14" i="11"/>
  <c r="W6" i="11"/>
  <c r="W21" i="11"/>
  <c r="W17" i="11"/>
  <c r="W13" i="11"/>
  <c r="W9" i="11"/>
  <c r="W5" i="11"/>
  <c r="W16" i="11"/>
  <c r="W12" i="11"/>
  <c r="W4" i="11"/>
  <c r="W20" i="11"/>
  <c r="W8" i="11"/>
  <c r="W18" i="11"/>
  <c r="W10" i="11"/>
  <c r="U23" i="11"/>
  <c r="U19" i="11"/>
  <c r="U15" i="11"/>
  <c r="U11" i="11"/>
  <c r="U7" i="11"/>
  <c r="U18" i="11"/>
  <c r="U6" i="11"/>
  <c r="U21" i="11"/>
  <c r="U17" i="11"/>
  <c r="U13" i="11"/>
  <c r="U9" i="11"/>
  <c r="U5" i="11"/>
  <c r="U16" i="11"/>
  <c r="U8" i="11"/>
  <c r="U10" i="11"/>
  <c r="U71" i="6"/>
  <c r="U20" i="11"/>
  <c r="U12" i="11"/>
  <c r="U4" i="11"/>
  <c r="U22" i="11"/>
  <c r="U14" i="11"/>
  <c r="C4" i="24"/>
  <c r="W74" i="23"/>
  <c r="C49" i="17"/>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U74" i="23"/>
  <c r="M74" i="23"/>
  <c r="Q74" i="23"/>
  <c r="G74" i="23"/>
  <c r="O74" i="23"/>
  <c r="S74" i="23"/>
  <c r="I74" i="23"/>
  <c r="K74" i="23"/>
  <c r="X184" i="11"/>
  <c r="X180" i="11"/>
  <c r="X176" i="11"/>
  <c r="X172" i="11"/>
  <c r="X168" i="11"/>
  <c r="X161" i="11"/>
  <c r="W184" i="11" s="1"/>
  <c r="X157" i="11"/>
  <c r="X153" i="11"/>
  <c r="W153" i="11" s="1"/>
  <c r="X198" i="11" s="1"/>
  <c r="W198" i="11" s="1"/>
  <c r="X149" i="11"/>
  <c r="W172" i="11" s="1"/>
  <c r="X145" i="11"/>
  <c r="W168" i="11" s="1"/>
  <c r="X183" i="11"/>
  <c r="X179" i="11"/>
  <c r="X175" i="11"/>
  <c r="X171" i="11"/>
  <c r="X167" i="11"/>
  <c r="X160" i="11"/>
  <c r="W160" i="11" s="1"/>
  <c r="X205" i="11" s="1"/>
  <c r="W205" i="11" s="1"/>
  <c r="X156" i="11"/>
  <c r="W179" i="11" s="1"/>
  <c r="X152" i="11"/>
  <c r="W152" i="11" s="1"/>
  <c r="X197" i="11" s="1"/>
  <c r="W197" i="11" s="1"/>
  <c r="X148" i="11"/>
  <c r="X144" i="11"/>
  <c r="W144" i="11" s="1"/>
  <c r="X189" i="11" s="1"/>
  <c r="W189" i="11" s="1"/>
  <c r="X182" i="11"/>
  <c r="X178" i="11"/>
  <c r="X174" i="11"/>
  <c r="X170" i="11"/>
  <c r="X166" i="11"/>
  <c r="X159" i="11"/>
  <c r="W159" i="11" s="1"/>
  <c r="X204" i="11" s="1"/>
  <c r="W204" i="11" s="1"/>
  <c r="X155" i="11"/>
  <c r="W178" i="11" s="1"/>
  <c r="X151" i="11"/>
  <c r="W151" i="11" s="1"/>
  <c r="X196" i="11" s="1"/>
  <c r="W196" i="11" s="1"/>
  <c r="X147" i="11"/>
  <c r="W147" i="11" s="1"/>
  <c r="X192" i="11" s="1"/>
  <c r="W192" i="11" s="1"/>
  <c r="X143" i="11"/>
  <c r="W166" i="11" s="1"/>
  <c r="X169" i="11"/>
  <c r="X158" i="11"/>
  <c r="W181" i="11" s="1"/>
  <c r="X142" i="11"/>
  <c r="W165" i="11" s="1"/>
  <c r="X181" i="11"/>
  <c r="X165" i="11"/>
  <c r="X154" i="11"/>
  <c r="W177" i="11" s="1"/>
  <c r="X173" i="11"/>
  <c r="X146" i="11"/>
  <c r="W146" i="11" s="1"/>
  <c r="X191" i="11" s="1"/>
  <c r="W191" i="11" s="1"/>
  <c r="X177" i="11"/>
  <c r="X150" i="11"/>
  <c r="W150" i="11" s="1"/>
  <c r="X195" i="11" s="1"/>
  <c r="W195" i="11" s="1"/>
  <c r="V184" i="11"/>
  <c r="V180" i="11"/>
  <c r="V176" i="11"/>
  <c r="V172" i="11"/>
  <c r="V168" i="11"/>
  <c r="V161" i="11"/>
  <c r="U184" i="11" s="1"/>
  <c r="V157" i="11"/>
  <c r="U180" i="11" s="1"/>
  <c r="V153" i="11"/>
  <c r="U153" i="11" s="1"/>
  <c r="V198" i="11" s="1"/>
  <c r="U198" i="11" s="1"/>
  <c r="V149" i="11"/>
  <c r="U172" i="11" s="1"/>
  <c r="V145" i="11"/>
  <c r="U145" i="11" s="1"/>
  <c r="V190" i="11" s="1"/>
  <c r="U190" i="11" s="1"/>
  <c r="V183" i="11"/>
  <c r="V179" i="11"/>
  <c r="V175" i="11"/>
  <c r="V171" i="11"/>
  <c r="V167" i="11"/>
  <c r="V160" i="11"/>
  <c r="U160" i="11" s="1"/>
  <c r="V205" i="11" s="1"/>
  <c r="U205" i="11" s="1"/>
  <c r="V156" i="11"/>
  <c r="U156" i="11" s="1"/>
  <c r="V201" i="11" s="1"/>
  <c r="U201" i="11" s="1"/>
  <c r="V152" i="11"/>
  <c r="U152" i="11" s="1"/>
  <c r="V197" i="11" s="1"/>
  <c r="U197" i="11" s="1"/>
  <c r="V148" i="11"/>
  <c r="U171" i="11" s="1"/>
  <c r="V144" i="11"/>
  <c r="U144" i="11" s="1"/>
  <c r="V189" i="11" s="1"/>
  <c r="U189" i="11" s="1"/>
  <c r="V182" i="11"/>
  <c r="V178" i="11"/>
  <c r="V174" i="11"/>
  <c r="V170" i="11"/>
  <c r="V166" i="11"/>
  <c r="V159" i="11"/>
  <c r="U159" i="11" s="1"/>
  <c r="V204" i="11" s="1"/>
  <c r="U204" i="11" s="1"/>
  <c r="V155" i="11"/>
  <c r="U155" i="11" s="1"/>
  <c r="V200" i="11" s="1"/>
  <c r="U200" i="11" s="1"/>
  <c r="V151" i="11"/>
  <c r="U151" i="11" s="1"/>
  <c r="V196" i="11" s="1"/>
  <c r="U196" i="11" s="1"/>
  <c r="V147" i="11"/>
  <c r="U147" i="11" s="1"/>
  <c r="V192" i="11" s="1"/>
  <c r="U192" i="11" s="1"/>
  <c r="V143" i="11"/>
  <c r="U143" i="11" s="1"/>
  <c r="V188" i="11" s="1"/>
  <c r="U188" i="11" s="1"/>
  <c r="V173" i="11"/>
  <c r="V146" i="11"/>
  <c r="U146" i="11" s="1"/>
  <c r="V191" i="11" s="1"/>
  <c r="U191" i="11" s="1"/>
  <c r="V169" i="11"/>
  <c r="V158" i="11"/>
  <c r="U158" i="11" s="1"/>
  <c r="V203" i="11" s="1"/>
  <c r="U203" i="11" s="1"/>
  <c r="V142" i="11"/>
  <c r="V177" i="11"/>
  <c r="V150" i="11"/>
  <c r="U173" i="11" s="1"/>
  <c r="V181" i="11"/>
  <c r="V165" i="11"/>
  <c r="V154" i="11"/>
  <c r="U177" i="11" s="1"/>
  <c r="U178" i="11"/>
  <c r="U170" i="11"/>
  <c r="U157" i="11"/>
  <c r="V202" i="11" s="1"/>
  <c r="U202" i="11" s="1"/>
  <c r="U149" i="11"/>
  <c r="V194" i="11" s="1"/>
  <c r="U194" i="11" s="1"/>
  <c r="U165" i="11"/>
  <c r="U142" i="11"/>
  <c r="V187" i="11" s="1"/>
  <c r="W171" i="11"/>
  <c r="W157" i="11"/>
  <c r="X202" i="11" s="1"/>
  <c r="W202" i="11" s="1"/>
  <c r="W145" i="11"/>
  <c r="X190" i="11" s="1"/>
  <c r="W190" i="11" s="1"/>
  <c r="W148" i="11"/>
  <c r="X193" i="11" s="1"/>
  <c r="W193" i="11" s="1"/>
  <c r="W180" i="11"/>
  <c r="W155" i="11"/>
  <c r="X200" i="11" s="1"/>
  <c r="W200" i="11" s="1"/>
  <c r="Q28" i="6"/>
  <c r="K28" i="6"/>
  <c r="S28" i="6"/>
  <c r="I28" i="6"/>
  <c r="M28" i="6"/>
  <c r="U28" i="6"/>
  <c r="G28" i="6"/>
  <c r="O28" i="6"/>
  <c r="L48" i="17"/>
  <c r="L49" i="17" s="1"/>
  <c r="L50" i="17" s="1"/>
  <c r="L51" i="17" s="1"/>
  <c r="L52" i="17" s="1"/>
  <c r="L53" i="17" s="1"/>
  <c r="L54" i="17" s="1"/>
  <c r="L55" i="17" s="1"/>
  <c r="L56" i="17" s="1"/>
  <c r="L57" i="17" s="1"/>
  <c r="L58" i="17" s="1"/>
  <c r="L59" i="17" s="1"/>
  <c r="L60" i="17" s="1"/>
  <c r="L61" i="17" s="1"/>
  <c r="L62" i="17" s="1"/>
  <c r="L63" i="17" s="1"/>
  <c r="L64" i="17" s="1"/>
  <c r="L65" i="17" s="1"/>
  <c r="L66" i="17" s="1"/>
  <c r="L67" i="17" s="1"/>
  <c r="L68" i="17" s="1"/>
  <c r="L69" i="17" s="1"/>
  <c r="L70" i="17" s="1"/>
  <c r="L71" i="17" s="1"/>
  <c r="L72" i="17" s="1"/>
  <c r="L73" i="17" s="1"/>
  <c r="L74" i="17" s="1"/>
  <c r="L75" i="17" s="1"/>
  <c r="L76" i="17" s="1"/>
  <c r="L77" i="17" s="1"/>
  <c r="L95" i="17"/>
  <c r="L96" i="17" s="1"/>
  <c r="L97" i="17" s="1"/>
  <c r="L98" i="17" s="1"/>
  <c r="L99" i="17" s="1"/>
  <c r="L100" i="17" s="1"/>
  <c r="L101" i="17" s="1"/>
  <c r="L102" i="17" s="1"/>
  <c r="L103" i="17" s="1"/>
  <c r="L104" i="17" s="1"/>
  <c r="L105" i="17" s="1"/>
  <c r="L106" i="17" s="1"/>
  <c r="L107" i="17" s="1"/>
  <c r="L108" i="17" s="1"/>
  <c r="L109" i="17" s="1"/>
  <c r="L110" i="17" s="1"/>
  <c r="L111" i="17" s="1"/>
  <c r="L112" i="17" s="1"/>
  <c r="L113" i="17" s="1"/>
  <c r="L114" i="17" s="1"/>
  <c r="L115" i="17" s="1"/>
  <c r="L116" i="17" s="1"/>
  <c r="L117" i="17" s="1"/>
  <c r="L118" i="17" s="1"/>
  <c r="L119" i="17" s="1"/>
  <c r="L120" i="17" s="1"/>
  <c r="L121" i="17" s="1"/>
  <c r="D93" i="17"/>
  <c r="D94" i="17" s="1"/>
  <c r="D95" i="17" s="1"/>
  <c r="D96" i="17" s="1"/>
  <c r="D97" i="17" s="1"/>
  <c r="D98" i="17" s="1"/>
  <c r="D99" i="17" s="1"/>
  <c r="D100" i="17" s="1"/>
  <c r="D101" i="17" s="1"/>
  <c r="D102" i="17" s="1"/>
  <c r="D103" i="17" s="1"/>
  <c r="D104" i="17" s="1"/>
  <c r="D105" i="17" s="1"/>
  <c r="D106" i="17" s="1"/>
  <c r="D107" i="17" s="1"/>
  <c r="D108" i="17" s="1"/>
  <c r="D109" i="17" s="1"/>
  <c r="D110" i="17" s="1"/>
  <c r="D111" i="17" s="1"/>
  <c r="D112" i="17" s="1"/>
  <c r="D113" i="17" s="1"/>
  <c r="D114" i="17" s="1"/>
  <c r="D115" i="17" s="1"/>
  <c r="D116" i="17" s="1"/>
  <c r="D117" i="17" s="1"/>
  <c r="D118" i="17" s="1"/>
  <c r="D119" i="17" s="1"/>
  <c r="D120" i="17" s="1"/>
  <c r="D121" i="17" s="1"/>
  <c r="D50" i="17"/>
  <c r="D51" i="17" s="1"/>
  <c r="D52" i="17" s="1"/>
  <c r="D53" i="17" s="1"/>
  <c r="D54" i="17" s="1"/>
  <c r="D55" i="17" s="1"/>
  <c r="D56" i="17" s="1"/>
  <c r="D57" i="17" s="1"/>
  <c r="D58" i="17" s="1"/>
  <c r="D59" i="17" s="1"/>
  <c r="D60" i="17" s="1"/>
  <c r="D61" i="17" s="1"/>
  <c r="D62" i="17" s="1"/>
  <c r="D63" i="17" s="1"/>
  <c r="D64" i="17" s="1"/>
  <c r="D65" i="17" s="1"/>
  <c r="D66" i="17" s="1"/>
  <c r="D67" i="17" s="1"/>
  <c r="D68" i="17" s="1"/>
  <c r="D69" i="17" s="1"/>
  <c r="D70" i="17" s="1"/>
  <c r="D71" i="17" s="1"/>
  <c r="D72" i="17" s="1"/>
  <c r="D73" i="17" s="1"/>
  <c r="D74" i="17" s="1"/>
  <c r="D75" i="17" s="1"/>
  <c r="D76" i="17" s="1"/>
  <c r="D77" i="17" s="1"/>
  <c r="G52" i="6"/>
  <c r="K52" i="6"/>
  <c r="O52" i="6"/>
  <c r="S52" i="6"/>
  <c r="W52" i="6"/>
  <c r="E52" i="6"/>
  <c r="C4" i="11" s="1"/>
  <c r="I52" i="6"/>
  <c r="M52" i="6"/>
  <c r="Q52" i="6"/>
  <c r="U52" i="6"/>
  <c r="C92" i="17"/>
  <c r="U186" i="11"/>
  <c r="W186" i="11"/>
  <c r="F6" i="20"/>
  <c r="F10" i="20"/>
  <c r="F12" i="20"/>
  <c r="F14" i="20"/>
  <c r="F16" i="20"/>
  <c r="F20" i="20"/>
  <c r="F24" i="20"/>
  <c r="H7" i="21"/>
  <c r="J8" i="21"/>
  <c r="H11" i="21"/>
  <c r="J12" i="21"/>
  <c r="H15" i="21"/>
  <c r="H17" i="21"/>
  <c r="J18" i="21"/>
  <c r="H21" i="21"/>
  <c r="J22" i="21"/>
  <c r="J24" i="21"/>
  <c r="J26" i="21"/>
  <c r="F8" i="20"/>
  <c r="F18" i="20"/>
  <c r="F22" i="20"/>
  <c r="F26" i="20"/>
  <c r="J6" i="21"/>
  <c r="H9" i="21"/>
  <c r="J10" i="21"/>
  <c r="H13" i="21"/>
  <c r="J14" i="21"/>
  <c r="J16" i="21"/>
  <c r="H19" i="21"/>
  <c r="J20" i="21"/>
  <c r="H23" i="21"/>
  <c r="F7" i="20"/>
  <c r="F9" i="20"/>
  <c r="F11" i="20"/>
  <c r="F13" i="20"/>
  <c r="F15" i="20"/>
  <c r="F17" i="20"/>
  <c r="F19" i="20"/>
  <c r="F21" i="20"/>
  <c r="F23" i="20"/>
  <c r="H6" i="21"/>
  <c r="J7" i="21"/>
  <c r="H8" i="21"/>
  <c r="J9" i="21"/>
  <c r="H10" i="21"/>
  <c r="J11" i="21"/>
  <c r="H12" i="21"/>
  <c r="J13" i="21"/>
  <c r="H14" i="21"/>
  <c r="J15" i="21"/>
  <c r="H16" i="21"/>
  <c r="J17" i="21"/>
  <c r="H18" i="21"/>
  <c r="J19" i="21"/>
  <c r="H20" i="21"/>
  <c r="J21" i="21"/>
  <c r="H22" i="21"/>
  <c r="J23" i="21"/>
  <c r="H24" i="21"/>
  <c r="U72" i="6" l="1"/>
  <c r="U181" i="11"/>
  <c r="W169" i="11"/>
  <c r="W182" i="11"/>
  <c r="U168" i="11"/>
  <c r="U161" i="11"/>
  <c r="V206" i="11" s="1"/>
  <c r="U206" i="11" s="1"/>
  <c r="W143" i="11"/>
  <c r="X188" i="11" s="1"/>
  <c r="W188" i="11" s="1"/>
  <c r="U175" i="11"/>
  <c r="U166" i="11"/>
  <c r="U182" i="11"/>
  <c r="W161" i="11"/>
  <c r="X206" i="11" s="1"/>
  <c r="W206" i="11" s="1"/>
  <c r="W175" i="11"/>
  <c r="U174" i="11"/>
  <c r="U148" i="11"/>
  <c r="V193" i="11" s="1"/>
  <c r="U193" i="11" s="1"/>
  <c r="W170" i="11"/>
  <c r="U73" i="6"/>
  <c r="U150" i="11"/>
  <c r="V195" i="11" s="1"/>
  <c r="U195" i="11" s="1"/>
  <c r="C5" i="24"/>
  <c r="W142" i="11"/>
  <c r="X187" i="11" s="1"/>
  <c r="W187" i="11" s="1"/>
  <c r="W26" i="11" s="1"/>
  <c r="W156" i="11"/>
  <c r="X201" i="11" s="1"/>
  <c r="W201" i="11" s="1"/>
  <c r="W149" i="11"/>
  <c r="X194" i="11" s="1"/>
  <c r="W194" i="11" s="1"/>
  <c r="W80" i="23"/>
  <c r="U80" i="23"/>
  <c r="U179" i="11"/>
  <c r="Q80" i="23"/>
  <c r="I80" i="23"/>
  <c r="S80" i="23"/>
  <c r="G80" i="23"/>
  <c r="O80" i="23"/>
  <c r="D4" i="24"/>
  <c r="D5" i="24" s="1"/>
  <c r="D6" i="24" s="1"/>
  <c r="D7" i="24" s="1"/>
  <c r="D8" i="24" s="1"/>
  <c r="D9" i="24" s="1"/>
  <c r="D10" i="24" s="1"/>
  <c r="D11" i="24" s="1"/>
  <c r="D12" i="24" s="1"/>
  <c r="D13" i="24" s="1"/>
  <c r="D14" i="24" s="1"/>
  <c r="D15" i="24" s="1"/>
  <c r="D16" i="24" s="1"/>
  <c r="D17" i="24" s="1"/>
  <c r="D18" i="24" s="1"/>
  <c r="D19" i="24" s="1"/>
  <c r="D20" i="24" s="1"/>
  <c r="D21" i="24" s="1"/>
  <c r="D22" i="24" s="1"/>
  <c r="D23" i="24" s="1"/>
  <c r="M80" i="23"/>
  <c r="K80" i="23"/>
  <c r="C5" i="11"/>
  <c r="U154" i="11"/>
  <c r="V199" i="11" s="1"/>
  <c r="U199" i="11" s="1"/>
  <c r="U176" i="11"/>
  <c r="U169" i="11"/>
  <c r="W158" i="11"/>
  <c r="X203" i="11" s="1"/>
  <c r="W203" i="11" s="1"/>
  <c r="W174" i="11"/>
  <c r="W167" i="11"/>
  <c r="W183" i="11"/>
  <c r="U167" i="11"/>
  <c r="W154" i="11"/>
  <c r="X199" i="11" s="1"/>
  <c r="W199" i="11" s="1"/>
  <c r="W173" i="11"/>
  <c r="W176" i="11"/>
  <c r="U183" i="11"/>
  <c r="U79" i="6"/>
  <c r="U187" i="11"/>
  <c r="U26" i="11" s="1"/>
  <c r="C93" i="17"/>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U58" i="6"/>
  <c r="M58" i="6"/>
  <c r="E58" i="6"/>
  <c r="D4" i="11" s="1"/>
  <c r="D5" i="11" s="1"/>
  <c r="D6" i="11" s="1"/>
  <c r="D7" i="11" s="1"/>
  <c r="D8" i="11" s="1"/>
  <c r="D9" i="11" s="1"/>
  <c r="D10" i="11" s="1"/>
  <c r="D11" i="11" s="1"/>
  <c r="D12" i="11" s="1"/>
  <c r="D13" i="11" s="1"/>
  <c r="D14" i="11" s="1"/>
  <c r="D15" i="11" s="1"/>
  <c r="D16" i="11" s="1"/>
  <c r="D17" i="11" s="1"/>
  <c r="D18" i="11" s="1"/>
  <c r="D19" i="11" s="1"/>
  <c r="D20" i="11" s="1"/>
  <c r="D21" i="11" s="1"/>
  <c r="D22" i="11" s="1"/>
  <c r="D23" i="11" s="1"/>
  <c r="S58" i="6"/>
  <c r="K58" i="6"/>
  <c r="O58" i="6"/>
  <c r="G58" i="6"/>
  <c r="Q58" i="6"/>
  <c r="I58" i="6"/>
  <c r="W58" i="6"/>
  <c r="F120" i="11"/>
  <c r="F121" i="11"/>
  <c r="F122" i="11"/>
  <c r="F123" i="11"/>
  <c r="F124" i="11"/>
  <c r="F125" i="11"/>
  <c r="F126" i="11"/>
  <c r="F127" i="11"/>
  <c r="F128" i="11"/>
  <c r="F129" i="11"/>
  <c r="F130" i="11"/>
  <c r="F131" i="11"/>
  <c r="F132" i="11"/>
  <c r="F133" i="11"/>
  <c r="F134" i="11"/>
  <c r="F135" i="11"/>
  <c r="F136" i="11"/>
  <c r="F137" i="11"/>
  <c r="F138" i="11"/>
  <c r="F119" i="11"/>
  <c r="W111" i="11" l="1"/>
  <c r="W160" i="6" s="1"/>
  <c r="W104" i="11"/>
  <c r="W153" i="6" s="1"/>
  <c r="W102" i="11"/>
  <c r="W151" i="6" s="1"/>
  <c r="W113" i="11"/>
  <c r="W162" i="6" s="1"/>
  <c r="W97" i="11"/>
  <c r="W146" i="6" s="1"/>
  <c r="W115" i="11"/>
  <c r="W164" i="6" s="1"/>
  <c r="W106" i="11"/>
  <c r="W101" i="11"/>
  <c r="W150" i="6" s="1"/>
  <c r="W107" i="11"/>
  <c r="W156" i="6" s="1"/>
  <c r="W114" i="11"/>
  <c r="W98" i="11"/>
  <c r="W147" i="6" s="1"/>
  <c r="W109" i="11"/>
  <c r="W158" i="6" s="1"/>
  <c r="W112" i="11"/>
  <c r="W99" i="11"/>
  <c r="W148" i="6" s="1"/>
  <c r="W100" i="11"/>
  <c r="W27" i="11"/>
  <c r="W28" i="11" s="1"/>
  <c r="W29" i="11" s="1"/>
  <c r="W30" i="11" s="1"/>
  <c r="W31" i="11" s="1"/>
  <c r="W32" i="11" s="1"/>
  <c r="W33" i="11" s="1"/>
  <c r="W34" i="11" s="1"/>
  <c r="W35" i="11" s="1"/>
  <c r="W36" i="11" s="1"/>
  <c r="W37" i="11" s="1"/>
  <c r="W38" i="11" s="1"/>
  <c r="W39" i="11" s="1"/>
  <c r="W40" i="11" s="1"/>
  <c r="W41" i="11" s="1"/>
  <c r="W42" i="11" s="1"/>
  <c r="W43" i="11" s="1"/>
  <c r="W44" i="11" s="1"/>
  <c r="W45" i="11" s="1"/>
  <c r="W103" i="11"/>
  <c r="W110" i="11"/>
  <c r="W159" i="6" s="1"/>
  <c r="W108" i="11"/>
  <c r="W157" i="6" s="1"/>
  <c r="W105" i="11"/>
  <c r="W154" i="6" s="1"/>
  <c r="W96" i="11"/>
  <c r="W145" i="6" s="1"/>
  <c r="U115" i="11"/>
  <c r="U99" i="11"/>
  <c r="U96" i="11"/>
  <c r="U102" i="11"/>
  <c r="U101" i="11"/>
  <c r="U103" i="11"/>
  <c r="U106" i="11"/>
  <c r="U155" i="6" s="1"/>
  <c r="U100" i="11"/>
  <c r="U111" i="11"/>
  <c r="U105" i="11"/>
  <c r="U114" i="11"/>
  <c r="U98" i="11"/>
  <c r="U97" i="11"/>
  <c r="U27" i="11"/>
  <c r="U28" i="11" s="1"/>
  <c r="U29" i="11" s="1"/>
  <c r="U30" i="11" s="1"/>
  <c r="U31" i="11" s="1"/>
  <c r="U32" i="11" s="1"/>
  <c r="U33" i="11" s="1"/>
  <c r="U34" i="11" s="1"/>
  <c r="U35" i="11" s="1"/>
  <c r="U36" i="11" s="1"/>
  <c r="U37" i="11" s="1"/>
  <c r="U38" i="11" s="1"/>
  <c r="U39" i="11" s="1"/>
  <c r="U40" i="11" s="1"/>
  <c r="U41" i="11" s="1"/>
  <c r="U42" i="11" s="1"/>
  <c r="U43" i="11" s="1"/>
  <c r="U44" i="11" s="1"/>
  <c r="U45" i="11" s="1"/>
  <c r="U104" i="11"/>
  <c r="U109" i="11"/>
  <c r="U107" i="11"/>
  <c r="U112" i="11"/>
  <c r="U110" i="11"/>
  <c r="U113" i="11"/>
  <c r="U108" i="11"/>
  <c r="W79" i="6"/>
  <c r="C6" i="24"/>
  <c r="C7" i="24" s="1"/>
  <c r="C8" i="24" s="1"/>
  <c r="C9" i="24" s="1"/>
  <c r="C10" i="24" s="1"/>
  <c r="C11" i="24" s="1"/>
  <c r="C12" i="24" s="1"/>
  <c r="C13" i="24" s="1"/>
  <c r="C14" i="24" s="1"/>
  <c r="C15" i="24" s="1"/>
  <c r="C16" i="24" s="1"/>
  <c r="C17" i="24" s="1"/>
  <c r="C18" i="24" s="1"/>
  <c r="C19" i="24" s="1"/>
  <c r="C20" i="24" s="1"/>
  <c r="C21" i="24" s="1"/>
  <c r="C22" i="24" s="1"/>
  <c r="C23" i="24" s="1"/>
  <c r="C6" i="11"/>
  <c r="W163" i="6"/>
  <c r="W155" i="6"/>
  <c r="W149" i="6"/>
  <c r="W161" i="6"/>
  <c r="W152" i="6"/>
  <c r="S40" i="6"/>
  <c r="Q40" i="6"/>
  <c r="O40" i="6"/>
  <c r="M40" i="6"/>
  <c r="K40" i="6"/>
  <c r="I40" i="6"/>
  <c r="G40" i="6"/>
  <c r="U160" i="6" l="1"/>
  <c r="U162" i="6"/>
  <c r="U164" i="6"/>
  <c r="U146" i="6"/>
  <c r="U159" i="6"/>
  <c r="U145" i="6"/>
  <c r="U147" i="6"/>
  <c r="U149" i="6"/>
  <c r="U150" i="6"/>
  <c r="U163" i="6"/>
  <c r="U148" i="6"/>
  <c r="U157" i="6"/>
  <c r="U153" i="6"/>
  <c r="U154" i="6"/>
  <c r="U151" i="6"/>
  <c r="U156" i="6"/>
  <c r="U152" i="6"/>
  <c r="U161" i="6"/>
  <c r="U158" i="6"/>
  <c r="C7" i="11"/>
  <c r="P184" i="11"/>
  <c r="P180" i="11"/>
  <c r="P176" i="11"/>
  <c r="P172" i="11"/>
  <c r="P168" i="11"/>
  <c r="P161" i="11"/>
  <c r="P157" i="11"/>
  <c r="P153" i="11"/>
  <c r="P149" i="11"/>
  <c r="P145" i="11"/>
  <c r="P183" i="11"/>
  <c r="P179" i="11"/>
  <c r="P175" i="11"/>
  <c r="P171" i="11"/>
  <c r="P167" i="11"/>
  <c r="P160" i="11"/>
  <c r="P156" i="11"/>
  <c r="P152" i="11"/>
  <c r="P182" i="11"/>
  <c r="P178" i="11"/>
  <c r="P174" i="11"/>
  <c r="P170" i="11"/>
  <c r="P166" i="11"/>
  <c r="P159" i="11"/>
  <c r="P155" i="11"/>
  <c r="P151" i="11"/>
  <c r="P147" i="11"/>
  <c r="P143" i="11"/>
  <c r="P169" i="11"/>
  <c r="P158" i="11"/>
  <c r="P146" i="11"/>
  <c r="P181" i="11"/>
  <c r="P165" i="11"/>
  <c r="P154" i="11"/>
  <c r="P144" i="11"/>
  <c r="P173" i="11"/>
  <c r="P177" i="11"/>
  <c r="P150" i="11"/>
  <c r="P142" i="11"/>
  <c r="P148" i="11"/>
  <c r="J184" i="11"/>
  <c r="J180" i="11"/>
  <c r="J176" i="11"/>
  <c r="J172" i="11"/>
  <c r="J168" i="11"/>
  <c r="J183" i="11"/>
  <c r="J179" i="11"/>
  <c r="J175" i="11"/>
  <c r="J171" i="11"/>
  <c r="J167" i="11"/>
  <c r="J182" i="11"/>
  <c r="J178" i="11"/>
  <c r="J174" i="11"/>
  <c r="J170" i="11"/>
  <c r="J166" i="11"/>
  <c r="J181" i="11"/>
  <c r="J165" i="11"/>
  <c r="J161" i="11"/>
  <c r="J157" i="11"/>
  <c r="J153" i="11"/>
  <c r="J149" i="11"/>
  <c r="J145" i="11"/>
  <c r="J177" i="11"/>
  <c r="J160" i="11"/>
  <c r="J156" i="11"/>
  <c r="J152" i="11"/>
  <c r="J148" i="11"/>
  <c r="J144" i="11"/>
  <c r="J158" i="11"/>
  <c r="J150" i="11"/>
  <c r="J173" i="11"/>
  <c r="J159" i="11"/>
  <c r="J155" i="11"/>
  <c r="J151" i="11"/>
  <c r="J147" i="11"/>
  <c r="J143" i="11"/>
  <c r="J169" i="11"/>
  <c r="J154" i="11"/>
  <c r="J146" i="11"/>
  <c r="J142" i="11"/>
  <c r="R184" i="11"/>
  <c r="R180" i="11"/>
  <c r="R176" i="11"/>
  <c r="R172" i="11"/>
  <c r="R168" i="11"/>
  <c r="R161" i="11"/>
  <c r="R157" i="11"/>
  <c r="R153" i="11"/>
  <c r="R149" i="11"/>
  <c r="R145" i="11"/>
  <c r="R183" i="11"/>
  <c r="R179" i="11"/>
  <c r="R175" i="11"/>
  <c r="R171" i="11"/>
  <c r="R167" i="11"/>
  <c r="R160" i="11"/>
  <c r="R156" i="11"/>
  <c r="R152" i="11"/>
  <c r="R148" i="11"/>
  <c r="R144" i="11"/>
  <c r="R182" i="11"/>
  <c r="R178" i="11"/>
  <c r="R174" i="11"/>
  <c r="R170" i="11"/>
  <c r="R166" i="11"/>
  <c r="R159" i="11"/>
  <c r="R155" i="11"/>
  <c r="R151" i="11"/>
  <c r="R147" i="11"/>
  <c r="R143" i="11"/>
  <c r="R181" i="11"/>
  <c r="R165" i="11"/>
  <c r="R154" i="11"/>
  <c r="R177" i="11"/>
  <c r="R150" i="11"/>
  <c r="R142" i="11"/>
  <c r="R173" i="11"/>
  <c r="R146" i="11"/>
  <c r="R169" i="11"/>
  <c r="R158" i="11"/>
  <c r="H184" i="11"/>
  <c r="H180" i="11"/>
  <c r="H176" i="11"/>
  <c r="H172" i="11"/>
  <c r="H168" i="11"/>
  <c r="H183" i="11"/>
  <c r="H179" i="11"/>
  <c r="H175" i="11"/>
  <c r="H171" i="11"/>
  <c r="H167" i="11"/>
  <c r="H182" i="11"/>
  <c r="H178" i="11"/>
  <c r="H174" i="11"/>
  <c r="H170" i="11"/>
  <c r="H166" i="11"/>
  <c r="H169" i="11"/>
  <c r="H161" i="11"/>
  <c r="H157" i="11"/>
  <c r="H153" i="11"/>
  <c r="H149" i="11"/>
  <c r="H145" i="11"/>
  <c r="H181" i="11"/>
  <c r="H165" i="11"/>
  <c r="H160" i="11"/>
  <c r="H156" i="11"/>
  <c r="H152" i="11"/>
  <c r="H148" i="11"/>
  <c r="H144" i="11"/>
  <c r="H173" i="11"/>
  <c r="H158" i="11"/>
  <c r="H150" i="11"/>
  <c r="H177" i="11"/>
  <c r="H159" i="11"/>
  <c r="H155" i="11"/>
  <c r="H151" i="11"/>
  <c r="H147" i="11"/>
  <c r="H143" i="11"/>
  <c r="H154" i="11"/>
  <c r="H146" i="11"/>
  <c r="H142" i="11"/>
  <c r="L184" i="11"/>
  <c r="L180" i="11"/>
  <c r="L176" i="11"/>
  <c r="L172" i="11"/>
  <c r="L168" i="11"/>
  <c r="L161" i="11"/>
  <c r="L183" i="11"/>
  <c r="L179" i="11"/>
  <c r="L175" i="11"/>
  <c r="L171" i="11"/>
  <c r="L167" i="11"/>
  <c r="L182" i="11"/>
  <c r="L178" i="11"/>
  <c r="L174" i="11"/>
  <c r="L170" i="11"/>
  <c r="L166" i="11"/>
  <c r="L177" i="11"/>
  <c r="L157" i="11"/>
  <c r="L153" i="11"/>
  <c r="L149" i="11"/>
  <c r="L145" i="11"/>
  <c r="L173" i="11"/>
  <c r="L160" i="11"/>
  <c r="L156" i="11"/>
  <c r="L152" i="11"/>
  <c r="L148" i="11"/>
  <c r="L144" i="11"/>
  <c r="L165" i="11"/>
  <c r="L154" i="11"/>
  <c r="L146" i="11"/>
  <c r="L169" i="11"/>
  <c r="L159" i="11"/>
  <c r="L155" i="11"/>
  <c r="L151" i="11"/>
  <c r="L147" i="11"/>
  <c r="L143" i="11"/>
  <c r="L181" i="11"/>
  <c r="L158" i="11"/>
  <c r="L150" i="11"/>
  <c r="L142" i="11"/>
  <c r="T184" i="11"/>
  <c r="T180" i="11"/>
  <c r="T176" i="11"/>
  <c r="T172" i="11"/>
  <c r="T168" i="11"/>
  <c r="T161" i="11"/>
  <c r="T157" i="11"/>
  <c r="T153" i="11"/>
  <c r="T149" i="11"/>
  <c r="T145" i="11"/>
  <c r="T183" i="11"/>
  <c r="T179" i="11"/>
  <c r="T175" i="11"/>
  <c r="T171" i="11"/>
  <c r="T167" i="11"/>
  <c r="T160" i="11"/>
  <c r="T156" i="11"/>
  <c r="T152" i="11"/>
  <c r="T148" i="11"/>
  <c r="T144" i="11"/>
  <c r="T182" i="11"/>
  <c r="T178" i="11"/>
  <c r="T174" i="11"/>
  <c r="T170" i="11"/>
  <c r="T166" i="11"/>
  <c r="T159" i="11"/>
  <c r="T155" i="11"/>
  <c r="T151" i="11"/>
  <c r="T147" i="11"/>
  <c r="T143" i="11"/>
  <c r="T177" i="11"/>
  <c r="T150" i="11"/>
  <c r="T173" i="11"/>
  <c r="T146" i="11"/>
  <c r="T165" i="11"/>
  <c r="T154" i="11"/>
  <c r="T169" i="11"/>
  <c r="T158" i="11"/>
  <c r="T142" i="11"/>
  <c r="T181" i="11"/>
  <c r="N184" i="11"/>
  <c r="N180" i="11"/>
  <c r="N176" i="11"/>
  <c r="N172" i="11"/>
  <c r="N168" i="11"/>
  <c r="N161" i="11"/>
  <c r="N157" i="11"/>
  <c r="N153" i="11"/>
  <c r="N149" i="11"/>
  <c r="N145" i="11"/>
  <c r="N183" i="11"/>
  <c r="N179" i="11"/>
  <c r="N175" i="11"/>
  <c r="N171" i="11"/>
  <c r="N167" i="11"/>
  <c r="N182" i="11"/>
  <c r="N178" i="11"/>
  <c r="N174" i="11"/>
  <c r="N170" i="11"/>
  <c r="N166" i="11"/>
  <c r="N159" i="11"/>
  <c r="N155" i="11"/>
  <c r="N151" i="11"/>
  <c r="N147" i="11"/>
  <c r="N143" i="11"/>
  <c r="N173" i="11"/>
  <c r="N158" i="11"/>
  <c r="N150" i="11"/>
  <c r="N142" i="11"/>
  <c r="N169" i="11"/>
  <c r="N156" i="11"/>
  <c r="N148" i="11"/>
  <c r="N177" i="11"/>
  <c r="N160" i="11"/>
  <c r="N144" i="11"/>
  <c r="N181" i="11"/>
  <c r="N165" i="11"/>
  <c r="N154" i="11"/>
  <c r="N146" i="11"/>
  <c r="N152" i="11"/>
  <c r="C206" i="11"/>
  <c r="C205" i="11"/>
  <c r="C204" i="11"/>
  <c r="C203" i="11"/>
  <c r="C202" i="11"/>
  <c r="C201" i="11"/>
  <c r="C200" i="11"/>
  <c r="C199" i="11"/>
  <c r="C198" i="11"/>
  <c r="C197" i="11"/>
  <c r="C196" i="11"/>
  <c r="C195" i="11"/>
  <c r="C194" i="11"/>
  <c r="C193" i="11"/>
  <c r="C192" i="11"/>
  <c r="C191" i="11"/>
  <c r="C190" i="11"/>
  <c r="C189" i="11"/>
  <c r="C188" i="11"/>
  <c r="C187" i="11"/>
  <c r="C8" i="11" l="1"/>
  <c r="S39" i="6"/>
  <c r="Q39" i="6"/>
  <c r="O39" i="6"/>
  <c r="M39" i="6"/>
  <c r="K39" i="6"/>
  <c r="I39" i="6"/>
  <c r="G39" i="6"/>
  <c r="S29" i="6"/>
  <c r="S26" i="6"/>
  <c r="Q29" i="6"/>
  <c r="Q26" i="6"/>
  <c r="O29" i="6"/>
  <c r="O26" i="6"/>
  <c r="M29" i="6"/>
  <c r="M26" i="6"/>
  <c r="K29" i="6"/>
  <c r="K26" i="6"/>
  <c r="I29" i="6"/>
  <c r="I26" i="6"/>
  <c r="G29" i="6"/>
  <c r="G26" i="6"/>
  <c r="S141" i="11"/>
  <c r="Q141" i="11"/>
  <c r="O141" i="11"/>
  <c r="M141" i="11"/>
  <c r="K141" i="11"/>
  <c r="I141" i="11"/>
  <c r="G141" i="11"/>
  <c r="E141" i="11"/>
  <c r="E118" i="11"/>
  <c r="C161" i="11"/>
  <c r="C160" i="11"/>
  <c r="C159" i="11"/>
  <c r="C158" i="11"/>
  <c r="C157" i="11"/>
  <c r="C156" i="11"/>
  <c r="C155" i="11"/>
  <c r="C154" i="11"/>
  <c r="C153" i="11"/>
  <c r="C152" i="11"/>
  <c r="C151" i="11"/>
  <c r="C150" i="11"/>
  <c r="C149" i="11"/>
  <c r="C148" i="11"/>
  <c r="C147" i="11"/>
  <c r="C146" i="11"/>
  <c r="C145" i="11"/>
  <c r="C144" i="11"/>
  <c r="C143" i="11"/>
  <c r="C142" i="11"/>
  <c r="G23" i="11" l="1"/>
  <c r="G19" i="11"/>
  <c r="G15" i="11"/>
  <c r="G11" i="11"/>
  <c r="G7" i="11"/>
  <c r="G71" i="6"/>
  <c r="G14" i="11"/>
  <c r="G6" i="11"/>
  <c r="G21" i="11"/>
  <c r="G17" i="11"/>
  <c r="G13" i="11"/>
  <c r="G9" i="11"/>
  <c r="G5" i="11"/>
  <c r="G20" i="11"/>
  <c r="G12" i="11"/>
  <c r="G4" i="11"/>
  <c r="G18" i="11"/>
  <c r="G16" i="11"/>
  <c r="G8" i="11"/>
  <c r="G22" i="11"/>
  <c r="G10" i="11"/>
  <c r="Q23" i="11"/>
  <c r="Q19" i="11"/>
  <c r="Q15" i="11"/>
  <c r="Q11" i="11"/>
  <c r="Q7" i="11"/>
  <c r="Q18" i="11"/>
  <c r="Q10" i="11"/>
  <c r="Q21" i="11"/>
  <c r="Q17" i="11"/>
  <c r="Q13" i="11"/>
  <c r="Q9" i="11"/>
  <c r="Q5" i="11"/>
  <c r="Q20" i="11"/>
  <c r="Q12" i="11"/>
  <c r="Q4" i="11"/>
  <c r="Q71" i="6"/>
  <c r="Q6" i="11"/>
  <c r="Q16" i="11"/>
  <c r="Q8" i="11"/>
  <c r="Q22" i="11"/>
  <c r="Q14" i="11"/>
  <c r="S23" i="11"/>
  <c r="S19" i="11"/>
  <c r="S15" i="11"/>
  <c r="S11" i="11"/>
  <c r="S7" i="11"/>
  <c r="S14" i="11"/>
  <c r="S6" i="11"/>
  <c r="S21" i="11"/>
  <c r="S17" i="11"/>
  <c r="S13" i="11"/>
  <c r="S9" i="11"/>
  <c r="S5" i="11"/>
  <c r="S71" i="6"/>
  <c r="S20" i="11"/>
  <c r="S12" i="11"/>
  <c r="S16" i="11"/>
  <c r="S8" i="11"/>
  <c r="S4" i="11"/>
  <c r="S22" i="11"/>
  <c r="S18" i="11"/>
  <c r="S10" i="11"/>
  <c r="O23" i="11"/>
  <c r="O19" i="11"/>
  <c r="O15" i="11"/>
  <c r="O11" i="11"/>
  <c r="O7" i="11"/>
  <c r="O71" i="6"/>
  <c r="O22" i="11"/>
  <c r="O10" i="11"/>
  <c r="O21" i="11"/>
  <c r="O17" i="11"/>
  <c r="O13" i="11"/>
  <c r="O9" i="11"/>
  <c r="O5" i="11"/>
  <c r="O16" i="11"/>
  <c r="O8" i="11"/>
  <c r="O20" i="11"/>
  <c r="O12" i="11"/>
  <c r="O4" i="11"/>
  <c r="O18" i="11"/>
  <c r="O14" i="11"/>
  <c r="O6" i="11"/>
  <c r="I23" i="11"/>
  <c r="I19" i="11"/>
  <c r="I15" i="11"/>
  <c r="I11" i="11"/>
  <c r="I7" i="11"/>
  <c r="I18" i="11"/>
  <c r="I6" i="11"/>
  <c r="I21" i="11"/>
  <c r="I17" i="11"/>
  <c r="I13" i="11"/>
  <c r="I9" i="11"/>
  <c r="I5" i="11"/>
  <c r="I16" i="11"/>
  <c r="I8" i="11"/>
  <c r="I14" i="11"/>
  <c r="I20" i="11"/>
  <c r="I12" i="11"/>
  <c r="I4" i="11"/>
  <c r="I71" i="6"/>
  <c r="I22" i="11"/>
  <c r="I10" i="11"/>
  <c r="K23" i="11"/>
  <c r="K19" i="11"/>
  <c r="K15" i="11"/>
  <c r="K11" i="11"/>
  <c r="K7" i="11"/>
  <c r="K18" i="11"/>
  <c r="K6" i="11"/>
  <c r="K21" i="11"/>
  <c r="K17" i="11"/>
  <c r="K13" i="11"/>
  <c r="K9" i="11"/>
  <c r="K5" i="11"/>
  <c r="K71" i="6"/>
  <c r="K16" i="11"/>
  <c r="K8" i="11"/>
  <c r="K14" i="11"/>
  <c r="K20" i="11"/>
  <c r="K12" i="11"/>
  <c r="K4" i="11"/>
  <c r="K22" i="11"/>
  <c r="K10" i="11"/>
  <c r="M23" i="11"/>
  <c r="M19" i="11"/>
  <c r="M15" i="11"/>
  <c r="M11" i="11"/>
  <c r="M7" i="11"/>
  <c r="M22" i="11"/>
  <c r="M14" i="11"/>
  <c r="M6" i="11"/>
  <c r="M21" i="11"/>
  <c r="M17" i="11"/>
  <c r="M13" i="11"/>
  <c r="M9" i="11"/>
  <c r="M5" i="11"/>
  <c r="M20" i="11"/>
  <c r="M12" i="11"/>
  <c r="M4" i="11"/>
  <c r="M18" i="11"/>
  <c r="M71" i="6"/>
  <c r="M16" i="11"/>
  <c r="M8" i="11"/>
  <c r="M10" i="11"/>
  <c r="M164" i="11"/>
  <c r="N164" i="11" s="1"/>
  <c r="N141" i="11"/>
  <c r="H141" i="11"/>
  <c r="G164" i="11"/>
  <c r="H164" i="11" s="1"/>
  <c r="P141" i="11"/>
  <c r="O164" i="11"/>
  <c r="P164" i="11" s="1"/>
  <c r="E164" i="11"/>
  <c r="F164" i="11" s="1"/>
  <c r="F141" i="11"/>
  <c r="R141" i="11"/>
  <c r="Q164" i="11"/>
  <c r="R164" i="11" s="1"/>
  <c r="J141" i="11"/>
  <c r="I164" i="11"/>
  <c r="J164" i="11" s="1"/>
  <c r="K164" i="11"/>
  <c r="L164" i="11" s="1"/>
  <c r="L141" i="11"/>
  <c r="S164" i="11"/>
  <c r="T164" i="11" s="1"/>
  <c r="T141" i="11"/>
  <c r="C9" i="11"/>
  <c r="G182" i="11"/>
  <c r="G178" i="11"/>
  <c r="G174" i="11"/>
  <c r="G170" i="11"/>
  <c r="G166" i="11"/>
  <c r="G181" i="11"/>
  <c r="G177" i="11"/>
  <c r="G173" i="11"/>
  <c r="G169" i="11"/>
  <c r="G165" i="11"/>
  <c r="G184" i="11"/>
  <c r="G180" i="11"/>
  <c r="G176" i="11"/>
  <c r="G172" i="11"/>
  <c r="G168" i="11"/>
  <c r="G171" i="11"/>
  <c r="G161" i="11"/>
  <c r="H206" i="11" s="1"/>
  <c r="G157" i="11"/>
  <c r="H202" i="11" s="1"/>
  <c r="G153" i="11"/>
  <c r="H198" i="11" s="1"/>
  <c r="G149" i="11"/>
  <c r="H194" i="11" s="1"/>
  <c r="G145" i="11"/>
  <c r="H190" i="11" s="1"/>
  <c r="G150" i="11"/>
  <c r="H195" i="11" s="1"/>
  <c r="G183" i="11"/>
  <c r="G167" i="11"/>
  <c r="G160" i="11"/>
  <c r="H205" i="11" s="1"/>
  <c r="G156" i="11"/>
  <c r="H201" i="11" s="1"/>
  <c r="G152" i="11"/>
  <c r="H197" i="11" s="1"/>
  <c r="G148" i="11"/>
  <c r="H193" i="11" s="1"/>
  <c r="G144" i="11"/>
  <c r="H189" i="11" s="1"/>
  <c r="G158" i="11"/>
  <c r="H203" i="11" s="1"/>
  <c r="G146" i="11"/>
  <c r="H191" i="11" s="1"/>
  <c r="G179" i="11"/>
  <c r="G159" i="11"/>
  <c r="H204" i="11" s="1"/>
  <c r="G155" i="11"/>
  <c r="H200" i="11" s="1"/>
  <c r="G151" i="11"/>
  <c r="H196" i="11" s="1"/>
  <c r="G147" i="11"/>
  <c r="H192" i="11" s="1"/>
  <c r="G143" i="11"/>
  <c r="H188" i="11" s="1"/>
  <c r="G175" i="11"/>
  <c r="G154" i="11"/>
  <c r="H199" i="11" s="1"/>
  <c r="G142" i="11"/>
  <c r="H187" i="11" s="1"/>
  <c r="O182" i="11"/>
  <c r="O178" i="11"/>
  <c r="O174" i="11"/>
  <c r="O170" i="11"/>
  <c r="O166" i="11"/>
  <c r="O161" i="11"/>
  <c r="P206" i="11" s="1"/>
  <c r="O157" i="11"/>
  <c r="P202" i="11" s="1"/>
  <c r="O181" i="11"/>
  <c r="O177" i="11"/>
  <c r="O173" i="11"/>
  <c r="O169" i="11"/>
  <c r="O165" i="11"/>
  <c r="O160" i="11"/>
  <c r="P205" i="11" s="1"/>
  <c r="O184" i="11"/>
  <c r="O180" i="11"/>
  <c r="O176" i="11"/>
  <c r="O172" i="11"/>
  <c r="O168" i="11"/>
  <c r="O159" i="11"/>
  <c r="P204" i="11" s="1"/>
  <c r="O171" i="11"/>
  <c r="O158" i="11"/>
  <c r="P203" i="11" s="1"/>
  <c r="O153" i="11"/>
  <c r="P198" i="11" s="1"/>
  <c r="O149" i="11"/>
  <c r="P194" i="11" s="1"/>
  <c r="O145" i="11"/>
  <c r="P190" i="11" s="1"/>
  <c r="O183" i="11"/>
  <c r="O167" i="11"/>
  <c r="O156" i="11"/>
  <c r="P201" i="11" s="1"/>
  <c r="O152" i="11"/>
  <c r="P197" i="11" s="1"/>
  <c r="O148" i="11"/>
  <c r="P193" i="11" s="1"/>
  <c r="O144" i="11"/>
  <c r="P189" i="11" s="1"/>
  <c r="O154" i="11"/>
  <c r="P199" i="11" s="1"/>
  <c r="O142" i="11"/>
  <c r="P187" i="11" s="1"/>
  <c r="O179" i="11"/>
  <c r="O155" i="11"/>
  <c r="P200" i="11" s="1"/>
  <c r="O151" i="11"/>
  <c r="P196" i="11" s="1"/>
  <c r="O147" i="11"/>
  <c r="P192" i="11" s="1"/>
  <c r="O143" i="11"/>
  <c r="P188" i="11" s="1"/>
  <c r="O175" i="11"/>
  <c r="O150" i="11"/>
  <c r="P195" i="11" s="1"/>
  <c r="O146" i="11"/>
  <c r="P191" i="11" s="1"/>
  <c r="M182" i="11"/>
  <c r="M178" i="11"/>
  <c r="M174" i="11"/>
  <c r="M170" i="11"/>
  <c r="M166" i="11"/>
  <c r="M181" i="11"/>
  <c r="M177" i="11"/>
  <c r="M173" i="11"/>
  <c r="M169" i="11"/>
  <c r="M165" i="11"/>
  <c r="M184" i="11"/>
  <c r="M180" i="11"/>
  <c r="M176" i="11"/>
  <c r="M172" i="11"/>
  <c r="M168" i="11"/>
  <c r="M175" i="11"/>
  <c r="M161" i="11"/>
  <c r="N206" i="11" s="1"/>
  <c r="M157" i="11"/>
  <c r="N202" i="11" s="1"/>
  <c r="M153" i="11"/>
  <c r="N198" i="11" s="1"/>
  <c r="M149" i="11"/>
  <c r="N194" i="11" s="1"/>
  <c r="M145" i="11"/>
  <c r="N190" i="11" s="1"/>
  <c r="M158" i="11"/>
  <c r="N203" i="11" s="1"/>
  <c r="M142" i="11"/>
  <c r="N187" i="11" s="1"/>
  <c r="M171" i="11"/>
  <c r="M160" i="11"/>
  <c r="N205" i="11" s="1"/>
  <c r="M156" i="11"/>
  <c r="N201" i="11" s="1"/>
  <c r="M152" i="11"/>
  <c r="N197" i="11" s="1"/>
  <c r="M148" i="11"/>
  <c r="N193" i="11" s="1"/>
  <c r="M144" i="11"/>
  <c r="N189" i="11" s="1"/>
  <c r="M179" i="11"/>
  <c r="M150" i="11"/>
  <c r="N195" i="11" s="1"/>
  <c r="M183" i="11"/>
  <c r="M167" i="11"/>
  <c r="M159" i="11"/>
  <c r="N204" i="11" s="1"/>
  <c r="M155" i="11"/>
  <c r="N200" i="11" s="1"/>
  <c r="M151" i="11"/>
  <c r="N196" i="11" s="1"/>
  <c r="M147" i="11"/>
  <c r="N192" i="11" s="1"/>
  <c r="M143" i="11"/>
  <c r="N188" i="11" s="1"/>
  <c r="M154" i="11"/>
  <c r="N199" i="11" s="1"/>
  <c r="M146" i="11"/>
  <c r="N191" i="11" s="1"/>
  <c r="I182" i="11"/>
  <c r="I178" i="11"/>
  <c r="I174" i="11"/>
  <c r="I170" i="11"/>
  <c r="I166" i="11"/>
  <c r="I181" i="11"/>
  <c r="I177" i="11"/>
  <c r="I173" i="11"/>
  <c r="I169" i="11"/>
  <c r="I165" i="11"/>
  <c r="I184" i="11"/>
  <c r="I180" i="11"/>
  <c r="I176" i="11"/>
  <c r="I172" i="11"/>
  <c r="I168" i="11"/>
  <c r="I183" i="11"/>
  <c r="I167" i="11"/>
  <c r="I161" i="11"/>
  <c r="J206" i="11" s="1"/>
  <c r="I157" i="11"/>
  <c r="J202" i="11" s="1"/>
  <c r="I153" i="11"/>
  <c r="J198" i="11" s="1"/>
  <c r="I149" i="11"/>
  <c r="J194" i="11" s="1"/>
  <c r="I145" i="11"/>
  <c r="J190" i="11" s="1"/>
  <c r="I154" i="11"/>
  <c r="J199" i="11" s="1"/>
  <c r="I142" i="11"/>
  <c r="J187" i="11" s="1"/>
  <c r="I179" i="11"/>
  <c r="I160" i="11"/>
  <c r="J205" i="11" s="1"/>
  <c r="I156" i="11"/>
  <c r="J201" i="11" s="1"/>
  <c r="I152" i="11"/>
  <c r="J197" i="11" s="1"/>
  <c r="I148" i="11"/>
  <c r="J193" i="11" s="1"/>
  <c r="I144" i="11"/>
  <c r="J189" i="11" s="1"/>
  <c r="I150" i="11"/>
  <c r="J195" i="11" s="1"/>
  <c r="I175" i="11"/>
  <c r="I159" i="11"/>
  <c r="J204" i="11" s="1"/>
  <c r="I155" i="11"/>
  <c r="J200" i="11" s="1"/>
  <c r="I151" i="11"/>
  <c r="J196" i="11" s="1"/>
  <c r="I147" i="11"/>
  <c r="J192" i="11" s="1"/>
  <c r="I143" i="11"/>
  <c r="J188" i="11" s="1"/>
  <c r="I171" i="11"/>
  <c r="I158" i="11"/>
  <c r="J203" i="11" s="1"/>
  <c r="I146" i="11"/>
  <c r="J191" i="11" s="1"/>
  <c r="Q182" i="11"/>
  <c r="Q178" i="11"/>
  <c r="Q174" i="11"/>
  <c r="Q170" i="11"/>
  <c r="Q166" i="11"/>
  <c r="Q161" i="11"/>
  <c r="R206" i="11" s="1"/>
  <c r="Q157" i="11"/>
  <c r="R202" i="11" s="1"/>
  <c r="Q153" i="11"/>
  <c r="R198" i="11" s="1"/>
  <c r="Q149" i="11"/>
  <c r="R194" i="11" s="1"/>
  <c r="Q145" i="11"/>
  <c r="R190" i="11" s="1"/>
  <c r="Q181" i="11"/>
  <c r="Q177" i="11"/>
  <c r="Q173" i="11"/>
  <c r="Q169" i="11"/>
  <c r="Q165" i="11"/>
  <c r="Q160" i="11"/>
  <c r="R205" i="11" s="1"/>
  <c r="Q156" i="11"/>
  <c r="R201" i="11" s="1"/>
  <c r="Q152" i="11"/>
  <c r="R197" i="11" s="1"/>
  <c r="Q148" i="11"/>
  <c r="R193" i="11" s="1"/>
  <c r="Q144" i="11"/>
  <c r="R189" i="11" s="1"/>
  <c r="Q184" i="11"/>
  <c r="Q180" i="11"/>
  <c r="Q176" i="11"/>
  <c r="Q172" i="11"/>
  <c r="Q168" i="11"/>
  <c r="Q159" i="11"/>
  <c r="R204" i="11" s="1"/>
  <c r="Q155" i="11"/>
  <c r="R200" i="11" s="1"/>
  <c r="Q151" i="11"/>
  <c r="R196" i="11" s="1"/>
  <c r="Q147" i="11"/>
  <c r="R192" i="11" s="1"/>
  <c r="Q143" i="11"/>
  <c r="R188" i="11" s="1"/>
  <c r="Q183" i="11"/>
  <c r="Q167" i="11"/>
  <c r="Q154" i="11"/>
  <c r="R199" i="11" s="1"/>
  <c r="Q179" i="11"/>
  <c r="Q150" i="11"/>
  <c r="R195" i="11" s="1"/>
  <c r="Q171" i="11"/>
  <c r="Q158" i="11"/>
  <c r="R203" i="11" s="1"/>
  <c r="Q175" i="11"/>
  <c r="Q146" i="11"/>
  <c r="R191" i="11" s="1"/>
  <c r="Q142" i="11"/>
  <c r="R187" i="11" s="1"/>
  <c r="K182" i="11"/>
  <c r="K178" i="11"/>
  <c r="K174" i="11"/>
  <c r="K170" i="11"/>
  <c r="K166" i="11"/>
  <c r="K181" i="11"/>
  <c r="K177" i="11"/>
  <c r="K173" i="11"/>
  <c r="K169" i="11"/>
  <c r="K165" i="11"/>
  <c r="K184" i="11"/>
  <c r="K180" i="11"/>
  <c r="K176" i="11"/>
  <c r="K172" i="11"/>
  <c r="K168" i="11"/>
  <c r="K179" i="11"/>
  <c r="K161" i="11"/>
  <c r="L206" i="11" s="1"/>
  <c r="K157" i="11"/>
  <c r="L202" i="11" s="1"/>
  <c r="K153" i="11"/>
  <c r="L198" i="11" s="1"/>
  <c r="K149" i="11"/>
  <c r="L194" i="11" s="1"/>
  <c r="K145" i="11"/>
  <c r="L190" i="11" s="1"/>
  <c r="K150" i="11"/>
  <c r="L195" i="11" s="1"/>
  <c r="K175" i="11"/>
  <c r="K160" i="11"/>
  <c r="L205" i="11" s="1"/>
  <c r="K156" i="11"/>
  <c r="L201" i="11" s="1"/>
  <c r="K152" i="11"/>
  <c r="L197" i="11" s="1"/>
  <c r="K148" i="11"/>
  <c r="L193" i="11" s="1"/>
  <c r="K144" i="11"/>
  <c r="L189" i="11" s="1"/>
  <c r="K167" i="11"/>
  <c r="K158" i="11"/>
  <c r="L203" i="11" s="1"/>
  <c r="K154" i="11"/>
  <c r="L199" i="11" s="1"/>
  <c r="K142" i="11"/>
  <c r="L187" i="11" s="1"/>
  <c r="K171" i="11"/>
  <c r="K159" i="11"/>
  <c r="L204" i="11" s="1"/>
  <c r="K155" i="11"/>
  <c r="L200" i="11" s="1"/>
  <c r="K151" i="11"/>
  <c r="L196" i="11" s="1"/>
  <c r="K147" i="11"/>
  <c r="L192" i="11" s="1"/>
  <c r="K143" i="11"/>
  <c r="L188" i="11" s="1"/>
  <c r="K183" i="11"/>
  <c r="K146" i="11"/>
  <c r="L191" i="11" s="1"/>
  <c r="S182" i="11"/>
  <c r="S178" i="11"/>
  <c r="S174" i="11"/>
  <c r="S170" i="11"/>
  <c r="S166" i="11"/>
  <c r="S161" i="11"/>
  <c r="T206" i="11" s="1"/>
  <c r="S157" i="11"/>
  <c r="T202" i="11" s="1"/>
  <c r="S153" i="11"/>
  <c r="T198" i="11" s="1"/>
  <c r="S149" i="11"/>
  <c r="T194" i="11" s="1"/>
  <c r="S145" i="11"/>
  <c r="T190" i="11" s="1"/>
  <c r="S181" i="11"/>
  <c r="S177" i="11"/>
  <c r="S173" i="11"/>
  <c r="S169" i="11"/>
  <c r="S165" i="11"/>
  <c r="S160" i="11"/>
  <c r="T205" i="11" s="1"/>
  <c r="S156" i="11"/>
  <c r="T201" i="11" s="1"/>
  <c r="S152" i="11"/>
  <c r="T197" i="11" s="1"/>
  <c r="S148" i="11"/>
  <c r="T193" i="11" s="1"/>
  <c r="S144" i="11"/>
  <c r="T189" i="11" s="1"/>
  <c r="S184" i="11"/>
  <c r="S180" i="11"/>
  <c r="S176" i="11"/>
  <c r="S172" i="11"/>
  <c r="S168" i="11"/>
  <c r="S159" i="11"/>
  <c r="T204" i="11" s="1"/>
  <c r="S155" i="11"/>
  <c r="T200" i="11" s="1"/>
  <c r="S151" i="11"/>
  <c r="T196" i="11" s="1"/>
  <c r="S147" i="11"/>
  <c r="T192" i="11" s="1"/>
  <c r="S143" i="11"/>
  <c r="T188" i="11" s="1"/>
  <c r="S179" i="11"/>
  <c r="S150" i="11"/>
  <c r="T195" i="11" s="1"/>
  <c r="S154" i="11"/>
  <c r="T199" i="11" s="1"/>
  <c r="S175" i="11"/>
  <c r="S146" i="11"/>
  <c r="T191" i="11" s="1"/>
  <c r="S183" i="11"/>
  <c r="S171" i="11"/>
  <c r="S158" i="11"/>
  <c r="T203" i="11" s="1"/>
  <c r="S142" i="11"/>
  <c r="T187" i="11" s="1"/>
  <c r="S167" i="11"/>
  <c r="L124" i="11"/>
  <c r="L131" i="11"/>
  <c r="L126" i="11"/>
  <c r="L133" i="11"/>
  <c r="L123" i="11"/>
  <c r="L136" i="11"/>
  <c r="L120" i="11"/>
  <c r="L127" i="11"/>
  <c r="L138" i="11"/>
  <c r="L122" i="11"/>
  <c r="L129" i="11"/>
  <c r="L132" i="11"/>
  <c r="L134" i="11"/>
  <c r="L121" i="11"/>
  <c r="L135" i="11"/>
  <c r="L130" i="11"/>
  <c r="L137" i="11"/>
  <c r="L119" i="11"/>
  <c r="L125" i="11"/>
  <c r="L128" i="11"/>
  <c r="P124" i="11"/>
  <c r="P131" i="11"/>
  <c r="P126" i="11"/>
  <c r="P133" i="11"/>
  <c r="P136" i="11"/>
  <c r="P120" i="11"/>
  <c r="P127" i="11"/>
  <c r="P138" i="11"/>
  <c r="P122" i="11"/>
  <c r="P129" i="11"/>
  <c r="P132" i="11"/>
  <c r="P123" i="11"/>
  <c r="P134" i="11"/>
  <c r="P125" i="11"/>
  <c r="P119" i="11"/>
  <c r="P137" i="11"/>
  <c r="P128" i="11"/>
  <c r="P121" i="11"/>
  <c r="P130" i="11"/>
  <c r="P135" i="11"/>
  <c r="T124" i="11"/>
  <c r="T131" i="11"/>
  <c r="T126" i="11"/>
  <c r="T133" i="11"/>
  <c r="T136" i="11"/>
  <c r="T120" i="11"/>
  <c r="T127" i="11"/>
  <c r="T138" i="11"/>
  <c r="T122" i="11"/>
  <c r="T129" i="11"/>
  <c r="T123" i="11"/>
  <c r="T134" i="11"/>
  <c r="T119" i="11"/>
  <c r="T137" i="11"/>
  <c r="T130" i="11"/>
  <c r="T128" i="11"/>
  <c r="T132" i="11"/>
  <c r="T125" i="11"/>
  <c r="T135" i="11"/>
  <c r="T121" i="11"/>
  <c r="J124" i="11"/>
  <c r="J131" i="11"/>
  <c r="J126" i="11"/>
  <c r="J133" i="11"/>
  <c r="J132" i="11"/>
  <c r="J123" i="11"/>
  <c r="J134" i="11"/>
  <c r="J136" i="11"/>
  <c r="J120" i="11"/>
  <c r="J127" i="11"/>
  <c r="J138" i="11"/>
  <c r="J122" i="11"/>
  <c r="J129" i="11"/>
  <c r="J125" i="11"/>
  <c r="J119" i="11"/>
  <c r="J137" i="11"/>
  <c r="J128" i="11"/>
  <c r="J121" i="11"/>
  <c r="J130" i="11"/>
  <c r="J135" i="11"/>
  <c r="N124" i="11"/>
  <c r="N131" i="11"/>
  <c r="N126" i="11"/>
  <c r="N133" i="11"/>
  <c r="N125" i="11"/>
  <c r="N136" i="11"/>
  <c r="N120" i="11"/>
  <c r="N127" i="11"/>
  <c r="N138" i="11"/>
  <c r="N122" i="11"/>
  <c r="N129" i="11"/>
  <c r="N134" i="11"/>
  <c r="N132" i="11"/>
  <c r="N123" i="11"/>
  <c r="N119" i="11"/>
  <c r="N137" i="11"/>
  <c r="N128" i="11"/>
  <c r="N121" i="11"/>
  <c r="N130" i="11"/>
  <c r="N135" i="11"/>
  <c r="R124" i="11"/>
  <c r="R131" i="11"/>
  <c r="R126" i="11"/>
  <c r="R133" i="11"/>
  <c r="R136" i="11"/>
  <c r="R120" i="11"/>
  <c r="R127" i="11"/>
  <c r="R138" i="11"/>
  <c r="R122" i="11"/>
  <c r="R129" i="11"/>
  <c r="R132" i="11"/>
  <c r="R123" i="11"/>
  <c r="R134" i="11"/>
  <c r="R125" i="11"/>
  <c r="R130" i="11"/>
  <c r="R135" i="11"/>
  <c r="R119" i="11"/>
  <c r="R137" i="11"/>
  <c r="R128" i="11"/>
  <c r="R121" i="11"/>
  <c r="H124" i="11"/>
  <c r="H131" i="11"/>
  <c r="H126" i="11"/>
  <c r="H133" i="11"/>
  <c r="H132" i="11"/>
  <c r="H125" i="11"/>
  <c r="H136" i="11"/>
  <c r="H120" i="11"/>
  <c r="H127" i="11"/>
  <c r="H138" i="11"/>
  <c r="H122" i="11"/>
  <c r="H129" i="11"/>
  <c r="H123" i="11"/>
  <c r="H134" i="11"/>
  <c r="H130" i="11"/>
  <c r="H135" i="11"/>
  <c r="H119" i="11"/>
  <c r="H137" i="11"/>
  <c r="H128" i="11"/>
  <c r="H121" i="11"/>
  <c r="E186" i="11"/>
  <c r="F186" i="11"/>
  <c r="H186" i="11"/>
  <c r="G186" i="11"/>
  <c r="J186" i="11"/>
  <c r="I186" i="11"/>
  <c r="R186" i="11"/>
  <c r="Q186" i="11"/>
  <c r="N186" i="11"/>
  <c r="M186" i="11"/>
  <c r="P186" i="11"/>
  <c r="O186" i="11"/>
  <c r="L186" i="11"/>
  <c r="K186" i="11"/>
  <c r="T186" i="11"/>
  <c r="S186" i="11"/>
  <c r="S72" i="6" l="1"/>
  <c r="C10" i="11"/>
  <c r="Q27" i="6"/>
  <c r="U27" i="6"/>
  <c r="W27" i="6"/>
  <c r="G27" i="6"/>
  <c r="K27" i="6"/>
  <c r="S27" i="6"/>
  <c r="O27" i="6"/>
  <c r="I27" i="6"/>
  <c r="M27" i="6"/>
  <c r="C11" i="11" l="1"/>
  <c r="S118" i="11"/>
  <c r="Q118" i="11"/>
  <c r="O118" i="11"/>
  <c r="M118" i="11"/>
  <c r="K118" i="11"/>
  <c r="I118" i="11"/>
  <c r="G118" i="11"/>
  <c r="C12" i="11" l="1"/>
  <c r="C74" i="6"/>
  <c r="C13" i="11" l="1"/>
  <c r="Z29" i="11"/>
  <c r="Z30" i="11"/>
  <c r="Z31" i="11"/>
  <c r="Z32" i="11"/>
  <c r="Z33" i="11"/>
  <c r="Z34" i="11"/>
  <c r="Z35" i="11"/>
  <c r="Z36" i="11"/>
  <c r="Z37" i="11"/>
  <c r="Z38" i="11"/>
  <c r="Z39" i="11"/>
  <c r="Z40" i="11"/>
  <c r="Z41" i="11"/>
  <c r="Z42" i="11"/>
  <c r="Z43" i="11"/>
  <c r="Z44" i="11"/>
  <c r="Z45" i="11"/>
  <c r="Z46" i="11"/>
  <c r="Z28" i="11"/>
  <c r="C138" i="11"/>
  <c r="E138" i="11" s="1"/>
  <c r="C137" i="11"/>
  <c r="E137" i="11" s="1"/>
  <c r="C136" i="11"/>
  <c r="E136" i="11" s="1"/>
  <c r="C135" i="11"/>
  <c r="E135" i="11" s="1"/>
  <c r="C134" i="11"/>
  <c r="E134" i="11" s="1"/>
  <c r="C133" i="11"/>
  <c r="E133" i="11" s="1"/>
  <c r="C132" i="11"/>
  <c r="E132" i="11" s="1"/>
  <c r="C131" i="11"/>
  <c r="E131" i="11" s="1"/>
  <c r="C130" i="11"/>
  <c r="E130" i="11" s="1"/>
  <c r="C129" i="11"/>
  <c r="E129" i="11" s="1"/>
  <c r="C128" i="11"/>
  <c r="E128" i="11" s="1"/>
  <c r="C127" i="11"/>
  <c r="E127" i="11" s="1"/>
  <c r="C126" i="11"/>
  <c r="E126" i="11" s="1"/>
  <c r="C125" i="11"/>
  <c r="E125" i="11" s="1"/>
  <c r="C124" i="11"/>
  <c r="E124" i="11" s="1"/>
  <c r="C123" i="11"/>
  <c r="E123" i="11" s="1"/>
  <c r="C122" i="11"/>
  <c r="E122" i="11" s="1"/>
  <c r="C121" i="11"/>
  <c r="E121" i="11" s="1"/>
  <c r="C120" i="11"/>
  <c r="E120" i="11" s="1"/>
  <c r="C119" i="11"/>
  <c r="E119" i="11" s="1"/>
  <c r="D79" i="6"/>
  <c r="D74" i="6"/>
  <c r="G46" i="6"/>
  <c r="G34" i="6"/>
  <c r="I34" i="6"/>
  <c r="K34" i="6"/>
  <c r="M34" i="6"/>
  <c r="O34" i="6"/>
  <c r="Q34" i="6"/>
  <c r="S34" i="6"/>
  <c r="S33" i="6"/>
  <c r="Q33" i="6"/>
  <c r="O33" i="6"/>
  <c r="M33" i="6"/>
  <c r="K33" i="6"/>
  <c r="I33" i="6"/>
  <c r="G33" i="6"/>
  <c r="S32" i="6"/>
  <c r="Q32" i="6"/>
  <c r="O32" i="6"/>
  <c r="M32" i="6"/>
  <c r="K32" i="6"/>
  <c r="I32" i="6"/>
  <c r="G32" i="6"/>
  <c r="S24" i="6"/>
  <c r="Q24" i="6"/>
  <c r="O24" i="6"/>
  <c r="M24" i="6"/>
  <c r="K24" i="6"/>
  <c r="I24" i="6"/>
  <c r="G24" i="6"/>
  <c r="R38" i="17"/>
  <c r="P38" i="17"/>
  <c r="M38" i="17"/>
  <c r="K38" i="17"/>
  <c r="E38" i="17"/>
  <c r="R37" i="17"/>
  <c r="M37" i="17"/>
  <c r="K37" i="17"/>
  <c r="P37" i="17" s="1"/>
  <c r="Q37" i="17" s="1"/>
  <c r="E37" i="17"/>
  <c r="M36" i="17"/>
  <c r="K36" i="17"/>
  <c r="P36" i="17" s="1"/>
  <c r="Q36" i="17" s="1"/>
  <c r="R36" i="17" s="1"/>
  <c r="E36" i="17"/>
  <c r="M35" i="17"/>
  <c r="K35" i="17"/>
  <c r="P35" i="17" s="1"/>
  <c r="Q35" i="17" s="1"/>
  <c r="R35" i="17" s="1"/>
  <c r="E35" i="17"/>
  <c r="P34" i="17"/>
  <c r="Q34" i="17" s="1"/>
  <c r="R34" i="17" s="1"/>
  <c r="M34" i="17"/>
  <c r="K34" i="17"/>
  <c r="E34" i="17"/>
  <c r="R33" i="17"/>
  <c r="M33" i="17"/>
  <c r="K33" i="17"/>
  <c r="P33" i="17" s="1"/>
  <c r="Q33" i="17" s="1"/>
  <c r="E33" i="17"/>
  <c r="M32" i="17"/>
  <c r="K32" i="17"/>
  <c r="P32" i="17" s="1"/>
  <c r="Q32" i="17" s="1"/>
  <c r="R32" i="17" s="1"/>
  <c r="E32" i="17"/>
  <c r="M31" i="17"/>
  <c r="K31" i="17"/>
  <c r="P31" i="17" s="1"/>
  <c r="Q31" i="17" s="1"/>
  <c r="R31" i="17" s="1"/>
  <c r="E31" i="17"/>
  <c r="P30" i="17"/>
  <c r="Q30" i="17" s="1"/>
  <c r="R30" i="17" s="1"/>
  <c r="M30" i="17"/>
  <c r="K30" i="17"/>
  <c r="E30" i="17"/>
  <c r="R29" i="17"/>
  <c r="M29" i="17"/>
  <c r="K29" i="17"/>
  <c r="P29" i="17" s="1"/>
  <c r="Q29" i="17" s="1"/>
  <c r="E29" i="17"/>
  <c r="M28" i="17"/>
  <c r="K28" i="17"/>
  <c r="P28" i="17" s="1"/>
  <c r="Q28" i="17" s="1"/>
  <c r="R28" i="17" s="1"/>
  <c r="E28" i="17"/>
  <c r="M27" i="17"/>
  <c r="K27" i="17"/>
  <c r="P27" i="17" s="1"/>
  <c r="Q27" i="17" s="1"/>
  <c r="R27" i="17" s="1"/>
  <c r="E27" i="17"/>
  <c r="P26" i="17"/>
  <c r="Q26" i="17" s="1"/>
  <c r="R26" i="17" s="1"/>
  <c r="M26" i="17"/>
  <c r="K26" i="17"/>
  <c r="E26" i="17"/>
  <c r="R25" i="17"/>
  <c r="M25" i="17"/>
  <c r="K25" i="17"/>
  <c r="P25" i="17" s="1"/>
  <c r="Q25" i="17" s="1"/>
  <c r="E25" i="17"/>
  <c r="M24" i="17"/>
  <c r="K24" i="17"/>
  <c r="P24" i="17" s="1"/>
  <c r="Q24" i="17" s="1"/>
  <c r="R24" i="17" s="1"/>
  <c r="E24" i="17"/>
  <c r="M23" i="17"/>
  <c r="K23" i="17"/>
  <c r="P23" i="17" s="1"/>
  <c r="Q23" i="17" s="1"/>
  <c r="R23" i="17" s="1"/>
  <c r="E23" i="17"/>
  <c r="P22" i="17"/>
  <c r="Q22" i="17" s="1"/>
  <c r="R22" i="17" s="1"/>
  <c r="M22" i="17"/>
  <c r="K22" i="17"/>
  <c r="E22" i="17"/>
  <c r="R21" i="17"/>
  <c r="M21" i="17"/>
  <c r="K21" i="17"/>
  <c r="P21" i="17" s="1"/>
  <c r="Q21" i="17" s="1"/>
  <c r="E21" i="17"/>
  <c r="M20" i="17"/>
  <c r="K20" i="17"/>
  <c r="P20" i="17" s="1"/>
  <c r="Q20" i="17" s="1"/>
  <c r="R20" i="17" s="1"/>
  <c r="E20" i="17"/>
  <c r="M19" i="17"/>
  <c r="K19" i="17"/>
  <c r="P19" i="17" s="1"/>
  <c r="Q19" i="17" s="1"/>
  <c r="R19" i="17" s="1"/>
  <c r="E19" i="17"/>
  <c r="R18" i="17"/>
  <c r="M18" i="17"/>
  <c r="K18" i="17"/>
  <c r="P18" i="17" s="1"/>
  <c r="E18" i="17"/>
  <c r="Q17" i="17"/>
  <c r="R17" i="17" s="1"/>
  <c r="M17" i="17"/>
  <c r="K17" i="17"/>
  <c r="P17" i="17" s="1"/>
  <c r="E17" i="17"/>
  <c r="P16" i="17"/>
  <c r="Q16" i="17" s="1"/>
  <c r="R16" i="17" s="1"/>
  <c r="M16" i="17"/>
  <c r="K16" i="17"/>
  <c r="E16" i="17"/>
  <c r="M15" i="17"/>
  <c r="K15" i="17"/>
  <c r="P15" i="17" s="1"/>
  <c r="Q15" i="17" s="1"/>
  <c r="R15" i="17" s="1"/>
  <c r="E15" i="17"/>
  <c r="M14" i="17"/>
  <c r="K14" i="17"/>
  <c r="P14" i="17" s="1"/>
  <c r="Q14" i="17" s="1"/>
  <c r="R14" i="17" s="1"/>
  <c r="E14" i="17"/>
  <c r="M13" i="17"/>
  <c r="K13" i="17"/>
  <c r="P13" i="17" s="1"/>
  <c r="Q13" i="17" s="1"/>
  <c r="R13" i="17" s="1"/>
  <c r="E13" i="17"/>
  <c r="M12" i="17"/>
  <c r="K12" i="17"/>
  <c r="P12" i="17" s="1"/>
  <c r="Q12" i="17" s="1"/>
  <c r="R12" i="17" s="1"/>
  <c r="E12" i="17"/>
  <c r="M11" i="17"/>
  <c r="K11" i="17"/>
  <c r="P11" i="17" s="1"/>
  <c r="Q11" i="17" s="1"/>
  <c r="R11" i="17" s="1"/>
  <c r="E11" i="17"/>
  <c r="M10" i="17"/>
  <c r="N10" i="17" s="1"/>
  <c r="K10" i="17"/>
  <c r="P10" i="17" s="1"/>
  <c r="Q10" i="17" s="1"/>
  <c r="R10" i="17" s="1"/>
  <c r="E10" i="17"/>
  <c r="K9" i="17"/>
  <c r="P9" i="17" s="1"/>
  <c r="E9" i="17"/>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E72" i="6" l="1"/>
  <c r="G68" i="11"/>
  <c r="G51" i="11"/>
  <c r="G65" i="11"/>
  <c r="G54" i="11"/>
  <c r="G56" i="11"/>
  <c r="G62" i="11"/>
  <c r="G52" i="11"/>
  <c r="G66" i="11"/>
  <c r="G49" i="11"/>
  <c r="G61" i="11"/>
  <c r="G55" i="11"/>
  <c r="G63" i="11"/>
  <c r="G67" i="11"/>
  <c r="G58" i="11"/>
  <c r="G57" i="11"/>
  <c r="G53" i="11"/>
  <c r="G64" i="11"/>
  <c r="G59" i="11"/>
  <c r="G50" i="11"/>
  <c r="G60" i="11"/>
  <c r="M192" i="11"/>
  <c r="M206" i="11"/>
  <c r="M191" i="11"/>
  <c r="M197" i="11"/>
  <c r="M201" i="11"/>
  <c r="M189" i="11"/>
  <c r="M196" i="11"/>
  <c r="M199" i="11"/>
  <c r="M198" i="11"/>
  <c r="M203" i="11"/>
  <c r="M205" i="11"/>
  <c r="M187" i="11"/>
  <c r="M193" i="11"/>
  <c r="M200" i="11"/>
  <c r="M188" i="11"/>
  <c r="M202" i="11"/>
  <c r="M190" i="11"/>
  <c r="M194" i="11"/>
  <c r="M195" i="11"/>
  <c r="M204" i="11"/>
  <c r="G193" i="11"/>
  <c r="G197" i="11"/>
  <c r="G200" i="11"/>
  <c r="G202" i="11"/>
  <c r="G189" i="11"/>
  <c r="G194" i="11"/>
  <c r="G199" i="11"/>
  <c r="G198" i="11"/>
  <c r="G203" i="11"/>
  <c r="G205" i="11"/>
  <c r="G196" i="11"/>
  <c r="G201" i="11"/>
  <c r="G187" i="11"/>
  <c r="G26" i="11" s="1"/>
  <c r="G188" i="11"/>
  <c r="G190" i="11"/>
  <c r="G192" i="11"/>
  <c r="G191" i="11"/>
  <c r="G195" i="11"/>
  <c r="G204" i="11"/>
  <c r="G206" i="11"/>
  <c r="O206" i="11"/>
  <c r="O188" i="11"/>
  <c r="O197" i="11"/>
  <c r="O196" i="11"/>
  <c r="O204" i="11"/>
  <c r="O200" i="11"/>
  <c r="O193" i="11"/>
  <c r="O190" i="11"/>
  <c r="O202" i="11"/>
  <c r="O189" i="11"/>
  <c r="O203" i="11"/>
  <c r="O187" i="11"/>
  <c r="O199" i="11"/>
  <c r="O191" i="11"/>
  <c r="O201" i="11"/>
  <c r="O198" i="11"/>
  <c r="O205" i="11"/>
  <c r="O192" i="11"/>
  <c r="O195" i="11"/>
  <c r="O194" i="11"/>
  <c r="I191" i="11"/>
  <c r="I195" i="11"/>
  <c r="I206" i="11"/>
  <c r="I193" i="11"/>
  <c r="I192" i="11"/>
  <c r="I201" i="11"/>
  <c r="I187" i="11"/>
  <c r="I194" i="11"/>
  <c r="I197" i="11"/>
  <c r="I203" i="11"/>
  <c r="I199" i="11"/>
  <c r="I200" i="11"/>
  <c r="I189" i="11"/>
  <c r="I188" i="11"/>
  <c r="I198" i="11"/>
  <c r="I196" i="11"/>
  <c r="I202" i="11"/>
  <c r="I205" i="11"/>
  <c r="I190" i="11"/>
  <c r="I204" i="11"/>
  <c r="Q204" i="11"/>
  <c r="Q201" i="11"/>
  <c r="Q189" i="11"/>
  <c r="Q193" i="11"/>
  <c r="Q197" i="11"/>
  <c r="Q203" i="11"/>
  <c r="Q194" i="11"/>
  <c r="Q187" i="11"/>
  <c r="Q198" i="11"/>
  <c r="Q205" i="11"/>
  <c r="Q191" i="11"/>
  <c r="Q202" i="11"/>
  <c r="Q190" i="11"/>
  <c r="Q199" i="11"/>
  <c r="Q195" i="11"/>
  <c r="Q188" i="11"/>
  <c r="Q206" i="11"/>
  <c r="Q192" i="11"/>
  <c r="Q196" i="11"/>
  <c r="Q200" i="11"/>
  <c r="K190" i="11"/>
  <c r="K189" i="11"/>
  <c r="K198" i="11"/>
  <c r="K187" i="11"/>
  <c r="K204" i="11"/>
  <c r="K195" i="11"/>
  <c r="K206" i="11"/>
  <c r="K205" i="11"/>
  <c r="K200" i="11"/>
  <c r="K197" i="11"/>
  <c r="K192" i="11"/>
  <c r="K191" i="11"/>
  <c r="K194" i="11"/>
  <c r="K199" i="11"/>
  <c r="K202" i="11"/>
  <c r="K188" i="11"/>
  <c r="K201" i="11"/>
  <c r="K196" i="11"/>
  <c r="K193" i="11"/>
  <c r="K203" i="11"/>
  <c r="S193" i="11"/>
  <c r="S188" i="11"/>
  <c r="S206" i="11"/>
  <c r="S199" i="11"/>
  <c r="S195" i="11"/>
  <c r="S198" i="11"/>
  <c r="S202" i="11"/>
  <c r="S204" i="11"/>
  <c r="S194" i="11"/>
  <c r="S196" i="11"/>
  <c r="S191" i="11"/>
  <c r="S192" i="11"/>
  <c r="S197" i="11"/>
  <c r="S189" i="11"/>
  <c r="S200" i="11"/>
  <c r="S203" i="11"/>
  <c r="S190" i="11"/>
  <c r="S187" i="11"/>
  <c r="S201" i="11"/>
  <c r="S205" i="11"/>
  <c r="E68" i="23"/>
  <c r="C14" i="11"/>
  <c r="G79" i="6"/>
  <c r="E74" i="6"/>
  <c r="S37" i="17"/>
  <c r="N14" i="17"/>
  <c r="S3" i="17"/>
  <c r="M134" i="11"/>
  <c r="M119" i="11"/>
  <c r="M130" i="11"/>
  <c r="M136" i="11"/>
  <c r="M127" i="11"/>
  <c r="M138" i="11"/>
  <c r="M122" i="11"/>
  <c r="M128" i="11"/>
  <c r="M133" i="11"/>
  <c r="M131" i="11"/>
  <c r="M126" i="11"/>
  <c r="M120" i="11"/>
  <c r="M125" i="11"/>
  <c r="M132" i="11"/>
  <c r="M121" i="11"/>
  <c r="M137" i="11"/>
  <c r="M135" i="11"/>
  <c r="M124" i="11"/>
  <c r="M129" i="11"/>
  <c r="M123" i="11"/>
  <c r="G121" i="11"/>
  <c r="G138" i="11"/>
  <c r="G129" i="11"/>
  <c r="G135" i="11"/>
  <c r="G130" i="11"/>
  <c r="G123" i="11"/>
  <c r="G119" i="11"/>
  <c r="G120" i="11"/>
  <c r="G136" i="11"/>
  <c r="G134" i="11"/>
  <c r="G125" i="11"/>
  <c r="G122" i="11"/>
  <c r="G132" i="11"/>
  <c r="G133" i="11"/>
  <c r="G127" i="11"/>
  <c r="G126" i="11"/>
  <c r="G124" i="11"/>
  <c r="G128" i="11"/>
  <c r="G137" i="11"/>
  <c r="G131" i="11"/>
  <c r="U74" i="6"/>
  <c r="W74" i="6"/>
  <c r="O136" i="11"/>
  <c r="O127" i="11"/>
  <c r="O130" i="11"/>
  <c r="O122" i="11"/>
  <c r="O137" i="11"/>
  <c r="O131" i="11"/>
  <c r="O121" i="11"/>
  <c r="O126" i="11"/>
  <c r="O124" i="11"/>
  <c r="O128" i="11"/>
  <c r="O133" i="11"/>
  <c r="O123" i="11"/>
  <c r="O119" i="11"/>
  <c r="O135" i="11"/>
  <c r="O125" i="11"/>
  <c r="O138" i="11"/>
  <c r="O129" i="11"/>
  <c r="O134" i="11"/>
  <c r="O132" i="11"/>
  <c r="O120" i="11"/>
  <c r="I119" i="11"/>
  <c r="I126" i="11"/>
  <c r="I135" i="11"/>
  <c r="I125" i="11"/>
  <c r="I120" i="11"/>
  <c r="I129" i="11"/>
  <c r="I127" i="11"/>
  <c r="I122" i="11"/>
  <c r="I134" i="11"/>
  <c r="I136" i="11"/>
  <c r="I132" i="11"/>
  <c r="I130" i="11"/>
  <c r="I133" i="11"/>
  <c r="I137" i="11"/>
  <c r="I131" i="11"/>
  <c r="I121" i="11"/>
  <c r="I123" i="11"/>
  <c r="I124" i="11"/>
  <c r="I128" i="11"/>
  <c r="I138" i="11"/>
  <c r="Q119" i="11"/>
  <c r="Q121" i="11"/>
  <c r="Q134" i="11"/>
  <c r="Q125" i="11"/>
  <c r="Q137" i="11"/>
  <c r="Q120" i="11"/>
  <c r="Q130" i="11"/>
  <c r="Q127" i="11"/>
  <c r="Q132" i="11"/>
  <c r="Q135" i="11"/>
  <c r="Q131" i="11"/>
  <c r="Q129" i="11"/>
  <c r="Q124" i="11"/>
  <c r="Q122" i="11"/>
  <c r="Q123" i="11"/>
  <c r="Q136" i="11"/>
  <c r="Q126" i="11"/>
  <c r="Q128" i="11"/>
  <c r="Q133" i="11"/>
  <c r="Q138" i="11"/>
  <c r="K132" i="11"/>
  <c r="K129" i="11"/>
  <c r="K127" i="11"/>
  <c r="K123" i="11"/>
  <c r="K138" i="11"/>
  <c r="K136" i="11"/>
  <c r="K133" i="11"/>
  <c r="K125" i="11"/>
  <c r="K131" i="11"/>
  <c r="K130" i="11"/>
  <c r="K120" i="11"/>
  <c r="K119" i="11"/>
  <c r="K124" i="11"/>
  <c r="K128" i="11"/>
  <c r="K137" i="11"/>
  <c r="K134" i="11"/>
  <c r="K126" i="11"/>
  <c r="K135" i="11"/>
  <c r="K121" i="11"/>
  <c r="K122" i="11"/>
  <c r="S126" i="11"/>
  <c r="S121" i="11"/>
  <c r="S127" i="11"/>
  <c r="S130" i="11"/>
  <c r="S132" i="11"/>
  <c r="S120" i="11"/>
  <c r="S134" i="11"/>
  <c r="S128" i="11"/>
  <c r="S124" i="11"/>
  <c r="S119" i="11"/>
  <c r="S138" i="11"/>
  <c r="S129" i="11"/>
  <c r="S137" i="11"/>
  <c r="S122" i="11"/>
  <c r="S136" i="11"/>
  <c r="S123" i="11"/>
  <c r="S135" i="11"/>
  <c r="S133" i="11"/>
  <c r="S125" i="11"/>
  <c r="S131" i="11"/>
  <c r="N18" i="17"/>
  <c r="N13" i="17"/>
  <c r="O35" i="17"/>
  <c r="O31" i="17"/>
  <c r="O27" i="17"/>
  <c r="O23" i="17"/>
  <c r="O19" i="17"/>
  <c r="O16" i="17"/>
  <c r="O12" i="17"/>
  <c r="O36" i="17"/>
  <c r="O32" i="17"/>
  <c r="O28" i="17"/>
  <c r="O24" i="17"/>
  <c r="O20" i="17"/>
  <c r="O17" i="17"/>
  <c r="O13" i="17"/>
  <c r="O37" i="17"/>
  <c r="O33" i="17"/>
  <c r="O29" i="17"/>
  <c r="O25" i="17"/>
  <c r="O21" i="17"/>
  <c r="O15" i="17"/>
  <c r="O11" i="17"/>
  <c r="O9" i="17"/>
  <c r="O10" i="17"/>
  <c r="O14" i="17"/>
  <c r="O34" i="17"/>
  <c r="O26" i="17"/>
  <c r="O18" i="17"/>
  <c r="O30" i="17"/>
  <c r="O22" i="17"/>
  <c r="O38" i="17"/>
  <c r="S38" i="17"/>
  <c r="S35" i="17"/>
  <c r="S31" i="17"/>
  <c r="S27" i="17"/>
  <c r="S23" i="17"/>
  <c r="S19" i="17"/>
  <c r="S16" i="17"/>
  <c r="S12" i="17"/>
  <c r="S36" i="17"/>
  <c r="S32" i="17"/>
  <c r="S28" i="17"/>
  <c r="S24" i="17"/>
  <c r="S20" i="17"/>
  <c r="S17" i="17"/>
  <c r="S13" i="17"/>
  <c r="S34" i="17"/>
  <c r="S30" i="17"/>
  <c r="S26" i="17"/>
  <c r="S22" i="17"/>
  <c r="S18" i="17"/>
  <c r="S14" i="17"/>
  <c r="S10" i="17"/>
  <c r="S15" i="17"/>
  <c r="S11" i="17"/>
  <c r="S33" i="17"/>
  <c r="S25" i="17"/>
  <c r="S29" i="17"/>
  <c r="S21" i="17"/>
  <c r="N17" i="17"/>
  <c r="N36" i="17"/>
  <c r="N32" i="17"/>
  <c r="N28" i="17"/>
  <c r="N24" i="17"/>
  <c r="N20" i="17"/>
  <c r="N21" i="17"/>
  <c r="N25" i="17"/>
  <c r="N29" i="17"/>
  <c r="N33" i="17"/>
  <c r="N37" i="17"/>
  <c r="N38" i="17"/>
  <c r="N12" i="17"/>
  <c r="N16" i="17"/>
  <c r="N19" i="17"/>
  <c r="N23" i="17"/>
  <c r="N27" i="17"/>
  <c r="N31" i="17"/>
  <c r="N35" i="17"/>
  <c r="N11" i="17"/>
  <c r="N15" i="17"/>
  <c r="N22" i="17"/>
  <c r="N26" i="17"/>
  <c r="N30" i="17"/>
  <c r="N34" i="17"/>
  <c r="G107" i="11" l="1"/>
  <c r="G114" i="11"/>
  <c r="G98" i="11"/>
  <c r="G109" i="11"/>
  <c r="G108" i="11"/>
  <c r="G111" i="11"/>
  <c r="G102" i="11"/>
  <c r="G97" i="11"/>
  <c r="G27" i="11"/>
  <c r="G28" i="11" s="1"/>
  <c r="G29" i="11" s="1"/>
  <c r="G30" i="11" s="1"/>
  <c r="G31" i="11" s="1"/>
  <c r="G32" i="11" s="1"/>
  <c r="G33" i="11" s="1"/>
  <c r="G34" i="11" s="1"/>
  <c r="G35" i="11" s="1"/>
  <c r="G36" i="11" s="1"/>
  <c r="G37" i="11" s="1"/>
  <c r="G38" i="11" s="1"/>
  <c r="G39" i="11" s="1"/>
  <c r="G40" i="11" s="1"/>
  <c r="G41" i="11" s="1"/>
  <c r="G42" i="11" s="1"/>
  <c r="G43" i="11" s="1"/>
  <c r="G44" i="11" s="1"/>
  <c r="G45" i="11" s="1"/>
  <c r="G103" i="11"/>
  <c r="G110" i="11"/>
  <c r="G112" i="11"/>
  <c r="G105" i="11"/>
  <c r="G96" i="11"/>
  <c r="G104" i="11"/>
  <c r="G113" i="11"/>
  <c r="G115" i="11"/>
  <c r="G99" i="11"/>
  <c r="G106" i="11"/>
  <c r="G100" i="11"/>
  <c r="G101" i="11"/>
  <c r="B4" i="24"/>
  <c r="E4" i="24" s="1"/>
  <c r="E26" i="24" s="1"/>
  <c r="W68" i="23"/>
  <c r="O68" i="23"/>
  <c r="G68" i="23"/>
  <c r="U68" i="23"/>
  <c r="K68" i="23"/>
  <c r="I68" i="23"/>
  <c r="S68" i="23"/>
  <c r="M68" i="23"/>
  <c r="Q68" i="23"/>
  <c r="C15" i="11"/>
  <c r="E98" i="24" l="1"/>
  <c r="E170" i="23" s="1"/>
  <c r="E114" i="24"/>
  <c r="E186" i="23" s="1"/>
  <c r="E103" i="24"/>
  <c r="E175" i="23" s="1"/>
  <c r="E105" i="24"/>
  <c r="E177" i="23" s="1"/>
  <c r="E108" i="24"/>
  <c r="E180" i="23" s="1"/>
  <c r="E146" i="23"/>
  <c r="E106" i="24"/>
  <c r="E178" i="23" s="1"/>
  <c r="E109" i="24"/>
  <c r="E181" i="23" s="1"/>
  <c r="E111" i="24"/>
  <c r="E183" i="23" s="1"/>
  <c r="E100" i="24"/>
  <c r="E172" i="23" s="1"/>
  <c r="E96" i="24"/>
  <c r="E168" i="23" s="1"/>
  <c r="E110" i="24"/>
  <c r="E182" i="23" s="1"/>
  <c r="E99" i="24"/>
  <c r="E171" i="23" s="1"/>
  <c r="E115" i="24"/>
  <c r="E187" i="23" s="1"/>
  <c r="E104" i="24"/>
  <c r="E176" i="23" s="1"/>
  <c r="E101" i="24"/>
  <c r="E173" i="23" s="1"/>
  <c r="E102" i="24"/>
  <c r="E174" i="23" s="1"/>
  <c r="E97" i="24"/>
  <c r="E169" i="23" s="1"/>
  <c r="E107" i="24"/>
  <c r="E179" i="23" s="1"/>
  <c r="E113" i="24"/>
  <c r="E185" i="23" s="1"/>
  <c r="E112" i="24"/>
  <c r="E184" i="23" s="1"/>
  <c r="B5" i="24"/>
  <c r="E5" i="24" s="1"/>
  <c r="E27" i="24" s="1"/>
  <c r="G4" i="24"/>
  <c r="I4" i="24"/>
  <c r="K4" i="24"/>
  <c r="M4" i="24"/>
  <c r="O4" i="24"/>
  <c r="Q4" i="24"/>
  <c r="S4" i="24"/>
  <c r="U4" i="24"/>
  <c r="W4" i="24"/>
  <c r="B6" i="24"/>
  <c r="E6" i="24" s="1"/>
  <c r="C16" i="11"/>
  <c r="E147" i="23" l="1"/>
  <c r="E28" i="24"/>
  <c r="S26" i="24"/>
  <c r="S146" i="23" s="1"/>
  <c r="Q26" i="24"/>
  <c r="Q146" i="23" s="1"/>
  <c r="I26" i="24"/>
  <c r="I146" i="23" s="1"/>
  <c r="W26" i="24"/>
  <c r="O26" i="24"/>
  <c r="O146" i="23" s="1"/>
  <c r="G26" i="24"/>
  <c r="G146" i="23" s="1"/>
  <c r="K26" i="24"/>
  <c r="K146" i="23" s="1"/>
  <c r="U26" i="24"/>
  <c r="M26" i="24"/>
  <c r="M146" i="23" s="1"/>
  <c r="G5" i="24"/>
  <c r="I5" i="24"/>
  <c r="K5" i="24"/>
  <c r="M5" i="24"/>
  <c r="O5" i="24"/>
  <c r="Q5" i="24"/>
  <c r="S5" i="24"/>
  <c r="U5" i="24"/>
  <c r="W5" i="24"/>
  <c r="B7" i="24"/>
  <c r="E7" i="24" s="1"/>
  <c r="S6" i="24"/>
  <c r="W6" i="24"/>
  <c r="Q6" i="24"/>
  <c r="U6" i="24"/>
  <c r="G6" i="24"/>
  <c r="I6" i="24"/>
  <c r="K6" i="24"/>
  <c r="M6" i="24"/>
  <c r="O6" i="24"/>
  <c r="C17" i="11"/>
  <c r="U27" i="24" l="1"/>
  <c r="I27" i="24"/>
  <c r="I147" i="23" s="1"/>
  <c r="E29" i="24"/>
  <c r="E148" i="23"/>
  <c r="S27" i="24"/>
  <c r="S147" i="23" s="1"/>
  <c r="K27" i="24"/>
  <c r="K147" i="23" s="1"/>
  <c r="Q27" i="24"/>
  <c r="Q147" i="23" s="1"/>
  <c r="W27" i="24"/>
  <c r="W28" i="24" s="1"/>
  <c r="O27" i="24"/>
  <c r="O147" i="23" s="1"/>
  <c r="G27" i="24"/>
  <c r="G147" i="23" s="1"/>
  <c r="M27" i="24"/>
  <c r="M147" i="23" s="1"/>
  <c r="U113" i="24"/>
  <c r="U185" i="23" s="1"/>
  <c r="U109" i="24"/>
  <c r="U181" i="23" s="1"/>
  <c r="U105" i="24"/>
  <c r="U177" i="23" s="1"/>
  <c r="U101" i="24"/>
  <c r="U173" i="23" s="1"/>
  <c r="U97" i="24"/>
  <c r="U169" i="23" s="1"/>
  <c r="U112" i="24"/>
  <c r="U184" i="23" s="1"/>
  <c r="U108" i="24"/>
  <c r="U180" i="23" s="1"/>
  <c r="U104" i="24"/>
  <c r="U176" i="23" s="1"/>
  <c r="U100" i="24"/>
  <c r="U172" i="23" s="1"/>
  <c r="U96" i="24"/>
  <c r="U168" i="23" s="1"/>
  <c r="U115" i="24"/>
  <c r="U187" i="23" s="1"/>
  <c r="U111" i="24"/>
  <c r="U183" i="23" s="1"/>
  <c r="U107" i="24"/>
  <c r="U179" i="23" s="1"/>
  <c r="U103" i="24"/>
  <c r="U175" i="23" s="1"/>
  <c r="U99" i="24"/>
  <c r="U171" i="23" s="1"/>
  <c r="U114" i="24"/>
  <c r="U186" i="23" s="1"/>
  <c r="U110" i="24"/>
  <c r="U182" i="23" s="1"/>
  <c r="U106" i="24"/>
  <c r="U178" i="23" s="1"/>
  <c r="U102" i="24"/>
  <c r="U174" i="23" s="1"/>
  <c r="U98" i="24"/>
  <c r="U170" i="23" s="1"/>
  <c r="G113" i="24"/>
  <c r="G185" i="23" s="1"/>
  <c r="G109" i="24"/>
  <c r="G181" i="23" s="1"/>
  <c r="G105" i="24"/>
  <c r="G177" i="23" s="1"/>
  <c r="G101" i="24"/>
  <c r="G173" i="23" s="1"/>
  <c r="G97" i="24"/>
  <c r="G169" i="23" s="1"/>
  <c r="G112" i="24"/>
  <c r="G184" i="23" s="1"/>
  <c r="G108" i="24"/>
  <c r="G180" i="23" s="1"/>
  <c r="G104" i="24"/>
  <c r="G176" i="23" s="1"/>
  <c r="G100" i="24"/>
  <c r="G172" i="23" s="1"/>
  <c r="G96" i="24"/>
  <c r="G168" i="23" s="1"/>
  <c r="G115" i="24"/>
  <c r="G187" i="23" s="1"/>
  <c r="G111" i="24"/>
  <c r="G183" i="23" s="1"/>
  <c r="G107" i="24"/>
  <c r="G179" i="23" s="1"/>
  <c r="G103" i="24"/>
  <c r="G175" i="23" s="1"/>
  <c r="G99" i="24"/>
  <c r="G171" i="23" s="1"/>
  <c r="G114" i="24"/>
  <c r="G186" i="23" s="1"/>
  <c r="G110" i="24"/>
  <c r="G182" i="23" s="1"/>
  <c r="G106" i="24"/>
  <c r="G178" i="23" s="1"/>
  <c r="G102" i="24"/>
  <c r="G174" i="23" s="1"/>
  <c r="G98" i="24"/>
  <c r="G170" i="23" s="1"/>
  <c r="W113" i="24"/>
  <c r="W185" i="23" s="1"/>
  <c r="W109" i="24"/>
  <c r="W181" i="23" s="1"/>
  <c r="W105" i="24"/>
  <c r="W177" i="23" s="1"/>
  <c r="W101" i="24"/>
  <c r="W173" i="23" s="1"/>
  <c r="W97" i="24"/>
  <c r="W169" i="23" s="1"/>
  <c r="W112" i="24"/>
  <c r="W184" i="23" s="1"/>
  <c r="W108" i="24"/>
  <c r="W180" i="23" s="1"/>
  <c r="W104" i="24"/>
  <c r="W176" i="23" s="1"/>
  <c r="W100" i="24"/>
  <c r="W172" i="23" s="1"/>
  <c r="W96" i="24"/>
  <c r="W168" i="23" s="1"/>
  <c r="W115" i="24"/>
  <c r="W187" i="23" s="1"/>
  <c r="W111" i="24"/>
  <c r="W183" i="23" s="1"/>
  <c r="W107" i="24"/>
  <c r="W179" i="23" s="1"/>
  <c r="W103" i="24"/>
  <c r="W175" i="23" s="1"/>
  <c r="W99" i="24"/>
  <c r="W171" i="23" s="1"/>
  <c r="W114" i="24"/>
  <c r="W186" i="23" s="1"/>
  <c r="W110" i="24"/>
  <c r="W182" i="23" s="1"/>
  <c r="W106" i="24"/>
  <c r="W178" i="23" s="1"/>
  <c r="W102" i="24"/>
  <c r="W174" i="23" s="1"/>
  <c r="W98" i="24"/>
  <c r="W170" i="23" s="1"/>
  <c r="Q113" i="24"/>
  <c r="Q185" i="23" s="1"/>
  <c r="Q109" i="24"/>
  <c r="Q181" i="23" s="1"/>
  <c r="Q105" i="24"/>
  <c r="Q177" i="23" s="1"/>
  <c r="Q101" i="24"/>
  <c r="Q173" i="23" s="1"/>
  <c r="Q97" i="24"/>
  <c r="Q169" i="23" s="1"/>
  <c r="Q112" i="24"/>
  <c r="Q184" i="23" s="1"/>
  <c r="Q108" i="24"/>
  <c r="Q180" i="23" s="1"/>
  <c r="Q104" i="24"/>
  <c r="Q176" i="23" s="1"/>
  <c r="Q100" i="24"/>
  <c r="Q172" i="23" s="1"/>
  <c r="Q96" i="24"/>
  <c r="Q168" i="23" s="1"/>
  <c r="Q115" i="24"/>
  <c r="Q187" i="23" s="1"/>
  <c r="Q111" i="24"/>
  <c r="Q183" i="23" s="1"/>
  <c r="Q107" i="24"/>
  <c r="Q179" i="23" s="1"/>
  <c r="Q103" i="24"/>
  <c r="Q175" i="23" s="1"/>
  <c r="Q99" i="24"/>
  <c r="Q171" i="23" s="1"/>
  <c r="Q114" i="24"/>
  <c r="Q186" i="23" s="1"/>
  <c r="Q110" i="24"/>
  <c r="Q182" i="23" s="1"/>
  <c r="Q106" i="24"/>
  <c r="Q178" i="23" s="1"/>
  <c r="Q102" i="24"/>
  <c r="Q174" i="23" s="1"/>
  <c r="Q98" i="24"/>
  <c r="Q170" i="23" s="1"/>
  <c r="M113" i="24"/>
  <c r="M185" i="23" s="1"/>
  <c r="M109" i="24"/>
  <c r="M181" i="23" s="1"/>
  <c r="M105" i="24"/>
  <c r="M177" i="23" s="1"/>
  <c r="M101" i="24"/>
  <c r="M173" i="23" s="1"/>
  <c r="M97" i="24"/>
  <c r="M169" i="23" s="1"/>
  <c r="M112" i="24"/>
  <c r="M184" i="23" s="1"/>
  <c r="M108" i="24"/>
  <c r="M180" i="23" s="1"/>
  <c r="M104" i="24"/>
  <c r="M176" i="23" s="1"/>
  <c r="M100" i="24"/>
  <c r="M172" i="23" s="1"/>
  <c r="M96" i="24"/>
  <c r="M168" i="23" s="1"/>
  <c r="M115" i="24"/>
  <c r="M187" i="23" s="1"/>
  <c r="M111" i="24"/>
  <c r="M183" i="23" s="1"/>
  <c r="M107" i="24"/>
  <c r="M179" i="23" s="1"/>
  <c r="M103" i="24"/>
  <c r="M175" i="23" s="1"/>
  <c r="M99" i="24"/>
  <c r="M171" i="23" s="1"/>
  <c r="M114" i="24"/>
  <c r="M186" i="23" s="1"/>
  <c r="M110" i="24"/>
  <c r="M182" i="23" s="1"/>
  <c r="M106" i="24"/>
  <c r="M178" i="23" s="1"/>
  <c r="M102" i="24"/>
  <c r="M174" i="23" s="1"/>
  <c r="M98" i="24"/>
  <c r="M170" i="23" s="1"/>
  <c r="K113" i="24"/>
  <c r="K185" i="23" s="1"/>
  <c r="K109" i="24"/>
  <c r="K181" i="23" s="1"/>
  <c r="K105" i="24"/>
  <c r="K177" i="23" s="1"/>
  <c r="K101" i="24"/>
  <c r="K173" i="23" s="1"/>
  <c r="K97" i="24"/>
  <c r="K169" i="23" s="1"/>
  <c r="K112" i="24"/>
  <c r="K184" i="23" s="1"/>
  <c r="K108" i="24"/>
  <c r="K180" i="23" s="1"/>
  <c r="K104" i="24"/>
  <c r="K176" i="23" s="1"/>
  <c r="K100" i="24"/>
  <c r="K172" i="23" s="1"/>
  <c r="K96" i="24"/>
  <c r="K168" i="23" s="1"/>
  <c r="K115" i="24"/>
  <c r="K187" i="23" s="1"/>
  <c r="K111" i="24"/>
  <c r="K183" i="23" s="1"/>
  <c r="K107" i="24"/>
  <c r="K179" i="23" s="1"/>
  <c r="K103" i="24"/>
  <c r="K175" i="23" s="1"/>
  <c r="K99" i="24"/>
  <c r="K171" i="23" s="1"/>
  <c r="K114" i="24"/>
  <c r="K186" i="23" s="1"/>
  <c r="K110" i="24"/>
  <c r="K182" i="23" s="1"/>
  <c r="K106" i="24"/>
  <c r="K178" i="23" s="1"/>
  <c r="K102" i="24"/>
  <c r="K174" i="23" s="1"/>
  <c r="K98" i="24"/>
  <c r="K170" i="23" s="1"/>
  <c r="O113" i="24"/>
  <c r="O185" i="23" s="1"/>
  <c r="O109" i="24"/>
  <c r="O181" i="23" s="1"/>
  <c r="O105" i="24"/>
  <c r="O177" i="23" s="1"/>
  <c r="O101" i="24"/>
  <c r="O173" i="23" s="1"/>
  <c r="O97" i="24"/>
  <c r="O169" i="23" s="1"/>
  <c r="O112" i="24"/>
  <c r="O184" i="23" s="1"/>
  <c r="O108" i="24"/>
  <c r="O180" i="23" s="1"/>
  <c r="O104" i="24"/>
  <c r="O176" i="23" s="1"/>
  <c r="O100" i="24"/>
  <c r="O172" i="23" s="1"/>
  <c r="O96" i="24"/>
  <c r="O168" i="23" s="1"/>
  <c r="O115" i="24"/>
  <c r="O187" i="23" s="1"/>
  <c r="O111" i="24"/>
  <c r="O183" i="23" s="1"/>
  <c r="O107" i="24"/>
  <c r="O179" i="23" s="1"/>
  <c r="O103" i="24"/>
  <c r="O175" i="23" s="1"/>
  <c r="O99" i="24"/>
  <c r="O171" i="23" s="1"/>
  <c r="O114" i="24"/>
  <c r="O186" i="23" s="1"/>
  <c r="O110" i="24"/>
  <c r="O182" i="23" s="1"/>
  <c r="O106" i="24"/>
  <c r="O178" i="23" s="1"/>
  <c r="O102" i="24"/>
  <c r="O174" i="23" s="1"/>
  <c r="O98" i="24"/>
  <c r="O170" i="23" s="1"/>
  <c r="I113" i="24"/>
  <c r="I185" i="23" s="1"/>
  <c r="I109" i="24"/>
  <c r="I181" i="23" s="1"/>
  <c r="I105" i="24"/>
  <c r="I177" i="23" s="1"/>
  <c r="I101" i="24"/>
  <c r="I173" i="23" s="1"/>
  <c r="I97" i="24"/>
  <c r="I169" i="23" s="1"/>
  <c r="I112" i="24"/>
  <c r="I184" i="23" s="1"/>
  <c r="I108" i="24"/>
  <c r="I180" i="23" s="1"/>
  <c r="I104" i="24"/>
  <c r="I176" i="23" s="1"/>
  <c r="I100" i="24"/>
  <c r="I172" i="23" s="1"/>
  <c r="I96" i="24"/>
  <c r="I168" i="23" s="1"/>
  <c r="I115" i="24"/>
  <c r="I187" i="23" s="1"/>
  <c r="I111" i="24"/>
  <c r="I183" i="23" s="1"/>
  <c r="I107" i="24"/>
  <c r="I179" i="23" s="1"/>
  <c r="I103" i="24"/>
  <c r="I175" i="23" s="1"/>
  <c r="I99" i="24"/>
  <c r="I171" i="23" s="1"/>
  <c r="I114" i="24"/>
  <c r="I186" i="23" s="1"/>
  <c r="I110" i="24"/>
  <c r="I182" i="23" s="1"/>
  <c r="I106" i="24"/>
  <c r="I178" i="23" s="1"/>
  <c r="I102" i="24"/>
  <c r="I174" i="23" s="1"/>
  <c r="I98" i="24"/>
  <c r="I170" i="23" s="1"/>
  <c r="S113" i="24"/>
  <c r="S185" i="23" s="1"/>
  <c r="S109" i="24"/>
  <c r="S181" i="23" s="1"/>
  <c r="S105" i="24"/>
  <c r="S177" i="23" s="1"/>
  <c r="S101" i="24"/>
  <c r="S173" i="23" s="1"/>
  <c r="S97" i="24"/>
  <c r="S169" i="23" s="1"/>
  <c r="S112" i="24"/>
  <c r="S184" i="23" s="1"/>
  <c r="S108" i="24"/>
  <c r="S180" i="23" s="1"/>
  <c r="S104" i="24"/>
  <c r="S176" i="23" s="1"/>
  <c r="S100" i="24"/>
  <c r="S172" i="23" s="1"/>
  <c r="S96" i="24"/>
  <c r="S168" i="23" s="1"/>
  <c r="S115" i="24"/>
  <c r="S187" i="23" s="1"/>
  <c r="S111" i="24"/>
  <c r="S183" i="23" s="1"/>
  <c r="S107" i="24"/>
  <c r="S179" i="23" s="1"/>
  <c r="S103" i="24"/>
  <c r="S175" i="23" s="1"/>
  <c r="S99" i="24"/>
  <c r="S171" i="23" s="1"/>
  <c r="S114" i="24"/>
  <c r="S186" i="23" s="1"/>
  <c r="S110" i="24"/>
  <c r="S182" i="23" s="1"/>
  <c r="S106" i="24"/>
  <c r="S178" i="23" s="1"/>
  <c r="S102" i="24"/>
  <c r="S174" i="23" s="1"/>
  <c r="S98" i="24"/>
  <c r="S170" i="23" s="1"/>
  <c r="Q28" i="24"/>
  <c r="Q148" i="23" s="1"/>
  <c r="I28" i="24"/>
  <c r="I148" i="23" s="1"/>
  <c r="U28" i="24"/>
  <c r="B8" i="24"/>
  <c r="E8" i="24" s="1"/>
  <c r="Q7" i="24"/>
  <c r="M7" i="24"/>
  <c r="U7" i="24"/>
  <c r="K7" i="24"/>
  <c r="S7" i="24"/>
  <c r="I7" i="24"/>
  <c r="W7" i="24"/>
  <c r="G7" i="24"/>
  <c r="O7" i="24"/>
  <c r="C18" i="11"/>
  <c r="M28" i="24" l="1"/>
  <c r="M148" i="23" s="1"/>
  <c r="O28" i="24"/>
  <c r="O148" i="23" s="1"/>
  <c r="S28" i="24"/>
  <c r="S148" i="23" s="1"/>
  <c r="G28" i="24"/>
  <c r="G148" i="23" s="1"/>
  <c r="K28" i="24"/>
  <c r="K148" i="23" s="1"/>
  <c r="E149" i="23"/>
  <c r="E30" i="24"/>
  <c r="Q29" i="24"/>
  <c r="Q149" i="23" s="1"/>
  <c r="I29" i="24"/>
  <c r="I149" i="23" s="1"/>
  <c r="U29" i="24"/>
  <c r="S29" i="24"/>
  <c r="S149" i="23" s="1"/>
  <c r="W29" i="24"/>
  <c r="B9" i="24"/>
  <c r="E9" i="24" s="1"/>
  <c r="E95" i="23" s="1"/>
  <c r="M8" i="24"/>
  <c r="U8" i="24"/>
  <c r="G8" i="24"/>
  <c r="O8" i="24"/>
  <c r="W8" i="24"/>
  <c r="K8" i="24"/>
  <c r="S8" i="24"/>
  <c r="I8" i="24"/>
  <c r="Q8" i="24"/>
  <c r="C19" i="11"/>
  <c r="O29" i="24" l="1"/>
  <c r="O149" i="23" s="1"/>
  <c r="M29" i="24"/>
  <c r="M149" i="23" s="1"/>
  <c r="K29" i="24"/>
  <c r="K149" i="23" s="1"/>
  <c r="G29" i="24"/>
  <c r="G149" i="23" s="1"/>
  <c r="E31" i="24"/>
  <c r="E150" i="23"/>
  <c r="W30" i="24"/>
  <c r="U30" i="24"/>
  <c r="S30" i="24"/>
  <c r="S150" i="23" s="1"/>
  <c r="Q30" i="24"/>
  <c r="Q150" i="23" s="1"/>
  <c r="I30" i="24"/>
  <c r="I150" i="23" s="1"/>
  <c r="B10" i="24"/>
  <c r="B11" i="24" s="1"/>
  <c r="B12" i="24" s="1"/>
  <c r="B13" i="24" s="1"/>
  <c r="B14" i="24" s="1"/>
  <c r="B15" i="24" s="1"/>
  <c r="B16" i="24" s="1"/>
  <c r="B17" i="24" s="1"/>
  <c r="B18" i="24" s="1"/>
  <c r="B19" i="24" s="1"/>
  <c r="B20" i="24" s="1"/>
  <c r="B21" i="24" s="1"/>
  <c r="B22" i="24" s="1"/>
  <c r="B23" i="24" s="1"/>
  <c r="K9" i="24"/>
  <c r="K95" i="23" s="1"/>
  <c r="S9" i="24"/>
  <c r="S95" i="23" s="1"/>
  <c r="M9" i="24"/>
  <c r="M95" i="23" s="1"/>
  <c r="U9" i="24"/>
  <c r="U95" i="23" s="1"/>
  <c r="I9" i="24"/>
  <c r="I95" i="23" s="1"/>
  <c r="Q9" i="24"/>
  <c r="G9" i="24"/>
  <c r="O9" i="24"/>
  <c r="O95" i="23" s="1"/>
  <c r="W9" i="24"/>
  <c r="C20" i="11"/>
  <c r="O30" i="24" l="1"/>
  <c r="O150" i="23" s="1"/>
  <c r="M30" i="24"/>
  <c r="M150" i="23" s="1"/>
  <c r="K30" i="24"/>
  <c r="K150" i="23" s="1"/>
  <c r="G30" i="24"/>
  <c r="G150" i="23" s="1"/>
  <c r="W31" i="24"/>
  <c r="W32" i="24" s="1"/>
  <c r="W33" i="24" s="1"/>
  <c r="W34" i="24" s="1"/>
  <c r="W35" i="24" s="1"/>
  <c r="W36" i="24" s="1"/>
  <c r="W37" i="24" s="1"/>
  <c r="W38" i="24" s="1"/>
  <c r="W39" i="24" s="1"/>
  <c r="W40" i="24" s="1"/>
  <c r="W41" i="24" s="1"/>
  <c r="W42" i="24" s="1"/>
  <c r="W43" i="24" s="1"/>
  <c r="W44" i="24" s="1"/>
  <c r="W45" i="24" s="1"/>
  <c r="E32" i="24"/>
  <c r="E151" i="23"/>
  <c r="G95" i="23"/>
  <c r="Q31" i="24"/>
  <c r="Q151" i="23" s="1"/>
  <c r="Q95" i="23"/>
  <c r="W95" i="23"/>
  <c r="I31" i="24"/>
  <c r="I32" i="24" s="1"/>
  <c r="U31" i="24"/>
  <c r="U32" i="24" s="1"/>
  <c r="U33" i="24" s="1"/>
  <c r="U34" i="24" s="1"/>
  <c r="U35" i="24" s="1"/>
  <c r="U36" i="24" s="1"/>
  <c r="U37" i="24" s="1"/>
  <c r="U38" i="24" s="1"/>
  <c r="U39" i="24" s="1"/>
  <c r="U40" i="24" s="1"/>
  <c r="U41" i="24" s="1"/>
  <c r="U42" i="24" s="1"/>
  <c r="U43" i="24" s="1"/>
  <c r="U44" i="24" s="1"/>
  <c r="U45" i="24" s="1"/>
  <c r="S31" i="24"/>
  <c r="S151" i="23" s="1"/>
  <c r="C21" i="11"/>
  <c r="O31" i="24" l="1"/>
  <c r="O32" i="24" s="1"/>
  <c r="O33" i="24" s="1"/>
  <c r="M31" i="24"/>
  <c r="M151" i="23" s="1"/>
  <c r="K31" i="24"/>
  <c r="K32" i="24" s="1"/>
  <c r="K152" i="23" s="1"/>
  <c r="Q32" i="24"/>
  <c r="Q33" i="24" s="1"/>
  <c r="G31" i="24"/>
  <c r="E33" i="24"/>
  <c r="E152" i="23"/>
  <c r="I151" i="23"/>
  <c r="S32" i="24"/>
  <c r="S152" i="23" s="1"/>
  <c r="I33" i="24"/>
  <c r="I152" i="23"/>
  <c r="C22" i="11"/>
  <c r="O152" i="23" l="1"/>
  <c r="O151" i="23"/>
  <c r="M32" i="24"/>
  <c r="M33" i="24" s="1"/>
  <c r="M153" i="23" s="1"/>
  <c r="K33" i="24"/>
  <c r="K34" i="24" s="1"/>
  <c r="K151" i="23"/>
  <c r="Q152" i="23"/>
  <c r="G32" i="24"/>
  <c r="G151" i="23"/>
  <c r="E34" i="24"/>
  <c r="E153" i="23"/>
  <c r="S33" i="24"/>
  <c r="S34" i="24" s="1"/>
  <c r="O34" i="24"/>
  <c r="O153" i="23"/>
  <c r="Q34" i="24"/>
  <c r="Q153" i="23"/>
  <c r="I34" i="24"/>
  <c r="I153" i="23"/>
  <c r="C23" i="11"/>
  <c r="M152" i="23" l="1"/>
  <c r="M34" i="24"/>
  <c r="M35" i="24" s="1"/>
  <c r="K153" i="23"/>
  <c r="G33" i="24"/>
  <c r="G152" i="23"/>
  <c r="E35" i="24"/>
  <c r="E154" i="23"/>
  <c r="S153" i="23"/>
  <c r="S35" i="24"/>
  <c r="S154" i="23"/>
  <c r="I35" i="24"/>
  <c r="I154" i="23"/>
  <c r="K35" i="24"/>
  <c r="K154" i="23"/>
  <c r="Q35" i="24"/>
  <c r="Q154" i="23"/>
  <c r="O35" i="24"/>
  <c r="O154" i="23"/>
  <c r="E99" i="23"/>
  <c r="E100" i="23" s="1"/>
  <c r="S99" i="23"/>
  <c r="S100" i="23" s="1"/>
  <c r="W99" i="23"/>
  <c r="W100" i="23" s="1"/>
  <c r="I99" i="23"/>
  <c r="I100" i="23" s="1"/>
  <c r="O99" i="23"/>
  <c r="O100" i="23" s="1"/>
  <c r="U99" i="23"/>
  <c r="U100" i="23" s="1"/>
  <c r="K99" i="23"/>
  <c r="K100" i="23" s="1"/>
  <c r="G99" i="23"/>
  <c r="G100" i="23" s="1"/>
  <c r="M99" i="23"/>
  <c r="M100" i="23" s="1"/>
  <c r="Q99" i="23"/>
  <c r="Q100" i="23" s="1"/>
  <c r="W76" i="6"/>
  <c r="W77" i="6" s="1"/>
  <c r="M154" i="23" l="1"/>
  <c r="G34" i="24"/>
  <c r="G153" i="23"/>
  <c r="E36" i="24"/>
  <c r="E155" i="23"/>
  <c r="M28" i="22"/>
  <c r="M12" i="22" s="1"/>
  <c r="K28" i="22"/>
  <c r="K12" i="22" s="1"/>
  <c r="O28" i="22"/>
  <c r="O12" i="22" s="1"/>
  <c r="Q36" i="24"/>
  <c r="Q155" i="23"/>
  <c r="K36" i="24"/>
  <c r="K155" i="23"/>
  <c r="S36" i="24"/>
  <c r="S155" i="23"/>
  <c r="O36" i="24"/>
  <c r="O155" i="23"/>
  <c r="M36" i="24"/>
  <c r="M155" i="23"/>
  <c r="I36" i="24"/>
  <c r="I155" i="23"/>
  <c r="U76" i="6"/>
  <c r="U77" i="6" s="1"/>
  <c r="G35" i="24" l="1"/>
  <c r="G154" i="23"/>
  <c r="E37" i="24"/>
  <c r="E156" i="23"/>
  <c r="O121" i="22"/>
  <c r="O99" i="22"/>
  <c r="K99" i="22"/>
  <c r="K121" i="22"/>
  <c r="M99" i="22"/>
  <c r="M121" i="22"/>
  <c r="O27" i="22"/>
  <c r="O22" i="22"/>
  <c r="O30" i="22"/>
  <c r="O25" i="22"/>
  <c r="O21" i="22"/>
  <c r="O24" i="22"/>
  <c r="O23" i="22"/>
  <c r="K25" i="22"/>
  <c r="K21" i="22"/>
  <c r="K27" i="22"/>
  <c r="K24" i="22"/>
  <c r="K30" i="22"/>
  <c r="K23" i="22"/>
  <c r="K22" i="22"/>
  <c r="M24" i="22"/>
  <c r="M22" i="22"/>
  <c r="M25" i="22"/>
  <c r="M23" i="22"/>
  <c r="M30" i="22"/>
  <c r="M27" i="22"/>
  <c r="M21" i="22"/>
  <c r="M37" i="24"/>
  <c r="M156" i="23"/>
  <c r="S37" i="24"/>
  <c r="S156" i="23"/>
  <c r="Q37" i="24"/>
  <c r="Q156" i="23"/>
  <c r="O13" i="22"/>
  <c r="O14" i="22"/>
  <c r="O37" i="24"/>
  <c r="O156" i="23"/>
  <c r="K13" i="22"/>
  <c r="K14" i="22"/>
  <c r="I37" i="24"/>
  <c r="I156" i="23"/>
  <c r="K37" i="24"/>
  <c r="K156" i="23"/>
  <c r="M14" i="22"/>
  <c r="M13" i="22"/>
  <c r="G155" i="23" l="1"/>
  <c r="G36" i="24"/>
  <c r="K110" i="22" s="1"/>
  <c r="E38" i="24"/>
  <c r="E157" i="23"/>
  <c r="K137" i="22"/>
  <c r="K133" i="22"/>
  <c r="K129" i="22"/>
  <c r="K125" i="22"/>
  <c r="K103" i="22"/>
  <c r="K139" i="22"/>
  <c r="K131" i="22"/>
  <c r="K123" i="22"/>
  <c r="K138" i="22"/>
  <c r="K130" i="22"/>
  <c r="K122" i="22"/>
  <c r="K107" i="22"/>
  <c r="K140" i="22"/>
  <c r="K136" i="22"/>
  <c r="K132" i="22"/>
  <c r="K128" i="22"/>
  <c r="K124" i="22"/>
  <c r="K101" i="22"/>
  <c r="K135" i="22"/>
  <c r="K127" i="22"/>
  <c r="K134" i="22"/>
  <c r="K126" i="22"/>
  <c r="K104" i="22"/>
  <c r="K105" i="22"/>
  <c r="K102" i="22"/>
  <c r="K109" i="22"/>
  <c r="K108" i="22"/>
  <c r="K106" i="22"/>
  <c r="K100" i="22"/>
  <c r="O139" i="22"/>
  <c r="O135" i="22"/>
  <c r="O131" i="22"/>
  <c r="O127" i="22"/>
  <c r="O123" i="22"/>
  <c r="O109" i="22"/>
  <c r="O133" i="22"/>
  <c r="O125" i="22"/>
  <c r="O140" i="22"/>
  <c r="O132" i="22"/>
  <c r="O124" i="22"/>
  <c r="O138" i="22"/>
  <c r="O134" i="22"/>
  <c r="O130" i="22"/>
  <c r="O126" i="22"/>
  <c r="O122" i="22"/>
  <c r="O105" i="22"/>
  <c r="O137" i="22"/>
  <c r="O129" i="22"/>
  <c r="O102" i="22"/>
  <c r="O136" i="22"/>
  <c r="O128" i="22"/>
  <c r="O101" i="22"/>
  <c r="O103" i="22"/>
  <c r="O106" i="22"/>
  <c r="O100" i="22"/>
  <c r="O107" i="22"/>
  <c r="O110" i="22"/>
  <c r="O104" i="22"/>
  <c r="O108" i="22"/>
  <c r="M138" i="22"/>
  <c r="M134" i="22"/>
  <c r="M130" i="22"/>
  <c r="M126" i="22"/>
  <c r="M122" i="22"/>
  <c r="M110" i="22"/>
  <c r="M102" i="22"/>
  <c r="M136" i="22"/>
  <c r="M128" i="22"/>
  <c r="M106" i="22"/>
  <c r="M135" i="22"/>
  <c r="M127" i="22"/>
  <c r="M137" i="22"/>
  <c r="M133" i="22"/>
  <c r="M129" i="22"/>
  <c r="M125" i="22"/>
  <c r="M107" i="22"/>
  <c r="M140" i="22"/>
  <c r="M132" i="22"/>
  <c r="M124" i="22"/>
  <c r="M139" i="22"/>
  <c r="M131" i="22"/>
  <c r="M123" i="22"/>
  <c r="M103" i="22"/>
  <c r="M109" i="22"/>
  <c r="M100" i="22"/>
  <c r="M108" i="22"/>
  <c r="M104" i="22"/>
  <c r="M101" i="22"/>
  <c r="M105" i="22"/>
  <c r="K38" i="24"/>
  <c r="K157" i="23"/>
  <c r="Q38" i="24"/>
  <c r="Q157" i="23"/>
  <c r="M38" i="24"/>
  <c r="M157" i="23"/>
  <c r="I38" i="24"/>
  <c r="I157" i="23"/>
  <c r="O38" i="24"/>
  <c r="O157" i="23"/>
  <c r="S38" i="24"/>
  <c r="S157" i="23"/>
  <c r="G37" i="24" l="1"/>
  <c r="G156" i="23"/>
  <c r="E39" i="24"/>
  <c r="E158" i="23"/>
  <c r="Q39" i="24"/>
  <c r="Q158" i="23"/>
  <c r="S39" i="24"/>
  <c r="S158" i="23"/>
  <c r="I39" i="24"/>
  <c r="I158" i="23"/>
  <c r="O39" i="24"/>
  <c r="O158" i="23"/>
  <c r="M39" i="24"/>
  <c r="M158" i="23"/>
  <c r="K39" i="24"/>
  <c r="K158" i="23"/>
  <c r="K111" i="22" l="1"/>
  <c r="O111" i="22"/>
  <c r="M111" i="22"/>
  <c r="G38" i="24"/>
  <c r="G157" i="23"/>
  <c r="E40" i="24"/>
  <c r="E159" i="23"/>
  <c r="M40" i="24"/>
  <c r="M159" i="23"/>
  <c r="S40" i="24"/>
  <c r="S159" i="23"/>
  <c r="K40" i="24"/>
  <c r="K159" i="23"/>
  <c r="O40" i="24"/>
  <c r="O159" i="23"/>
  <c r="I40" i="24"/>
  <c r="I159" i="23"/>
  <c r="Q40" i="24"/>
  <c r="Q159" i="23"/>
  <c r="E92" i="11"/>
  <c r="E74" i="11"/>
  <c r="E75" i="11"/>
  <c r="E76" i="11"/>
  <c r="E77" i="11"/>
  <c r="E78" i="11"/>
  <c r="E79" i="11"/>
  <c r="E80" i="11"/>
  <c r="E81" i="11"/>
  <c r="E82" i="11"/>
  <c r="E83" i="11"/>
  <c r="E84" i="11"/>
  <c r="E85" i="11"/>
  <c r="E86" i="11"/>
  <c r="E87" i="11"/>
  <c r="E88" i="11"/>
  <c r="E89" i="11"/>
  <c r="E90" i="11"/>
  <c r="E91" i="11"/>
  <c r="E73" i="11"/>
  <c r="C115" i="11"/>
  <c r="C111" i="11"/>
  <c r="C112" i="11"/>
  <c r="C113" i="11"/>
  <c r="C114" i="11"/>
  <c r="C88" i="11"/>
  <c r="C89" i="11"/>
  <c r="C90" i="11"/>
  <c r="C91" i="11"/>
  <c r="C92" i="11"/>
  <c r="C64" i="11"/>
  <c r="C65" i="11"/>
  <c r="C66" i="11"/>
  <c r="C67" i="11"/>
  <c r="C68" i="11"/>
  <c r="K112" i="22" l="1"/>
  <c r="M112" i="22"/>
  <c r="O112" i="22"/>
  <c r="G39" i="24"/>
  <c r="G158" i="23"/>
  <c r="E41" i="24"/>
  <c r="E160" i="23"/>
  <c r="S41" i="24"/>
  <c r="S160" i="23"/>
  <c r="I41" i="24"/>
  <c r="I160" i="23"/>
  <c r="K41" i="24"/>
  <c r="K160" i="23"/>
  <c r="Q41" i="24"/>
  <c r="Q160" i="23"/>
  <c r="O41" i="24"/>
  <c r="O160" i="23"/>
  <c r="M41" i="24"/>
  <c r="M160" i="23"/>
  <c r="G74" i="6"/>
  <c r="C144" i="6"/>
  <c r="C122" i="6"/>
  <c r="C110" i="11"/>
  <c r="C109" i="11"/>
  <c r="C108" i="11"/>
  <c r="C107" i="11"/>
  <c r="C106" i="11"/>
  <c r="C105" i="11"/>
  <c r="C104" i="11"/>
  <c r="C103" i="11"/>
  <c r="C102" i="11"/>
  <c r="C101" i="11"/>
  <c r="C100" i="11"/>
  <c r="C99" i="11"/>
  <c r="C98" i="11"/>
  <c r="C97" i="11"/>
  <c r="C96" i="11"/>
  <c r="C87" i="11"/>
  <c r="C86" i="11"/>
  <c r="C85" i="11"/>
  <c r="C84" i="11"/>
  <c r="C83" i="11"/>
  <c r="C82" i="11"/>
  <c r="C81" i="11"/>
  <c r="C80" i="11"/>
  <c r="C79" i="11"/>
  <c r="C78" i="11"/>
  <c r="C77" i="11"/>
  <c r="C76" i="11"/>
  <c r="C75" i="11"/>
  <c r="C74" i="11"/>
  <c r="C73" i="11"/>
  <c r="O113" i="22" l="1"/>
  <c r="M113" i="22"/>
  <c r="K113" i="22"/>
  <c r="G159" i="23"/>
  <c r="G40" i="24"/>
  <c r="E42" i="24"/>
  <c r="E161" i="23"/>
  <c r="M42" i="24"/>
  <c r="M161" i="23"/>
  <c r="O42" i="24"/>
  <c r="O161" i="23"/>
  <c r="K42" i="24"/>
  <c r="K161" i="23"/>
  <c r="S42" i="24"/>
  <c r="S161" i="23"/>
  <c r="Q42" i="24"/>
  <c r="Q161" i="23"/>
  <c r="I42" i="24"/>
  <c r="I161" i="23"/>
  <c r="C63" i="11"/>
  <c r="C62" i="11"/>
  <c r="C61" i="11"/>
  <c r="C60" i="11"/>
  <c r="C59" i="11"/>
  <c r="C58" i="11"/>
  <c r="C57" i="11"/>
  <c r="C56" i="11"/>
  <c r="C55" i="11"/>
  <c r="C54" i="11"/>
  <c r="C53" i="11"/>
  <c r="C52" i="11"/>
  <c r="C51" i="11"/>
  <c r="C50" i="11"/>
  <c r="C49" i="11"/>
  <c r="M114" i="22" l="1"/>
  <c r="O114" i="22"/>
  <c r="K114" i="22"/>
  <c r="G41" i="24"/>
  <c r="G160" i="23"/>
  <c r="E43" i="24"/>
  <c r="E162" i="23"/>
  <c r="O43" i="24"/>
  <c r="O162" i="23"/>
  <c r="S43" i="24"/>
  <c r="S162" i="23"/>
  <c r="Q43" i="24"/>
  <c r="Q162" i="23"/>
  <c r="I43" i="24"/>
  <c r="I162" i="23"/>
  <c r="K43" i="24"/>
  <c r="K162" i="23"/>
  <c r="M43" i="24"/>
  <c r="M162" i="23"/>
  <c r="S25" i="11"/>
  <c r="Q25" i="11"/>
  <c r="O25" i="11"/>
  <c r="M25" i="11"/>
  <c r="K25" i="11"/>
  <c r="I25" i="11"/>
  <c r="G25" i="11"/>
  <c r="E25" i="11"/>
  <c r="E95" i="11" s="1"/>
  <c r="E144" i="6" s="1"/>
  <c r="Q46" i="6"/>
  <c r="M46" i="6"/>
  <c r="I46" i="6"/>
  <c r="K46" i="6"/>
  <c r="O46" i="6"/>
  <c r="S46" i="6"/>
  <c r="K60" i="11" l="1"/>
  <c r="K66" i="11"/>
  <c r="K49" i="11"/>
  <c r="K26" i="11" s="1"/>
  <c r="K61" i="11"/>
  <c r="K64" i="11"/>
  <c r="K57" i="11"/>
  <c r="K54" i="11"/>
  <c r="K67" i="11"/>
  <c r="K58" i="11"/>
  <c r="K65" i="11"/>
  <c r="K53" i="11"/>
  <c r="K63" i="11"/>
  <c r="K51" i="11"/>
  <c r="K52" i="11"/>
  <c r="K59" i="11"/>
  <c r="K50" i="11"/>
  <c r="K62" i="11"/>
  <c r="K68" i="11"/>
  <c r="K56" i="11"/>
  <c r="K55" i="11"/>
  <c r="I72" i="6"/>
  <c r="I64" i="11"/>
  <c r="I54" i="11"/>
  <c r="I58" i="11"/>
  <c r="I49" i="11"/>
  <c r="I26" i="11" s="1"/>
  <c r="I59" i="11"/>
  <c r="I62" i="11"/>
  <c r="I63" i="11"/>
  <c r="I61" i="11"/>
  <c r="I50" i="11"/>
  <c r="I56" i="11"/>
  <c r="I67" i="11"/>
  <c r="I66" i="11"/>
  <c r="I57" i="11"/>
  <c r="I60" i="11"/>
  <c r="I55" i="11"/>
  <c r="I53" i="11"/>
  <c r="I65" i="11"/>
  <c r="I68" i="11"/>
  <c r="I52" i="11"/>
  <c r="I51" i="11"/>
  <c r="G72" i="6"/>
  <c r="O67" i="11"/>
  <c r="O58" i="11"/>
  <c r="O49" i="11"/>
  <c r="O26" i="11" s="1"/>
  <c r="O61" i="11"/>
  <c r="O52" i="11"/>
  <c r="O54" i="11"/>
  <c r="O59" i="11"/>
  <c r="O50" i="11"/>
  <c r="O64" i="11"/>
  <c r="O53" i="11"/>
  <c r="O63" i="11"/>
  <c r="O57" i="11"/>
  <c r="O60" i="11"/>
  <c r="O51" i="11"/>
  <c r="O65" i="11"/>
  <c r="O62" i="11"/>
  <c r="O68" i="11"/>
  <c r="O56" i="11"/>
  <c r="O66" i="11"/>
  <c r="O55" i="11"/>
  <c r="M72" i="6"/>
  <c r="Q56" i="11"/>
  <c r="Q54" i="11"/>
  <c r="Q60" i="11"/>
  <c r="Q50" i="11"/>
  <c r="Q64" i="11"/>
  <c r="Q68" i="11"/>
  <c r="Q58" i="11"/>
  <c r="Q59" i="11"/>
  <c r="Q63" i="11"/>
  <c r="Q61" i="11"/>
  <c r="Q52" i="11"/>
  <c r="Q65" i="11"/>
  <c r="Q67" i="11"/>
  <c r="Q62" i="11"/>
  <c r="Q55" i="11"/>
  <c r="Q53" i="11"/>
  <c r="Q66" i="11"/>
  <c r="Q57" i="11"/>
  <c r="Q51" i="11"/>
  <c r="Q49" i="11"/>
  <c r="Q26" i="11" s="1"/>
  <c r="O72" i="6"/>
  <c r="S67" i="11"/>
  <c r="S58" i="11"/>
  <c r="S49" i="11"/>
  <c r="S26" i="11" s="1"/>
  <c r="S54" i="11"/>
  <c r="S60" i="11"/>
  <c r="S57" i="11"/>
  <c r="S68" i="11"/>
  <c r="S59" i="11"/>
  <c r="S50" i="11"/>
  <c r="S64" i="11"/>
  <c r="S61" i="11"/>
  <c r="S52" i="11"/>
  <c r="S66" i="11"/>
  <c r="S62" i="11"/>
  <c r="S51" i="11"/>
  <c r="S65" i="11"/>
  <c r="S56" i="11"/>
  <c r="S53" i="11"/>
  <c r="S63" i="11"/>
  <c r="S55" i="11"/>
  <c r="Q72" i="6"/>
  <c r="M64" i="11"/>
  <c r="M54" i="11"/>
  <c r="M58" i="11"/>
  <c r="M49" i="11"/>
  <c r="M26" i="11" s="1"/>
  <c r="M51" i="11"/>
  <c r="M62" i="11"/>
  <c r="M67" i="11"/>
  <c r="M63" i="11"/>
  <c r="M61" i="11"/>
  <c r="M50" i="11"/>
  <c r="M56" i="11"/>
  <c r="M52" i="11"/>
  <c r="M66" i="11"/>
  <c r="M57" i="11"/>
  <c r="M55" i="11"/>
  <c r="M53" i="11"/>
  <c r="M65" i="11"/>
  <c r="M60" i="11"/>
  <c r="M68" i="11"/>
  <c r="M59" i="11"/>
  <c r="K72" i="6"/>
  <c r="M115" i="22"/>
  <c r="O115" i="22"/>
  <c r="K115" i="22"/>
  <c r="G161" i="23"/>
  <c r="G42" i="24"/>
  <c r="E44" i="24"/>
  <c r="E163" i="23"/>
  <c r="S44" i="24"/>
  <c r="S163" i="23"/>
  <c r="K44" i="24"/>
  <c r="K163" i="23"/>
  <c r="I44" i="24"/>
  <c r="I163" i="23"/>
  <c r="M44" i="24"/>
  <c r="M163" i="23"/>
  <c r="Q44" i="24"/>
  <c r="Q163" i="23"/>
  <c r="O44" i="24"/>
  <c r="O163" i="23"/>
  <c r="M95" i="11"/>
  <c r="M144" i="6" s="1"/>
  <c r="M48" i="11"/>
  <c r="M2" i="11"/>
  <c r="G95" i="11"/>
  <c r="G144" i="6" s="1"/>
  <c r="G48" i="11"/>
  <c r="G2" i="11"/>
  <c r="O95" i="11"/>
  <c r="O144" i="6" s="1"/>
  <c r="O48" i="11"/>
  <c r="O2" i="11"/>
  <c r="I2" i="11"/>
  <c r="I95" i="11"/>
  <c r="I144" i="6" s="1"/>
  <c r="I48" i="11"/>
  <c r="Q2" i="11"/>
  <c r="Q95" i="11"/>
  <c r="Q144" i="6" s="1"/>
  <c r="Q48" i="11"/>
  <c r="K95" i="11"/>
  <c r="K144" i="6" s="1"/>
  <c r="K48" i="11"/>
  <c r="K2" i="11"/>
  <c r="S95" i="11"/>
  <c r="S144" i="6" s="1"/>
  <c r="S48" i="11"/>
  <c r="S2" i="11"/>
  <c r="M79" i="6"/>
  <c r="K79" i="6"/>
  <c r="I79" i="6"/>
  <c r="S79" i="6"/>
  <c r="O79" i="6"/>
  <c r="Q79" i="6"/>
  <c r="E48" i="11"/>
  <c r="E2" i="11"/>
  <c r="I74" i="6"/>
  <c r="S91" i="11"/>
  <c r="S122" i="6"/>
  <c r="E122" i="6"/>
  <c r="M122" i="6"/>
  <c r="I122" i="6"/>
  <c r="Q122" i="6"/>
  <c r="K122" i="6"/>
  <c r="G122" i="6"/>
  <c r="O122" i="6"/>
  <c r="O74" i="11"/>
  <c r="I80" i="11"/>
  <c r="Q74" i="11"/>
  <c r="Q79" i="11"/>
  <c r="Q88" i="11"/>
  <c r="I73" i="11"/>
  <c r="I84" i="11"/>
  <c r="K78" i="11"/>
  <c r="S84" i="11"/>
  <c r="S79" i="11"/>
  <c r="K76" i="11"/>
  <c r="Q76" i="11"/>
  <c r="Q89" i="11"/>
  <c r="I86" i="11"/>
  <c r="I91" i="11"/>
  <c r="I76" i="11"/>
  <c r="K73" i="11"/>
  <c r="S80" i="11"/>
  <c r="S89" i="11"/>
  <c r="S75" i="11"/>
  <c r="Q77" i="11"/>
  <c r="Q90" i="11"/>
  <c r="I89" i="11"/>
  <c r="I78" i="11"/>
  <c r="I87" i="11"/>
  <c r="S76" i="11"/>
  <c r="K82" i="11"/>
  <c r="K77" i="11"/>
  <c r="Q87" i="11"/>
  <c r="Q92" i="11"/>
  <c r="Q78" i="11"/>
  <c r="I77" i="11"/>
  <c r="I74" i="11"/>
  <c r="I75" i="11"/>
  <c r="S85" i="11"/>
  <c r="K91" i="11"/>
  <c r="O83" i="11"/>
  <c r="O73" i="11"/>
  <c r="M83" i="11"/>
  <c r="G73" i="11"/>
  <c r="G81" i="11"/>
  <c r="G89" i="11"/>
  <c r="G74" i="11"/>
  <c r="G82" i="11"/>
  <c r="G90" i="11"/>
  <c r="G75" i="11"/>
  <c r="G83" i="11"/>
  <c r="G91" i="11"/>
  <c r="G76" i="11"/>
  <c r="G84" i="11"/>
  <c r="G92" i="11"/>
  <c r="G77" i="11"/>
  <c r="G85" i="11"/>
  <c r="G78" i="11"/>
  <c r="G86" i="11"/>
  <c r="G88" i="11"/>
  <c r="G79" i="11"/>
  <c r="G87" i="11"/>
  <c r="G80" i="11"/>
  <c r="S81" i="11"/>
  <c r="S86" i="11"/>
  <c r="K87" i="11"/>
  <c r="K92" i="11"/>
  <c r="Q84" i="11"/>
  <c r="Q85" i="11"/>
  <c r="Q86" i="11"/>
  <c r="I81" i="11"/>
  <c r="I83" i="11"/>
  <c r="I92" i="11"/>
  <c r="O79" i="11"/>
  <c r="M79" i="11"/>
  <c r="M89" i="11"/>
  <c r="K74" i="11"/>
  <c r="S90" i="11"/>
  <c r="S77" i="11"/>
  <c r="S82" i="11"/>
  <c r="K83" i="11"/>
  <c r="K88" i="11"/>
  <c r="K89" i="11"/>
  <c r="Q91" i="11"/>
  <c r="Q83" i="11"/>
  <c r="Q80" i="11"/>
  <c r="Q81" i="11"/>
  <c r="Q82" i="11"/>
  <c r="I85" i="11"/>
  <c r="I90" i="11"/>
  <c r="I79" i="11"/>
  <c r="I88" i="11"/>
  <c r="O75" i="11"/>
  <c r="M82" i="11"/>
  <c r="M86" i="11"/>
  <c r="M75" i="11"/>
  <c r="M92" i="11"/>
  <c r="M85" i="11"/>
  <c r="S78" i="11"/>
  <c r="K90" i="11"/>
  <c r="K79" i="11"/>
  <c r="K85" i="11"/>
  <c r="S92" i="11"/>
  <c r="S73" i="11"/>
  <c r="S87" i="11"/>
  <c r="K84" i="11"/>
  <c r="O92" i="11"/>
  <c r="O90" i="11"/>
  <c r="M78" i="11"/>
  <c r="M88" i="11"/>
  <c r="M81" i="11"/>
  <c r="S88" i="11"/>
  <c r="S74" i="11"/>
  <c r="S83" i="11"/>
  <c r="K86" i="11"/>
  <c r="K75" i="11"/>
  <c r="K80" i="11"/>
  <c r="K81" i="11"/>
  <c r="Q75" i="11"/>
  <c r="Q73" i="11"/>
  <c r="I82" i="11"/>
  <c r="O88" i="11"/>
  <c r="O89" i="11"/>
  <c r="O86" i="11"/>
  <c r="M74" i="11"/>
  <c r="M84" i="11"/>
  <c r="M77" i="11"/>
  <c r="O84" i="11"/>
  <c r="O85" i="11"/>
  <c r="O82" i="11"/>
  <c r="M90" i="11"/>
  <c r="M80" i="11"/>
  <c r="M73" i="11"/>
  <c r="O91" i="11"/>
  <c r="O80" i="11"/>
  <c r="O81" i="11"/>
  <c r="O78" i="11"/>
  <c r="M91" i="11"/>
  <c r="M76" i="11"/>
  <c r="O87" i="11"/>
  <c r="O76" i="11"/>
  <c r="O77" i="11"/>
  <c r="M87" i="11"/>
  <c r="S112" i="11" l="1"/>
  <c r="S107" i="11"/>
  <c r="S108" i="11"/>
  <c r="S98" i="11"/>
  <c r="S99" i="11"/>
  <c r="S111" i="11"/>
  <c r="S97" i="11"/>
  <c r="S109" i="11"/>
  <c r="S114" i="11"/>
  <c r="S115" i="11"/>
  <c r="S101" i="11"/>
  <c r="S106" i="11"/>
  <c r="S104" i="11"/>
  <c r="S27" i="11"/>
  <c r="S28" i="11" s="1"/>
  <c r="S29" i="11" s="1"/>
  <c r="S30" i="11" s="1"/>
  <c r="S31" i="11" s="1"/>
  <c r="S32" i="11" s="1"/>
  <c r="S33" i="11" s="1"/>
  <c r="S34" i="11" s="1"/>
  <c r="S35" i="11" s="1"/>
  <c r="S36" i="11" s="1"/>
  <c r="S37" i="11" s="1"/>
  <c r="S38" i="11" s="1"/>
  <c r="S39" i="11" s="1"/>
  <c r="S40" i="11" s="1"/>
  <c r="S41" i="11" s="1"/>
  <c r="S42" i="11" s="1"/>
  <c r="S43" i="11" s="1"/>
  <c r="S44" i="11" s="1"/>
  <c r="S45" i="11" s="1"/>
  <c r="S105" i="11"/>
  <c r="S110" i="11"/>
  <c r="S100" i="11"/>
  <c r="S113" i="11"/>
  <c r="S96" i="11"/>
  <c r="S102" i="11"/>
  <c r="S103" i="11"/>
  <c r="Q27" i="11"/>
  <c r="Q28" i="11" s="1"/>
  <c r="Q29" i="11" s="1"/>
  <c r="Q30" i="11" s="1"/>
  <c r="Q31" i="11" s="1"/>
  <c r="Q32" i="11" s="1"/>
  <c r="Q33" i="11" s="1"/>
  <c r="Q34" i="11" s="1"/>
  <c r="Q35" i="11" s="1"/>
  <c r="Q36" i="11" s="1"/>
  <c r="Q37" i="11" s="1"/>
  <c r="Q38" i="11" s="1"/>
  <c r="Q39" i="11" s="1"/>
  <c r="Q40" i="11" s="1"/>
  <c r="Q41" i="11" s="1"/>
  <c r="Q42" i="11" s="1"/>
  <c r="Q43" i="11" s="1"/>
  <c r="Q44" i="11" s="1"/>
  <c r="Q45" i="11" s="1"/>
  <c r="Q105" i="11"/>
  <c r="Q100" i="11"/>
  <c r="Q106" i="11"/>
  <c r="Q96" i="11"/>
  <c r="Q103" i="11"/>
  <c r="Q114" i="11"/>
  <c r="Q102" i="11"/>
  <c r="Q97" i="11"/>
  <c r="Q115" i="11"/>
  <c r="Q101" i="11"/>
  <c r="Q104" i="11"/>
  <c r="Q107" i="11"/>
  <c r="Q113" i="11"/>
  <c r="Q108" i="11"/>
  <c r="Q109" i="11"/>
  <c r="Q98" i="11"/>
  <c r="Q112" i="11"/>
  <c r="Q111" i="11"/>
  <c r="Q99" i="11"/>
  <c r="Q110" i="11"/>
  <c r="K101" i="11"/>
  <c r="K115" i="11"/>
  <c r="K110" i="11"/>
  <c r="K98" i="11"/>
  <c r="K113" i="11"/>
  <c r="K27" i="11"/>
  <c r="K28" i="11" s="1"/>
  <c r="K29" i="11" s="1"/>
  <c r="K30" i="11" s="1"/>
  <c r="K31" i="11" s="1"/>
  <c r="K32" i="11" s="1"/>
  <c r="K33" i="11" s="1"/>
  <c r="K34" i="11" s="1"/>
  <c r="K35" i="11" s="1"/>
  <c r="K36" i="11" s="1"/>
  <c r="K37" i="11" s="1"/>
  <c r="K38" i="11" s="1"/>
  <c r="K39" i="11" s="1"/>
  <c r="K40" i="11" s="1"/>
  <c r="K41" i="11" s="1"/>
  <c r="K42" i="11" s="1"/>
  <c r="K43" i="11" s="1"/>
  <c r="K44" i="11" s="1"/>
  <c r="K45" i="11" s="1"/>
  <c r="K99" i="11"/>
  <c r="K112" i="11"/>
  <c r="K109" i="11"/>
  <c r="K97" i="11"/>
  <c r="K111" i="11"/>
  <c r="K100" i="11"/>
  <c r="K96" i="11"/>
  <c r="K103" i="11"/>
  <c r="K114" i="11"/>
  <c r="K102" i="11"/>
  <c r="K106" i="11"/>
  <c r="K105" i="11"/>
  <c r="K108" i="11"/>
  <c r="K107" i="11"/>
  <c r="K104" i="11"/>
  <c r="M110" i="11"/>
  <c r="M115" i="11"/>
  <c r="M101" i="11"/>
  <c r="M113" i="11"/>
  <c r="M98" i="11"/>
  <c r="M103" i="11"/>
  <c r="M96" i="11"/>
  <c r="M100" i="11"/>
  <c r="M102" i="11"/>
  <c r="M114" i="11"/>
  <c r="M108" i="11"/>
  <c r="M99" i="11"/>
  <c r="M111" i="11"/>
  <c r="M97" i="11"/>
  <c r="M109" i="11"/>
  <c r="M105" i="11"/>
  <c r="M104" i="11"/>
  <c r="M106" i="11"/>
  <c r="M112" i="11"/>
  <c r="M27" i="11"/>
  <c r="M28" i="11" s="1"/>
  <c r="M29" i="11" s="1"/>
  <c r="M30" i="11" s="1"/>
  <c r="M31" i="11" s="1"/>
  <c r="M32" i="11" s="1"/>
  <c r="M33" i="11" s="1"/>
  <c r="M34" i="11" s="1"/>
  <c r="M35" i="11" s="1"/>
  <c r="M36" i="11" s="1"/>
  <c r="M37" i="11" s="1"/>
  <c r="M38" i="11" s="1"/>
  <c r="M39" i="11" s="1"/>
  <c r="M40" i="11" s="1"/>
  <c r="M41" i="11" s="1"/>
  <c r="M42" i="11" s="1"/>
  <c r="M43" i="11" s="1"/>
  <c r="M44" i="11" s="1"/>
  <c r="M45" i="11" s="1"/>
  <c r="M107" i="11"/>
  <c r="O112" i="11"/>
  <c r="O100" i="11"/>
  <c r="O108" i="11"/>
  <c r="O101" i="11"/>
  <c r="O104" i="11"/>
  <c r="O106" i="11"/>
  <c r="O110" i="11"/>
  <c r="O102" i="11"/>
  <c r="O109" i="11"/>
  <c r="O98" i="11"/>
  <c r="O27" i="11"/>
  <c r="O28" i="11" s="1"/>
  <c r="O29" i="11" s="1"/>
  <c r="O30" i="11" s="1"/>
  <c r="O31" i="11" s="1"/>
  <c r="O32" i="11" s="1"/>
  <c r="O33" i="11" s="1"/>
  <c r="O34" i="11" s="1"/>
  <c r="O35" i="11" s="1"/>
  <c r="O36" i="11" s="1"/>
  <c r="O37" i="11" s="1"/>
  <c r="O38" i="11" s="1"/>
  <c r="O39" i="11" s="1"/>
  <c r="O40" i="11" s="1"/>
  <c r="O41" i="11" s="1"/>
  <c r="O42" i="11" s="1"/>
  <c r="O43" i="11" s="1"/>
  <c r="O44" i="11" s="1"/>
  <c r="O45" i="11" s="1"/>
  <c r="O96" i="11"/>
  <c r="O115" i="11"/>
  <c r="O113" i="11"/>
  <c r="O111" i="11"/>
  <c r="O105" i="11"/>
  <c r="O103" i="11"/>
  <c r="O97" i="11"/>
  <c r="O99" i="11"/>
  <c r="O107" i="11"/>
  <c r="O114" i="11"/>
  <c r="I113" i="11"/>
  <c r="I103" i="11"/>
  <c r="I96" i="11"/>
  <c r="I105" i="11"/>
  <c r="I98" i="11"/>
  <c r="I110" i="11"/>
  <c r="I27" i="11"/>
  <c r="I28" i="11" s="1"/>
  <c r="I29" i="11" s="1"/>
  <c r="I30" i="11" s="1"/>
  <c r="I31" i="11" s="1"/>
  <c r="I32" i="11" s="1"/>
  <c r="I33" i="11" s="1"/>
  <c r="I34" i="11" s="1"/>
  <c r="I35" i="11" s="1"/>
  <c r="I36" i="11" s="1"/>
  <c r="I37" i="11" s="1"/>
  <c r="I38" i="11" s="1"/>
  <c r="I39" i="11" s="1"/>
  <c r="I40" i="11" s="1"/>
  <c r="I41" i="11" s="1"/>
  <c r="I42" i="11" s="1"/>
  <c r="I43" i="11" s="1"/>
  <c r="I44" i="11" s="1"/>
  <c r="I45" i="11" s="1"/>
  <c r="I112" i="11"/>
  <c r="I102" i="11"/>
  <c r="I114" i="11"/>
  <c r="I97" i="11"/>
  <c r="I106" i="11"/>
  <c r="I115" i="11"/>
  <c r="I108" i="11"/>
  <c r="I101" i="11"/>
  <c r="I107" i="11"/>
  <c r="I100" i="11"/>
  <c r="I109" i="11"/>
  <c r="I99" i="11"/>
  <c r="I111" i="11"/>
  <c r="I104" i="11"/>
  <c r="O116" i="22"/>
  <c r="M116" i="22"/>
  <c r="K116" i="22"/>
  <c r="G162" i="23"/>
  <c r="G43" i="24"/>
  <c r="E45" i="24"/>
  <c r="E165" i="23" s="1"/>
  <c r="E164" i="23"/>
  <c r="Q45" i="24"/>
  <c r="Q165" i="23" s="1"/>
  <c r="Q164" i="23"/>
  <c r="M45" i="24"/>
  <c r="M165" i="23" s="1"/>
  <c r="M164" i="23"/>
  <c r="K45" i="24"/>
  <c r="K165" i="23" s="1"/>
  <c r="K164" i="23"/>
  <c r="O45" i="24"/>
  <c r="O165" i="23" s="1"/>
  <c r="O164" i="23"/>
  <c r="I45" i="24"/>
  <c r="I165" i="23" s="1"/>
  <c r="I164" i="23"/>
  <c r="S45" i="24"/>
  <c r="S165" i="23" s="1"/>
  <c r="S164" i="23"/>
  <c r="O74" i="6"/>
  <c r="K74" i="6"/>
  <c r="S74" i="6"/>
  <c r="Q74" i="6"/>
  <c r="M74" i="6"/>
  <c r="I123" i="6"/>
  <c r="E123" i="6"/>
  <c r="Q73" i="6"/>
  <c r="K73" i="6"/>
  <c r="S73" i="6"/>
  <c r="I73" i="6"/>
  <c r="M73" i="6"/>
  <c r="O73" i="6"/>
  <c r="G73" i="6"/>
  <c r="G76" i="6" s="1"/>
  <c r="G77" i="6" s="1"/>
  <c r="O117" i="22" l="1"/>
  <c r="M117" i="22"/>
  <c r="K117" i="22"/>
  <c r="G163" i="23"/>
  <c r="G44" i="24"/>
  <c r="S76" i="6"/>
  <c r="S77" i="6" s="1"/>
  <c r="M76" i="6"/>
  <c r="M77" i="6" s="1"/>
  <c r="O76" i="6"/>
  <c r="O77" i="6" s="1"/>
  <c r="I76" i="6"/>
  <c r="I77" i="6" s="1"/>
  <c r="Q76" i="6"/>
  <c r="Q77" i="6" s="1"/>
  <c r="K76" i="6"/>
  <c r="K77" i="6" s="1"/>
  <c r="O145" i="6"/>
  <c r="Q123" i="6"/>
  <c r="S145" i="6"/>
  <c r="M124" i="6"/>
  <c r="K123" i="6"/>
  <c r="G124" i="6"/>
  <c r="G123" i="6"/>
  <c r="S123" i="6"/>
  <c r="O123" i="6"/>
  <c r="M123" i="6"/>
  <c r="M118" i="22" l="1"/>
  <c r="O118" i="22"/>
  <c r="K118" i="22"/>
  <c r="G164" i="23"/>
  <c r="G45" i="24"/>
  <c r="G165" i="23" s="1"/>
  <c r="Q124" i="6"/>
  <c r="M145" i="6"/>
  <c r="K145" i="6"/>
  <c r="G145" i="6"/>
  <c r="Q145" i="6"/>
  <c r="O146" i="6"/>
  <c r="I145" i="6"/>
  <c r="E145" i="6"/>
  <c r="O124" i="6"/>
  <c r="I125" i="6"/>
  <c r="I124" i="6"/>
  <c r="M125" i="6"/>
  <c r="K125" i="6"/>
  <c r="K124" i="6"/>
  <c r="S124" i="6"/>
  <c r="G125" i="6"/>
  <c r="G146" i="6" l="1"/>
  <c r="M146" i="6"/>
  <c r="S146" i="6"/>
  <c r="Q146" i="6"/>
  <c r="K146" i="6"/>
  <c r="I146" i="6"/>
  <c r="Q125" i="6"/>
  <c r="O126" i="6"/>
  <c r="S125" i="6"/>
  <c r="E125" i="6"/>
  <c r="O125" i="6"/>
  <c r="I147" i="6" l="1"/>
  <c r="Q147" i="6"/>
  <c r="G147" i="6"/>
  <c r="O147" i="6"/>
  <c r="M147" i="6"/>
  <c r="K147" i="6"/>
  <c r="S147" i="6"/>
  <c r="E147" i="6"/>
  <c r="Q127" i="6"/>
  <c r="Q126" i="6"/>
  <c r="M126" i="6"/>
  <c r="O127" i="6"/>
  <c r="S127" i="6"/>
  <c r="S126" i="6"/>
  <c r="K126" i="6"/>
  <c r="I126" i="6"/>
  <c r="G126" i="6"/>
  <c r="E127" i="6"/>
  <c r="E126" i="6"/>
  <c r="O148" i="6" l="1"/>
  <c r="Q148" i="6"/>
  <c r="K148" i="6"/>
  <c r="I148" i="6"/>
  <c r="G148" i="6"/>
  <c r="S148" i="6"/>
  <c r="M148" i="6"/>
  <c r="E148" i="6"/>
  <c r="M128" i="6"/>
  <c r="S128" i="6"/>
  <c r="M127" i="6"/>
  <c r="Q128" i="6"/>
  <c r="K128" i="6"/>
  <c r="K127" i="6"/>
  <c r="I127" i="6"/>
  <c r="E128" i="6"/>
  <c r="G127" i="6"/>
  <c r="S149" i="6" l="1"/>
  <c r="K149" i="6"/>
  <c r="O149" i="6"/>
  <c r="M149" i="6"/>
  <c r="G149" i="6"/>
  <c r="Q149" i="6"/>
  <c r="I149" i="6"/>
  <c r="E149" i="6"/>
  <c r="O128" i="6"/>
  <c r="I128" i="6"/>
  <c r="G128" i="6"/>
  <c r="S150" i="6" l="1"/>
  <c r="Q150" i="6"/>
  <c r="K150" i="6"/>
  <c r="M150" i="6"/>
  <c r="I150" i="6"/>
  <c r="G150" i="6"/>
  <c r="O150" i="6"/>
  <c r="E150" i="6"/>
  <c r="O131" i="6" l="1"/>
  <c r="K131" i="6"/>
  <c r="G131" i="6"/>
  <c r="E131" i="6"/>
  <c r="S132" i="6" l="1"/>
  <c r="M132" i="6"/>
  <c r="K132" i="6"/>
  <c r="S131" i="6"/>
  <c r="I132" i="6"/>
  <c r="I131" i="6"/>
  <c r="Q131" i="6"/>
  <c r="M131" i="6"/>
  <c r="E132" i="6"/>
  <c r="G153" i="6" l="1"/>
  <c r="I153" i="6"/>
  <c r="S153" i="6"/>
  <c r="M153" i="6"/>
  <c r="Q153" i="6"/>
  <c r="O153" i="6"/>
  <c r="K153" i="6"/>
  <c r="E153" i="6"/>
  <c r="O133" i="6"/>
  <c r="Q133" i="6"/>
  <c r="Q132" i="6"/>
  <c r="K133" i="6"/>
  <c r="O132" i="6"/>
  <c r="I133" i="6"/>
  <c r="G133" i="6"/>
  <c r="G132" i="6"/>
  <c r="E133" i="6"/>
  <c r="S154" i="6" l="1"/>
  <c r="I154" i="6"/>
  <c r="M154" i="6"/>
  <c r="O154" i="6"/>
  <c r="Q154" i="6"/>
  <c r="G154" i="6"/>
  <c r="K154" i="6"/>
  <c r="E154" i="6"/>
  <c r="M134" i="6"/>
  <c r="K134" i="6"/>
  <c r="S134" i="6"/>
  <c r="I134" i="6"/>
  <c r="Q134" i="6"/>
  <c r="S133" i="6"/>
  <c r="M133" i="6"/>
  <c r="E134" i="6"/>
  <c r="G155" i="6" l="1"/>
  <c r="I155" i="6"/>
  <c r="K155" i="6"/>
  <c r="M155" i="6"/>
  <c r="Q155" i="6"/>
  <c r="S155" i="6"/>
  <c r="O155" i="6"/>
  <c r="E155" i="6"/>
  <c r="I135" i="6"/>
  <c r="O135" i="6"/>
  <c r="K135" i="6"/>
  <c r="O134" i="6"/>
  <c r="G135" i="6"/>
  <c r="G134" i="6"/>
  <c r="K156" i="6" l="1"/>
  <c r="K136" i="6"/>
  <c r="M156" i="6"/>
  <c r="S156" i="6"/>
  <c r="M136" i="6"/>
  <c r="S136" i="6"/>
  <c r="Q156" i="6"/>
  <c r="O156" i="6"/>
  <c r="Q136" i="6"/>
  <c r="O136" i="6"/>
  <c r="S135" i="6"/>
  <c r="I156" i="6"/>
  <c r="M135" i="6"/>
  <c r="Q135" i="6"/>
  <c r="I136" i="6"/>
  <c r="E156" i="6"/>
  <c r="G156" i="6"/>
  <c r="M157" i="6" l="1"/>
  <c r="K157" i="6"/>
  <c r="O157" i="6"/>
  <c r="G157" i="6"/>
  <c r="I157" i="6"/>
  <c r="Q157" i="6"/>
  <c r="S157" i="6"/>
  <c r="O137" i="6"/>
  <c r="S137" i="6"/>
  <c r="K137" i="6"/>
  <c r="Q137" i="6"/>
  <c r="M137" i="6"/>
  <c r="G137" i="6"/>
  <c r="G136" i="6"/>
  <c r="S158" i="6" l="1"/>
  <c r="I158" i="6"/>
  <c r="M158" i="6"/>
  <c r="O158" i="6"/>
  <c r="G158" i="6"/>
  <c r="Q158" i="6"/>
  <c r="K158" i="6"/>
  <c r="I137" i="6"/>
  <c r="S159" i="6" l="1"/>
  <c r="M159" i="6"/>
  <c r="K159" i="6"/>
  <c r="O159" i="6"/>
  <c r="Q159" i="6"/>
  <c r="G159" i="6"/>
  <c r="I159" i="6"/>
  <c r="E76" i="6" l="1"/>
  <c r="E77" i="6" s="1"/>
  <c r="I28" i="22" l="1"/>
  <c r="I12" i="22" s="1"/>
  <c r="E28" i="22"/>
  <c r="E12" i="22" s="1"/>
  <c r="I129" i="6"/>
  <c r="I130" i="6"/>
  <c r="M138" i="6"/>
  <c r="I138" i="6"/>
  <c r="E99" i="22" l="1"/>
  <c r="E121" i="22"/>
  <c r="I121" i="22"/>
  <c r="I99" i="22"/>
  <c r="E24" i="22"/>
  <c r="E30" i="22"/>
  <c r="E23" i="22"/>
  <c r="E27" i="22"/>
  <c r="E25" i="22"/>
  <c r="I25" i="22"/>
  <c r="I30" i="22"/>
  <c r="I24" i="22"/>
  <c r="I23" i="22"/>
  <c r="I27" i="22"/>
  <c r="I21" i="22"/>
  <c r="E21" i="22"/>
  <c r="E14" i="22"/>
  <c r="E13" i="22"/>
  <c r="I13" i="22"/>
  <c r="I14" i="22"/>
  <c r="G28" i="22"/>
  <c r="G12" i="22" s="1"/>
  <c r="E157" i="6"/>
  <c r="E135" i="6"/>
  <c r="E136" i="6"/>
  <c r="E158" i="6"/>
  <c r="I160" i="6"/>
  <c r="M160" i="6"/>
  <c r="I151" i="6"/>
  <c r="I152" i="6"/>
  <c r="E124" i="6"/>
  <c r="S129" i="6"/>
  <c r="S130" i="6"/>
  <c r="Q129" i="6"/>
  <c r="Q130" i="6"/>
  <c r="O130" i="6"/>
  <c r="O129" i="6"/>
  <c r="M129" i="6"/>
  <c r="M130" i="6"/>
  <c r="K129" i="6"/>
  <c r="K130" i="6"/>
  <c r="G129" i="6"/>
  <c r="G130" i="6"/>
  <c r="G138" i="6"/>
  <c r="O138" i="6"/>
  <c r="K138" i="6"/>
  <c r="S138" i="6"/>
  <c r="Q138" i="6"/>
  <c r="E137" i="22" l="1"/>
  <c r="E133" i="22"/>
  <c r="E129" i="22"/>
  <c r="E125" i="22"/>
  <c r="E116" i="22"/>
  <c r="E138" i="22"/>
  <c r="E126" i="22"/>
  <c r="E117" i="22"/>
  <c r="E140" i="22"/>
  <c r="E136" i="22"/>
  <c r="E132" i="22"/>
  <c r="E128" i="22"/>
  <c r="E124" i="22"/>
  <c r="E115" i="22"/>
  <c r="E139" i="22"/>
  <c r="E135" i="22"/>
  <c r="E131" i="22"/>
  <c r="E127" i="22"/>
  <c r="E123" i="22"/>
  <c r="E118" i="22"/>
  <c r="E114" i="22"/>
  <c r="E134" i="22"/>
  <c r="E130" i="22"/>
  <c r="E122" i="22"/>
  <c r="I140" i="22"/>
  <c r="I136" i="22"/>
  <c r="I132" i="22"/>
  <c r="I128" i="22"/>
  <c r="I123" i="22"/>
  <c r="I118" i="22"/>
  <c r="I106" i="22"/>
  <c r="I139" i="22"/>
  <c r="I135" i="22"/>
  <c r="I131" i="22"/>
  <c r="I127" i="22"/>
  <c r="I122" i="22"/>
  <c r="I114" i="22"/>
  <c r="I102" i="22"/>
  <c r="I124" i="22"/>
  <c r="I138" i="22"/>
  <c r="I134" i="22"/>
  <c r="I130" i="22"/>
  <c r="I126" i="22"/>
  <c r="I112" i="22"/>
  <c r="I100" i="22"/>
  <c r="I137" i="22"/>
  <c r="I133" i="22"/>
  <c r="I129" i="22"/>
  <c r="I125" i="22"/>
  <c r="I110" i="22"/>
  <c r="I115" i="22"/>
  <c r="I101" i="22"/>
  <c r="I117" i="22"/>
  <c r="I108" i="22"/>
  <c r="I109" i="22"/>
  <c r="I103" i="22"/>
  <c r="I104" i="22"/>
  <c r="I105" i="22"/>
  <c r="I107" i="22"/>
  <c r="I111" i="22"/>
  <c r="I116" i="22"/>
  <c r="I113" i="22"/>
  <c r="G121" i="22"/>
  <c r="G99" i="22"/>
  <c r="E113" i="22"/>
  <c r="E109" i="22"/>
  <c r="E105" i="22"/>
  <c r="E101" i="22"/>
  <c r="E110" i="22"/>
  <c r="E112" i="22"/>
  <c r="E108" i="22"/>
  <c r="E104" i="22"/>
  <c r="E100" i="22"/>
  <c r="E111" i="22"/>
  <c r="E107" i="22"/>
  <c r="E103" i="22"/>
  <c r="E106" i="22"/>
  <c r="E102" i="22"/>
  <c r="G27" i="22"/>
  <c r="G21" i="22"/>
  <c r="G30" i="22"/>
  <c r="G24" i="22"/>
  <c r="G25" i="22"/>
  <c r="G23" i="22"/>
  <c r="G14" i="22"/>
  <c r="G13" i="22"/>
  <c r="E137" i="6"/>
  <c r="E159" i="6"/>
  <c r="G160" i="6"/>
  <c r="K151" i="6"/>
  <c r="M151" i="6"/>
  <c r="Q151" i="6"/>
  <c r="S151" i="6"/>
  <c r="K160" i="6"/>
  <c r="Q160" i="6"/>
  <c r="G151" i="6"/>
  <c r="O152" i="6"/>
  <c r="G152" i="6"/>
  <c r="S160" i="6"/>
  <c r="O160" i="6"/>
  <c r="K152" i="6"/>
  <c r="M152" i="6"/>
  <c r="O151" i="6"/>
  <c r="Q152" i="6"/>
  <c r="S152" i="6"/>
  <c r="E151" i="6"/>
  <c r="E146" i="6"/>
  <c r="E130" i="6"/>
  <c r="E129" i="6"/>
  <c r="G139" i="6"/>
  <c r="O139" i="6"/>
  <c r="M139" i="6"/>
  <c r="I139" i="6"/>
  <c r="S139" i="6"/>
  <c r="K139" i="6"/>
  <c r="Q139" i="6"/>
  <c r="G138" i="22" l="1"/>
  <c r="G134" i="22"/>
  <c r="G130" i="22"/>
  <c r="G126" i="22"/>
  <c r="G122" i="22"/>
  <c r="G117" i="22"/>
  <c r="G113" i="22"/>
  <c r="G109" i="22"/>
  <c r="G105" i="22"/>
  <c r="G101" i="22"/>
  <c r="G139" i="22"/>
  <c r="G127" i="22"/>
  <c r="G118" i="22"/>
  <c r="G106" i="22"/>
  <c r="G137" i="22"/>
  <c r="G133" i="22"/>
  <c r="G129" i="22"/>
  <c r="G125" i="22"/>
  <c r="G116" i="22"/>
  <c r="G112" i="22"/>
  <c r="G108" i="22"/>
  <c r="G104" i="22"/>
  <c r="G100" i="22"/>
  <c r="G140" i="22"/>
  <c r="G136" i="22"/>
  <c r="G132" i="22"/>
  <c r="G128" i="22"/>
  <c r="G124" i="22"/>
  <c r="G115" i="22"/>
  <c r="G111" i="22"/>
  <c r="G107" i="22"/>
  <c r="G103" i="22"/>
  <c r="G135" i="22"/>
  <c r="G131" i="22"/>
  <c r="G123" i="22"/>
  <c r="G114" i="22"/>
  <c r="G110" i="22"/>
  <c r="G102" i="22"/>
  <c r="E160" i="6"/>
  <c r="E138" i="6"/>
  <c r="M161" i="6"/>
  <c r="G161" i="6"/>
  <c r="Q161" i="6"/>
  <c r="S161" i="6"/>
  <c r="K161" i="6"/>
  <c r="I161" i="6"/>
  <c r="O161" i="6"/>
  <c r="E152" i="6"/>
  <c r="S140" i="6"/>
  <c r="I140" i="6"/>
  <c r="K140" i="6"/>
  <c r="M140" i="6"/>
  <c r="O140" i="6"/>
  <c r="G140" i="6"/>
  <c r="Q140" i="6"/>
  <c r="E139" i="6" l="1"/>
  <c r="E161" i="6"/>
  <c r="S162" i="6"/>
  <c r="Q162" i="6"/>
  <c r="I162" i="6"/>
  <c r="K162" i="6"/>
  <c r="O162" i="6"/>
  <c r="G162" i="6"/>
  <c r="M162" i="6"/>
  <c r="O141" i="6"/>
  <c r="I141" i="6"/>
  <c r="K141" i="6"/>
  <c r="G141" i="6"/>
  <c r="S141" i="6"/>
  <c r="M141" i="6"/>
  <c r="Q141" i="6"/>
  <c r="E140" i="6" l="1"/>
  <c r="E162" i="6"/>
  <c r="S163" i="6"/>
  <c r="I163" i="6"/>
  <c r="G163" i="6"/>
  <c r="K163" i="6"/>
  <c r="Q163" i="6"/>
  <c r="O163" i="6"/>
  <c r="M163" i="6"/>
  <c r="K142" i="6"/>
  <c r="Q142" i="6"/>
  <c r="M142" i="6"/>
  <c r="S142" i="6"/>
  <c r="O142" i="6"/>
  <c r="G142" i="6"/>
  <c r="I142" i="6"/>
  <c r="E163" i="6" l="1"/>
  <c r="E141" i="6"/>
  <c r="I164" i="6"/>
  <c r="O164" i="6"/>
  <c r="M164" i="6"/>
  <c r="K164" i="6"/>
  <c r="G164" i="6"/>
  <c r="S164" i="6"/>
  <c r="Q164" i="6"/>
  <c r="E164" i="6" l="1"/>
  <c r="E142" i="6"/>
</calcChain>
</file>

<file path=xl/sharedStrings.xml><?xml version="1.0" encoding="utf-8"?>
<sst xmlns="http://schemas.openxmlformats.org/spreadsheetml/2006/main" count="563" uniqueCount="235">
  <si>
    <t>år</t>
  </si>
  <si>
    <t>TCO-værktøj til tilbudsevaluering</t>
  </si>
  <si>
    <r>
      <rPr>
        <b/>
        <sz val="18"/>
        <color theme="1"/>
        <rFont val="Arial"/>
        <family val="2"/>
      </rPr>
      <t xml:space="preserve">          </t>
    </r>
  </si>
  <si>
    <t xml:space="preserve">          </t>
  </si>
  <si>
    <t>Diskonteringsrente</t>
  </si>
  <si>
    <t>Produktets navn</t>
  </si>
  <si>
    <t>PRODUKT 1</t>
  </si>
  <si>
    <t>PRODUKT 2</t>
  </si>
  <si>
    <t>PRODUKT 3</t>
  </si>
  <si>
    <t>PRODUKT 7</t>
  </si>
  <si>
    <t>PRODUKT 8</t>
  </si>
  <si>
    <t>PRODUKT 6</t>
  </si>
  <si>
    <t>PRODUKT 5</t>
  </si>
  <si>
    <t>PRODUKT 4</t>
  </si>
  <si>
    <t>kr.</t>
  </si>
  <si>
    <t>stk.</t>
  </si>
  <si>
    <t>kr./kWh</t>
  </si>
  <si>
    <t>Driftsomkostning i alt</t>
  </si>
  <si>
    <t xml:space="preserve">Investeringsomkostninger </t>
  </si>
  <si>
    <t xml:space="preserve">Driftsomkostninger </t>
  </si>
  <si>
    <t>År indeks</t>
  </si>
  <si>
    <t>TCO-evalueringsperiode</t>
  </si>
  <si>
    <t>2   Ordregiver: Oplysninger om brugen</t>
  </si>
  <si>
    <t>1   Ordregiver: Baggrundsdata</t>
  </si>
  <si>
    <t>Service, vedligehold og løbende omkostninger</t>
  </si>
  <si>
    <t>Service, vedligehold og løbende omkostninger i alt</t>
  </si>
  <si>
    <t>Driftsomkostninger</t>
  </si>
  <si>
    <t>Pris på serviceaftale jf. kravspecifikation og Intern serviceomkostning - service &amp; support</t>
  </si>
  <si>
    <t>Årlige gennemsnitlige omkostninger</t>
  </si>
  <si>
    <t>kr./år</t>
  </si>
  <si>
    <t>Samlede akkumulerede omkostninger</t>
  </si>
  <si>
    <t>Efterbrugsindtægter/omkostninger i det enkelte år.</t>
  </si>
  <si>
    <t>Gennemsnitlige årlige omkostninger</t>
  </si>
  <si>
    <t>Produktbeskrivelse</t>
  </si>
  <si>
    <t xml:space="preserve">Varenr. </t>
  </si>
  <si>
    <t>Egen reference</t>
  </si>
  <si>
    <t>Skal de eksterne virkninger på miljøet inkluderes i denne TCO-beregning?</t>
  </si>
  <si>
    <t>Ja</t>
  </si>
  <si>
    <t>Ja/nej</t>
  </si>
  <si>
    <t>kg CO2e/kWh</t>
  </si>
  <si>
    <t>kr./tons CO2e</t>
  </si>
  <si>
    <t>Nej</t>
  </si>
  <si>
    <t>1. år for brugsperiode</t>
  </si>
  <si>
    <t>årstal</t>
  </si>
  <si>
    <t>Anvendelse af standardelpriser med gennemsnitlig fremskrivning?</t>
  </si>
  <si>
    <t>Standard elpris</t>
  </si>
  <si>
    <t>Standard elprisstigning (årligt, ud over inflation)</t>
  </si>
  <si>
    <t>Egen elpris</t>
  </si>
  <si>
    <t>Egen elprisstigning (årligt, ud over inflation)</t>
  </si>
  <si>
    <t>Samlet TCO</t>
  </si>
  <si>
    <t>Årstal</t>
  </si>
  <si>
    <t>Klik for at vælge</t>
  </si>
  <si>
    <t>X-akse til akkummulerede omkostninger</t>
  </si>
  <si>
    <t>Max Procentuel (%)</t>
  </si>
  <si>
    <t>https://ens.dk/sites/ens.dk/files/Analyser/samfundsoekonomiske_beregningsforudsaetninger_for_energipriser_og_emissioner_2019.pdf</t>
  </si>
  <si>
    <t>Fremskrivninger</t>
  </si>
  <si>
    <t>Elpriser</t>
  </si>
  <si>
    <t>Emissionsfaktor</t>
  </si>
  <si>
    <t>Samfundsøkonomisk faktor (Default værdi fastsat til 5000 DKK/tons)</t>
  </si>
  <si>
    <t>År</t>
  </si>
  <si>
    <t>kr/ kWh (HVIS selvindtastet)</t>
  </si>
  <si>
    <t>Samlede afgifter (kr./kWh)</t>
  </si>
  <si>
    <t>Elafgift (kr/kWh)</t>
  </si>
  <si>
    <t>PSO-afgift (kr./kWh)</t>
  </si>
  <si>
    <t>Nettarif C time (kr./kWh)</t>
  </si>
  <si>
    <t>Transmissions nettarif (kr./kWh)</t>
  </si>
  <si>
    <t>Systemtarif (kr./kWh)</t>
  </si>
  <si>
    <t>kg CO2e/kWh (predefineret</t>
  </si>
  <si>
    <t>Samlet procentuel udvikling</t>
  </si>
  <si>
    <t>Gennemsnitligt fald</t>
  </si>
  <si>
    <t>kg CO2e/kWh (Gennemsnit)</t>
  </si>
  <si>
    <t>kr./Tons Co2 udregnet pr. 2020-kurs Euro</t>
  </si>
  <si>
    <t>-</t>
  </si>
  <si>
    <t>%/år</t>
  </si>
  <si>
    <t>Anvendelse af standard-værdisætning af samfundsøkonomiske omkostninger?</t>
  </si>
  <si>
    <t>Antal produkter</t>
  </si>
  <si>
    <t>kr/ kWh (standardværdi)</t>
  </si>
  <si>
    <t>Elpris (kr/kWh)</t>
  </si>
  <si>
    <t xml:space="preserve">Energistyrelsens basisfremskrivning, 2020, er kilden til emissionsfaktoren for el. </t>
  </si>
  <si>
    <t>https://ens.dk/service/fremskrivninger-analyser-modeller/basisfremskrivninger</t>
  </si>
  <si>
    <t>Eksternalitetsmodul - Samfundsøkonomiske omkostninger (kr.)</t>
  </si>
  <si>
    <t>PD1 - Årligt strømforbrug (kWh/år/produkt)</t>
  </si>
  <si>
    <t>PD2 - Årligt strømforbrug (kWh/år/produkt)</t>
  </si>
  <si>
    <t>PD3 - Årligt strømforbrug (kWh/år/produkt)</t>
  </si>
  <si>
    <t>PD4 - Årligt strømforbrug (kWh/år/produkt)</t>
  </si>
  <si>
    <t>PD5 - Årligt strømforbrug (kWh/år/produkt)</t>
  </si>
  <si>
    <t>PD6 - Årligt strømforbrug (kWh/år/produkt)</t>
  </si>
  <si>
    <t>PD7 - Årligt strømforbrug (kWh/år/produkt)</t>
  </si>
  <si>
    <t>PD8 - Årligt strømforbrug (kWh/år/produkt)</t>
  </si>
  <si>
    <t>Eksternalitetsmodul - Udledning forbundet med elforbrug I brugsfasen (tons Co2e) -  Udledningerne er multipleret med antallet af produkter I det givne tilbud</t>
  </si>
  <si>
    <t>Energistyrelsens 'Samfundsøkonomiske beregningsforudsætninger 2019 af oktober 2019'</t>
  </si>
  <si>
    <t>Tabel 7: Samfundsøkonomiske priser på el</t>
  </si>
  <si>
    <t>2019-priser kr./MWh</t>
  </si>
  <si>
    <t>Rå samfundsøkonomisk pris på el</t>
  </si>
  <si>
    <t>An
virksomhed*
(&gt; 15 MWh)</t>
  </si>
  <si>
    <t>An
husholdning*
(&lt; 15 MWh)</t>
  </si>
  <si>
    <t>*Inkl. nettab på 6 pct. For fleksible enheder som varmepumper, elpatroner og kraftvarmeanlæg, der driftes efter elprisen, bør der korrigeres for årsvariationerne i elprisen, som beskrevet nedenfor.</t>
  </si>
  <si>
    <t>Note 1: Ved ”virksomhed” forstås alle typer kunder med et årligt elforbrug på mere end 15 MWh.</t>
  </si>
  <si>
    <r>
      <t>Note 2:</t>
    </r>
    <r>
      <rPr>
        <sz val="9"/>
        <color theme="1"/>
        <rFont val="Arial"/>
        <family val="2"/>
      </rPr>
      <t xml:space="preserve"> </t>
    </r>
    <r>
      <rPr>
        <sz val="9"/>
        <color rgb="FF000000"/>
        <rFont val="Arial"/>
        <family val="2"/>
      </rPr>
      <t>Elpriserne er afrundet til hele ører pr. kWh, svarende til hele tiere pr. MWh</t>
    </r>
  </si>
  <si>
    <t>Energistyrelsens 'Fremskrivning af brændselspriser og CO2-kvotepris' af 28. august 2019</t>
  </si>
  <si>
    <t>Tabel 3: Priser på fossile brændsler anvendt i fremskrivningerne</t>
  </si>
  <si>
    <t>2019-priser</t>
  </si>
  <si>
    <t>Rå samfundsøkonomisk importpris på råolie
(kr./GJ)</t>
  </si>
  <si>
    <t>An
forbruger
(benzin)
(kr./GJ)</t>
  </si>
  <si>
    <t>An
forbruger
(diesel)
(kr./GJ)</t>
  </si>
  <si>
    <t>Beregnet pris/liter benzin
(kr./liter benzin)</t>
  </si>
  <si>
    <t>Beregnet pris/liter diesel
(kr./liter diesel)</t>
  </si>
  <si>
    <t>Benzin</t>
  </si>
  <si>
    <t>Diesel</t>
  </si>
  <si>
    <t>Energiindhold i motorbrændstof er fastsat efter tabel 1 i Bekendtgørelse nr. 1394 af 14. december 2010</t>
  </si>
  <si>
    <t>"Bekendtgørelse om miljøbevidste indkøb af køretøjer til vejtransport"</t>
  </si>
  <si>
    <t>Energiindhold ifølge BEK nr. 1394, 2010</t>
  </si>
  <si>
    <t>MJ/liter</t>
  </si>
  <si>
    <t>GJ/liter</t>
  </si>
  <si>
    <t xml:space="preserve">TCO-værktøj </t>
  </si>
  <si>
    <t>Må ikke anvendes i udbudssituationen - men kan bruges internt til sammenligning af f.eks. benzin med el</t>
  </si>
  <si>
    <t>Valg af produkter til sammenligning</t>
  </si>
  <si>
    <t>Vælg kun bedste produkt fra hhv. faneblad "Benzin-diesel-hybrid" samt "El og plugin hybrid"</t>
  </si>
  <si>
    <t>"Benzin-diesel-hybrid"</t>
  </si>
  <si>
    <t>"El og plugin hybrid"</t>
  </si>
  <si>
    <t>PRODUKT 1 EL</t>
  </si>
  <si>
    <t>Resultat</t>
  </si>
  <si>
    <t>DENNE TEKST SKAL SKRIVES MED HVID TEKST OG SKJULES TIL SIDST!</t>
  </si>
  <si>
    <t>Akkumulerede samlede udgifter (nutidsværdi)</t>
  </si>
  <si>
    <t>Gennemsnitlige årlige omkostninger (relation til levetid)</t>
  </si>
  <si>
    <t>Klik for valg</t>
  </si>
  <si>
    <t>PRODUKT 10</t>
  </si>
  <si>
    <t>PRODUKT 9</t>
  </si>
  <si>
    <t>kr. / køretøj</t>
  </si>
  <si>
    <t>Grøn ejerafgift</t>
  </si>
  <si>
    <t>Brændstofforbrug (jf. WLTP eller VECTO)</t>
  </si>
  <si>
    <t>km/liter</t>
  </si>
  <si>
    <t>Årligt kørselsforbrug pr. motorkøretøj</t>
  </si>
  <si>
    <t>km/år pr. køretøj</t>
  </si>
  <si>
    <t>Standard benzinpris</t>
  </si>
  <si>
    <t>kr./liter</t>
  </si>
  <si>
    <t>Standard dieselpris</t>
  </si>
  <si>
    <t>Standard prisstigning på benzin (årligt, ud over inflation)</t>
  </si>
  <si>
    <t>Standard prisstigning på diesel (årligt, ud over inflation)</t>
  </si>
  <si>
    <t>Egen benzinpris</t>
  </si>
  <si>
    <t>Egen prisstigning på benzin (årligt, ud over inflation)</t>
  </si>
  <si>
    <t>Egen prisstigning på diesel (årligt, ud over inflation)</t>
  </si>
  <si>
    <t>Egen CO2-emissionsfaktor for diesel</t>
  </si>
  <si>
    <t>Egen CO2-emissionsfaktor for benzil</t>
  </si>
  <si>
    <t>Anvendelse af standard-CO2-emissionsfaktor for brændstofforbrug?</t>
  </si>
  <si>
    <t>Standard-CO2-emissionsfaktor for benzin</t>
  </si>
  <si>
    <t>Standard-CO2-emissionsfaktor for diesel</t>
  </si>
  <si>
    <t>kg CO2e/liter</t>
  </si>
  <si>
    <t>Forsikring</t>
  </si>
  <si>
    <t>Andre løbende omkostninger</t>
  </si>
  <si>
    <t xml:space="preserve">kr./ år / køretøj </t>
  </si>
  <si>
    <t>Benzin/Diesel</t>
  </si>
  <si>
    <t>Anvendelse af standardbenzinpriser med gennemsnitlig fremskrivning?</t>
  </si>
  <si>
    <t>Anvendelse af standarddieselpriser med gennemsnitlig fremskrivning?</t>
  </si>
  <si>
    <t>Plugin hybrid benzin</t>
  </si>
  <si>
    <t>El og benzin</t>
  </si>
  <si>
    <t>Plugin hybrid diesel</t>
  </si>
  <si>
    <t>El og diesel</t>
  </si>
  <si>
    <t>El</t>
  </si>
  <si>
    <t>Kilder</t>
  </si>
  <si>
    <t>https://www.drivkraftdanmark.dk/priser/benzin-95-oktan/</t>
  </si>
  <si>
    <t>Benzinpriser</t>
  </si>
  <si>
    <t>Dieselpriser</t>
  </si>
  <si>
    <t>https://www.drivkraftdanmark.dk/priser/diesel/</t>
  </si>
  <si>
    <t xml:space="preserve">Dieselpriser - baseret på data fra drivkraftdanmark.dk og fremskrevet på baggrund af Energistyrelsens 'Fremskrivning af brændselspriser og CO2-kvotepris' af 28. august 2019 </t>
  </si>
  <si>
    <t>Kilde</t>
  </si>
  <si>
    <t>Samlede afgifter (kr./liter)</t>
  </si>
  <si>
    <t>kr/ liter(HVIS selvindtastet)</t>
  </si>
  <si>
    <t>kr/liter (standardværdi)</t>
  </si>
  <si>
    <t>CO2-afgift (kr./liter)</t>
  </si>
  <si>
    <t>Energiafgift (kr./liter)</t>
  </si>
  <si>
    <t>Benzin - Diesel - Hybrid</t>
  </si>
  <si>
    <t>Plugin hybrid</t>
  </si>
  <si>
    <t>CO2e udledninger</t>
  </si>
  <si>
    <t>Hvilken type brændstof anvender køretøjet?</t>
  </si>
  <si>
    <t>Eksternalitetsmodul - Udledninger forbundet med dieselforbruget i brugsfasen (tons Co2e) - Udledningerne er multipleret med antallet af produkter I det givne tilbud</t>
  </si>
  <si>
    <t>CO2e udledninger (kg CO2/liter)</t>
  </si>
  <si>
    <t>Benzinpriser (E10) - Benzin Diesel hybrid</t>
  </si>
  <si>
    <t>Billigste</t>
  </si>
  <si>
    <t>2. billigste</t>
  </si>
  <si>
    <t>3. billigste</t>
  </si>
  <si>
    <t>Automatisk indsat</t>
  </si>
  <si>
    <t>Samfundsøkonomiske omkostninger af eksterne virkninger på miljøet</t>
  </si>
  <si>
    <t>tons CO2e</t>
  </si>
  <si>
    <t>Investeringsomkostning (uden ladestandere/ladebokse)</t>
  </si>
  <si>
    <t>Investeringsomkostning (kun ladestandere/ladebokse)</t>
  </si>
  <si>
    <t>Benzinpris (kr./)</t>
  </si>
  <si>
    <t>Dieselpris (kr./m3)</t>
  </si>
  <si>
    <t>Eksternalitetsmodul - Udledninger forbundet med benzinforbrug i brugsfasen (tons Co2e) - Udledningerne er multipleret med antallet af produkter I det givne tilbud</t>
  </si>
  <si>
    <t>Brændstofforbrug (jf. WLTP)</t>
  </si>
  <si>
    <t>Wh/km</t>
  </si>
  <si>
    <t>PRODUKT 2 EL</t>
  </si>
  <si>
    <t>PRODUKT 3 EL</t>
  </si>
  <si>
    <t>PRODUKT 4 EL</t>
  </si>
  <si>
    <t>PRODUKT 5 EL</t>
  </si>
  <si>
    <t>PRODUKT 6 EL</t>
  </si>
  <si>
    <t>PRODUKT 7 EL</t>
  </si>
  <si>
    <t>PRODUKT 8 EL</t>
  </si>
  <si>
    <t>PRODUKT 9 EL</t>
  </si>
  <si>
    <t>PRODUKT 10 EL</t>
  </si>
  <si>
    <t>Hvilken type køretøj er der tale om?</t>
  </si>
  <si>
    <t>Investeringsomkostninger</t>
  </si>
  <si>
    <t>Indkøbspris for ladestandere (evt. ladebokse)</t>
  </si>
  <si>
    <t xml:space="preserve">Opladningsabonnement </t>
  </si>
  <si>
    <t>Forventet levetid</t>
  </si>
  <si>
    <t>Antal år</t>
  </si>
  <si>
    <t>kr./år/enhed</t>
  </si>
  <si>
    <t>kr./år/køretøj</t>
  </si>
  <si>
    <t>km/år/køretøj</t>
  </si>
  <si>
    <t>Evt. etableringsgebyr</t>
  </si>
  <si>
    <t>Investeringsomkostninger i alt</t>
  </si>
  <si>
    <t>Benzin - diesel - hybrid (uden opladning) - Operationel leasing</t>
  </si>
  <si>
    <t>Tilpas den rå elpris til her</t>
  </si>
  <si>
    <t>Tilpas den rå produktpris for diesel her</t>
  </si>
  <si>
    <t>Tilpas den rå produktpris for benzin her</t>
  </si>
  <si>
    <t>Samlede eksterne virkninger på miljøet fra brugsfasen</t>
  </si>
  <si>
    <t>4A  Kun for plugin hybridkøretøjer</t>
  </si>
  <si>
    <t>4    Tilbudsgiver: Oplysninger om produktet</t>
  </si>
  <si>
    <t>5  Resultat</t>
  </si>
  <si>
    <t>Standard-værdisætning</t>
  </si>
  <si>
    <t>Egen værdisætning</t>
  </si>
  <si>
    <t>3   Ordregiver: Værdisætning af samfundsøkonomiske omkostninger ved eksterne virkninger på miljøet</t>
  </si>
  <si>
    <t>Anvendelse af standard-CO2-emissionsfaktor for elforbrug?</t>
  </si>
  <si>
    <t>Standard-CO2-emissionsfaktor for elforbrug</t>
  </si>
  <si>
    <t>Egen CO2-emissionsfaktor for elforbrug</t>
  </si>
  <si>
    <t>Egen dieselpris</t>
  </si>
  <si>
    <t xml:space="preserve">kr./år pr. køretøj </t>
  </si>
  <si>
    <t>El og plugin-hybrid                                     Operationel leasing</t>
  </si>
  <si>
    <t>Egen CO2-emissionsfaktor for benzin</t>
  </si>
  <si>
    <t>El / plugin hybrid-benzin / plugin hybrid-diesel</t>
  </si>
  <si>
    <t xml:space="preserve">kr./år pr .køretøj </t>
  </si>
  <si>
    <t>Motorkøretøjer - sammenligning af de tre billigste TCOer fra hhv. benzin - diesel - hybrid og el og plugin-hybrid</t>
  </si>
  <si>
    <t>Elpris - An virksomhed (kr./kWh) (u. afgifter og moms) (2021 fremskrivning af Energistyrelsen)</t>
  </si>
  <si>
    <t>Pris finansieret via leasing jf. kravsspecifikation</t>
  </si>
  <si>
    <t>Elforbrug (jf. WLTP eller VECTO)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</si>
</sst>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8" formatCode="#,##0.00\ &quot;kr.&quot;;[Red]\-#,##0.00\ &quot;kr.&quot;"/>
    <numFmt numFmtId="42" formatCode="_-* #,##0\ &quot;kr.&quot;_-;\-* #,##0\ &quot;kr.&quot;_-;_-* &quot;-&quot;\ &quot;kr.&quot;_-;_-@_-"/>
    <numFmt numFmtId="44" formatCode="_-* #,##0.00\ &quot;kr.&quot;_-;\-* #,##0.00\ &quot;kr.&quot;_-;_-* &quot;-&quot;??\ &quot;kr.&quot;_-;_-@_-"/>
    <numFmt numFmtId="43" formatCode="_-* #,##0.00_-;\-* #,##0.00_-;_-* &quot;-&quot;??_-;_-@_-"/>
    <numFmt numFmtId="164" formatCode="&quot;kr.&quot;\ #,##0.00;[Red]&quot;kr.&quot;\ \-#,##0.00"/>
    <numFmt numFmtId="165" formatCode="_ * #,##0.00_ ;_ * \-#,##0.00_ ;_ * &quot;-&quot;??_ ;_ @_ "/>
    <numFmt numFmtId="166" formatCode="_(* #,##0.00_);_(* \(#,##0.00\);_(* &quot;-&quot;??_);_(@_)"/>
    <numFmt numFmtId="167" formatCode="&quot;kr&quot;\ #,##0_);\(&quot;kr&quot;\ #,##0\)"/>
    <numFmt numFmtId="168" formatCode="#,##0\ &quot;DKK&quot;"/>
    <numFmt numFmtId="169" formatCode="#,##0.00\ &quot;DKK&quot;"/>
    <numFmt numFmtId="170" formatCode="#,##0.00\ &quot;øre&quot;"/>
    <numFmt numFmtId="171" formatCode="#,##0.00\ &quot;EUR&quot;"/>
    <numFmt numFmtId="172" formatCode="0.0000\ &quot;EUR&quot;"/>
    <numFmt numFmtId="173" formatCode="#,##0_ ;\-#,##0\ "/>
    <numFmt numFmtId="174" formatCode="0.000000"/>
    <numFmt numFmtId="175" formatCode="0.000"/>
    <numFmt numFmtId="176" formatCode="#,##0.0000"/>
    <numFmt numFmtId="177" formatCode="#,##0.00\ &quot;kr.&quot;"/>
    <numFmt numFmtId="178" formatCode="0.0%"/>
    <numFmt numFmtId="179" formatCode="0.00000"/>
    <numFmt numFmtId="180" formatCode="0.0"/>
    <numFmt numFmtId="181" formatCode="#,##0.00_ ;\-#,##0.00\ "/>
  </numFmts>
  <fonts count="85">
    <font>
      <sz val="11"/>
      <color theme="1"/>
      <name val="Calibri"/>
      <family val="2"/>
      <scheme val="minor"/>
    </font>
    <font>
      <sz val="11"/>
      <color theme="1"/>
      <name val="Calibri"/>
      <family val="2"/>
      <scheme val="minor"/>
    </font>
    <font>
      <sz val="10"/>
      <name val="Arial"/>
      <family val="2"/>
    </font>
    <font>
      <b/>
      <sz val="18"/>
      <color theme="3"/>
      <name val="Cambria"/>
      <family val="2"/>
      <scheme val="major"/>
    </font>
    <font>
      <b/>
      <sz val="10"/>
      <name val="Arial"/>
      <family val="2"/>
    </font>
    <font>
      <sz val="11"/>
      <color indexed="8"/>
      <name val="Calibri"/>
      <family val="2"/>
    </font>
    <font>
      <sz val="10"/>
      <color indexed="12"/>
      <name val="Arial"/>
      <family val="2"/>
    </font>
    <font>
      <sz val="12"/>
      <color indexed="12"/>
      <name val="Arial"/>
      <family val="2"/>
    </font>
    <font>
      <sz val="10"/>
      <name val="Helvetica KM"/>
    </font>
    <font>
      <b/>
      <sz val="12"/>
      <name val="Arial"/>
      <family val="2"/>
    </font>
    <font>
      <sz val="12"/>
      <name val="Arial"/>
      <family val="2"/>
    </font>
    <font>
      <sz val="11"/>
      <color theme="1"/>
      <name val="Arial"/>
      <family val="2"/>
    </font>
    <font>
      <b/>
      <sz val="18"/>
      <color theme="3"/>
      <name val="Arial"/>
      <family val="2"/>
    </font>
    <font>
      <sz val="16"/>
      <color theme="3"/>
      <name val="Arial"/>
      <family val="2"/>
    </font>
    <font>
      <b/>
      <sz val="16"/>
      <color theme="3"/>
      <name val="Arial"/>
      <family val="2"/>
    </font>
    <font>
      <sz val="18"/>
      <color theme="3"/>
      <name val="Arial"/>
      <family val="2"/>
    </font>
    <font>
      <b/>
      <sz val="11"/>
      <color theme="1"/>
      <name val="Arial"/>
      <family val="2"/>
    </font>
    <font>
      <i/>
      <sz val="14"/>
      <color theme="1"/>
      <name val="Arial"/>
      <family val="2"/>
    </font>
    <font>
      <i/>
      <sz val="8"/>
      <color theme="1"/>
      <name val="Arial"/>
      <family val="2"/>
    </font>
    <font>
      <sz val="10"/>
      <color theme="1"/>
      <name val="Arial"/>
      <family val="2"/>
    </font>
    <font>
      <i/>
      <sz val="11"/>
      <color theme="1"/>
      <name val="Arial"/>
      <family val="2"/>
    </font>
    <font>
      <b/>
      <sz val="16"/>
      <color theme="4" tint="-0.499984740745262"/>
      <name val="Arial"/>
      <family val="2"/>
    </font>
    <font>
      <sz val="16"/>
      <color theme="4" tint="-0.499984740745262"/>
      <name val="Arial"/>
      <family val="2"/>
    </font>
    <font>
      <sz val="12"/>
      <color theme="1"/>
      <name val="Arial"/>
      <family val="2"/>
    </font>
    <font>
      <b/>
      <sz val="14"/>
      <color theme="1"/>
      <name val="Arial"/>
      <family val="2"/>
    </font>
    <font>
      <sz val="14"/>
      <color theme="1"/>
      <name val="Arial"/>
      <family val="2"/>
    </font>
    <font>
      <b/>
      <sz val="18"/>
      <color theme="1"/>
      <name val="Arial"/>
      <family val="2"/>
    </font>
    <font>
      <b/>
      <sz val="22"/>
      <color theme="1"/>
      <name val="Arial"/>
      <family val="2"/>
    </font>
    <font>
      <u/>
      <sz val="11"/>
      <color theme="10"/>
      <name val="Calibri"/>
      <family val="2"/>
      <scheme val="minor"/>
    </font>
    <font>
      <u/>
      <sz val="11"/>
      <color theme="11"/>
      <name val="Calibri"/>
      <family val="2"/>
      <scheme val="minor"/>
    </font>
    <font>
      <sz val="11"/>
      <color rgb="FFFF0000"/>
      <name val="Arial"/>
      <family val="2"/>
    </font>
    <font>
      <i/>
      <sz val="8"/>
      <color rgb="FFFF0000"/>
      <name val="Arial"/>
      <family val="2"/>
    </font>
    <font>
      <sz val="11"/>
      <color theme="0" tint="-0.499984740745262"/>
      <name val="Arial"/>
      <family val="2"/>
    </font>
    <font>
      <i/>
      <sz val="8"/>
      <color theme="0" tint="-0.499984740745262"/>
      <name val="Arial"/>
      <family val="2"/>
    </font>
    <font>
      <sz val="8"/>
      <color theme="0" tint="-0.499984740745262"/>
      <name val="Arial"/>
      <family val="2"/>
    </font>
    <font>
      <sz val="10"/>
      <color theme="0" tint="-0.499984740745262"/>
      <name val="Calibri"/>
      <family val="2"/>
      <scheme val="minor"/>
    </font>
    <font>
      <sz val="10"/>
      <name val="Calibri"/>
      <family val="2"/>
      <scheme val="minor"/>
    </font>
    <font>
      <b/>
      <sz val="10"/>
      <name val="Calibri"/>
      <family val="2"/>
      <scheme val="minor"/>
    </font>
    <font>
      <sz val="11"/>
      <name val="Calibri"/>
      <family val="2"/>
      <scheme val="minor"/>
    </font>
    <font>
      <b/>
      <sz val="10"/>
      <color theme="1"/>
      <name val="Arial"/>
      <family val="2"/>
    </font>
    <font>
      <i/>
      <sz val="10"/>
      <color theme="1"/>
      <name val="Arial"/>
      <family val="2"/>
    </font>
    <font>
      <b/>
      <sz val="14"/>
      <color theme="3"/>
      <name val="Arial"/>
      <family val="2"/>
    </font>
    <font>
      <sz val="8"/>
      <color theme="1"/>
      <name val="Arial"/>
      <family val="2"/>
    </font>
    <font>
      <b/>
      <sz val="8"/>
      <name val="Calibri"/>
      <family val="2"/>
      <scheme val="minor"/>
    </font>
    <font>
      <b/>
      <sz val="8"/>
      <color theme="1"/>
      <name val="Calibri"/>
      <family val="2"/>
      <scheme val="minor"/>
    </font>
    <font>
      <sz val="8"/>
      <name val="Calibri"/>
      <family val="2"/>
      <scheme val="minor"/>
    </font>
    <font>
      <b/>
      <sz val="11"/>
      <name val="Calibri"/>
      <family val="2"/>
      <scheme val="minor"/>
    </font>
    <font>
      <sz val="11"/>
      <color theme="0"/>
      <name val="Arial"/>
      <family val="2"/>
    </font>
    <font>
      <sz val="10"/>
      <color theme="0"/>
      <name val="Calibri"/>
      <family val="2"/>
      <scheme val="minor"/>
    </font>
    <font>
      <sz val="8"/>
      <color theme="0"/>
      <name val="Arial"/>
      <family val="2"/>
    </font>
    <font>
      <i/>
      <sz val="8"/>
      <color theme="0"/>
      <name val="Arial"/>
      <family val="2"/>
    </font>
    <font>
      <sz val="9"/>
      <color theme="1"/>
      <name val="Calibri"/>
      <family val="2"/>
      <scheme val="minor"/>
    </font>
    <font>
      <b/>
      <sz val="11"/>
      <name val="Arial"/>
      <family val="2"/>
    </font>
    <font>
      <sz val="10"/>
      <color theme="1" tint="0.34998626667073579"/>
      <name val="Arial"/>
      <family val="2"/>
    </font>
    <font>
      <i/>
      <sz val="8"/>
      <name val="Arial"/>
      <family val="2"/>
    </font>
    <font>
      <sz val="10"/>
      <color theme="0" tint="-0.499984740745262"/>
      <name val="Arial"/>
      <family val="2"/>
    </font>
    <font>
      <sz val="16"/>
      <color theme="1"/>
      <name val="Arial"/>
      <family val="2"/>
    </font>
    <font>
      <sz val="9"/>
      <color theme="1"/>
      <name val="Arial"/>
      <family val="2"/>
    </font>
    <font>
      <b/>
      <sz val="8"/>
      <color theme="1"/>
      <name val="Arial"/>
      <family val="2"/>
    </font>
    <font>
      <u/>
      <sz val="10"/>
      <color theme="10"/>
      <name val="Arial"/>
      <family val="2"/>
    </font>
    <font>
      <sz val="10"/>
      <color theme="6"/>
      <name val="Arial"/>
      <family val="2"/>
    </font>
    <font>
      <sz val="10"/>
      <color rgb="FFFF0000"/>
      <name val="Arial"/>
      <family val="2"/>
    </font>
    <font>
      <b/>
      <sz val="10"/>
      <color theme="6"/>
      <name val="Arial"/>
      <family val="2"/>
    </font>
    <font>
      <b/>
      <sz val="11"/>
      <color theme="0"/>
      <name val="Calibri"/>
      <family val="2"/>
      <scheme val="minor"/>
    </font>
    <font>
      <b/>
      <sz val="11"/>
      <color theme="1"/>
      <name val="Calibri"/>
      <family val="2"/>
      <scheme val="minor"/>
    </font>
    <font>
      <sz val="11"/>
      <color theme="0"/>
      <name val="Calibri"/>
      <family val="2"/>
      <scheme val="minor"/>
    </font>
    <font>
      <b/>
      <sz val="15"/>
      <name val="Calibri"/>
      <family val="2"/>
      <scheme val="minor"/>
    </font>
    <font>
      <b/>
      <sz val="9"/>
      <color theme="1"/>
      <name val="Calibri"/>
      <family val="2"/>
      <scheme val="minor"/>
    </font>
    <font>
      <sz val="10"/>
      <color rgb="FF000000"/>
      <name val="Calibri"/>
      <family val="2"/>
    </font>
    <font>
      <sz val="9"/>
      <color rgb="FF000000"/>
      <name val="Arial"/>
      <family val="2"/>
    </font>
    <font>
      <b/>
      <sz val="20"/>
      <color theme="1"/>
      <name val="Arial"/>
      <family val="2"/>
    </font>
    <font>
      <b/>
      <sz val="14"/>
      <name val="Arial"/>
      <family val="2"/>
    </font>
    <font>
      <b/>
      <sz val="10"/>
      <color rgb="FF0070C0"/>
      <name val="Arial"/>
      <family val="2"/>
    </font>
    <font>
      <sz val="8"/>
      <color theme="0" tint="-0.499984740745262"/>
      <name val="Calibri"/>
      <family val="2"/>
      <scheme val="minor"/>
    </font>
    <font>
      <i/>
      <sz val="8"/>
      <color theme="0" tint="-0.499984740745262"/>
      <name val="Calibri"/>
      <family val="2"/>
      <scheme val="minor"/>
    </font>
    <font>
      <sz val="11"/>
      <color theme="0" tint="-0.499984740745262"/>
      <name val="Calibri"/>
      <family val="2"/>
      <scheme val="minor"/>
    </font>
    <font>
      <sz val="9"/>
      <color theme="0" tint="-0.499984740745262"/>
      <name val="Calibri"/>
      <family val="2"/>
      <scheme val="minor"/>
    </font>
    <font>
      <i/>
      <sz val="11"/>
      <color theme="0" tint="-0.499984740745262"/>
      <name val="Calibri"/>
      <family val="2"/>
      <scheme val="minor"/>
    </font>
    <font>
      <i/>
      <sz val="11"/>
      <color theme="0"/>
      <name val="Calibri"/>
      <family val="2"/>
      <scheme val="minor"/>
    </font>
    <font>
      <i/>
      <sz val="11"/>
      <color theme="1"/>
      <name val="Calibri"/>
      <family val="2"/>
      <scheme val="minor"/>
    </font>
    <font>
      <b/>
      <i/>
      <sz val="8"/>
      <name val="Calibri"/>
      <family val="2"/>
      <scheme val="minor"/>
    </font>
    <font>
      <sz val="18"/>
      <color theme="1"/>
      <name val="Arial"/>
      <family val="2"/>
    </font>
    <font>
      <sz val="11"/>
      <name val="Arial"/>
      <family val="2"/>
    </font>
    <font>
      <sz val="8"/>
      <name val="Arial"/>
      <family val="2"/>
    </font>
    <font>
      <i/>
      <sz val="11"/>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indexed="42"/>
        <bgColor indexed="64"/>
      </patternFill>
    </fill>
    <fill>
      <patternFill patternType="solid">
        <fgColor indexed="22"/>
        <bgColor indexed="64"/>
      </patternFill>
    </fill>
    <fill>
      <patternFill patternType="solid">
        <fgColor indexed="10"/>
        <bgColor indexed="64"/>
      </patternFill>
    </fill>
    <fill>
      <patternFill patternType="solid">
        <fgColor indexed="47"/>
        <bgColor indexed="64"/>
      </patternFill>
    </fill>
    <fill>
      <patternFill patternType="solid">
        <fgColor indexed="43"/>
        <bgColor indexed="64"/>
      </patternFill>
    </fill>
    <fill>
      <patternFill patternType="solid">
        <fgColor indexed="11"/>
        <bgColor indexed="64"/>
      </patternFill>
    </fill>
    <fill>
      <patternFill patternType="solid">
        <fgColor rgb="FF7EC9B7"/>
        <bgColor indexed="64"/>
      </patternFill>
    </fill>
    <fill>
      <patternFill patternType="solid">
        <fgColor theme="2"/>
        <bgColor indexed="64"/>
      </patternFill>
    </fill>
    <fill>
      <patternFill patternType="solid">
        <fgColor rgb="FFDEEBF7"/>
        <bgColor indexed="64"/>
      </patternFill>
    </fill>
    <fill>
      <patternFill patternType="solid">
        <fgColor rgb="FFC4BD97"/>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6"/>
        <bgColor indexed="64"/>
      </patternFill>
    </fill>
    <fill>
      <patternFill patternType="solid">
        <fgColor theme="6" tint="-0.249977111117893"/>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337">
    <xf numFmtId="0" fontId="0" fillId="0" borderId="0"/>
    <xf numFmtId="0" fontId="3" fillId="0" borderId="0" applyNumberFormat="0" applyFill="0" applyBorder="0" applyAlignment="0" applyProtection="0"/>
    <xf numFmtId="0" fontId="2" fillId="0" borderId="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4" fontId="2" fillId="0" borderId="0" applyFill="0" applyBorder="0" applyAlignment="0"/>
    <xf numFmtId="14" fontId="2" fillId="0" borderId="0" applyFill="0" applyBorder="0" applyAlignment="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5" fillId="0" borderId="0"/>
    <xf numFmtId="0" fontId="5"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5" fillId="0" borderId="0"/>
    <xf numFmtId="0" fontId="1" fillId="0" borderId="0"/>
    <xf numFmtId="0" fontId="1"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2" fillId="0" borderId="1" applyFont="0" applyFill="0" applyAlignment="0"/>
    <xf numFmtId="3" fontId="2" fillId="0" borderId="1" applyFont="0" applyFill="0" applyAlignment="0"/>
    <xf numFmtId="0" fontId="6" fillId="0" borderId="1" applyFill="0" applyBorder="0" applyAlignment="0">
      <alignment horizontal="center"/>
      <protection locked="0"/>
    </xf>
    <xf numFmtId="49" fontId="6" fillId="6" borderId="1" applyFill="0" applyBorder="0">
      <alignment horizontal="right"/>
      <protection locked="0"/>
    </xf>
    <xf numFmtId="49" fontId="7" fillId="0" borderId="1" applyFill="0">
      <alignment horizontal="center"/>
      <protection locked="0"/>
    </xf>
    <xf numFmtId="0" fontId="8" fillId="0" borderId="0"/>
    <xf numFmtId="1" fontId="9" fillId="7" borderId="1">
      <alignment horizontal="center" wrapText="1"/>
    </xf>
    <xf numFmtId="3" fontId="10" fillId="0" borderId="1" applyFont="0" applyFill="0">
      <alignment horizontal="center"/>
    </xf>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49" fontId="2" fillId="8" borderId="0" applyFill="0" applyBorder="0">
      <alignment horizontal="right"/>
    </xf>
    <xf numFmtId="49" fontId="2" fillId="8" borderId="0" applyFill="0" applyBorder="0">
      <alignment horizontal="right"/>
    </xf>
    <xf numFmtId="168" fontId="4" fillId="9" borderId="1" applyFont="0" applyFill="0" applyAlignment="0"/>
    <xf numFmtId="169" fontId="4" fillId="9" borderId="1" applyFont="0" applyFill="0" applyBorder="0" applyAlignment="0"/>
    <xf numFmtId="170" fontId="2" fillId="9" borderId="1" applyFont="0" applyFill="0" applyBorder="0" applyAlignment="0"/>
    <xf numFmtId="169" fontId="6" fillId="10" borderId="1" applyFill="0" applyBorder="0" applyAlignment="0">
      <protection locked="0"/>
    </xf>
    <xf numFmtId="170" fontId="6" fillId="7" borderId="1" applyFill="0" applyBorder="0" applyAlignment="0">
      <protection locked="0"/>
    </xf>
    <xf numFmtId="171" fontId="2" fillId="11" borderId="0" applyFill="0" applyBorder="0" applyAlignment="0">
      <alignment horizontal="left"/>
    </xf>
    <xf numFmtId="171" fontId="4" fillId="10" borderId="1" applyFont="0" applyFill="0" applyBorder="0" applyAlignment="0"/>
    <xf numFmtId="172" fontId="2" fillId="11" borderId="0" applyFont="0" applyFill="0" applyBorder="0" applyAlignment="0" applyProtection="0">
      <alignment horizontal="left"/>
    </xf>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5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8" fillId="0" borderId="0" applyNumberFormat="0" applyFill="0" applyBorder="0" applyAlignment="0" applyProtection="0"/>
    <xf numFmtId="43" fontId="1" fillId="0" borderId="0" applyFont="0" applyFill="0" applyBorder="0" applyAlignment="0" applyProtection="0"/>
  </cellStyleXfs>
  <cellXfs count="572">
    <xf numFmtId="0" fontId="0" fillId="0" borderId="0" xfId="0"/>
    <xf numFmtId="0" fontId="0" fillId="0" borderId="0" xfId="0" applyFill="1"/>
    <xf numFmtId="0" fontId="38" fillId="0" borderId="0" xfId="0" applyFont="1" applyFill="1"/>
    <xf numFmtId="0" fontId="36" fillId="0" borderId="0" xfId="0" applyFont="1" applyFill="1" applyBorder="1" applyAlignment="1">
      <alignment horizontal="center" vertical="center"/>
    </xf>
    <xf numFmtId="164" fontId="36" fillId="0" borderId="0" xfId="0" applyNumberFormat="1" applyFont="1" applyFill="1" applyBorder="1" applyAlignment="1">
      <alignment horizontal="center" vertical="center" shrinkToFit="1"/>
    </xf>
    <xf numFmtId="0" fontId="36" fillId="0" borderId="0" xfId="0" applyFont="1" applyFill="1" applyBorder="1" applyAlignment="1">
      <alignment shrinkToFit="1"/>
    </xf>
    <xf numFmtId="1" fontId="37" fillId="0" borderId="0" xfId="0" applyNumberFormat="1" applyFont="1" applyFill="1" applyBorder="1" applyAlignment="1">
      <alignment horizontal="center" shrinkToFit="1"/>
    </xf>
    <xf numFmtId="1" fontId="39" fillId="2" borderId="1" xfId="0" applyNumberFormat="1" applyFont="1" applyFill="1" applyBorder="1" applyAlignment="1" applyProtection="1">
      <alignment horizontal="center" vertical="center" wrapText="1"/>
    </xf>
    <xf numFmtId="0" fontId="11" fillId="4" borderId="0" xfId="0" applyFont="1" applyFill="1" applyProtection="1"/>
    <xf numFmtId="0" fontId="11" fillId="4" borderId="0" xfId="0" applyFont="1" applyFill="1" applyAlignment="1" applyProtection="1">
      <alignment horizontal="left"/>
    </xf>
    <xf numFmtId="0" fontId="11" fillId="4" borderId="0" xfId="0" applyFont="1" applyFill="1" applyAlignment="1" applyProtection="1">
      <alignment horizontal="center"/>
    </xf>
    <xf numFmtId="0" fontId="11" fillId="2" borderId="0" xfId="0" applyFont="1" applyFill="1" applyProtection="1"/>
    <xf numFmtId="0" fontId="11" fillId="4" borderId="0" xfId="0" quotePrefix="1" applyFont="1" applyFill="1" applyProtection="1"/>
    <xf numFmtId="0" fontId="24" fillId="4" borderId="0" xfId="0" applyFont="1" applyFill="1" applyBorder="1" applyProtection="1"/>
    <xf numFmtId="0" fontId="11" fillId="0" borderId="0" xfId="0" applyFont="1" applyProtection="1"/>
    <xf numFmtId="0" fontId="11" fillId="4" borderId="0" xfId="0" quotePrefix="1" applyFont="1" applyFill="1" applyAlignment="1" applyProtection="1">
      <alignment vertical="center"/>
    </xf>
    <xf numFmtId="0" fontId="11" fillId="4" borderId="0" xfId="0" applyFont="1" applyFill="1" applyAlignment="1" applyProtection="1">
      <alignment vertical="center"/>
    </xf>
    <xf numFmtId="0" fontId="11" fillId="4" borderId="0" xfId="0" applyFont="1" applyFill="1" applyAlignment="1" applyProtection="1">
      <alignment horizontal="center" vertical="center"/>
    </xf>
    <xf numFmtId="0" fontId="11" fillId="2" borderId="0" xfId="0" applyFont="1" applyFill="1" applyAlignment="1" applyProtection="1">
      <alignment vertical="center"/>
    </xf>
    <xf numFmtId="0" fontId="11" fillId="0" borderId="0" xfId="0" applyFont="1" applyAlignment="1" applyProtection="1">
      <alignment vertical="center"/>
    </xf>
    <xf numFmtId="0" fontId="11" fillId="4" borderId="0" xfId="0" quotePrefix="1" applyFont="1" applyFill="1" applyAlignment="1" applyProtection="1">
      <alignment horizontal="left"/>
    </xf>
    <xf numFmtId="0" fontId="16" fillId="4" borderId="0" xfId="0" quotePrefix="1" applyFont="1" applyFill="1" applyAlignment="1" applyProtection="1">
      <alignment horizontal="left"/>
    </xf>
    <xf numFmtId="0" fontId="13" fillId="12" borderId="3" xfId="1" applyFont="1" applyFill="1" applyBorder="1" applyAlignment="1" applyProtection="1">
      <alignment horizontal="center"/>
    </xf>
    <xf numFmtId="0" fontId="13" fillId="12" borderId="4" xfId="1" applyFont="1" applyFill="1" applyBorder="1" applyAlignment="1" applyProtection="1">
      <alignment horizontal="center"/>
    </xf>
    <xf numFmtId="0" fontId="12" fillId="12" borderId="5" xfId="1" applyFont="1" applyFill="1" applyBorder="1" applyAlignment="1" applyProtection="1">
      <alignment horizontal="left"/>
    </xf>
    <xf numFmtId="0" fontId="20" fillId="12" borderId="0" xfId="0" applyFont="1" applyFill="1" applyBorder="1" applyAlignment="1" applyProtection="1">
      <alignment horizontal="left"/>
    </xf>
    <xf numFmtId="0" fontId="11" fillId="12" borderId="0" xfId="0" applyFont="1" applyFill="1" applyBorder="1" applyAlignment="1" applyProtection="1">
      <alignment horizontal="center"/>
    </xf>
    <xf numFmtId="0" fontId="11" fillId="12" borderId="6" xfId="0" applyFont="1" applyFill="1" applyBorder="1" applyAlignment="1" applyProtection="1">
      <alignment horizontal="center"/>
    </xf>
    <xf numFmtId="0" fontId="19" fillId="12" borderId="0" xfId="0" applyFont="1" applyFill="1" applyBorder="1" applyAlignment="1" applyProtection="1">
      <alignment horizontal="left" vertical="center"/>
    </xf>
    <xf numFmtId="0" fontId="19" fillId="12" borderId="0" xfId="0" applyFont="1" applyFill="1" applyBorder="1" applyAlignment="1" applyProtection="1">
      <alignment horizontal="center" vertical="center"/>
    </xf>
    <xf numFmtId="0" fontId="12" fillId="12" borderId="7" xfId="1" applyFont="1" applyFill="1" applyBorder="1" applyAlignment="1" applyProtection="1">
      <alignment horizontal="left"/>
    </xf>
    <xf numFmtId="0" fontId="16" fillId="12" borderId="8" xfId="0" applyFont="1" applyFill="1" applyBorder="1" applyAlignment="1" applyProtection="1">
      <alignment horizontal="left"/>
    </xf>
    <xf numFmtId="0" fontId="20" fillId="12" borderId="8" xfId="0" applyFont="1" applyFill="1" applyBorder="1" applyAlignment="1" applyProtection="1">
      <alignment horizontal="left"/>
    </xf>
    <xf numFmtId="0" fontId="11" fillId="12" borderId="8" xfId="0" applyFont="1" applyFill="1" applyBorder="1" applyProtection="1"/>
    <xf numFmtId="0" fontId="11" fillId="12" borderId="8" xfId="0" applyFont="1" applyFill="1" applyBorder="1" applyAlignment="1" applyProtection="1">
      <alignment horizontal="center"/>
    </xf>
    <xf numFmtId="0" fontId="11" fillId="12" borderId="9" xfId="0" applyFont="1" applyFill="1" applyBorder="1" applyAlignment="1" applyProtection="1">
      <alignment horizontal="center"/>
    </xf>
    <xf numFmtId="0" fontId="13" fillId="5" borderId="3" xfId="1" applyFont="1" applyFill="1" applyBorder="1" applyAlignment="1" applyProtection="1">
      <alignment horizontal="center"/>
    </xf>
    <xf numFmtId="0" fontId="13" fillId="5" borderId="4" xfId="1" applyFont="1" applyFill="1" applyBorder="1" applyAlignment="1" applyProtection="1">
      <alignment horizontal="center"/>
    </xf>
    <xf numFmtId="0" fontId="19" fillId="5" borderId="5" xfId="0" applyFont="1" applyFill="1" applyBorder="1" applyAlignment="1" applyProtection="1">
      <alignment horizontal="left"/>
    </xf>
    <xf numFmtId="0" fontId="11" fillId="5" borderId="0" xfId="0" applyFont="1" applyFill="1" applyBorder="1" applyAlignment="1" applyProtection="1">
      <alignment horizontal="center"/>
    </xf>
    <xf numFmtId="0" fontId="11" fillId="5" borderId="6" xfId="0" applyFont="1" applyFill="1" applyBorder="1" applyAlignment="1" applyProtection="1">
      <alignment horizontal="center"/>
    </xf>
    <xf numFmtId="0" fontId="19" fillId="5" borderId="0" xfId="0" applyFont="1" applyFill="1" applyBorder="1" applyAlignment="1" applyProtection="1">
      <alignment horizontal="left" vertical="center"/>
    </xf>
    <xf numFmtId="0" fontId="19" fillId="5" borderId="0" xfId="0" applyFont="1" applyFill="1" applyBorder="1" applyAlignment="1" applyProtection="1">
      <alignment horizontal="center" vertical="center"/>
    </xf>
    <xf numFmtId="0" fontId="19" fillId="5" borderId="7" xfId="0" applyFont="1" applyFill="1" applyBorder="1" applyAlignment="1" applyProtection="1">
      <alignment horizontal="left"/>
    </xf>
    <xf numFmtId="0" fontId="19" fillId="5" borderId="8" xfId="0" applyFont="1" applyFill="1" applyBorder="1" applyAlignment="1" applyProtection="1">
      <alignment horizontal="left"/>
    </xf>
    <xf numFmtId="0" fontId="19" fillId="5" borderId="9" xfId="0" applyFont="1" applyFill="1" applyBorder="1" applyAlignment="1" applyProtection="1">
      <alignment horizontal="left"/>
    </xf>
    <xf numFmtId="0" fontId="21" fillId="4" borderId="0" xfId="0" applyFont="1" applyFill="1" applyAlignment="1" applyProtection="1">
      <alignment horizontal="center"/>
    </xf>
    <xf numFmtId="0" fontId="16" fillId="4" borderId="0" xfId="0" applyFont="1" applyFill="1" applyProtection="1"/>
    <xf numFmtId="0" fontId="22" fillId="3" borderId="2" xfId="0" applyFont="1" applyFill="1" applyBorder="1" applyAlignment="1" applyProtection="1"/>
    <xf numFmtId="0" fontId="22" fillId="3" borderId="3" xfId="0" applyFont="1" applyFill="1" applyBorder="1" applyAlignment="1" applyProtection="1"/>
    <xf numFmtId="0" fontId="22" fillId="3" borderId="3" xfId="0" applyFont="1" applyFill="1" applyBorder="1" applyAlignment="1" applyProtection="1">
      <alignment horizontal="left"/>
    </xf>
    <xf numFmtId="0" fontId="22" fillId="3" borderId="3" xfId="0" applyFont="1" applyFill="1" applyBorder="1" applyAlignment="1" applyProtection="1">
      <alignment horizontal="center"/>
    </xf>
    <xf numFmtId="0" fontId="22" fillId="3" borderId="4" xfId="0" applyFont="1" applyFill="1" applyBorder="1" applyAlignment="1" applyProtection="1">
      <alignment horizontal="center"/>
    </xf>
    <xf numFmtId="0" fontId="11" fillId="3" borderId="0" xfId="0" applyFont="1" applyFill="1" applyBorder="1" applyAlignment="1" applyProtection="1">
      <alignment horizontal="left"/>
    </xf>
    <xf numFmtId="0" fontId="11" fillId="3" borderId="0" xfId="0" applyFont="1" applyFill="1" applyBorder="1" applyAlignment="1" applyProtection="1">
      <alignment horizontal="center"/>
    </xf>
    <xf numFmtId="0" fontId="11" fillId="3" borderId="6" xfId="0" applyFont="1" applyFill="1" applyBorder="1" applyAlignment="1" applyProtection="1">
      <alignment horizontal="center"/>
    </xf>
    <xf numFmtId="0" fontId="11" fillId="3" borderId="5" xfId="0" applyFont="1" applyFill="1" applyBorder="1" applyProtection="1"/>
    <xf numFmtId="0" fontId="11" fillId="3" borderId="0" xfId="0" applyFont="1" applyFill="1" applyBorder="1" applyProtection="1"/>
    <xf numFmtId="0" fontId="18" fillId="3" borderId="0" xfId="0" applyFont="1" applyFill="1" applyBorder="1" applyAlignment="1" applyProtection="1">
      <alignment horizontal="left"/>
    </xf>
    <xf numFmtId="0" fontId="23" fillId="3" borderId="5" xfId="0" applyFont="1" applyFill="1" applyBorder="1" applyAlignment="1" applyProtection="1">
      <alignment horizontal="left"/>
    </xf>
    <xf numFmtId="0" fontId="25" fillId="3" borderId="6" xfId="0" applyFont="1" applyFill="1" applyBorder="1" applyAlignment="1" applyProtection="1">
      <alignment horizontal="center"/>
    </xf>
    <xf numFmtId="0" fontId="11" fillId="3" borderId="6" xfId="0" applyFont="1" applyFill="1" applyBorder="1" applyProtection="1"/>
    <xf numFmtId="0" fontId="35" fillId="2" borderId="0" xfId="0" applyFont="1" applyFill="1" applyBorder="1" applyAlignment="1" applyProtection="1">
      <alignment horizontal="center" vertical="center"/>
    </xf>
    <xf numFmtId="0" fontId="32"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xf>
    <xf numFmtId="0" fontId="30" fillId="2" borderId="0" xfId="0" applyFont="1" applyFill="1" applyBorder="1" applyAlignment="1" applyProtection="1">
      <alignment horizontal="center" vertical="center" textRotation="90"/>
    </xf>
    <xf numFmtId="0" fontId="32" fillId="2" borderId="0" xfId="0" applyFont="1" applyFill="1" applyBorder="1" applyAlignment="1" applyProtection="1">
      <alignment horizontal="center" vertical="center" textRotation="90"/>
    </xf>
    <xf numFmtId="164" fontId="35" fillId="2" borderId="0" xfId="0" applyNumberFormat="1" applyFont="1" applyFill="1" applyBorder="1" applyAlignment="1" applyProtection="1">
      <alignment horizontal="center" vertical="center"/>
    </xf>
    <xf numFmtId="0" fontId="35" fillId="2" borderId="0" xfId="0" applyFont="1" applyFill="1" applyBorder="1" applyAlignment="1" applyProtection="1">
      <alignment horizontal="center" shrinkToFit="1"/>
    </xf>
    <xf numFmtId="0" fontId="34" fillId="2" borderId="0" xfId="0" applyFont="1" applyFill="1" applyBorder="1" applyAlignment="1" applyProtection="1">
      <alignment horizontal="center" vertical="center"/>
    </xf>
    <xf numFmtId="164" fontId="35" fillId="2" borderId="0" xfId="0" applyNumberFormat="1" applyFont="1" applyFill="1" applyBorder="1" applyAlignment="1" applyProtection="1">
      <alignment horizontal="center" shrinkToFit="1"/>
    </xf>
    <xf numFmtId="0" fontId="35" fillId="2" borderId="0" xfId="0" applyFont="1" applyFill="1" applyAlignment="1" applyProtection="1">
      <alignment horizontal="center" vertical="center"/>
    </xf>
    <xf numFmtId="0" fontId="34" fillId="2" borderId="0" xfId="0" applyFont="1" applyFill="1" applyAlignment="1" applyProtection="1">
      <alignment horizontal="center" vertical="center"/>
    </xf>
    <xf numFmtId="0" fontId="32" fillId="2" borderId="0" xfId="0" applyFont="1" applyFill="1" applyAlignment="1" applyProtection="1">
      <alignment horizontal="center" vertical="center"/>
    </xf>
    <xf numFmtId="0" fontId="30" fillId="2" borderId="0" xfId="0" applyFont="1" applyFill="1" applyAlignment="1" applyProtection="1">
      <alignment horizontal="center" vertical="center"/>
    </xf>
    <xf numFmtId="0" fontId="30" fillId="0" borderId="0" xfId="0" applyFont="1" applyAlignment="1" applyProtection="1">
      <alignment horizontal="center" vertical="center"/>
    </xf>
    <xf numFmtId="0" fontId="33" fillId="2" borderId="0" xfId="0" applyFont="1" applyFill="1" applyBorder="1" applyAlignment="1" applyProtection="1">
      <alignment horizontal="center" vertical="center"/>
    </xf>
    <xf numFmtId="0" fontId="32" fillId="2" borderId="0" xfId="0" applyFont="1" applyFill="1" applyProtection="1"/>
    <xf numFmtId="0" fontId="33" fillId="2" borderId="0" xfId="0" applyFont="1" applyFill="1" applyBorder="1" applyAlignment="1" applyProtection="1">
      <alignment horizontal="left"/>
    </xf>
    <xf numFmtId="0" fontId="32" fillId="2" borderId="0" xfId="0" applyFont="1" applyFill="1" applyBorder="1" applyAlignment="1" applyProtection="1">
      <alignment horizontal="center"/>
    </xf>
    <xf numFmtId="0" fontId="30" fillId="2" borderId="0" xfId="0" applyFont="1" applyFill="1" applyProtection="1"/>
    <xf numFmtId="0" fontId="30" fillId="0" borderId="0" xfId="0" applyFont="1" applyProtection="1"/>
    <xf numFmtId="0" fontId="32" fillId="0" borderId="0" xfId="0" applyFont="1" applyProtection="1"/>
    <xf numFmtId="0" fontId="31" fillId="2" borderId="0" xfId="0" applyFont="1" applyFill="1" applyBorder="1" applyAlignment="1" applyProtection="1">
      <alignment horizontal="left"/>
    </xf>
    <xf numFmtId="0" fontId="30" fillId="2" borderId="0" xfId="0" applyFont="1" applyFill="1" applyBorder="1" applyAlignment="1" applyProtection="1">
      <alignment horizontal="center"/>
    </xf>
    <xf numFmtId="0" fontId="18" fillId="2" borderId="0" xfId="0" applyFont="1" applyFill="1" applyBorder="1" applyAlignment="1" applyProtection="1">
      <alignment horizontal="left"/>
    </xf>
    <xf numFmtId="0" fontId="11" fillId="2" borderId="0" xfId="0" applyFont="1" applyFill="1" applyBorder="1" applyAlignment="1" applyProtection="1">
      <alignment horizontal="center"/>
    </xf>
    <xf numFmtId="0" fontId="18" fillId="0" borderId="0" xfId="0" applyFont="1" applyBorder="1" applyAlignment="1" applyProtection="1">
      <alignment horizontal="left"/>
    </xf>
    <xf numFmtId="0" fontId="11" fillId="0" borderId="0" xfId="0" applyFont="1" applyBorder="1" applyAlignment="1" applyProtection="1">
      <alignment horizontal="center"/>
    </xf>
    <xf numFmtId="0" fontId="19" fillId="2" borderId="1" xfId="0" applyFont="1" applyFill="1" applyBorder="1" applyAlignment="1" applyProtection="1">
      <alignment horizontal="center" vertical="center"/>
      <protection locked="0"/>
    </xf>
    <xf numFmtId="0" fontId="24" fillId="14" borderId="5" xfId="1" applyFont="1" applyFill="1" applyBorder="1" applyAlignment="1" applyProtection="1">
      <alignment vertical="center"/>
      <protection hidden="1"/>
    </xf>
    <xf numFmtId="0" fontId="24" fillId="12" borderId="5" xfId="1" applyFont="1" applyFill="1" applyBorder="1" applyAlignment="1" applyProtection="1">
      <protection hidden="1"/>
    </xf>
    <xf numFmtId="0" fontId="14" fillId="14" borderId="3" xfId="1" applyFont="1" applyFill="1" applyBorder="1" applyAlignment="1" applyProtection="1">
      <alignment horizontal="center"/>
    </xf>
    <xf numFmtId="0" fontId="14" fillId="14" borderId="3" xfId="1" applyFont="1" applyFill="1" applyBorder="1" applyAlignment="1" applyProtection="1"/>
    <xf numFmtId="0" fontId="14" fillId="14" borderId="4" xfId="1" applyFont="1" applyFill="1" applyBorder="1" applyAlignment="1" applyProtection="1">
      <alignment horizontal="center"/>
    </xf>
    <xf numFmtId="0" fontId="24" fillId="14" borderId="0" xfId="1" applyFont="1" applyFill="1" applyBorder="1" applyAlignment="1" applyProtection="1">
      <alignment horizontal="left" vertical="center"/>
    </xf>
    <xf numFmtId="0" fontId="12" fillId="14" borderId="5" xfId="1" applyFont="1" applyFill="1" applyBorder="1" applyAlignment="1" applyProtection="1">
      <alignment horizontal="center" vertical="center"/>
    </xf>
    <xf numFmtId="0" fontId="39" fillId="14" borderId="0" xfId="0" applyFont="1" applyFill="1" applyBorder="1" applyAlignment="1" applyProtection="1">
      <alignment vertical="center"/>
    </xf>
    <xf numFmtId="0" fontId="19" fillId="14" borderId="0" xfId="0" applyFont="1" applyFill="1" applyBorder="1" applyAlignment="1" applyProtection="1">
      <alignment horizontal="left" vertical="center"/>
    </xf>
    <xf numFmtId="0" fontId="39" fillId="14" borderId="0" xfId="0" applyFont="1" applyFill="1" applyBorder="1" applyAlignment="1" applyProtection="1">
      <alignment horizontal="center" vertical="center"/>
    </xf>
    <xf numFmtId="0" fontId="11" fillId="14" borderId="6" xfId="0" applyFont="1" applyFill="1" applyBorder="1" applyAlignment="1" applyProtection="1">
      <alignment vertical="center"/>
    </xf>
    <xf numFmtId="0" fontId="17" fillId="14" borderId="5" xfId="0" applyFont="1" applyFill="1" applyBorder="1" applyProtection="1"/>
    <xf numFmtId="0" fontId="39" fillId="14" borderId="0" xfId="0" applyFont="1" applyFill="1" applyBorder="1" applyProtection="1"/>
    <xf numFmtId="0" fontId="40" fillId="14" borderId="0" xfId="0" applyFont="1" applyFill="1" applyBorder="1" applyAlignment="1" applyProtection="1">
      <alignment horizontal="left"/>
    </xf>
    <xf numFmtId="0" fontId="19" fillId="14" borderId="0" xfId="0" applyFont="1" applyFill="1" applyBorder="1" applyAlignment="1" applyProtection="1">
      <alignment horizontal="center"/>
    </xf>
    <xf numFmtId="0" fontId="19" fillId="14" borderId="6" xfId="0" applyFont="1" applyFill="1" applyBorder="1" applyAlignment="1" applyProtection="1">
      <alignment horizontal="center"/>
    </xf>
    <xf numFmtId="0" fontId="12" fillId="14" borderId="5" xfId="1" applyFont="1" applyFill="1" applyBorder="1" applyAlignment="1" applyProtection="1">
      <alignment horizontal="left"/>
    </xf>
    <xf numFmtId="0" fontId="19" fillId="14" borderId="0" xfId="0" applyFont="1" applyFill="1" applyBorder="1" applyAlignment="1" applyProtection="1">
      <alignment horizontal="center" vertical="center"/>
    </xf>
    <xf numFmtId="0" fontId="11" fillId="14" borderId="6" xfId="0" applyFont="1" applyFill="1" applyBorder="1" applyAlignment="1" applyProtection="1">
      <alignment horizontal="center"/>
    </xf>
    <xf numFmtId="0" fontId="17" fillId="14" borderId="5" xfId="0" applyFont="1" applyFill="1" applyBorder="1" applyAlignment="1" applyProtection="1">
      <alignment horizontal="left"/>
    </xf>
    <xf numFmtId="0" fontId="39" fillId="14" borderId="0" xfId="0" applyFont="1" applyFill="1" applyBorder="1" applyAlignment="1" applyProtection="1">
      <alignment horizontal="left" vertical="center"/>
    </xf>
    <xf numFmtId="0" fontId="12" fillId="14" borderId="7" xfId="1" applyFont="1" applyFill="1" applyBorder="1" applyAlignment="1" applyProtection="1">
      <alignment horizontal="left"/>
    </xf>
    <xf numFmtId="0" fontId="16" fillId="14" borderId="8" xfId="0" applyFont="1" applyFill="1" applyBorder="1" applyAlignment="1" applyProtection="1">
      <alignment horizontal="left" wrapText="1"/>
    </xf>
    <xf numFmtId="0" fontId="18" fillId="14" borderId="8" xfId="0" applyFont="1" applyFill="1" applyBorder="1" applyAlignment="1" applyProtection="1">
      <alignment horizontal="center"/>
    </xf>
    <xf numFmtId="0" fontId="11" fillId="14" borderId="8" xfId="0" applyFont="1" applyFill="1" applyBorder="1" applyAlignment="1" applyProtection="1">
      <alignment horizontal="center"/>
    </xf>
    <xf numFmtId="0" fontId="11" fillId="14" borderId="9" xfId="0" applyFont="1" applyFill="1" applyBorder="1" applyAlignment="1" applyProtection="1">
      <alignment horizontal="center"/>
    </xf>
    <xf numFmtId="0" fontId="15" fillId="14" borderId="0" xfId="1" applyFont="1" applyFill="1" applyBorder="1" applyAlignment="1" applyProtection="1">
      <alignment horizontal="left" vertical="center"/>
    </xf>
    <xf numFmtId="0" fontId="14" fillId="14" borderId="0" xfId="1" applyFont="1" applyFill="1" applyBorder="1" applyAlignment="1" applyProtection="1">
      <alignment horizontal="center" vertical="center"/>
    </xf>
    <xf numFmtId="0" fontId="14" fillId="14" borderId="6" xfId="1" applyFont="1" applyFill="1" applyBorder="1" applyAlignment="1" applyProtection="1">
      <alignment horizontal="center" vertical="center"/>
    </xf>
    <xf numFmtId="0" fontId="24" fillId="12" borderId="0" xfId="0" applyFont="1" applyFill="1" applyBorder="1" applyAlignment="1" applyProtection="1">
      <alignment horizontal="left" vertical="center"/>
    </xf>
    <xf numFmtId="0" fontId="11" fillId="14" borderId="8" xfId="0" applyFont="1" applyFill="1" applyBorder="1" applyAlignment="1" applyProtection="1">
      <alignment horizontal="left"/>
    </xf>
    <xf numFmtId="0" fontId="11" fillId="4" borderId="0" xfId="0" applyFont="1" applyFill="1" applyBorder="1" applyProtection="1"/>
    <xf numFmtId="0" fontId="11" fillId="4" borderId="0" xfId="0" applyFont="1" applyFill="1" applyBorder="1" applyAlignment="1" applyProtection="1">
      <alignment horizontal="left"/>
    </xf>
    <xf numFmtId="0" fontId="11" fillId="4" borderId="0" xfId="0" applyFont="1" applyFill="1" applyBorder="1" applyAlignment="1" applyProtection="1">
      <alignment horizontal="left" vertical="center"/>
    </xf>
    <xf numFmtId="0" fontId="11" fillId="4" borderId="0" xfId="0" quotePrefix="1" applyFont="1" applyFill="1" applyBorder="1" applyProtection="1"/>
    <xf numFmtId="0" fontId="19" fillId="14" borderId="0" xfId="0" applyFont="1" applyFill="1" applyBorder="1" applyAlignment="1" applyProtection="1">
      <alignment horizontal="center" vertical="center"/>
      <protection locked="0"/>
    </xf>
    <xf numFmtId="0" fontId="19" fillId="14" borderId="0" xfId="0" applyFont="1" applyFill="1" applyBorder="1" applyAlignment="1" applyProtection="1">
      <alignment vertical="center"/>
      <protection hidden="1"/>
    </xf>
    <xf numFmtId="0" fontId="19" fillId="14" borderId="0" xfId="0" applyFont="1" applyFill="1" applyBorder="1" applyAlignment="1" applyProtection="1">
      <alignment vertical="center"/>
    </xf>
    <xf numFmtId="0" fontId="19" fillId="15" borderId="0" xfId="0" applyFont="1" applyFill="1" applyBorder="1" applyAlignment="1" applyProtection="1">
      <alignment vertical="center"/>
    </xf>
    <xf numFmtId="0" fontId="19" fillId="15" borderId="0" xfId="0" applyFont="1" applyFill="1" applyBorder="1" applyAlignment="1" applyProtection="1">
      <alignment horizontal="center"/>
      <protection locked="0"/>
    </xf>
    <xf numFmtId="0" fontId="19" fillId="15" borderId="0" xfId="0" applyFont="1" applyFill="1" applyBorder="1" applyAlignment="1" applyProtection="1">
      <alignment horizontal="center"/>
    </xf>
    <xf numFmtId="0" fontId="19" fillId="15" borderId="0" xfId="0" applyFont="1" applyFill="1" applyBorder="1" applyProtection="1"/>
    <xf numFmtId="0" fontId="19" fillId="3" borderId="0" xfId="0" applyFont="1" applyFill="1" applyBorder="1" applyProtection="1"/>
    <xf numFmtId="0" fontId="42" fillId="3" borderId="6" xfId="0" applyFont="1" applyFill="1" applyBorder="1" applyProtection="1"/>
    <xf numFmtId="0" fontId="37" fillId="0" borderId="0" xfId="0" applyFont="1" applyFill="1" applyBorder="1" applyAlignment="1">
      <alignment shrinkToFit="1"/>
    </xf>
    <xf numFmtId="0" fontId="37" fillId="0" borderId="0" xfId="0" applyFont="1" applyFill="1" applyBorder="1" applyAlignment="1">
      <alignment wrapText="1" shrinkToFit="1"/>
    </xf>
    <xf numFmtId="0" fontId="43" fillId="0" borderId="0" xfId="0" applyFont="1" applyFill="1" applyBorder="1" applyAlignment="1" applyProtection="1">
      <protection locked="0"/>
    </xf>
    <xf numFmtId="0" fontId="44" fillId="0" borderId="0" xfId="0" applyFont="1"/>
    <xf numFmtId="0" fontId="44" fillId="0" borderId="0" xfId="0" applyFont="1" applyAlignment="1">
      <alignment wrapText="1"/>
    </xf>
    <xf numFmtId="0" fontId="45" fillId="0" borderId="0" xfId="0" applyFont="1" applyFill="1" applyBorder="1"/>
    <xf numFmtId="0" fontId="45" fillId="0" borderId="0" xfId="0" applyFont="1" applyFill="1" applyBorder="1" applyProtection="1">
      <protection locked="0"/>
    </xf>
    <xf numFmtId="0" fontId="30" fillId="4" borderId="0" xfId="0" applyFont="1" applyFill="1" applyBorder="1" applyAlignment="1" applyProtection="1">
      <alignment horizontal="center" vertical="center"/>
    </xf>
    <xf numFmtId="0" fontId="32" fillId="4" borderId="0" xfId="0" applyFont="1" applyFill="1" applyBorder="1" applyAlignment="1" applyProtection="1">
      <alignment horizontal="center" vertical="center"/>
    </xf>
    <xf numFmtId="0" fontId="11" fillId="3" borderId="0" xfId="0" quotePrefix="1" applyFont="1" applyFill="1" applyProtection="1"/>
    <xf numFmtId="0" fontId="30" fillId="3" borderId="0" xfId="0" applyFont="1" applyFill="1" applyBorder="1" applyAlignment="1" applyProtection="1">
      <alignment horizontal="center" vertical="center"/>
    </xf>
    <xf numFmtId="164" fontId="35" fillId="3" borderId="0" xfId="0" applyNumberFormat="1" applyFont="1" applyFill="1" applyBorder="1" applyAlignment="1" applyProtection="1">
      <alignment horizontal="center" vertical="center"/>
    </xf>
    <xf numFmtId="0" fontId="46" fillId="0" borderId="0" xfId="0" applyFont="1" applyFill="1"/>
    <xf numFmtId="2" fontId="36" fillId="0" borderId="0" xfId="0" applyNumberFormat="1" applyFont="1" applyFill="1" applyBorder="1" applyAlignment="1">
      <alignment horizontal="right" vertical="center"/>
    </xf>
    <xf numFmtId="2" fontId="36" fillId="0" borderId="0" xfId="0" applyNumberFormat="1" applyFont="1" applyFill="1" applyBorder="1" applyAlignment="1">
      <alignment horizontal="center" shrinkToFit="1"/>
    </xf>
    <xf numFmtId="2" fontId="36" fillId="0" borderId="0" xfId="0" applyNumberFormat="1" applyFont="1" applyFill="1" applyBorder="1" applyAlignment="1">
      <alignment horizontal="center" vertical="center" textRotation="90"/>
    </xf>
    <xf numFmtId="1" fontId="47" fillId="2" borderId="0" xfId="0" applyNumberFormat="1" applyFont="1" applyFill="1" applyBorder="1" applyAlignment="1" applyProtection="1">
      <alignment horizontal="center" vertical="center"/>
    </xf>
    <xf numFmtId="0" fontId="47" fillId="2" borderId="0" xfId="0" applyFont="1" applyFill="1" applyBorder="1" applyAlignment="1" applyProtection="1">
      <alignment horizontal="center" vertical="center"/>
    </xf>
    <xf numFmtId="0" fontId="48" fillId="2" borderId="0" xfId="0" applyFont="1" applyFill="1" applyBorder="1" applyAlignment="1" applyProtection="1">
      <alignment horizontal="center" vertical="center"/>
    </xf>
    <xf numFmtId="0" fontId="48" fillId="2" borderId="0" xfId="0" applyFont="1" applyFill="1" applyAlignment="1" applyProtection="1">
      <alignment horizontal="center" vertical="center"/>
    </xf>
    <xf numFmtId="0" fontId="49" fillId="2" borderId="0" xfId="0" applyFont="1" applyFill="1" applyAlignment="1" applyProtection="1">
      <alignment horizontal="center" vertical="center"/>
    </xf>
    <xf numFmtId="0" fontId="50" fillId="2" borderId="0" xfId="0" applyFont="1" applyFill="1" applyBorder="1" applyAlignment="1" applyProtection="1">
      <alignment horizontal="center" vertical="center"/>
    </xf>
    <xf numFmtId="0" fontId="49" fillId="2" borderId="0" xfId="0" applyFont="1" applyFill="1" applyBorder="1" applyAlignment="1" applyProtection="1">
      <alignment horizontal="center" vertical="center"/>
    </xf>
    <xf numFmtId="0" fontId="47" fillId="2" borderId="0" xfId="0" applyFont="1" applyFill="1" applyAlignment="1" applyProtection="1">
      <alignment horizontal="center" vertical="center"/>
    </xf>
    <xf numFmtId="0" fontId="11" fillId="4" borderId="5" xfId="0" quotePrefix="1" applyFont="1" applyFill="1" applyBorder="1" applyProtection="1"/>
    <xf numFmtId="0" fontId="30" fillId="4" borderId="5" xfId="0" applyFont="1" applyFill="1" applyBorder="1" applyAlignment="1" applyProtection="1">
      <alignment horizontal="center" vertical="center"/>
    </xf>
    <xf numFmtId="0" fontId="32" fillId="4" borderId="5" xfId="0" applyFont="1" applyFill="1" applyBorder="1" applyAlignment="1" applyProtection="1">
      <alignment horizontal="center" vertical="center"/>
    </xf>
    <xf numFmtId="0" fontId="11" fillId="4" borderId="6" xfId="0" quotePrefix="1" applyFont="1" applyFill="1" applyBorder="1" applyProtection="1"/>
    <xf numFmtId="0" fontId="30" fillId="4" borderId="6" xfId="0" applyFont="1" applyFill="1" applyBorder="1" applyAlignment="1" applyProtection="1">
      <alignment horizontal="center" vertical="center"/>
    </xf>
    <xf numFmtId="0" fontId="30" fillId="4" borderId="3" xfId="0" applyFont="1" applyFill="1" applyBorder="1" applyAlignment="1" applyProtection="1">
      <alignment horizontal="center" vertical="center"/>
    </xf>
    <xf numFmtId="164" fontId="35" fillId="4" borderId="3" xfId="0" applyNumberFormat="1" applyFont="1" applyFill="1" applyBorder="1" applyAlignment="1" applyProtection="1">
      <alignment horizontal="center" vertical="center"/>
    </xf>
    <xf numFmtId="0" fontId="19" fillId="13" borderId="1" xfId="0" applyFont="1" applyFill="1" applyBorder="1" applyAlignment="1" applyProtection="1">
      <alignment horizontal="center" vertical="center"/>
    </xf>
    <xf numFmtId="0" fontId="32" fillId="4" borderId="0" xfId="0" applyFont="1" applyFill="1" applyBorder="1" applyAlignment="1" applyProtection="1">
      <alignment horizontal="center" vertical="center" textRotation="90"/>
    </xf>
    <xf numFmtId="0" fontId="24" fillId="5" borderId="5" xfId="1" applyFont="1" applyFill="1" applyBorder="1" applyAlignment="1" applyProtection="1">
      <alignment horizontal="left" vertical="center"/>
      <protection hidden="1"/>
    </xf>
    <xf numFmtId="173" fontId="19" fillId="14" borderId="0" xfId="0" applyNumberFormat="1" applyFont="1" applyFill="1" applyBorder="1" applyAlignment="1" applyProtection="1">
      <alignment horizontal="center" vertical="center"/>
    </xf>
    <xf numFmtId="0" fontId="42" fillId="16" borderId="2" xfId="0" applyFont="1" applyFill="1" applyBorder="1" applyProtection="1">
      <protection locked="0" hidden="1"/>
    </xf>
    <xf numFmtId="0" fontId="42" fillId="16" borderId="3" xfId="0" applyFont="1" applyFill="1" applyBorder="1" applyProtection="1">
      <protection locked="0" hidden="1"/>
    </xf>
    <xf numFmtId="0" fontId="18" fillId="16" borderId="3" xfId="0" applyFont="1" applyFill="1" applyBorder="1" applyProtection="1">
      <protection locked="0" hidden="1"/>
    </xf>
    <xf numFmtId="0" fontId="42" fillId="16" borderId="3" xfId="0" applyFont="1" applyFill="1" applyBorder="1" applyAlignment="1" applyProtection="1">
      <alignment horizontal="center" vertical="center"/>
      <protection locked="0" hidden="1"/>
    </xf>
    <xf numFmtId="0" fontId="42" fillId="16" borderId="3" xfId="0" applyFont="1" applyFill="1" applyBorder="1" applyAlignment="1" applyProtection="1">
      <alignment horizontal="center"/>
      <protection locked="0" hidden="1"/>
    </xf>
    <xf numFmtId="0" fontId="42" fillId="16" borderId="4" xfId="0" applyFont="1" applyFill="1" applyBorder="1" applyProtection="1">
      <protection locked="0" hidden="1"/>
    </xf>
    <xf numFmtId="0" fontId="24" fillId="16" borderId="5" xfId="0" applyFont="1" applyFill="1" applyBorder="1" applyProtection="1">
      <protection locked="0" hidden="1"/>
    </xf>
    <xf numFmtId="0" fontId="18" fillId="16" borderId="0" xfId="0" applyFont="1" applyFill="1" applyProtection="1">
      <protection locked="0" hidden="1"/>
    </xf>
    <xf numFmtId="0" fontId="42" fillId="16" borderId="0" xfId="0" applyFont="1" applyFill="1" applyAlignment="1" applyProtection="1">
      <alignment horizontal="center" vertical="center"/>
      <protection locked="0" hidden="1"/>
    </xf>
    <xf numFmtId="0" fontId="42" fillId="16" borderId="0" xfId="0" applyFont="1" applyFill="1" applyAlignment="1" applyProtection="1">
      <alignment horizontal="center"/>
      <protection locked="0" hidden="1"/>
    </xf>
    <xf numFmtId="0" fontId="42" fillId="16" borderId="0" xfId="0" applyFont="1" applyFill="1" applyProtection="1">
      <protection locked="0" hidden="1"/>
    </xf>
    <xf numFmtId="0" fontId="42" fillId="16" borderId="6" xfId="0" applyFont="1" applyFill="1" applyBorder="1" applyProtection="1">
      <protection locked="0" hidden="1"/>
    </xf>
    <xf numFmtId="0" fontId="52" fillId="16" borderId="0" xfId="0" applyFont="1" applyFill="1" applyProtection="1">
      <protection locked="0" hidden="1"/>
    </xf>
    <xf numFmtId="174" fontId="19" fillId="0" borderId="1" xfId="0" applyNumberFormat="1" applyFont="1" applyBorder="1" applyAlignment="1" applyProtection="1">
      <alignment horizontal="center" vertical="center"/>
      <protection locked="0"/>
    </xf>
    <xf numFmtId="2" fontId="53" fillId="13" borderId="1" xfId="0" applyNumberFormat="1" applyFont="1" applyFill="1" applyBorder="1" applyAlignment="1" applyProtection="1">
      <alignment horizontal="center" vertical="center"/>
      <protection locked="0" hidden="1"/>
    </xf>
    <xf numFmtId="0" fontId="54" fillId="16" borderId="0" xfId="0" applyFont="1" applyFill="1" applyProtection="1">
      <protection locked="0" hidden="1"/>
    </xf>
    <xf numFmtId="0" fontId="52" fillId="16" borderId="0" xfId="0" applyFont="1" applyFill="1" applyAlignment="1" applyProtection="1">
      <alignment wrapText="1"/>
      <protection locked="0" hidden="1"/>
    </xf>
    <xf numFmtId="0" fontId="19" fillId="16" borderId="0" xfId="0" applyFont="1" applyFill="1" applyProtection="1">
      <protection locked="0" hidden="1"/>
    </xf>
    <xf numFmtId="0" fontId="42" fillId="16" borderId="5" xfId="0" applyFont="1" applyFill="1" applyBorder="1" applyProtection="1">
      <protection locked="0" hidden="1"/>
    </xf>
    <xf numFmtId="0" fontId="2" fillId="16" borderId="0" xfId="0" applyFont="1" applyFill="1" applyProtection="1">
      <protection locked="0" hidden="1"/>
    </xf>
    <xf numFmtId="175" fontId="42" fillId="16" borderId="0" xfId="0" applyNumberFormat="1" applyFont="1" applyFill="1" applyAlignment="1" applyProtection="1">
      <alignment horizontal="center" vertical="center"/>
      <protection locked="0" hidden="1"/>
    </xf>
    <xf numFmtId="175" fontId="42" fillId="16" borderId="0" xfId="0" applyNumberFormat="1" applyFont="1" applyFill="1" applyAlignment="1" applyProtection="1">
      <alignment horizontal="center"/>
      <protection locked="0" hidden="1"/>
    </xf>
    <xf numFmtId="175" fontId="42" fillId="16" borderId="0" xfId="0" applyNumberFormat="1" applyFont="1" applyFill="1" applyProtection="1">
      <protection locked="0" hidden="1"/>
    </xf>
    <xf numFmtId="176" fontId="42" fillId="16" borderId="0" xfId="0" applyNumberFormat="1" applyFont="1" applyFill="1" applyAlignment="1" applyProtection="1">
      <alignment horizontal="center" vertical="center"/>
      <protection locked="0" hidden="1"/>
    </xf>
    <xf numFmtId="176" fontId="42" fillId="16" borderId="0" xfId="0" applyNumberFormat="1" applyFont="1" applyFill="1" applyAlignment="1" applyProtection="1">
      <alignment horizontal="center"/>
      <protection locked="0" hidden="1"/>
    </xf>
    <xf numFmtId="0" fontId="16" fillId="16" borderId="0" xfId="0" applyFont="1" applyFill="1" applyProtection="1">
      <protection locked="0" hidden="1"/>
    </xf>
    <xf numFmtId="44" fontId="19" fillId="0" borderId="1" xfId="332" applyFont="1" applyFill="1" applyBorder="1" applyAlignment="1" applyProtection="1">
      <alignment horizontal="center" vertical="center"/>
      <protection locked="0"/>
    </xf>
    <xf numFmtId="44" fontId="42" fillId="16" borderId="0" xfId="332" applyFont="1" applyFill="1" applyBorder="1" applyAlignment="1" applyProtection="1">
      <alignment horizontal="center" vertical="center"/>
      <protection locked="0" hidden="1"/>
    </xf>
    <xf numFmtId="44" fontId="53" fillId="13" borderId="1" xfId="332" applyFont="1" applyFill="1" applyBorder="1" applyAlignment="1" applyProtection="1">
      <alignment horizontal="center" vertical="center"/>
      <protection locked="0" hidden="1"/>
    </xf>
    <xf numFmtId="44" fontId="42" fillId="16" borderId="0" xfId="332" applyFont="1" applyFill="1" applyBorder="1" applyAlignment="1" applyProtection="1">
      <alignment horizontal="center"/>
      <protection locked="0" hidden="1"/>
    </xf>
    <xf numFmtId="44" fontId="42" fillId="16" borderId="0" xfId="332" applyFont="1" applyFill="1" applyBorder="1" applyProtection="1">
      <protection locked="0" hidden="1"/>
    </xf>
    <xf numFmtId="0" fontId="42" fillId="16" borderId="7" xfId="0" applyFont="1" applyFill="1" applyBorder="1" applyProtection="1">
      <protection locked="0" hidden="1"/>
    </xf>
    <xf numFmtId="0" fontId="19" fillId="16" borderId="8" xfId="0" applyFont="1" applyFill="1" applyBorder="1" applyProtection="1">
      <protection locked="0" hidden="1"/>
    </xf>
    <xf numFmtId="0" fontId="18" fillId="16" borderId="8" xfId="0" applyFont="1" applyFill="1" applyBorder="1" applyProtection="1">
      <protection locked="0" hidden="1"/>
    </xf>
    <xf numFmtId="0" fontId="42" fillId="16" borderId="8" xfId="0" applyFont="1" applyFill="1" applyBorder="1" applyAlignment="1" applyProtection="1">
      <alignment horizontal="center" vertical="center"/>
      <protection locked="0" hidden="1"/>
    </xf>
    <xf numFmtId="0" fontId="42" fillId="16" borderId="8" xfId="0" applyFont="1" applyFill="1" applyBorder="1" applyAlignment="1" applyProtection="1">
      <alignment horizontal="center"/>
      <protection locked="0" hidden="1"/>
    </xf>
    <xf numFmtId="0" fontId="42" fillId="16" borderId="8" xfId="0" applyFont="1" applyFill="1" applyBorder="1" applyProtection="1">
      <protection locked="0" hidden="1"/>
    </xf>
    <xf numFmtId="0" fontId="42" fillId="16" borderId="9" xfId="0" applyFont="1" applyFill="1" applyBorder="1" applyProtection="1">
      <protection locked="0" hidden="1"/>
    </xf>
    <xf numFmtId="44" fontId="19" fillId="2" borderId="1" xfId="332" applyFont="1" applyFill="1" applyBorder="1" applyAlignment="1" applyProtection="1">
      <alignment horizontal="center" vertical="center"/>
      <protection locked="0"/>
    </xf>
    <xf numFmtId="0" fontId="19" fillId="5" borderId="0" xfId="0" applyFont="1" applyFill="1" applyAlignment="1">
      <alignment horizontal="center" vertical="center"/>
    </xf>
    <xf numFmtId="0" fontId="19" fillId="5" borderId="0" xfId="0" applyFont="1" applyFill="1" applyAlignment="1">
      <alignment vertical="center"/>
    </xf>
    <xf numFmtId="0" fontId="53" fillId="0" borderId="1" xfId="0" applyFont="1" applyBorder="1" applyAlignment="1">
      <alignment horizontal="center" vertical="center"/>
    </xf>
    <xf numFmtId="0" fontId="53" fillId="13" borderId="1" xfId="0" applyFont="1" applyFill="1" applyBorder="1" applyAlignment="1">
      <alignment horizontal="center" vertical="center"/>
    </xf>
    <xf numFmtId="0" fontId="19" fillId="5" borderId="0" xfId="0" applyFont="1" applyFill="1" applyAlignment="1">
      <alignment horizontal="left" vertical="center"/>
    </xf>
    <xf numFmtId="0" fontId="39" fillId="5" borderId="0" xfId="0" applyFont="1" applyFill="1" applyAlignment="1" applyProtection="1">
      <alignment vertical="center"/>
      <protection locked="0" hidden="1"/>
    </xf>
    <xf numFmtId="0" fontId="19" fillId="5" borderId="0" xfId="0" applyFont="1" applyFill="1" applyAlignment="1" applyProtection="1">
      <alignment horizontal="left" vertical="center"/>
      <protection locked="0" hidden="1"/>
    </xf>
    <xf numFmtId="0" fontId="19" fillId="0" borderId="1" xfId="0" applyFont="1" applyBorder="1" applyAlignment="1" applyProtection="1">
      <alignment horizontal="center" vertical="center"/>
      <protection locked="0"/>
    </xf>
    <xf numFmtId="2" fontId="53" fillId="13" borderId="1" xfId="0" applyNumberFormat="1" applyFont="1" applyFill="1" applyBorder="1" applyAlignment="1">
      <alignment horizontal="center" vertical="center"/>
    </xf>
    <xf numFmtId="0" fontId="2" fillId="5" borderId="0" xfId="0" applyFont="1" applyFill="1" applyProtection="1">
      <protection locked="0" hidden="1"/>
    </xf>
    <xf numFmtId="44" fontId="19" fillId="0" borderId="1" xfId="332" applyFont="1" applyBorder="1" applyAlignment="1" applyProtection="1">
      <alignment horizontal="center" vertical="center"/>
      <protection locked="0"/>
    </xf>
    <xf numFmtId="2" fontId="19" fillId="5" borderId="0" xfId="0" applyNumberFormat="1" applyFont="1" applyFill="1" applyAlignment="1">
      <alignment horizontal="center" vertical="center"/>
    </xf>
    <xf numFmtId="44" fontId="53" fillId="13" borderId="1" xfId="332" applyFont="1" applyFill="1" applyBorder="1" applyAlignment="1" applyProtection="1">
      <alignment horizontal="center" vertical="center"/>
    </xf>
    <xf numFmtId="2" fontId="55" fillId="5" borderId="0" xfId="0" applyNumberFormat="1" applyFont="1" applyFill="1" applyAlignment="1">
      <alignment vertical="center"/>
    </xf>
    <xf numFmtId="2" fontId="55" fillId="5" borderId="0" xfId="0" applyNumberFormat="1" applyFont="1" applyFill="1" applyAlignment="1">
      <alignment horizontal="center" vertical="center"/>
    </xf>
    <xf numFmtId="0" fontId="19" fillId="5" borderId="0" xfId="0" applyFont="1" applyFill="1" applyAlignment="1" applyProtection="1">
      <alignment vertical="center"/>
      <protection locked="0" hidden="1"/>
    </xf>
    <xf numFmtId="10" fontId="19" fillId="0" borderId="1" xfId="333" applyNumberFormat="1" applyFont="1" applyFill="1" applyBorder="1" applyAlignment="1" applyProtection="1">
      <alignment horizontal="center" vertical="center"/>
      <protection locked="0"/>
    </xf>
    <xf numFmtId="9" fontId="55" fillId="5" borderId="0" xfId="333" applyFont="1" applyFill="1" applyBorder="1" applyAlignment="1" applyProtection="1">
      <alignment vertical="center"/>
    </xf>
    <xf numFmtId="9" fontId="55" fillId="5" borderId="0" xfId="333" applyFont="1" applyFill="1" applyBorder="1" applyAlignment="1" applyProtection="1">
      <alignment horizontal="center" vertical="center"/>
    </xf>
    <xf numFmtId="44" fontId="55" fillId="5" borderId="0" xfId="332" applyFont="1" applyFill="1" applyBorder="1" applyAlignment="1" applyProtection="1">
      <alignment vertical="center"/>
    </xf>
    <xf numFmtId="44" fontId="55" fillId="5" borderId="0" xfId="332" applyFont="1" applyFill="1" applyBorder="1" applyAlignment="1" applyProtection="1">
      <alignment horizontal="center" vertical="center"/>
    </xf>
    <xf numFmtId="0" fontId="19" fillId="3" borderId="0" xfId="0" applyFont="1" applyFill="1" applyAlignment="1">
      <alignment vertical="center"/>
    </xf>
    <xf numFmtId="0" fontId="19" fillId="0" borderId="3" xfId="0" applyFont="1" applyBorder="1"/>
    <xf numFmtId="0" fontId="19" fillId="0" borderId="4" xfId="0" applyFont="1" applyBorder="1"/>
    <xf numFmtId="0" fontId="19" fillId="0" borderId="2" xfId="0" applyFont="1" applyBorder="1"/>
    <xf numFmtId="0" fontId="19" fillId="0" borderId="0" xfId="0" applyFont="1"/>
    <xf numFmtId="44" fontId="19" fillId="0" borderId="5" xfId="332" applyFont="1" applyBorder="1"/>
    <xf numFmtId="0" fontId="19" fillId="0" borderId="6" xfId="0" applyFont="1" applyBorder="1"/>
    <xf numFmtId="0" fontId="19" fillId="0" borderId="5" xfId="0" applyFont="1" applyBorder="1"/>
    <xf numFmtId="44" fontId="19" fillId="0" borderId="0" xfId="332" applyFont="1" applyBorder="1"/>
    <xf numFmtId="0" fontId="19" fillId="0" borderId="8" xfId="0" applyFont="1" applyBorder="1"/>
    <xf numFmtId="44" fontId="19" fillId="0" borderId="7" xfId="332" applyFont="1" applyBorder="1"/>
    <xf numFmtId="0" fontId="19" fillId="0" borderId="9" xfId="0" applyFont="1" applyBorder="1"/>
    <xf numFmtId="44" fontId="19" fillId="0" borderId="8" xfId="332" applyFont="1" applyBorder="1"/>
    <xf numFmtId="44" fontId="0" fillId="0" borderId="0" xfId="332" applyFont="1"/>
    <xf numFmtId="0" fontId="0" fillId="0" borderId="3" xfId="0" applyBorder="1"/>
    <xf numFmtId="0" fontId="19" fillId="0" borderId="0" xfId="0" applyFont="1" applyAlignment="1">
      <alignment wrapText="1"/>
    </xf>
    <xf numFmtId="0" fontId="0" fillId="0" borderId="10" xfId="0" applyBorder="1" applyAlignment="1">
      <alignment wrapText="1"/>
    </xf>
    <xf numFmtId="0" fontId="0" fillId="0" borderId="12" xfId="0" applyBorder="1"/>
    <xf numFmtId="0" fontId="0" fillId="0" borderId="13" xfId="0" applyBorder="1"/>
    <xf numFmtId="0" fontId="0" fillId="18" borderId="0" xfId="0" applyFill="1"/>
    <xf numFmtId="0" fontId="39" fillId="0" borderId="0" xfId="0" applyFont="1"/>
    <xf numFmtId="0" fontId="59" fillId="0" borderId="0" xfId="335" applyFont="1"/>
    <xf numFmtId="0" fontId="19" fillId="3" borderId="0" xfId="0" applyFont="1" applyFill="1"/>
    <xf numFmtId="0" fontId="60" fillId="0" borderId="0" xfId="0" applyFont="1"/>
    <xf numFmtId="0" fontId="61" fillId="0" borderId="0" xfId="0" applyFont="1"/>
    <xf numFmtId="44" fontId="19" fillId="0" borderId="0" xfId="332" applyFont="1"/>
    <xf numFmtId="177" fontId="19" fillId="0" borderId="0" xfId="0" applyNumberFormat="1" applyFont="1"/>
    <xf numFmtId="0" fontId="62" fillId="0" borderId="0" xfId="0" applyFont="1"/>
    <xf numFmtId="44" fontId="61" fillId="0" borderId="0" xfId="332" applyFont="1"/>
    <xf numFmtId="178" fontId="60" fillId="0" borderId="0" xfId="0" applyNumberFormat="1" applyFont="1"/>
    <xf numFmtId="10" fontId="61" fillId="0" borderId="0" xfId="333" applyNumberFormat="1" applyFont="1"/>
    <xf numFmtId="10" fontId="61" fillId="0" borderId="0" xfId="0" applyNumberFormat="1" applyFont="1"/>
    <xf numFmtId="44" fontId="53" fillId="13" borderId="1" xfId="332" applyNumberFormat="1" applyFont="1" applyFill="1" applyBorder="1" applyAlignment="1" applyProtection="1">
      <alignment horizontal="center" vertical="center"/>
    </xf>
    <xf numFmtId="10" fontId="19" fillId="5" borderId="0" xfId="0" applyNumberFormat="1" applyFont="1" applyFill="1" applyAlignment="1">
      <alignment horizontal="center" vertical="center"/>
    </xf>
    <xf numFmtId="10" fontId="53" fillId="13" borderId="1" xfId="333" applyNumberFormat="1" applyFont="1" applyFill="1" applyBorder="1" applyAlignment="1" applyProtection="1">
      <alignment horizontal="center" vertical="center"/>
    </xf>
    <xf numFmtId="10" fontId="55" fillId="5" borderId="0" xfId="333" applyNumberFormat="1" applyFont="1" applyFill="1" applyBorder="1" applyAlignment="1" applyProtection="1">
      <alignment vertical="center"/>
    </xf>
    <xf numFmtId="10" fontId="55" fillId="5" borderId="0" xfId="333" applyNumberFormat="1" applyFont="1" applyFill="1" applyBorder="1" applyAlignment="1" applyProtection="1">
      <alignment horizontal="center" vertical="center"/>
    </xf>
    <xf numFmtId="0" fontId="19" fillId="0" borderId="1" xfId="0" applyFont="1" applyFill="1" applyBorder="1" applyAlignment="1" applyProtection="1">
      <alignment horizontal="center" vertical="center"/>
    </xf>
    <xf numFmtId="44" fontId="19" fillId="14" borderId="0" xfId="332" applyFont="1" applyFill="1" applyBorder="1" applyAlignment="1" applyProtection="1">
      <alignment horizontal="center" vertical="center"/>
    </xf>
    <xf numFmtId="0" fontId="43" fillId="18" borderId="0" xfId="0" applyFont="1" applyFill="1" applyBorder="1" applyAlignment="1" applyProtection="1">
      <protection locked="0"/>
    </xf>
    <xf numFmtId="0" fontId="43" fillId="18" borderId="0" xfId="0" applyFont="1" applyFill="1" applyBorder="1" applyAlignment="1" applyProtection="1">
      <alignment horizontal="right"/>
      <protection locked="0"/>
    </xf>
    <xf numFmtId="0" fontId="38" fillId="18" borderId="0" xfId="0" applyFont="1" applyFill="1"/>
    <xf numFmtId="0" fontId="45" fillId="18" borderId="0" xfId="0" applyFont="1" applyFill="1" applyBorder="1"/>
    <xf numFmtId="1" fontId="45" fillId="18" borderId="0" xfId="0" applyNumberFormat="1" applyFont="1" applyFill="1" applyBorder="1" applyProtection="1">
      <protection locked="0"/>
    </xf>
    <xf numFmtId="44" fontId="36" fillId="0" borderId="0" xfId="0" applyNumberFormat="1" applyFont="1" applyFill="1" applyBorder="1" applyAlignment="1">
      <alignment horizontal="right" vertical="center"/>
    </xf>
    <xf numFmtId="4" fontId="19" fillId="3" borderId="0" xfId="0" applyNumberFormat="1" applyFont="1" applyFill="1" applyBorder="1" applyProtection="1"/>
    <xf numFmtId="44" fontId="19" fillId="14" borderId="0" xfId="332" applyFont="1" applyFill="1" applyBorder="1" applyAlignment="1" applyProtection="1">
      <alignment vertical="center"/>
    </xf>
    <xf numFmtId="0" fontId="19" fillId="0" borderId="0" xfId="0" applyFont="1" applyBorder="1"/>
    <xf numFmtId="0" fontId="43" fillId="0" borderId="2" xfId="0" applyFont="1" applyBorder="1" applyProtection="1">
      <protection locked="0"/>
    </xf>
    <xf numFmtId="0" fontId="0" fillId="0" borderId="4" xfId="0" applyBorder="1"/>
    <xf numFmtId="0" fontId="43" fillId="0" borderId="5" xfId="0" applyFont="1" applyBorder="1" applyAlignment="1" applyProtection="1">
      <alignment horizontal="right"/>
      <protection locked="0"/>
    </xf>
    <xf numFmtId="0" fontId="43" fillId="0" borderId="0" xfId="0" applyFont="1" applyBorder="1" applyAlignment="1" applyProtection="1">
      <alignment horizontal="right"/>
      <protection locked="0"/>
    </xf>
    <xf numFmtId="1" fontId="43" fillId="0" borderId="0" xfId="0" applyNumberFormat="1" applyFont="1" applyBorder="1" applyAlignment="1" applyProtection="1">
      <alignment horizontal="right" wrapText="1"/>
      <protection locked="0"/>
    </xf>
    <xf numFmtId="0" fontId="45" fillId="0" borderId="0" xfId="0" applyFont="1" applyBorder="1"/>
    <xf numFmtId="0" fontId="38" fillId="0" borderId="5" xfId="0" applyFont="1" applyFill="1" applyBorder="1"/>
    <xf numFmtId="0" fontId="38" fillId="0" borderId="0" xfId="0" applyFont="1" applyFill="1" applyBorder="1"/>
    <xf numFmtId="0" fontId="38" fillId="0" borderId="6" xfId="0" applyFont="1" applyFill="1" applyBorder="1"/>
    <xf numFmtId="0" fontId="43" fillId="0" borderId="5" xfId="0" applyFont="1" applyBorder="1" applyProtection="1">
      <protection locked="0"/>
    </xf>
    <xf numFmtId="0" fontId="45" fillId="0" borderId="8" xfId="0" applyFont="1" applyBorder="1"/>
    <xf numFmtId="179" fontId="45" fillId="0" borderId="0" xfId="0" applyNumberFormat="1" applyFont="1" applyBorder="1"/>
    <xf numFmtId="0" fontId="19" fillId="13" borderId="1" xfId="0" applyFont="1" applyFill="1" applyBorder="1" applyAlignment="1" applyProtection="1">
      <alignment horizontal="center" vertical="center"/>
      <protection locked="0"/>
    </xf>
    <xf numFmtId="1" fontId="19" fillId="2" borderId="1" xfId="0" applyNumberFormat="1" applyFont="1" applyFill="1" applyBorder="1" applyAlignment="1" applyProtection="1">
      <alignment horizontal="center" vertical="center" wrapText="1"/>
    </xf>
    <xf numFmtId="0" fontId="37" fillId="0" borderId="2" xfId="0" applyFont="1" applyFill="1" applyBorder="1" applyAlignment="1">
      <alignment horizontal="right" vertical="center"/>
    </xf>
    <xf numFmtId="0" fontId="37" fillId="0" borderId="3" xfId="0" applyFont="1" applyFill="1" applyBorder="1" applyAlignment="1">
      <alignment horizontal="right" vertical="center"/>
    </xf>
    <xf numFmtId="0" fontId="37" fillId="0" borderId="4" xfId="0" applyFont="1" applyFill="1" applyBorder="1" applyAlignment="1">
      <alignment horizontal="right" vertical="center"/>
    </xf>
    <xf numFmtId="0" fontId="36" fillId="0" borderId="5" xfId="0" applyFont="1" applyFill="1" applyBorder="1" applyAlignment="1">
      <alignment horizontal="center" vertical="center"/>
    </xf>
    <xf numFmtId="44" fontId="36" fillId="0" borderId="6" xfId="0" applyNumberFormat="1" applyFont="1" applyFill="1" applyBorder="1" applyAlignment="1">
      <alignment horizontal="right" vertical="center"/>
    </xf>
    <xf numFmtId="0" fontId="36" fillId="0" borderId="7" xfId="0" applyFont="1" applyFill="1" applyBorder="1" applyAlignment="1">
      <alignment horizontal="center" vertical="center"/>
    </xf>
    <xf numFmtId="44" fontId="36" fillId="0" borderId="8" xfId="0" applyNumberFormat="1" applyFont="1" applyFill="1" applyBorder="1" applyAlignment="1">
      <alignment horizontal="right" vertical="center"/>
    </xf>
    <xf numFmtId="44" fontId="36" fillId="0" borderId="9" xfId="0" applyNumberFormat="1" applyFont="1" applyFill="1" applyBorder="1" applyAlignment="1">
      <alignment horizontal="right" vertical="center"/>
    </xf>
    <xf numFmtId="44" fontId="36" fillId="0" borderId="0" xfId="332" applyFont="1" applyFill="1" applyBorder="1" applyAlignment="1">
      <alignment horizontal="right" vertical="center"/>
    </xf>
    <xf numFmtId="0" fontId="43" fillId="0" borderId="0" xfId="0" applyFont="1" applyAlignment="1" applyProtection="1">
      <alignment horizontal="right"/>
      <protection locked="0"/>
    </xf>
    <xf numFmtId="1" fontId="43" fillId="0" borderId="0" xfId="0" applyNumberFormat="1" applyFont="1" applyAlignment="1" applyProtection="1">
      <alignment horizontal="right" wrapText="1"/>
      <protection locked="0"/>
    </xf>
    <xf numFmtId="0" fontId="45" fillId="0" borderId="0" xfId="0" applyFont="1"/>
    <xf numFmtId="0" fontId="19" fillId="14" borderId="0" xfId="0" applyFont="1" applyFill="1" applyBorder="1" applyAlignment="1">
      <alignment wrapText="1"/>
    </xf>
    <xf numFmtId="0" fontId="19" fillId="14" borderId="0" xfId="0" applyFont="1" applyFill="1"/>
    <xf numFmtId="0" fontId="0" fillId="0" borderId="0" xfId="0" applyFont="1" applyBorder="1"/>
    <xf numFmtId="1" fontId="43" fillId="3" borderId="0" xfId="0" applyNumberFormat="1" applyFont="1" applyFill="1" applyBorder="1" applyAlignment="1" applyProtection="1">
      <alignment horizontal="right" wrapText="1"/>
      <protection locked="0"/>
    </xf>
    <xf numFmtId="1" fontId="43" fillId="3" borderId="6" xfId="0" applyNumberFormat="1" applyFont="1" applyFill="1" applyBorder="1" applyAlignment="1" applyProtection="1">
      <alignment horizontal="right" wrapText="1"/>
      <protection locked="0"/>
    </xf>
    <xf numFmtId="0" fontId="0" fillId="0" borderId="5" xfId="0" applyFont="1" applyBorder="1"/>
    <xf numFmtId="2" fontId="45" fillId="3" borderId="0" xfId="0" applyNumberFormat="1" applyFont="1" applyFill="1" applyBorder="1"/>
    <xf numFmtId="0" fontId="0" fillId="0" borderId="6" xfId="0" applyFont="1" applyBorder="1"/>
    <xf numFmtId="0" fontId="0" fillId="0" borderId="7" xfId="0" applyFont="1" applyBorder="1"/>
    <xf numFmtId="0" fontId="0" fillId="0" borderId="0" xfId="0" applyFont="1"/>
    <xf numFmtId="1" fontId="43" fillId="3" borderId="0" xfId="0" applyNumberFormat="1" applyFont="1" applyFill="1" applyAlignment="1" applyProtection="1">
      <alignment horizontal="right" wrapText="1"/>
      <protection locked="0"/>
    </xf>
    <xf numFmtId="2" fontId="45" fillId="3" borderId="0" xfId="0" applyNumberFormat="1" applyFont="1" applyFill="1"/>
    <xf numFmtId="0" fontId="19" fillId="0" borderId="12" xfId="0" applyFont="1" applyBorder="1"/>
    <xf numFmtId="0" fontId="21" fillId="4" borderId="0" xfId="0" applyFont="1" applyFill="1" applyAlignment="1" applyProtection="1">
      <alignment horizontal="center"/>
    </xf>
    <xf numFmtId="0" fontId="24" fillId="5" borderId="5" xfId="1" applyFont="1" applyFill="1" applyBorder="1" applyAlignment="1" applyProtection="1">
      <alignment horizontal="left" vertical="center"/>
      <protection hidden="1"/>
    </xf>
    <xf numFmtId="0" fontId="66" fillId="19" borderId="0" xfId="0" applyFont="1" applyFill="1" applyAlignment="1">
      <alignment horizontal="left"/>
    </xf>
    <xf numFmtId="0" fontId="66" fillId="19" borderId="0" xfId="0" applyFont="1" applyFill="1" applyAlignment="1">
      <alignment horizontal="center"/>
    </xf>
    <xf numFmtId="0" fontId="67" fillId="16" borderId="1" xfId="0" applyFont="1" applyFill="1" applyBorder="1" applyAlignment="1">
      <alignment vertical="top" wrapText="1"/>
    </xf>
    <xf numFmtId="0" fontId="67" fillId="16" borderId="1" xfId="0" applyFont="1" applyFill="1" applyBorder="1" applyAlignment="1">
      <alignment horizontal="center" vertical="top" wrapText="1"/>
    </xf>
    <xf numFmtId="0" fontId="0" fillId="0" borderId="0" xfId="0" applyAlignment="1">
      <alignment horizontal="center"/>
    </xf>
    <xf numFmtId="0" fontId="51" fillId="0" borderId="1" xfId="0" applyFont="1" applyBorder="1" applyAlignment="1">
      <alignment horizontal="left"/>
    </xf>
    <xf numFmtId="1" fontId="51" fillId="0" borderId="1" xfId="0" applyNumberFormat="1" applyFont="1" applyBorder="1" applyAlignment="1">
      <alignment horizontal="center"/>
    </xf>
    <xf numFmtId="178" fontId="0" fillId="0" borderId="0" xfId="333" applyNumberFormat="1" applyFont="1" applyAlignment="1">
      <alignment horizontal="center"/>
    </xf>
    <xf numFmtId="2" fontId="0" fillId="0" borderId="0" xfId="0" applyNumberFormat="1" applyAlignment="1">
      <alignment horizontal="center"/>
    </xf>
    <xf numFmtId="178" fontId="0" fillId="0" borderId="0" xfId="0" applyNumberFormat="1" applyAlignment="1">
      <alignment horizontal="center"/>
    </xf>
    <xf numFmtId="10" fontId="64" fillId="0" borderId="0" xfId="333" applyNumberFormat="1" applyFont="1" applyAlignment="1">
      <alignment horizontal="center"/>
    </xf>
    <xf numFmtId="0" fontId="68" fillId="0" borderId="0" xfId="0" applyFont="1" applyAlignment="1">
      <alignment vertical="center"/>
    </xf>
    <xf numFmtId="0" fontId="0" fillId="0" borderId="0" xfId="0" applyAlignment="1">
      <alignment horizontal="left"/>
    </xf>
    <xf numFmtId="0" fontId="67" fillId="16" borderId="11" xfId="0" applyFont="1" applyFill="1" applyBorder="1" applyAlignment="1">
      <alignment horizontal="center" vertical="top" wrapText="1"/>
    </xf>
    <xf numFmtId="0" fontId="67" fillId="16" borderId="14" xfId="0" applyFont="1" applyFill="1" applyBorder="1" applyAlignment="1">
      <alignment horizontal="center" vertical="top" wrapText="1"/>
    </xf>
    <xf numFmtId="0" fontId="67" fillId="16" borderId="15" xfId="0" applyFont="1" applyFill="1" applyBorder="1" applyAlignment="1">
      <alignment horizontal="center" vertical="top" wrapText="1"/>
    </xf>
    <xf numFmtId="180" fontId="51" fillId="0" borderId="1" xfId="0" applyNumberFormat="1" applyFont="1" applyBorder="1" applyAlignment="1">
      <alignment horizontal="center"/>
    </xf>
    <xf numFmtId="1" fontId="51" fillId="0" borderId="11" xfId="0" applyNumberFormat="1" applyFont="1" applyBorder="1" applyAlignment="1">
      <alignment horizontal="center"/>
    </xf>
    <xf numFmtId="2" fontId="51" fillId="0" borderId="16" xfId="0" applyNumberFormat="1" applyFont="1" applyBorder="1" applyAlignment="1">
      <alignment horizontal="center"/>
    </xf>
    <xf numFmtId="2" fontId="51" fillId="0" borderId="17" xfId="0" applyNumberFormat="1" applyFont="1" applyBorder="1" applyAlignment="1">
      <alignment horizontal="center"/>
    </xf>
    <xf numFmtId="2" fontId="51" fillId="0" borderId="18" xfId="0" applyNumberFormat="1" applyFont="1" applyBorder="1" applyAlignment="1">
      <alignment horizontal="center"/>
    </xf>
    <xf numFmtId="2" fontId="51" fillId="0" borderId="19" xfId="0" applyNumberFormat="1" applyFont="1" applyBorder="1" applyAlignment="1">
      <alignment horizontal="center"/>
    </xf>
    <xf numFmtId="0" fontId="66" fillId="20" borderId="0" xfId="0" applyFont="1" applyFill="1" applyAlignment="1">
      <alignment horizontal="left"/>
    </xf>
    <xf numFmtId="0" fontId="66" fillId="0" borderId="0" xfId="0" applyFont="1" applyAlignment="1">
      <alignment horizontal="left"/>
    </xf>
    <xf numFmtId="0" fontId="64" fillId="0" borderId="0" xfId="0" applyFont="1"/>
    <xf numFmtId="0" fontId="64" fillId="17" borderId="0" xfId="0" applyFont="1" applyFill="1"/>
    <xf numFmtId="0" fontId="64" fillId="17" borderId="0" xfId="0" applyFont="1" applyFill="1" applyAlignment="1">
      <alignment horizontal="center"/>
    </xf>
    <xf numFmtId="0" fontId="0" fillId="17" borderId="0" xfId="0" applyFill="1" applyAlignment="1">
      <alignment horizontal="center"/>
    </xf>
    <xf numFmtId="0" fontId="11" fillId="4" borderId="0" xfId="0" applyFont="1" applyFill="1" applyProtection="1">
      <protection hidden="1"/>
    </xf>
    <xf numFmtId="0" fontId="24" fillId="4" borderId="0" xfId="0" applyFont="1" applyFill="1" applyProtection="1">
      <protection hidden="1"/>
    </xf>
    <xf numFmtId="0" fontId="20" fillId="4" borderId="0" xfId="0" applyFont="1" applyFill="1" applyProtection="1">
      <protection hidden="1"/>
    </xf>
    <xf numFmtId="0" fontId="11" fillId="4" borderId="0" xfId="0" applyFont="1" applyFill="1" applyAlignment="1" applyProtection="1">
      <alignment horizontal="center"/>
      <protection hidden="1"/>
    </xf>
    <xf numFmtId="0" fontId="0" fillId="0" borderId="0" xfId="0" applyProtection="1">
      <protection hidden="1"/>
    </xf>
    <xf numFmtId="0" fontId="70" fillId="4" borderId="0" xfId="0" applyFont="1" applyFill="1" applyAlignment="1" applyProtection="1">
      <alignment vertical="center"/>
      <protection hidden="1"/>
    </xf>
    <xf numFmtId="0" fontId="27" fillId="4" borderId="0" xfId="0" applyFont="1" applyFill="1" applyAlignment="1" applyProtection="1">
      <alignment vertical="center"/>
      <protection hidden="1"/>
    </xf>
    <xf numFmtId="0" fontId="11" fillId="4" borderId="0" xfId="0" applyFont="1" applyFill="1" applyAlignment="1" applyProtection="1">
      <alignment vertical="center"/>
      <protection hidden="1"/>
    </xf>
    <xf numFmtId="0" fontId="20" fillId="4" borderId="0" xfId="0" applyFont="1" applyFill="1" applyAlignment="1" applyProtection="1">
      <alignment vertical="center"/>
      <protection hidden="1"/>
    </xf>
    <xf numFmtId="0" fontId="11" fillId="4" borderId="0" xfId="0" applyFont="1" applyFill="1" applyAlignment="1" applyProtection="1">
      <alignment horizontal="center" vertical="center"/>
      <protection hidden="1"/>
    </xf>
    <xf numFmtId="0" fontId="0" fillId="2" borderId="0" xfId="0" applyFill="1" applyAlignment="1" applyProtection="1">
      <alignment vertical="center"/>
      <protection hidden="1"/>
    </xf>
    <xf numFmtId="0" fontId="0" fillId="0" borderId="0" xfId="0" applyAlignment="1" applyProtection="1">
      <alignment vertical="center"/>
      <protection hidden="1"/>
    </xf>
    <xf numFmtId="0" fontId="11" fillId="4" borderId="0" xfId="0" applyFont="1" applyFill="1" applyAlignment="1" applyProtection="1">
      <alignment vertical="top"/>
      <protection hidden="1"/>
    </xf>
    <xf numFmtId="0" fontId="25" fillId="4" borderId="0" xfId="0" quotePrefix="1" applyFont="1" applyFill="1" applyAlignment="1" applyProtection="1">
      <alignment vertical="top"/>
      <protection hidden="1"/>
    </xf>
    <xf numFmtId="0" fontId="20" fillId="4" borderId="0" xfId="0" applyFont="1" applyFill="1" applyAlignment="1" applyProtection="1">
      <alignment vertical="top"/>
      <protection hidden="1"/>
    </xf>
    <xf numFmtId="0" fontId="11" fillId="4" borderId="0" xfId="0" applyFont="1" applyFill="1" applyAlignment="1" applyProtection="1">
      <alignment horizontal="center" vertical="top"/>
      <protection hidden="1"/>
    </xf>
    <xf numFmtId="0" fontId="0" fillId="2" borderId="0" xfId="0" applyFill="1" applyAlignment="1" applyProtection="1">
      <alignment vertical="top"/>
      <protection hidden="1"/>
    </xf>
    <xf numFmtId="0" fontId="0" fillId="0" borderId="0" xfId="0" applyAlignment="1" applyProtection="1">
      <alignment vertical="top"/>
      <protection hidden="1"/>
    </xf>
    <xf numFmtId="0" fontId="57" fillId="4" borderId="0" xfId="0" applyFont="1" applyFill="1" applyProtection="1">
      <protection hidden="1"/>
    </xf>
    <xf numFmtId="0" fontId="0" fillId="2" borderId="0" xfId="0" applyFill="1" applyProtection="1">
      <protection hidden="1"/>
    </xf>
    <xf numFmtId="0" fontId="41" fillId="5" borderId="2" xfId="1" applyFont="1" applyFill="1" applyBorder="1" applyProtection="1">
      <protection hidden="1"/>
    </xf>
    <xf numFmtId="0" fontId="41" fillId="5" borderId="3" xfId="1" applyFont="1" applyFill="1" applyBorder="1" applyProtection="1">
      <protection hidden="1"/>
    </xf>
    <xf numFmtId="0" fontId="11" fillId="5" borderId="3" xfId="0" applyFont="1" applyFill="1" applyBorder="1" applyAlignment="1" applyProtection="1">
      <alignment horizontal="center"/>
      <protection hidden="1"/>
    </xf>
    <xf numFmtId="0" fontId="11" fillId="5" borderId="4" xfId="0" applyFont="1" applyFill="1" applyBorder="1" applyProtection="1">
      <protection hidden="1"/>
    </xf>
    <xf numFmtId="0" fontId="24" fillId="5" borderId="5" xfId="1" applyFont="1" applyFill="1" applyBorder="1" applyAlignment="1" applyProtection="1">
      <alignment vertical="center"/>
      <protection hidden="1"/>
    </xf>
    <xf numFmtId="0" fontId="71" fillId="5" borderId="0" xfId="1" applyFont="1" applyFill="1" applyBorder="1" applyAlignment="1" applyProtection="1">
      <alignment vertical="center"/>
      <protection hidden="1"/>
    </xf>
    <xf numFmtId="0" fontId="41" fillId="5" borderId="0" xfId="1" applyFont="1" applyFill="1" applyBorder="1" applyAlignment="1" applyProtection="1">
      <alignment vertical="center"/>
      <protection hidden="1"/>
    </xf>
    <xf numFmtId="0" fontId="11" fillId="5" borderId="0" xfId="0" applyFont="1" applyFill="1" applyAlignment="1" applyProtection="1">
      <alignment horizontal="center" vertical="center"/>
      <protection hidden="1"/>
    </xf>
    <xf numFmtId="0" fontId="11" fillId="5" borderId="6" xfId="0" applyFont="1" applyFill="1" applyBorder="1" applyAlignment="1" applyProtection="1">
      <alignment vertical="center"/>
      <protection hidden="1"/>
    </xf>
    <xf numFmtId="0" fontId="4" fillId="5" borderId="0" xfId="0" applyFont="1" applyFill="1" applyProtection="1">
      <protection hidden="1"/>
    </xf>
    <xf numFmtId="0" fontId="39" fillId="5" borderId="0" xfId="0" applyFont="1" applyFill="1" applyProtection="1">
      <protection hidden="1"/>
    </xf>
    <xf numFmtId="0" fontId="72" fillId="5" borderId="0" xfId="0" applyFont="1" applyFill="1" applyProtection="1">
      <protection hidden="1"/>
    </xf>
    <xf numFmtId="0" fontId="57" fillId="5" borderId="5" xfId="0" applyFont="1" applyFill="1" applyBorder="1" applyProtection="1">
      <protection hidden="1"/>
    </xf>
    <xf numFmtId="0" fontId="39" fillId="5" borderId="0" xfId="0" applyFont="1" applyFill="1" applyAlignment="1" applyProtection="1">
      <alignment vertical="center"/>
      <protection hidden="1"/>
    </xf>
    <xf numFmtId="0" fontId="20" fillId="5" borderId="0" xfId="0" applyFont="1" applyFill="1" applyProtection="1">
      <protection hidden="1"/>
    </xf>
    <xf numFmtId="0" fontId="11" fillId="5" borderId="0" xfId="0" applyFont="1" applyFill="1" applyAlignment="1" applyProtection="1">
      <alignment horizontal="center"/>
      <protection hidden="1"/>
    </xf>
    <xf numFmtId="0" fontId="11" fillId="5" borderId="0" xfId="0" applyFont="1" applyFill="1" applyProtection="1">
      <protection hidden="1"/>
    </xf>
    <xf numFmtId="0" fontId="11" fillId="5" borderId="6" xfId="0" applyFont="1" applyFill="1" applyBorder="1" applyProtection="1">
      <protection hidden="1"/>
    </xf>
    <xf numFmtId="0" fontId="19" fillId="5" borderId="0" xfId="0" applyFont="1" applyFill="1" applyProtection="1">
      <protection hidden="1"/>
    </xf>
    <xf numFmtId="0" fontId="42" fillId="5" borderId="7" xfId="0" applyFont="1" applyFill="1" applyBorder="1" applyProtection="1">
      <protection hidden="1"/>
    </xf>
    <xf numFmtId="0" fontId="42" fillId="5" borderId="8" xfId="0" applyFont="1" applyFill="1" applyBorder="1" applyProtection="1">
      <protection hidden="1"/>
    </xf>
    <xf numFmtId="0" fontId="18" fillId="5" borderId="8" xfId="0" applyFont="1" applyFill="1" applyBorder="1" applyProtection="1">
      <protection hidden="1"/>
    </xf>
    <xf numFmtId="0" fontId="42" fillId="5" borderId="8" xfId="0" applyFont="1" applyFill="1" applyBorder="1" applyAlignment="1" applyProtection="1">
      <alignment horizontal="center"/>
      <protection hidden="1"/>
    </xf>
    <xf numFmtId="0" fontId="42" fillId="5" borderId="9" xfId="0" applyFont="1" applyFill="1" applyBorder="1" applyProtection="1">
      <protection hidden="1"/>
    </xf>
    <xf numFmtId="0" fontId="11" fillId="4" borderId="0" xfId="0" applyFont="1" applyFill="1" applyProtection="1">
      <protection locked="0"/>
    </xf>
    <xf numFmtId="0" fontId="42" fillId="3" borderId="2" xfId="0" applyFont="1" applyFill="1" applyBorder="1" applyProtection="1">
      <protection locked="0"/>
    </xf>
    <xf numFmtId="0" fontId="42" fillId="3" borderId="3" xfId="0" applyFont="1" applyFill="1" applyBorder="1" applyProtection="1">
      <protection locked="0"/>
    </xf>
    <xf numFmtId="0" fontId="18" fillId="3" borderId="3" xfId="0" applyFont="1" applyFill="1" applyBorder="1" applyProtection="1">
      <protection locked="0"/>
    </xf>
    <xf numFmtId="0" fontId="42" fillId="3" borderId="3" xfId="0" applyFont="1" applyFill="1" applyBorder="1" applyAlignment="1" applyProtection="1">
      <alignment horizontal="center"/>
      <protection locked="0"/>
    </xf>
    <xf numFmtId="0" fontId="42" fillId="3" borderId="4" xfId="0" applyFont="1" applyFill="1" applyBorder="1" applyProtection="1">
      <protection hidden="1"/>
    </xf>
    <xf numFmtId="0" fontId="41" fillId="3" borderId="5" xfId="1" applyFont="1" applyFill="1" applyBorder="1" applyAlignment="1" applyProtection="1">
      <protection locked="0"/>
    </xf>
    <xf numFmtId="0" fontId="71" fillId="3" borderId="0" xfId="1" applyFont="1" applyFill="1" applyAlignment="1" applyProtection="1">
      <protection locked="0"/>
    </xf>
    <xf numFmtId="0" fontId="41" fillId="3" borderId="0" xfId="1" applyFont="1" applyFill="1" applyAlignment="1" applyProtection="1">
      <protection locked="0"/>
    </xf>
    <xf numFmtId="0" fontId="42" fillId="3" borderId="0" xfId="0" applyFont="1" applyFill="1" applyAlignment="1" applyProtection="1">
      <alignment horizontal="center"/>
      <protection locked="0"/>
    </xf>
    <xf numFmtId="0" fontId="42" fillId="3" borderId="0" xfId="0" applyFont="1" applyFill="1" applyProtection="1">
      <protection locked="0"/>
    </xf>
    <xf numFmtId="0" fontId="42" fillId="3" borderId="6" xfId="0" applyFont="1" applyFill="1" applyBorder="1" applyProtection="1">
      <protection hidden="1"/>
    </xf>
    <xf numFmtId="0" fontId="42" fillId="3" borderId="5" xfId="0"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42" fillId="3" borderId="5" xfId="0" applyFont="1" applyFill="1" applyBorder="1" applyProtection="1">
      <protection locked="0"/>
    </xf>
    <xf numFmtId="3" fontId="19" fillId="3" borderId="0" xfId="336" applyNumberFormat="1" applyFont="1" applyFill="1" applyAlignment="1" applyProtection="1">
      <alignment horizontal="right"/>
      <protection locked="0"/>
    </xf>
    <xf numFmtId="0" fontId="58" fillId="3" borderId="0" xfId="0" applyFont="1" applyFill="1" applyProtection="1">
      <protection locked="0"/>
    </xf>
    <xf numFmtId="3" fontId="42" fillId="3" borderId="0" xfId="336" applyNumberFormat="1" applyFont="1" applyFill="1" applyAlignment="1" applyProtection="1">
      <alignment horizontal="right"/>
      <protection locked="0"/>
    </xf>
    <xf numFmtId="0" fontId="24" fillId="3" borderId="0" xfId="0" applyFont="1" applyFill="1" applyProtection="1">
      <protection locked="0"/>
    </xf>
    <xf numFmtId="0" fontId="25" fillId="3" borderId="0" xfId="0" applyFont="1" applyFill="1" applyProtection="1">
      <protection locked="0"/>
    </xf>
    <xf numFmtId="3" fontId="25" fillId="3" borderId="0" xfId="336" applyNumberFormat="1" applyFont="1" applyFill="1" applyAlignment="1" applyProtection="1">
      <alignment horizontal="right"/>
      <protection locked="0"/>
    </xf>
    <xf numFmtId="181" fontId="25" fillId="3" borderId="0" xfId="336" applyNumberFormat="1" applyFont="1" applyFill="1" applyAlignment="1" applyProtection="1">
      <alignment horizontal="center"/>
      <protection locked="0"/>
    </xf>
    <xf numFmtId="181" fontId="25" fillId="3" borderId="0" xfId="336" applyNumberFormat="1" applyFont="1" applyFill="1" applyProtection="1">
      <protection locked="0"/>
    </xf>
    <xf numFmtId="173" fontId="24" fillId="3" borderId="0" xfId="336" applyNumberFormat="1" applyFont="1" applyFill="1" applyAlignment="1" applyProtection="1">
      <alignment horizontal="right"/>
      <protection locked="0"/>
    </xf>
    <xf numFmtId="0" fontId="17" fillId="3" borderId="0" xfId="0" applyFont="1" applyFill="1" applyProtection="1">
      <protection locked="0"/>
    </xf>
    <xf numFmtId="1" fontId="24" fillId="3" borderId="0" xfId="0" applyNumberFormat="1" applyFont="1" applyFill="1" applyAlignment="1" applyProtection="1">
      <alignment horizontal="center"/>
      <protection locked="0"/>
    </xf>
    <xf numFmtId="0" fontId="25" fillId="3" borderId="0" xfId="0" applyFont="1" applyFill="1" applyAlignment="1" applyProtection="1">
      <alignment horizontal="center"/>
      <protection locked="0"/>
    </xf>
    <xf numFmtId="0" fontId="18" fillId="3" borderId="0" xfId="0" applyFont="1" applyFill="1" applyProtection="1">
      <protection locked="0"/>
    </xf>
    <xf numFmtId="1" fontId="42" fillId="3" borderId="0" xfId="0" applyNumberFormat="1" applyFont="1" applyFill="1" applyAlignment="1" applyProtection="1">
      <alignment horizontal="center"/>
      <protection locked="0"/>
    </xf>
    <xf numFmtId="0" fontId="73" fillId="4" borderId="0" xfId="0" applyFont="1" applyFill="1" applyProtection="1">
      <protection hidden="1"/>
    </xf>
    <xf numFmtId="0" fontId="73" fillId="3" borderId="5" xfId="0" applyFont="1" applyFill="1" applyBorder="1" applyProtection="1">
      <protection hidden="1"/>
    </xf>
    <xf numFmtId="0" fontId="73" fillId="3" borderId="0" xfId="0" applyFont="1" applyFill="1" applyProtection="1">
      <protection hidden="1"/>
    </xf>
    <xf numFmtId="0" fontId="74" fillId="3" borderId="0" xfId="0" applyFont="1" applyFill="1" applyProtection="1">
      <protection hidden="1"/>
    </xf>
    <xf numFmtId="0" fontId="73" fillId="3" borderId="6" xfId="0" applyFont="1" applyFill="1" applyBorder="1" applyProtection="1">
      <protection hidden="1"/>
    </xf>
    <xf numFmtId="0" fontId="75" fillId="2" borderId="0" xfId="0" applyFont="1" applyFill="1" applyProtection="1">
      <protection hidden="1"/>
    </xf>
    <xf numFmtId="0" fontId="75" fillId="4" borderId="0" xfId="0" applyFont="1" applyFill="1" applyProtection="1">
      <protection hidden="1"/>
    </xf>
    <xf numFmtId="0" fontId="75" fillId="3" borderId="5" xfId="0" applyFont="1" applyFill="1" applyBorder="1" applyProtection="1">
      <protection hidden="1"/>
    </xf>
    <xf numFmtId="0" fontId="75" fillId="3" borderId="0" xfId="0" applyFont="1" applyFill="1" applyProtection="1">
      <protection hidden="1"/>
    </xf>
    <xf numFmtId="1" fontId="73" fillId="3" borderId="6" xfId="0" applyNumberFormat="1" applyFont="1" applyFill="1" applyBorder="1" applyProtection="1">
      <protection hidden="1"/>
    </xf>
    <xf numFmtId="0" fontId="75" fillId="3" borderId="7" xfId="0" applyFont="1" applyFill="1" applyBorder="1" applyProtection="1">
      <protection hidden="1"/>
    </xf>
    <xf numFmtId="0" fontId="75" fillId="3" borderId="8" xfId="0" applyFont="1" applyFill="1" applyBorder="1" applyProtection="1">
      <protection hidden="1"/>
    </xf>
    <xf numFmtId="1" fontId="73" fillId="3" borderId="9" xfId="0" applyNumberFormat="1" applyFont="1" applyFill="1" applyBorder="1" applyProtection="1">
      <protection hidden="1"/>
    </xf>
    <xf numFmtId="1" fontId="73" fillId="4" borderId="0" xfId="0" applyNumberFormat="1" applyFont="1" applyFill="1" applyProtection="1">
      <protection hidden="1"/>
    </xf>
    <xf numFmtId="1" fontId="73" fillId="2" borderId="0" xfId="0" applyNumberFormat="1" applyFont="1" applyFill="1" applyProtection="1">
      <protection hidden="1"/>
    </xf>
    <xf numFmtId="0" fontId="73" fillId="2" borderId="0" xfId="0" applyFont="1" applyFill="1" applyProtection="1">
      <protection hidden="1"/>
    </xf>
    <xf numFmtId="1" fontId="75" fillId="2" borderId="0" xfId="0" applyNumberFormat="1" applyFont="1" applyFill="1" applyAlignment="1" applyProtection="1">
      <alignment wrapText="1"/>
      <protection hidden="1"/>
    </xf>
    <xf numFmtId="0" fontId="76" fillId="2" borderId="0" xfId="0" applyFont="1" applyFill="1" applyProtection="1">
      <protection hidden="1"/>
    </xf>
    <xf numFmtId="0" fontId="77" fillId="2" borderId="0" xfId="0" applyFont="1" applyFill="1" applyProtection="1">
      <protection hidden="1"/>
    </xf>
    <xf numFmtId="0" fontId="65" fillId="2" borderId="0" xfId="0" applyFont="1" applyFill="1" applyProtection="1">
      <protection hidden="1"/>
    </xf>
    <xf numFmtId="0" fontId="78" fillId="2" borderId="0" xfId="0" applyFont="1" applyFill="1" applyProtection="1">
      <protection hidden="1"/>
    </xf>
    <xf numFmtId="0" fontId="63" fillId="2" borderId="0" xfId="0" applyFont="1" applyFill="1" applyProtection="1">
      <protection hidden="1"/>
    </xf>
    <xf numFmtId="1" fontId="65" fillId="2" borderId="0" xfId="0" applyNumberFormat="1" applyFont="1" applyFill="1" applyProtection="1">
      <protection hidden="1"/>
    </xf>
    <xf numFmtId="0" fontId="51" fillId="0" borderId="0" xfId="0" applyFont="1" applyProtection="1">
      <protection hidden="1"/>
    </xf>
    <xf numFmtId="0" fontId="79" fillId="0" borderId="0" xfId="0" applyFont="1" applyProtection="1">
      <protection hidden="1"/>
    </xf>
    <xf numFmtId="0" fontId="80" fillId="0" borderId="0" xfId="0" applyFont="1" applyProtection="1">
      <protection locked="0"/>
    </xf>
    <xf numFmtId="0" fontId="45" fillId="0" borderId="0" xfId="0" applyFont="1" applyProtection="1">
      <protection locked="0"/>
    </xf>
    <xf numFmtId="0" fontId="19" fillId="14" borderId="0" xfId="0" applyFont="1" applyFill="1" applyProtection="1">
      <protection hidden="1"/>
    </xf>
    <xf numFmtId="0" fontId="19" fillId="14" borderId="0" xfId="0" applyFont="1" applyFill="1" applyAlignment="1" applyProtection="1">
      <alignment vertical="center"/>
      <protection hidden="1"/>
    </xf>
    <xf numFmtId="0" fontId="2" fillId="14" borderId="0" xfId="0" applyFont="1" applyFill="1" applyProtection="1">
      <protection hidden="1"/>
    </xf>
    <xf numFmtId="10" fontId="19" fillId="0" borderId="1" xfId="332" applyNumberFormat="1" applyFont="1" applyBorder="1" applyAlignment="1" applyProtection="1">
      <alignment horizontal="center" vertical="center"/>
      <protection locked="0"/>
    </xf>
    <xf numFmtId="2" fontId="19" fillId="0" borderId="1" xfId="332" applyNumberFormat="1" applyFont="1" applyFill="1" applyBorder="1" applyAlignment="1" applyProtection="1">
      <alignment horizontal="center" vertical="center"/>
      <protection locked="0"/>
    </xf>
    <xf numFmtId="2" fontId="42" fillId="16" borderId="0" xfId="0" applyNumberFormat="1" applyFont="1" applyFill="1" applyAlignment="1" applyProtection="1">
      <alignment horizontal="center" vertical="center"/>
      <protection locked="0" hidden="1"/>
    </xf>
    <xf numFmtId="2" fontId="53" fillId="13" borderId="1" xfId="332" applyNumberFormat="1" applyFont="1" applyFill="1" applyBorder="1" applyAlignment="1" applyProtection="1">
      <alignment horizontal="center" vertical="center"/>
      <protection locked="0" hidden="1"/>
    </xf>
    <xf numFmtId="2" fontId="18" fillId="16" borderId="0" xfId="0" applyNumberFormat="1" applyFont="1" applyFill="1" applyProtection="1">
      <protection locked="0" hidden="1"/>
    </xf>
    <xf numFmtId="2" fontId="42" fillId="16" borderId="0" xfId="0" applyNumberFormat="1" applyFont="1" applyFill="1" applyAlignment="1" applyProtection="1">
      <alignment horizontal="center"/>
      <protection locked="0" hidden="1"/>
    </xf>
    <xf numFmtId="2" fontId="42" fillId="16" borderId="0" xfId="0" applyNumberFormat="1" applyFont="1" applyFill="1" applyProtection="1">
      <protection locked="0" hidden="1"/>
    </xf>
    <xf numFmtId="2" fontId="19" fillId="0" borderId="1" xfId="334" applyNumberFormat="1" applyFont="1" applyFill="1" applyBorder="1" applyAlignment="1" applyProtection="1">
      <alignment horizontal="center" vertical="center"/>
      <protection locked="0"/>
    </xf>
    <xf numFmtId="44" fontId="19" fillId="0" borderId="1" xfId="333" applyNumberFormat="1" applyFont="1" applyFill="1" applyBorder="1" applyAlignment="1" applyProtection="1">
      <alignment horizontal="center"/>
      <protection locked="0"/>
    </xf>
    <xf numFmtId="44" fontId="19" fillId="15" borderId="0" xfId="0" applyNumberFormat="1" applyFont="1" applyFill="1" applyBorder="1" applyAlignment="1" applyProtection="1">
      <alignment horizontal="center"/>
    </xf>
    <xf numFmtId="44" fontId="19" fillId="15" borderId="0" xfId="0" applyNumberFormat="1" applyFont="1" applyFill="1" applyBorder="1" applyProtection="1"/>
    <xf numFmtId="44" fontId="11" fillId="5" borderId="0" xfId="0" applyNumberFormat="1" applyFont="1" applyFill="1" applyBorder="1" applyAlignment="1" applyProtection="1">
      <alignment horizontal="center"/>
    </xf>
    <xf numFmtId="44" fontId="19" fillId="0" borderId="1" xfId="332" applyNumberFormat="1" applyFont="1" applyFill="1" applyBorder="1" applyAlignment="1" applyProtection="1">
      <alignment horizontal="center"/>
      <protection locked="0"/>
    </xf>
    <xf numFmtId="10" fontId="19" fillId="0" borderId="1" xfId="332" applyNumberFormat="1" applyFont="1" applyFill="1" applyBorder="1" applyAlignment="1" applyProtection="1">
      <alignment horizontal="center" vertical="center"/>
      <protection locked="0"/>
    </xf>
    <xf numFmtId="10" fontId="19" fillId="5" borderId="0" xfId="0" applyNumberFormat="1" applyFont="1" applyFill="1" applyBorder="1" applyAlignment="1" applyProtection="1">
      <alignment horizontal="left" vertical="center"/>
    </xf>
    <xf numFmtId="10" fontId="11" fillId="5" borderId="0" xfId="0" applyNumberFormat="1" applyFont="1" applyFill="1" applyBorder="1" applyAlignment="1" applyProtection="1">
      <alignment horizontal="center"/>
    </xf>
    <xf numFmtId="44" fontId="19" fillId="0" borderId="1" xfId="333" applyNumberFormat="1" applyFont="1" applyFill="1" applyBorder="1" applyAlignment="1" applyProtection="1">
      <alignment horizontal="center" vertical="center"/>
      <protection locked="0"/>
    </xf>
    <xf numFmtId="44" fontId="19" fillId="5" borderId="0" xfId="0" applyNumberFormat="1" applyFont="1" applyFill="1" applyBorder="1" applyAlignment="1" applyProtection="1">
      <alignment horizontal="left" vertical="center"/>
    </xf>
    <xf numFmtId="44" fontId="19" fillId="0" borderId="1" xfId="332" applyNumberFormat="1" applyFont="1" applyBorder="1" applyAlignment="1" applyProtection="1">
      <alignment horizontal="center" vertical="center"/>
      <protection locked="0"/>
    </xf>
    <xf numFmtId="44" fontId="19" fillId="0" borderId="6" xfId="332" applyFont="1" applyBorder="1"/>
    <xf numFmtId="44" fontId="19" fillId="0" borderId="9" xfId="332" applyFont="1" applyBorder="1"/>
    <xf numFmtId="0" fontId="19" fillId="3" borderId="2" xfId="0" applyFont="1" applyFill="1" applyBorder="1"/>
    <xf numFmtId="0" fontId="28" fillId="0" borderId="0" xfId="335" applyBorder="1"/>
    <xf numFmtId="177" fontId="19" fillId="0" borderId="0" xfId="0" applyNumberFormat="1" applyFont="1" applyBorder="1"/>
    <xf numFmtId="0" fontId="39" fillId="0" borderId="5" xfId="0" applyFont="1" applyBorder="1"/>
    <xf numFmtId="0" fontId="39" fillId="0" borderId="0" xfId="0" applyFont="1" applyBorder="1"/>
    <xf numFmtId="0" fontId="19" fillId="3" borderId="5" xfId="0" applyFont="1" applyFill="1" applyBorder="1"/>
    <xf numFmtId="0" fontId="19" fillId="3" borderId="0" xfId="0" applyFont="1" applyFill="1" applyBorder="1"/>
    <xf numFmtId="0" fontId="19" fillId="3" borderId="6" xfId="0" applyFont="1" applyFill="1" applyBorder="1"/>
    <xf numFmtId="0" fontId="19" fillId="0" borderId="7" xfId="0" applyFont="1" applyBorder="1"/>
    <xf numFmtId="0" fontId="19" fillId="0" borderId="0" xfId="0" applyNumberFormat="1" applyFont="1" applyBorder="1"/>
    <xf numFmtId="0" fontId="60" fillId="0" borderId="0" xfId="0" applyFont="1" applyBorder="1"/>
    <xf numFmtId="0" fontId="60" fillId="0" borderId="6" xfId="0" applyFont="1" applyBorder="1"/>
    <xf numFmtId="0" fontId="60" fillId="0" borderId="5" xfId="0" applyFont="1" applyBorder="1"/>
    <xf numFmtId="0" fontId="60" fillId="0" borderId="12" xfId="0" applyFont="1" applyBorder="1"/>
    <xf numFmtId="0" fontId="60" fillId="0" borderId="8" xfId="0" applyFont="1" applyBorder="1"/>
    <xf numFmtId="0" fontId="60" fillId="0" borderId="9" xfId="0" applyFont="1" applyBorder="1"/>
    <xf numFmtId="0" fontId="60" fillId="0" borderId="3" xfId="0" applyFont="1" applyBorder="1"/>
    <xf numFmtId="0" fontId="60" fillId="0" borderId="4" xfId="0" applyFont="1" applyBorder="1"/>
    <xf numFmtId="0" fontId="11" fillId="5" borderId="0" xfId="0" applyFont="1" applyFill="1" applyBorder="1" applyAlignment="1" applyProtection="1">
      <alignment horizontal="center" vertical="center"/>
      <protection hidden="1"/>
    </xf>
    <xf numFmtId="0" fontId="11" fillId="5" borderId="0" xfId="0" applyFont="1" applyFill="1" applyBorder="1" applyAlignment="1" applyProtection="1">
      <alignment horizontal="center"/>
      <protection hidden="1"/>
    </xf>
    <xf numFmtId="1" fontId="82" fillId="2" borderId="0" xfId="0" applyNumberFormat="1" applyFont="1" applyFill="1" applyBorder="1" applyAlignment="1" applyProtection="1">
      <alignment horizontal="center" vertical="center"/>
    </xf>
    <xf numFmtId="164" fontId="36" fillId="2" borderId="0" xfId="0" applyNumberFormat="1" applyFont="1" applyFill="1" applyBorder="1" applyAlignment="1" applyProtection="1">
      <alignment horizontal="center" shrinkToFit="1"/>
    </xf>
    <xf numFmtId="0" fontId="83" fillId="2" borderId="0" xfId="0" applyFont="1" applyFill="1" applyBorder="1" applyAlignment="1" applyProtection="1">
      <alignment horizontal="center" vertical="center"/>
    </xf>
    <xf numFmtId="0" fontId="82" fillId="2" borderId="0" xfId="0" applyFont="1" applyFill="1" applyBorder="1" applyAlignment="1" applyProtection="1">
      <alignment horizontal="center" vertical="center"/>
    </xf>
    <xf numFmtId="1" fontId="83" fillId="2" borderId="0" xfId="0" applyNumberFormat="1" applyFont="1" applyFill="1" applyBorder="1" applyAlignment="1" applyProtection="1">
      <alignment horizontal="center" vertical="center"/>
    </xf>
    <xf numFmtId="1" fontId="34" fillId="2" borderId="0" xfId="0" applyNumberFormat="1" applyFont="1" applyFill="1" applyBorder="1" applyAlignment="1" applyProtection="1">
      <alignment horizontal="center" vertical="center"/>
    </xf>
    <xf numFmtId="8" fontId="82" fillId="2" borderId="0" xfId="0" applyNumberFormat="1" applyFont="1" applyFill="1" applyBorder="1" applyAlignment="1" applyProtection="1">
      <alignment horizontal="center" vertical="center"/>
    </xf>
    <xf numFmtId="8" fontId="32" fillId="2" borderId="0" xfId="0" applyNumberFormat="1" applyFont="1" applyFill="1" applyBorder="1" applyAlignment="1" applyProtection="1">
      <alignment horizontal="center" vertical="center"/>
    </xf>
    <xf numFmtId="1" fontId="38" fillId="0" borderId="0" xfId="0" applyNumberFormat="1" applyFont="1" applyFill="1"/>
    <xf numFmtId="1" fontId="44" fillId="0" borderId="0" xfId="0" applyNumberFormat="1" applyFont="1"/>
    <xf numFmtId="44" fontId="45" fillId="0" borderId="0" xfId="332" applyFont="1"/>
    <xf numFmtId="0" fontId="43" fillId="0" borderId="0" xfId="0" applyFont="1" applyFill="1" applyBorder="1" applyAlignment="1" applyProtection="1">
      <alignment horizontal="right"/>
      <protection locked="0"/>
    </xf>
    <xf numFmtId="2" fontId="45" fillId="0" borderId="0" xfId="0" applyNumberFormat="1" applyFont="1" applyFill="1" applyBorder="1"/>
    <xf numFmtId="44" fontId="19" fillId="14" borderId="0" xfId="0" applyNumberFormat="1" applyFont="1" applyFill="1" applyBorder="1" applyProtection="1"/>
    <xf numFmtId="44" fontId="19" fillId="14" borderId="0" xfId="0" applyNumberFormat="1" applyFont="1" applyFill="1" applyBorder="1" applyAlignment="1" applyProtection="1">
      <alignment horizontal="center"/>
      <protection hidden="1"/>
    </xf>
    <xf numFmtId="44" fontId="19" fillId="14" borderId="0" xfId="0" applyNumberFormat="1" applyFont="1" applyFill="1" applyBorder="1" applyProtection="1">
      <protection hidden="1"/>
    </xf>
    <xf numFmtId="44" fontId="14" fillId="14" borderId="0" xfId="1" applyNumberFormat="1" applyFont="1" applyFill="1" applyBorder="1" applyAlignment="1" applyProtection="1">
      <alignment horizontal="center" vertical="center"/>
    </xf>
    <xf numFmtId="0" fontId="9" fillId="14" borderId="5" xfId="1" applyFont="1" applyFill="1" applyBorder="1" applyAlignment="1" applyProtection="1">
      <alignment vertical="center"/>
      <protection hidden="1"/>
    </xf>
    <xf numFmtId="0" fontId="42" fillId="14" borderId="0" xfId="0" applyFont="1" applyFill="1" applyProtection="1">
      <protection hidden="1"/>
    </xf>
    <xf numFmtId="0" fontId="18" fillId="14" borderId="0" xfId="0" applyFont="1" applyFill="1" applyProtection="1">
      <protection hidden="1"/>
    </xf>
    <xf numFmtId="0" fontId="42" fillId="14" borderId="0" xfId="0" applyFont="1" applyFill="1" applyAlignment="1" applyProtection="1">
      <alignment horizontal="center" vertical="center"/>
      <protection hidden="1"/>
    </xf>
    <xf numFmtId="0" fontId="42" fillId="14" borderId="5" xfId="0" applyFont="1" applyFill="1" applyBorder="1" applyProtection="1">
      <protection hidden="1"/>
    </xf>
    <xf numFmtId="0" fontId="39" fillId="14" borderId="0" xfId="0" applyFont="1" applyFill="1" applyProtection="1">
      <protection hidden="1"/>
    </xf>
    <xf numFmtId="0" fontId="19" fillId="5" borderId="0" xfId="0" applyFont="1" applyFill="1" applyAlignment="1" applyProtection="1">
      <alignment horizontal="left" vertical="center" wrapText="1"/>
      <protection locked="0" hidden="1"/>
    </xf>
    <xf numFmtId="0" fontId="19" fillId="5" borderId="0" xfId="0" applyFont="1" applyFill="1" applyAlignment="1" applyProtection="1">
      <alignment vertical="center"/>
      <protection hidden="1"/>
    </xf>
    <xf numFmtId="0" fontId="2" fillId="5" borderId="0" xfId="0" applyFont="1" applyFill="1" applyProtection="1">
      <protection hidden="1"/>
    </xf>
    <xf numFmtId="0" fontId="19" fillId="0" borderId="1" xfId="332" applyNumberFormat="1" applyFont="1" applyBorder="1" applyAlignment="1" applyProtection="1">
      <alignment horizontal="center" vertical="center"/>
      <protection locked="0"/>
    </xf>
    <xf numFmtId="0" fontId="19" fillId="5" borderId="0" xfId="0" applyNumberFormat="1" applyFont="1" applyFill="1" applyBorder="1" applyAlignment="1" applyProtection="1">
      <alignment horizontal="left" vertical="center"/>
    </xf>
    <xf numFmtId="2" fontId="19" fillId="3" borderId="0" xfId="332" applyNumberFormat="1" applyFont="1" applyFill="1" applyBorder="1" applyProtection="1"/>
    <xf numFmtId="2" fontId="25" fillId="3" borderId="0" xfId="332" applyNumberFormat="1" applyFont="1" applyFill="1" applyAlignment="1" applyProtection="1">
      <alignment horizontal="center"/>
      <protection locked="0"/>
    </xf>
    <xf numFmtId="0" fontId="38" fillId="2" borderId="0" xfId="0" applyFont="1" applyFill="1" applyProtection="1">
      <protection hidden="1"/>
    </xf>
    <xf numFmtId="0" fontId="84" fillId="2" borderId="0" xfId="0" applyFont="1" applyFill="1" applyProtection="1">
      <protection hidden="1"/>
    </xf>
    <xf numFmtId="1" fontId="38" fillId="2" borderId="0" xfId="0" applyNumberFormat="1" applyFont="1" applyFill="1" applyProtection="1">
      <protection hidden="1"/>
    </xf>
    <xf numFmtId="1" fontId="38" fillId="0" borderId="0" xfId="0" applyNumberFormat="1" applyFont="1" applyProtection="1">
      <protection hidden="1"/>
    </xf>
    <xf numFmtId="0" fontId="39" fillId="5" borderId="0" xfId="0" applyFont="1" applyFill="1" applyBorder="1" applyProtection="1">
      <protection hidden="1"/>
    </xf>
    <xf numFmtId="0" fontId="19" fillId="0" borderId="0" xfId="0" applyNumberFormat="1" applyFont="1"/>
    <xf numFmtId="44" fontId="19" fillId="0" borderId="1" xfId="332" applyFont="1" applyBorder="1" applyAlignment="1"/>
    <xf numFmtId="2" fontId="19" fillId="0" borderId="1" xfId="0" applyNumberFormat="1" applyFont="1" applyBorder="1"/>
    <xf numFmtId="42" fontId="19" fillId="3" borderId="0" xfId="0" applyNumberFormat="1" applyFont="1" applyFill="1" applyBorder="1" applyProtection="1"/>
    <xf numFmtId="42" fontId="19" fillId="3" borderId="0" xfId="336" applyNumberFormat="1" applyFont="1" applyFill="1" applyAlignment="1" applyProtection="1">
      <alignment horizontal="right"/>
      <protection locked="0"/>
    </xf>
    <xf numFmtId="42" fontId="19" fillId="3" borderId="0" xfId="332" applyNumberFormat="1" applyFont="1" applyFill="1" applyBorder="1" applyProtection="1"/>
    <xf numFmtId="42" fontId="42" fillId="3" borderId="0" xfId="336" applyNumberFormat="1" applyFont="1" applyFill="1" applyAlignment="1" applyProtection="1">
      <alignment horizontal="right"/>
      <protection locked="0"/>
    </xf>
    <xf numFmtId="42" fontId="25" fillId="3" borderId="0" xfId="336" applyNumberFormat="1" applyFont="1" applyFill="1" applyAlignment="1" applyProtection="1">
      <alignment horizontal="right"/>
      <protection locked="0"/>
    </xf>
    <xf numFmtId="42" fontId="25" fillId="3" borderId="0" xfId="336" applyNumberFormat="1" applyFont="1" applyFill="1" applyAlignment="1" applyProtection="1">
      <alignment horizontal="center"/>
      <protection locked="0"/>
    </xf>
    <xf numFmtId="178" fontId="19" fillId="13" borderId="1" xfId="333" applyNumberFormat="1" applyFont="1" applyFill="1" applyBorder="1" applyAlignment="1" applyProtection="1">
      <alignment horizontal="center" vertical="center"/>
    </xf>
    <xf numFmtId="178" fontId="19" fillId="5" borderId="0" xfId="333" applyNumberFormat="1" applyFont="1" applyFill="1" applyBorder="1" applyAlignment="1" applyProtection="1">
      <alignment horizontal="center" vertical="center"/>
    </xf>
    <xf numFmtId="178" fontId="19" fillId="5" borderId="0" xfId="0" applyNumberFormat="1" applyFont="1" applyFill="1" applyBorder="1" applyAlignment="1" applyProtection="1">
      <alignment horizontal="left" vertical="center"/>
    </xf>
    <xf numFmtId="178" fontId="11" fillId="5" borderId="0" xfId="0" applyNumberFormat="1" applyFont="1" applyFill="1" applyBorder="1" applyAlignment="1" applyProtection="1">
      <alignment horizontal="center"/>
    </xf>
    <xf numFmtId="0" fontId="24" fillId="3" borderId="5" xfId="1" applyFont="1" applyFill="1" applyBorder="1" applyAlignment="1" applyProtection="1">
      <alignment horizontal="left" vertical="center"/>
      <protection locked="0"/>
    </xf>
    <xf numFmtId="0" fontId="41" fillId="3" borderId="0" xfId="1" applyFont="1" applyFill="1" applyBorder="1" applyAlignment="1" applyProtection="1">
      <alignment horizontal="left" vertical="center"/>
      <protection locked="0"/>
    </xf>
    <xf numFmtId="0" fontId="27" fillId="4" borderId="0" xfId="0" applyFont="1" applyFill="1" applyBorder="1" applyAlignment="1" applyProtection="1">
      <alignment horizontal="left" vertical="center" wrapText="1"/>
    </xf>
    <xf numFmtId="0" fontId="21" fillId="4" borderId="0" xfId="0" applyFont="1" applyFill="1" applyAlignment="1" applyProtection="1">
      <alignment horizontal="center"/>
    </xf>
    <xf numFmtId="0" fontId="26" fillId="14" borderId="2" xfId="1" applyFont="1" applyFill="1" applyBorder="1" applyAlignment="1" applyProtection="1"/>
    <xf numFmtId="0" fontId="12" fillId="14" borderId="3" xfId="1" applyFont="1" applyFill="1" applyBorder="1" applyAlignment="1" applyProtection="1"/>
    <xf numFmtId="0" fontId="12" fillId="12" borderId="2" xfId="1" applyFont="1" applyFill="1" applyBorder="1" applyAlignment="1" applyProtection="1">
      <alignment horizontal="left"/>
    </xf>
    <xf numFmtId="0" fontId="12" fillId="12" borderId="3" xfId="1" applyFont="1" applyFill="1" applyBorder="1" applyAlignment="1" applyProtection="1">
      <alignment horizontal="left"/>
    </xf>
    <xf numFmtId="0" fontId="12" fillId="5" borderId="2" xfId="1" applyFont="1" applyFill="1" applyBorder="1" applyAlignment="1" applyProtection="1"/>
    <xf numFmtId="0" fontId="12" fillId="5" borderId="3" xfId="1" applyFont="1" applyFill="1" applyBorder="1" applyAlignment="1" applyProtection="1"/>
    <xf numFmtId="0" fontId="24" fillId="5" borderId="5" xfId="1" applyFont="1" applyFill="1" applyBorder="1" applyAlignment="1" applyProtection="1">
      <alignment horizontal="left" vertical="center"/>
      <protection hidden="1"/>
    </xf>
    <xf numFmtId="0" fontId="24" fillId="5" borderId="0" xfId="1" applyFont="1" applyFill="1" applyBorder="1" applyAlignment="1" applyProtection="1">
      <alignment horizontal="left" vertical="center"/>
      <protection hidden="1"/>
    </xf>
    <xf numFmtId="0" fontId="71" fillId="5" borderId="0" xfId="1" applyFont="1" applyFill="1" applyBorder="1" applyAlignment="1" applyProtection="1">
      <alignment horizontal="center" vertical="center"/>
      <protection hidden="1"/>
    </xf>
    <xf numFmtId="0" fontId="19" fillId="3" borderId="0" xfId="0" applyFont="1" applyFill="1" applyAlignment="1">
      <alignment horizontal="center"/>
    </xf>
    <xf numFmtId="0" fontId="19" fillId="0" borderId="0" xfId="0" applyFont="1" applyAlignment="1">
      <alignment horizontal="center"/>
    </xf>
    <xf numFmtId="0" fontId="60" fillId="0" borderId="0" xfId="0" applyFont="1" applyAlignment="1">
      <alignment horizontal="center"/>
    </xf>
    <xf numFmtId="0" fontId="61" fillId="0" borderId="0" xfId="0" applyFont="1" applyAlignment="1">
      <alignment horizontal="center"/>
    </xf>
    <xf numFmtId="0" fontId="19" fillId="0" borderId="0" xfId="0" applyFont="1" applyBorder="1" applyAlignment="1">
      <alignment horizontal="center"/>
    </xf>
    <xf numFmtId="0" fontId="19" fillId="0" borderId="6" xfId="0" applyFont="1" applyBorder="1" applyAlignment="1">
      <alignment horizontal="center"/>
    </xf>
    <xf numFmtId="0" fontId="19" fillId="3" borderId="2" xfId="0" applyFont="1" applyFill="1" applyBorder="1" applyAlignment="1">
      <alignment horizontal="center"/>
    </xf>
    <xf numFmtId="0" fontId="19" fillId="3" borderId="5" xfId="0" applyFont="1" applyFill="1" applyBorder="1" applyAlignment="1">
      <alignment horizontal="center"/>
    </xf>
    <xf numFmtId="0" fontId="56" fillId="3" borderId="3" xfId="0" applyFont="1" applyFill="1" applyBorder="1" applyAlignment="1">
      <alignment horizontal="center"/>
    </xf>
    <xf numFmtId="0" fontId="56" fillId="3" borderId="4" xfId="0" applyFont="1" applyFill="1" applyBorder="1" applyAlignment="1">
      <alignment horizontal="center"/>
    </xf>
    <xf numFmtId="0" fontId="56" fillId="3" borderId="0" xfId="0" applyFont="1" applyFill="1" applyBorder="1" applyAlignment="1">
      <alignment horizontal="center"/>
    </xf>
    <xf numFmtId="0" fontId="56" fillId="3" borderId="6" xfId="0" applyFont="1" applyFill="1" applyBorder="1" applyAlignment="1">
      <alignment horizontal="center"/>
    </xf>
    <xf numFmtId="0" fontId="19" fillId="0" borderId="5" xfId="0" applyFont="1" applyBorder="1" applyAlignment="1">
      <alignment horizontal="center"/>
    </xf>
    <xf numFmtId="0" fontId="60" fillId="0" borderId="8" xfId="0" applyFont="1" applyBorder="1" applyAlignment="1">
      <alignment horizontal="center"/>
    </xf>
    <xf numFmtId="0" fontId="60" fillId="0" borderId="9" xfId="0" applyFont="1" applyBorder="1" applyAlignment="1">
      <alignment horizontal="center"/>
    </xf>
    <xf numFmtId="0" fontId="81" fillId="3" borderId="3" xfId="0" applyFont="1" applyFill="1" applyBorder="1" applyAlignment="1">
      <alignment horizontal="center"/>
    </xf>
    <xf numFmtId="0" fontId="81" fillId="3" borderId="4" xfId="0" applyFont="1" applyFill="1" applyBorder="1" applyAlignment="1">
      <alignment horizontal="center"/>
    </xf>
    <xf numFmtId="0" fontId="81" fillId="3" borderId="0" xfId="0" applyFont="1" applyFill="1" applyBorder="1" applyAlignment="1">
      <alignment horizontal="center"/>
    </xf>
    <xf numFmtId="0" fontId="81" fillId="3" borderId="6" xfId="0" applyFont="1" applyFill="1" applyBorder="1" applyAlignment="1">
      <alignment horizontal="center"/>
    </xf>
    <xf numFmtId="0" fontId="19" fillId="0" borderId="7" xfId="0" applyFont="1" applyBorder="1" applyAlignment="1">
      <alignment horizontal="center"/>
    </xf>
    <xf numFmtId="0" fontId="19" fillId="0" borderId="8" xfId="0" applyFont="1" applyBorder="1" applyAlignment="1">
      <alignment horizontal="center"/>
    </xf>
  </cellXfs>
  <cellStyles count="337">
    <cellStyle name="_x000a_shell=progma" xfId="2" xr:uid="{00000000-0005-0000-0000-000000000000}"/>
    <cellStyle name="1000-sep (2 dec) 2" xfId="3" xr:uid="{00000000-0005-0000-0000-000001000000}"/>
    <cellStyle name="1000-sep (2 dec) 2 2" xfId="4" xr:uid="{00000000-0005-0000-0000-000002000000}"/>
    <cellStyle name="1000-sep (2 dec) 2 3" xfId="5" xr:uid="{00000000-0005-0000-0000-000003000000}"/>
    <cellStyle name="1000-sep (2 dec) 3" xfId="6" xr:uid="{00000000-0005-0000-0000-000004000000}"/>
    <cellStyle name="1000-sep (2 dec) 3 2" xfId="7" xr:uid="{00000000-0005-0000-0000-000005000000}"/>
    <cellStyle name="1000-sep (2 dec) 4" xfId="8" xr:uid="{00000000-0005-0000-0000-000006000000}"/>
    <cellStyle name="1000-sep (2 dec) 4 2" xfId="9" xr:uid="{00000000-0005-0000-0000-000007000000}"/>
    <cellStyle name="1000-sep (2 dec) 5" xfId="10" xr:uid="{00000000-0005-0000-0000-000008000000}"/>
    <cellStyle name="1000-sep (2 dec) 5 2" xfId="11" xr:uid="{00000000-0005-0000-0000-000009000000}"/>
    <cellStyle name="1000-sep (2 dec) 5 2 2" xfId="12" xr:uid="{00000000-0005-0000-0000-00000A000000}"/>
    <cellStyle name="1000-sep (2 dec) 5 3" xfId="13" xr:uid="{00000000-0005-0000-0000-00000B000000}"/>
    <cellStyle name="1000-sep (2 dec) 6" xfId="14" xr:uid="{00000000-0005-0000-0000-00000C000000}"/>
    <cellStyle name="1000-sep (2 dec) 7" xfId="15" xr:uid="{00000000-0005-0000-0000-00000D000000}"/>
    <cellStyle name="Comma" xfId="336" builtinId="3"/>
    <cellStyle name="Comma 2" xfId="334" xr:uid="{4586C513-6A9A-49DF-AB89-C8E012574C68}"/>
    <cellStyle name="Currency" xfId="332" builtinId="4"/>
    <cellStyle name="Dato" xfId="16" xr:uid="{00000000-0005-0000-0000-00000F000000}"/>
    <cellStyle name="Dato 2" xfId="17" xr:uid="{00000000-0005-0000-0000-000010000000}"/>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5" builtinId="8"/>
    <cellStyle name="Normal" xfId="0" builtinId="0"/>
    <cellStyle name="Normal 10" xfId="18" xr:uid="{00000000-0005-0000-0000-000026000000}"/>
    <cellStyle name="Normal 10 2" xfId="19" xr:uid="{00000000-0005-0000-0000-000027000000}"/>
    <cellStyle name="Normal 10 3" xfId="20" xr:uid="{00000000-0005-0000-0000-000028000000}"/>
    <cellStyle name="Normal 10 4" xfId="21" xr:uid="{00000000-0005-0000-0000-000029000000}"/>
    <cellStyle name="Normal 11" xfId="22" xr:uid="{00000000-0005-0000-0000-00002A000000}"/>
    <cellStyle name="Normal 11 2" xfId="23" xr:uid="{00000000-0005-0000-0000-00002B000000}"/>
    <cellStyle name="Normal 11 3" xfId="24" xr:uid="{00000000-0005-0000-0000-00002C000000}"/>
    <cellStyle name="Normal 11 4" xfId="25" xr:uid="{00000000-0005-0000-0000-00002D000000}"/>
    <cellStyle name="Normal 11 5" xfId="26" xr:uid="{00000000-0005-0000-0000-00002E000000}"/>
    <cellStyle name="Normal 11 6" xfId="27" xr:uid="{00000000-0005-0000-0000-00002F000000}"/>
    <cellStyle name="Normal 11 7" xfId="28" xr:uid="{00000000-0005-0000-0000-000030000000}"/>
    <cellStyle name="Normal 11 8" xfId="29" xr:uid="{00000000-0005-0000-0000-000031000000}"/>
    <cellStyle name="Normal 12" xfId="30" xr:uid="{00000000-0005-0000-0000-000032000000}"/>
    <cellStyle name="Normal 12 2" xfId="31" xr:uid="{00000000-0005-0000-0000-000033000000}"/>
    <cellStyle name="Normal 12 3" xfId="32" xr:uid="{00000000-0005-0000-0000-000034000000}"/>
    <cellStyle name="Normal 12 4" xfId="33" xr:uid="{00000000-0005-0000-0000-000035000000}"/>
    <cellStyle name="Normal 12 5" xfId="34" xr:uid="{00000000-0005-0000-0000-000036000000}"/>
    <cellStyle name="Normal 12 6" xfId="35" xr:uid="{00000000-0005-0000-0000-000037000000}"/>
    <cellStyle name="Normal 12 7" xfId="36" xr:uid="{00000000-0005-0000-0000-000038000000}"/>
    <cellStyle name="Normal 12 8" xfId="37" xr:uid="{00000000-0005-0000-0000-000039000000}"/>
    <cellStyle name="Normal 13" xfId="38" xr:uid="{00000000-0005-0000-0000-00003A000000}"/>
    <cellStyle name="Normal 13 2" xfId="39" xr:uid="{00000000-0005-0000-0000-00003B000000}"/>
    <cellStyle name="Normal 13 3" xfId="40" xr:uid="{00000000-0005-0000-0000-00003C000000}"/>
    <cellStyle name="Normal 13 4" xfId="41" xr:uid="{00000000-0005-0000-0000-00003D000000}"/>
    <cellStyle name="Normal 13 5" xfId="42" xr:uid="{00000000-0005-0000-0000-00003E000000}"/>
    <cellStyle name="Normal 13 6" xfId="43" xr:uid="{00000000-0005-0000-0000-00003F000000}"/>
    <cellStyle name="Normal 13 7" xfId="44" xr:uid="{00000000-0005-0000-0000-000040000000}"/>
    <cellStyle name="Normal 13 8" xfId="45" xr:uid="{00000000-0005-0000-0000-000041000000}"/>
    <cellStyle name="Normal 14" xfId="46" xr:uid="{00000000-0005-0000-0000-000042000000}"/>
    <cellStyle name="Normal 14 2" xfId="47" xr:uid="{00000000-0005-0000-0000-000043000000}"/>
    <cellStyle name="Normal 14 3" xfId="48" xr:uid="{00000000-0005-0000-0000-000044000000}"/>
    <cellStyle name="Normal 14 4" xfId="49" xr:uid="{00000000-0005-0000-0000-000045000000}"/>
    <cellStyle name="Normal 14 5" xfId="50" xr:uid="{00000000-0005-0000-0000-000046000000}"/>
    <cellStyle name="Normal 14 6" xfId="51" xr:uid="{00000000-0005-0000-0000-000047000000}"/>
    <cellStyle name="Normal 14 7" xfId="52" xr:uid="{00000000-0005-0000-0000-000048000000}"/>
    <cellStyle name="Normal 14 8" xfId="53" xr:uid="{00000000-0005-0000-0000-000049000000}"/>
    <cellStyle name="Normal 15" xfId="54" xr:uid="{00000000-0005-0000-0000-00004A000000}"/>
    <cellStyle name="Normal 15 2" xfId="55" xr:uid="{00000000-0005-0000-0000-00004B000000}"/>
    <cellStyle name="Normal 15 3" xfId="56" xr:uid="{00000000-0005-0000-0000-00004C000000}"/>
    <cellStyle name="Normal 15 4" xfId="57" xr:uid="{00000000-0005-0000-0000-00004D000000}"/>
    <cellStyle name="Normal 15 5" xfId="58" xr:uid="{00000000-0005-0000-0000-00004E000000}"/>
    <cellStyle name="Normal 15 6" xfId="59" xr:uid="{00000000-0005-0000-0000-00004F000000}"/>
    <cellStyle name="Normal 15 7" xfId="60" xr:uid="{00000000-0005-0000-0000-000050000000}"/>
    <cellStyle name="Normal 15 8" xfId="61" xr:uid="{00000000-0005-0000-0000-000051000000}"/>
    <cellStyle name="Normal 16" xfId="62" xr:uid="{00000000-0005-0000-0000-000052000000}"/>
    <cellStyle name="Normal 16 2" xfId="63" xr:uid="{00000000-0005-0000-0000-000053000000}"/>
    <cellStyle name="Normal 16 3" xfId="64" xr:uid="{00000000-0005-0000-0000-000054000000}"/>
    <cellStyle name="Normal 16 3 2" xfId="65" xr:uid="{00000000-0005-0000-0000-000055000000}"/>
    <cellStyle name="Normal 16 3_Book1 (3)" xfId="66" xr:uid="{00000000-0005-0000-0000-000056000000}"/>
    <cellStyle name="Normal 16 4" xfId="67" xr:uid="{00000000-0005-0000-0000-000057000000}"/>
    <cellStyle name="Normal 16 5" xfId="68" xr:uid="{00000000-0005-0000-0000-000058000000}"/>
    <cellStyle name="Normal 16_Book1 (3)" xfId="69" xr:uid="{00000000-0005-0000-0000-000059000000}"/>
    <cellStyle name="Normal 17" xfId="70" xr:uid="{00000000-0005-0000-0000-00005A000000}"/>
    <cellStyle name="Normal 18" xfId="71" xr:uid="{00000000-0005-0000-0000-00005B000000}"/>
    <cellStyle name="Normal 19" xfId="72" xr:uid="{00000000-0005-0000-0000-00005C000000}"/>
    <cellStyle name="Normal 19 2" xfId="73" xr:uid="{00000000-0005-0000-0000-00005D000000}"/>
    <cellStyle name="Normal 19 3" xfId="74" xr:uid="{00000000-0005-0000-0000-00005E000000}"/>
    <cellStyle name="Normal 19 4" xfId="75" xr:uid="{00000000-0005-0000-0000-00005F000000}"/>
    <cellStyle name="Normal 19_Book1 (3)" xfId="76" xr:uid="{00000000-0005-0000-0000-000060000000}"/>
    <cellStyle name="Normal 2" xfId="77" xr:uid="{00000000-0005-0000-0000-000061000000}"/>
    <cellStyle name="Normal 2 10" xfId="78" xr:uid="{00000000-0005-0000-0000-000062000000}"/>
    <cellStyle name="Normal 2 10 2" xfId="79" xr:uid="{00000000-0005-0000-0000-000063000000}"/>
    <cellStyle name="Normal 2 10 3" xfId="80" xr:uid="{00000000-0005-0000-0000-000064000000}"/>
    <cellStyle name="Normal 2 10 4" xfId="81" xr:uid="{00000000-0005-0000-0000-000065000000}"/>
    <cellStyle name="Normal 2 10_Book1 (3)" xfId="82" xr:uid="{00000000-0005-0000-0000-000066000000}"/>
    <cellStyle name="Normal 2 11" xfId="83" xr:uid="{00000000-0005-0000-0000-000067000000}"/>
    <cellStyle name="Normal 2 11 2" xfId="84" xr:uid="{00000000-0005-0000-0000-000068000000}"/>
    <cellStyle name="Normal 2 11 3" xfId="85" xr:uid="{00000000-0005-0000-0000-000069000000}"/>
    <cellStyle name="Normal 2 11 4" xfId="86" xr:uid="{00000000-0005-0000-0000-00006A000000}"/>
    <cellStyle name="Normal 2 11_Book1 (3)" xfId="87" xr:uid="{00000000-0005-0000-0000-00006B000000}"/>
    <cellStyle name="Normal 2 12" xfId="88" xr:uid="{00000000-0005-0000-0000-00006C000000}"/>
    <cellStyle name="Normal 2 12 2" xfId="89" xr:uid="{00000000-0005-0000-0000-00006D000000}"/>
    <cellStyle name="Normal 2 12 3" xfId="90" xr:uid="{00000000-0005-0000-0000-00006E000000}"/>
    <cellStyle name="Normal 2 12 4" xfId="91" xr:uid="{00000000-0005-0000-0000-00006F000000}"/>
    <cellStyle name="Normal 2 12_Book1 (3)" xfId="92" xr:uid="{00000000-0005-0000-0000-000070000000}"/>
    <cellStyle name="Normal 2 13" xfId="93" xr:uid="{00000000-0005-0000-0000-000071000000}"/>
    <cellStyle name="Normal 2 14" xfId="94" xr:uid="{00000000-0005-0000-0000-000072000000}"/>
    <cellStyle name="Normal 2 15" xfId="95" xr:uid="{00000000-0005-0000-0000-000073000000}"/>
    <cellStyle name="Normal 2 16" xfId="96" xr:uid="{00000000-0005-0000-0000-000074000000}"/>
    <cellStyle name="Normal 2 17" xfId="97" xr:uid="{00000000-0005-0000-0000-000075000000}"/>
    <cellStyle name="Normal 2 18" xfId="98" xr:uid="{00000000-0005-0000-0000-000076000000}"/>
    <cellStyle name="Normal 2 19" xfId="99" xr:uid="{00000000-0005-0000-0000-000077000000}"/>
    <cellStyle name="Normal 2 2" xfId="100" xr:uid="{00000000-0005-0000-0000-000078000000}"/>
    <cellStyle name="Normal 2 2 10" xfId="101" xr:uid="{00000000-0005-0000-0000-000079000000}"/>
    <cellStyle name="Normal 2 2 10 2" xfId="102" xr:uid="{00000000-0005-0000-0000-00007A000000}"/>
    <cellStyle name="Normal 2 2 10 3" xfId="103" xr:uid="{00000000-0005-0000-0000-00007B000000}"/>
    <cellStyle name="Normal 2 2 10 4" xfId="104" xr:uid="{00000000-0005-0000-0000-00007C000000}"/>
    <cellStyle name="Normal 2 2 10_Book1 (3)" xfId="105" xr:uid="{00000000-0005-0000-0000-00007D000000}"/>
    <cellStyle name="Normal 2 2 11" xfId="106" xr:uid="{00000000-0005-0000-0000-00007E000000}"/>
    <cellStyle name="Normal 2 2 11 2" xfId="107" xr:uid="{00000000-0005-0000-0000-00007F000000}"/>
    <cellStyle name="Normal 2 2 11 3" xfId="108" xr:uid="{00000000-0005-0000-0000-000080000000}"/>
    <cellStyle name="Normal 2 2 11 4" xfId="109" xr:uid="{00000000-0005-0000-0000-000081000000}"/>
    <cellStyle name="Normal 2 2 11_Book1 (3)" xfId="110" xr:uid="{00000000-0005-0000-0000-000082000000}"/>
    <cellStyle name="Normal 2 2 12" xfId="111" xr:uid="{00000000-0005-0000-0000-000083000000}"/>
    <cellStyle name="Normal 2 2 12 2" xfId="112" xr:uid="{00000000-0005-0000-0000-000084000000}"/>
    <cellStyle name="Normal 2 2 12 3" xfId="113" xr:uid="{00000000-0005-0000-0000-000085000000}"/>
    <cellStyle name="Normal 2 2 12 4" xfId="114" xr:uid="{00000000-0005-0000-0000-000086000000}"/>
    <cellStyle name="Normal 2 2 12_Book1 (3)" xfId="115" xr:uid="{00000000-0005-0000-0000-000087000000}"/>
    <cellStyle name="Normal 2 2 13" xfId="116" xr:uid="{00000000-0005-0000-0000-000088000000}"/>
    <cellStyle name="Normal 2 2 13 2" xfId="117" xr:uid="{00000000-0005-0000-0000-000089000000}"/>
    <cellStyle name="Normal 2 2 13 3" xfId="118" xr:uid="{00000000-0005-0000-0000-00008A000000}"/>
    <cellStyle name="Normal 2 2 13 4" xfId="119" xr:uid="{00000000-0005-0000-0000-00008B000000}"/>
    <cellStyle name="Normal 2 2 13_Book1 (3)" xfId="120" xr:uid="{00000000-0005-0000-0000-00008C000000}"/>
    <cellStyle name="Normal 2 2 2" xfId="121" xr:uid="{00000000-0005-0000-0000-00008D000000}"/>
    <cellStyle name="Normal 2 2 2 2" xfId="122" xr:uid="{00000000-0005-0000-0000-00008E000000}"/>
    <cellStyle name="Normal 2 2 2 3" xfId="123" xr:uid="{00000000-0005-0000-0000-00008F000000}"/>
    <cellStyle name="Normal 2 2 2 4" xfId="124" xr:uid="{00000000-0005-0000-0000-000090000000}"/>
    <cellStyle name="Normal 2 2 2_Book1 (3)" xfId="125" xr:uid="{00000000-0005-0000-0000-000091000000}"/>
    <cellStyle name="Normal 2 2 3" xfId="126" xr:uid="{00000000-0005-0000-0000-000092000000}"/>
    <cellStyle name="Normal 2 2 3 2" xfId="127" xr:uid="{00000000-0005-0000-0000-000093000000}"/>
    <cellStyle name="Normal 2 2 3 3" xfId="128" xr:uid="{00000000-0005-0000-0000-000094000000}"/>
    <cellStyle name="Normal 2 2 3 4" xfId="129" xr:uid="{00000000-0005-0000-0000-000095000000}"/>
    <cellStyle name="Normal 2 2 3_Book1 (3)" xfId="130" xr:uid="{00000000-0005-0000-0000-000096000000}"/>
    <cellStyle name="Normal 2 2 4" xfId="131" xr:uid="{00000000-0005-0000-0000-000097000000}"/>
    <cellStyle name="Normal 2 2 4 2" xfId="132" xr:uid="{00000000-0005-0000-0000-000098000000}"/>
    <cellStyle name="Normal 2 2 4 3" xfId="133" xr:uid="{00000000-0005-0000-0000-000099000000}"/>
    <cellStyle name="Normal 2 2 4 4" xfId="134" xr:uid="{00000000-0005-0000-0000-00009A000000}"/>
    <cellStyle name="Normal 2 2 4_Book1 (3)" xfId="135" xr:uid="{00000000-0005-0000-0000-00009B000000}"/>
    <cellStyle name="Normal 2 2 5" xfId="136" xr:uid="{00000000-0005-0000-0000-00009C000000}"/>
    <cellStyle name="Normal 2 2 5 2" xfId="137" xr:uid="{00000000-0005-0000-0000-00009D000000}"/>
    <cellStyle name="Normal 2 2 5 3" xfId="138" xr:uid="{00000000-0005-0000-0000-00009E000000}"/>
    <cellStyle name="Normal 2 2 5 4" xfId="139" xr:uid="{00000000-0005-0000-0000-00009F000000}"/>
    <cellStyle name="Normal 2 2 5_Book1 (3)" xfId="140" xr:uid="{00000000-0005-0000-0000-0000A0000000}"/>
    <cellStyle name="Normal 2 2 6" xfId="141" xr:uid="{00000000-0005-0000-0000-0000A1000000}"/>
    <cellStyle name="Normal 2 2 6 2" xfId="142" xr:uid="{00000000-0005-0000-0000-0000A2000000}"/>
    <cellStyle name="Normal 2 2 6 3" xfId="143" xr:uid="{00000000-0005-0000-0000-0000A3000000}"/>
    <cellStyle name="Normal 2 2 6 4" xfId="144" xr:uid="{00000000-0005-0000-0000-0000A4000000}"/>
    <cellStyle name="Normal 2 2 6_Book1 (3)" xfId="145" xr:uid="{00000000-0005-0000-0000-0000A5000000}"/>
    <cellStyle name="Normal 2 2 7" xfId="146" xr:uid="{00000000-0005-0000-0000-0000A6000000}"/>
    <cellStyle name="Normal 2 2 7 2" xfId="147" xr:uid="{00000000-0005-0000-0000-0000A7000000}"/>
    <cellStyle name="Normal 2 2 7 3" xfId="148" xr:uid="{00000000-0005-0000-0000-0000A8000000}"/>
    <cellStyle name="Normal 2 2 7 4" xfId="149" xr:uid="{00000000-0005-0000-0000-0000A9000000}"/>
    <cellStyle name="Normal 2 2 7_Book1 (3)" xfId="150" xr:uid="{00000000-0005-0000-0000-0000AA000000}"/>
    <cellStyle name="Normal 2 2 8" xfId="151" xr:uid="{00000000-0005-0000-0000-0000AB000000}"/>
    <cellStyle name="Normal 2 2 8 2" xfId="152" xr:uid="{00000000-0005-0000-0000-0000AC000000}"/>
    <cellStyle name="Normal 2 2 8 3" xfId="153" xr:uid="{00000000-0005-0000-0000-0000AD000000}"/>
    <cellStyle name="Normal 2 2 8 4" xfId="154" xr:uid="{00000000-0005-0000-0000-0000AE000000}"/>
    <cellStyle name="Normal 2 2 8_Book1 (3)" xfId="155" xr:uid="{00000000-0005-0000-0000-0000AF000000}"/>
    <cellStyle name="Normal 2 2 9" xfId="156" xr:uid="{00000000-0005-0000-0000-0000B0000000}"/>
    <cellStyle name="Normal 2 2 9 2" xfId="157" xr:uid="{00000000-0005-0000-0000-0000B1000000}"/>
    <cellStyle name="Normal 2 2 9 3" xfId="158" xr:uid="{00000000-0005-0000-0000-0000B2000000}"/>
    <cellStyle name="Normal 2 2 9 4" xfId="159" xr:uid="{00000000-0005-0000-0000-0000B3000000}"/>
    <cellStyle name="Normal 2 2 9_Book1 (3)" xfId="160" xr:uid="{00000000-0005-0000-0000-0000B4000000}"/>
    <cellStyle name="Normal 2 20" xfId="161" xr:uid="{00000000-0005-0000-0000-0000B5000000}"/>
    <cellStyle name="Normal 2 21" xfId="162" xr:uid="{00000000-0005-0000-0000-0000B6000000}"/>
    <cellStyle name="Normal 2 22" xfId="163" xr:uid="{00000000-0005-0000-0000-0000B7000000}"/>
    <cellStyle name="Normal 2 23" xfId="164" xr:uid="{00000000-0005-0000-0000-0000B8000000}"/>
    <cellStyle name="Normal 2 24" xfId="165" xr:uid="{00000000-0005-0000-0000-0000B9000000}"/>
    <cellStyle name="Normal 2 24 2" xfId="166" xr:uid="{00000000-0005-0000-0000-0000BA000000}"/>
    <cellStyle name="Normal 2 24_Book1 (3)" xfId="167" xr:uid="{00000000-0005-0000-0000-0000BB000000}"/>
    <cellStyle name="Normal 2 25" xfId="168" xr:uid="{00000000-0005-0000-0000-0000BC000000}"/>
    <cellStyle name="Normal 2 26" xfId="169" xr:uid="{00000000-0005-0000-0000-0000BD000000}"/>
    <cellStyle name="Normal 2 3" xfId="170" xr:uid="{00000000-0005-0000-0000-0000BE000000}"/>
    <cellStyle name="Normal 2 3 2" xfId="171" xr:uid="{00000000-0005-0000-0000-0000BF000000}"/>
    <cellStyle name="Normal 2 3 3" xfId="172" xr:uid="{00000000-0005-0000-0000-0000C0000000}"/>
    <cellStyle name="Normal 2 3 4" xfId="173" xr:uid="{00000000-0005-0000-0000-0000C1000000}"/>
    <cellStyle name="Normal 2 3_Book1 (3)" xfId="174" xr:uid="{00000000-0005-0000-0000-0000C2000000}"/>
    <cellStyle name="Normal 2 4" xfId="175" xr:uid="{00000000-0005-0000-0000-0000C3000000}"/>
    <cellStyle name="Normal 2 4 2" xfId="176" xr:uid="{00000000-0005-0000-0000-0000C4000000}"/>
    <cellStyle name="Normal 2 4 3" xfId="177" xr:uid="{00000000-0005-0000-0000-0000C5000000}"/>
    <cellStyle name="Normal 2 4 4" xfId="178" xr:uid="{00000000-0005-0000-0000-0000C6000000}"/>
    <cellStyle name="Normal 2 4_Book1 (3)" xfId="179" xr:uid="{00000000-0005-0000-0000-0000C7000000}"/>
    <cellStyle name="Normal 2 5" xfId="180" xr:uid="{00000000-0005-0000-0000-0000C8000000}"/>
    <cellStyle name="Normal 2 5 2" xfId="181" xr:uid="{00000000-0005-0000-0000-0000C9000000}"/>
    <cellStyle name="Normal 2 5 3" xfId="182" xr:uid="{00000000-0005-0000-0000-0000CA000000}"/>
    <cellStyle name="Normal 2 5 4" xfId="183" xr:uid="{00000000-0005-0000-0000-0000CB000000}"/>
    <cellStyle name="Normal 2 5_Book1 (3)" xfId="184" xr:uid="{00000000-0005-0000-0000-0000CC000000}"/>
    <cellStyle name="Normal 2 6" xfId="185" xr:uid="{00000000-0005-0000-0000-0000CD000000}"/>
    <cellStyle name="Normal 2 6 2" xfId="186" xr:uid="{00000000-0005-0000-0000-0000CE000000}"/>
    <cellStyle name="Normal 2 6 3" xfId="187" xr:uid="{00000000-0005-0000-0000-0000CF000000}"/>
    <cellStyle name="Normal 2 6 4" xfId="188" xr:uid="{00000000-0005-0000-0000-0000D0000000}"/>
    <cellStyle name="Normal 2 6_Book1 (3)" xfId="189" xr:uid="{00000000-0005-0000-0000-0000D1000000}"/>
    <cellStyle name="Normal 2 7" xfId="190" xr:uid="{00000000-0005-0000-0000-0000D2000000}"/>
    <cellStyle name="Normal 2 7 2" xfId="191" xr:uid="{00000000-0005-0000-0000-0000D3000000}"/>
    <cellStyle name="Normal 2 7 3" xfId="192" xr:uid="{00000000-0005-0000-0000-0000D4000000}"/>
    <cellStyle name="Normal 2 7 4" xfId="193" xr:uid="{00000000-0005-0000-0000-0000D5000000}"/>
    <cellStyle name="Normal 2 7_Book1 (3)" xfId="194" xr:uid="{00000000-0005-0000-0000-0000D6000000}"/>
    <cellStyle name="Normal 2 8" xfId="195" xr:uid="{00000000-0005-0000-0000-0000D7000000}"/>
    <cellStyle name="Normal 2 8 2" xfId="196" xr:uid="{00000000-0005-0000-0000-0000D8000000}"/>
    <cellStyle name="Normal 2 8 3" xfId="197" xr:uid="{00000000-0005-0000-0000-0000D9000000}"/>
    <cellStyle name="Normal 2 8 4" xfId="198" xr:uid="{00000000-0005-0000-0000-0000DA000000}"/>
    <cellStyle name="Normal 2 8_Book1 (3)" xfId="199" xr:uid="{00000000-0005-0000-0000-0000DB000000}"/>
    <cellStyle name="Normal 2 9" xfId="200" xr:uid="{00000000-0005-0000-0000-0000DC000000}"/>
    <cellStyle name="Normal 2 9 2" xfId="201" xr:uid="{00000000-0005-0000-0000-0000DD000000}"/>
    <cellStyle name="Normal 2 9 3" xfId="202" xr:uid="{00000000-0005-0000-0000-0000DE000000}"/>
    <cellStyle name="Normal 2 9 4" xfId="203" xr:uid="{00000000-0005-0000-0000-0000DF000000}"/>
    <cellStyle name="Normal 2 9_Book1 (3)" xfId="204" xr:uid="{00000000-0005-0000-0000-0000E0000000}"/>
    <cellStyle name="Normal 2_Book1 (3)" xfId="205" xr:uid="{00000000-0005-0000-0000-0000E1000000}"/>
    <cellStyle name="Normal 20" xfId="206" xr:uid="{00000000-0005-0000-0000-0000E2000000}"/>
    <cellStyle name="Normal 21" xfId="207" xr:uid="{00000000-0005-0000-0000-0000E3000000}"/>
    <cellStyle name="Normal 22" xfId="208" xr:uid="{00000000-0005-0000-0000-0000E4000000}"/>
    <cellStyle name="Normal 23" xfId="331" xr:uid="{D4129089-B3A4-4B46-87B5-73E7CBAF09AC}"/>
    <cellStyle name="Normal 3" xfId="209" xr:uid="{00000000-0005-0000-0000-0000E5000000}"/>
    <cellStyle name="Normal 3 2" xfId="210" xr:uid="{00000000-0005-0000-0000-0000E6000000}"/>
    <cellStyle name="Normal 3 3" xfId="211" xr:uid="{00000000-0005-0000-0000-0000E7000000}"/>
    <cellStyle name="Normal 3 4" xfId="212" xr:uid="{00000000-0005-0000-0000-0000E8000000}"/>
    <cellStyle name="Normal 3 5" xfId="213" xr:uid="{00000000-0005-0000-0000-0000E9000000}"/>
    <cellStyle name="Normal 4" xfId="214" xr:uid="{00000000-0005-0000-0000-0000EA000000}"/>
    <cellStyle name="Normal 4 10" xfId="215" xr:uid="{00000000-0005-0000-0000-0000EB000000}"/>
    <cellStyle name="Normal 4 11" xfId="216" xr:uid="{00000000-0005-0000-0000-0000EC000000}"/>
    <cellStyle name="Normal 4 12" xfId="217" xr:uid="{00000000-0005-0000-0000-0000ED000000}"/>
    <cellStyle name="Normal 4 13" xfId="218" xr:uid="{00000000-0005-0000-0000-0000EE000000}"/>
    <cellStyle name="Normal 4 14" xfId="219" xr:uid="{00000000-0005-0000-0000-0000EF000000}"/>
    <cellStyle name="Normal 4 15" xfId="220" xr:uid="{00000000-0005-0000-0000-0000F0000000}"/>
    <cellStyle name="Normal 4 2" xfId="221" xr:uid="{00000000-0005-0000-0000-0000F1000000}"/>
    <cellStyle name="Normal 4 3" xfId="222" xr:uid="{00000000-0005-0000-0000-0000F2000000}"/>
    <cellStyle name="Normal 4 4" xfId="223" xr:uid="{00000000-0005-0000-0000-0000F3000000}"/>
    <cellStyle name="Normal 4 5" xfId="224" xr:uid="{00000000-0005-0000-0000-0000F4000000}"/>
    <cellStyle name="Normal 4 6" xfId="225" xr:uid="{00000000-0005-0000-0000-0000F5000000}"/>
    <cellStyle name="Normal 4 7" xfId="226" xr:uid="{00000000-0005-0000-0000-0000F6000000}"/>
    <cellStyle name="Normal 4 8" xfId="227" xr:uid="{00000000-0005-0000-0000-0000F7000000}"/>
    <cellStyle name="Normal 4 9" xfId="228" xr:uid="{00000000-0005-0000-0000-0000F8000000}"/>
    <cellStyle name="Normal 5" xfId="229" xr:uid="{00000000-0005-0000-0000-0000F9000000}"/>
    <cellStyle name="Normal 5 10" xfId="230" xr:uid="{00000000-0005-0000-0000-0000FA000000}"/>
    <cellStyle name="Normal 5 11" xfId="231" xr:uid="{00000000-0005-0000-0000-0000FB000000}"/>
    <cellStyle name="Normal 5 12" xfId="232" xr:uid="{00000000-0005-0000-0000-0000FC000000}"/>
    <cellStyle name="Normal 5 13" xfId="233" xr:uid="{00000000-0005-0000-0000-0000FD000000}"/>
    <cellStyle name="Normal 5 14" xfId="234" xr:uid="{00000000-0005-0000-0000-0000FE000000}"/>
    <cellStyle name="Normal 5 15" xfId="235" xr:uid="{00000000-0005-0000-0000-0000FF000000}"/>
    <cellStyle name="Normal 5 16" xfId="236" xr:uid="{00000000-0005-0000-0000-000000010000}"/>
    <cellStyle name="Normal 5 17" xfId="237" xr:uid="{00000000-0005-0000-0000-000001010000}"/>
    <cellStyle name="Normal 5 2" xfId="238" xr:uid="{00000000-0005-0000-0000-000002010000}"/>
    <cellStyle name="Normal 5 3" xfId="239" xr:uid="{00000000-0005-0000-0000-000003010000}"/>
    <cellStyle name="Normal 5 4" xfId="240" xr:uid="{00000000-0005-0000-0000-000004010000}"/>
    <cellStyle name="Normal 5 5" xfId="241" xr:uid="{00000000-0005-0000-0000-000005010000}"/>
    <cellStyle name="Normal 5 6" xfId="242" xr:uid="{00000000-0005-0000-0000-000006010000}"/>
    <cellStyle name="Normal 5 7" xfId="243" xr:uid="{00000000-0005-0000-0000-000007010000}"/>
    <cellStyle name="Normal 5 8" xfId="244" xr:uid="{00000000-0005-0000-0000-000008010000}"/>
    <cellStyle name="Normal 5 9" xfId="245" xr:uid="{00000000-0005-0000-0000-000009010000}"/>
    <cellStyle name="Normal 6" xfId="246" xr:uid="{00000000-0005-0000-0000-00000A010000}"/>
    <cellStyle name="Normal 6 10" xfId="247" xr:uid="{00000000-0005-0000-0000-00000B010000}"/>
    <cellStyle name="Normal 6 11" xfId="248" xr:uid="{00000000-0005-0000-0000-00000C010000}"/>
    <cellStyle name="Normal 6 12" xfId="249" xr:uid="{00000000-0005-0000-0000-00000D010000}"/>
    <cellStyle name="Normal 6 13" xfId="250" xr:uid="{00000000-0005-0000-0000-00000E010000}"/>
    <cellStyle name="Normal 6 14" xfId="251" xr:uid="{00000000-0005-0000-0000-00000F010000}"/>
    <cellStyle name="Normal 6 15" xfId="252" xr:uid="{00000000-0005-0000-0000-000010010000}"/>
    <cellStyle name="Normal 6 2" xfId="253" xr:uid="{00000000-0005-0000-0000-000011010000}"/>
    <cellStyle name="Normal 6 3" xfId="254" xr:uid="{00000000-0005-0000-0000-000012010000}"/>
    <cellStyle name="Normal 6 4" xfId="255" xr:uid="{00000000-0005-0000-0000-000013010000}"/>
    <cellStyle name="Normal 6 5" xfId="256" xr:uid="{00000000-0005-0000-0000-000014010000}"/>
    <cellStyle name="Normal 6 6" xfId="257" xr:uid="{00000000-0005-0000-0000-000015010000}"/>
    <cellStyle name="Normal 6 7" xfId="258" xr:uid="{00000000-0005-0000-0000-000016010000}"/>
    <cellStyle name="Normal 6 8" xfId="259" xr:uid="{00000000-0005-0000-0000-000017010000}"/>
    <cellStyle name="Normal 6 9" xfId="260" xr:uid="{00000000-0005-0000-0000-000018010000}"/>
    <cellStyle name="Normal 7" xfId="261" xr:uid="{00000000-0005-0000-0000-000019010000}"/>
    <cellStyle name="Normal 7 2" xfId="262" xr:uid="{00000000-0005-0000-0000-00001A010000}"/>
    <cellStyle name="Normal 7 3" xfId="263" xr:uid="{00000000-0005-0000-0000-00001B010000}"/>
    <cellStyle name="Normal 7 4" xfId="264" xr:uid="{00000000-0005-0000-0000-00001C010000}"/>
    <cellStyle name="Normal 7 5" xfId="265" xr:uid="{00000000-0005-0000-0000-00001D010000}"/>
    <cellStyle name="Normal 7 6" xfId="266" xr:uid="{00000000-0005-0000-0000-00001E010000}"/>
    <cellStyle name="Normal 7 7" xfId="267" xr:uid="{00000000-0005-0000-0000-00001F010000}"/>
    <cellStyle name="Normal 7 8" xfId="268" xr:uid="{00000000-0005-0000-0000-000020010000}"/>
    <cellStyle name="Normal 8" xfId="269" xr:uid="{00000000-0005-0000-0000-000021010000}"/>
    <cellStyle name="Normal 8 2" xfId="270" xr:uid="{00000000-0005-0000-0000-000022010000}"/>
    <cellStyle name="Normal 8 2 2" xfId="271" xr:uid="{00000000-0005-0000-0000-000023010000}"/>
    <cellStyle name="Normal 8 2_Book1 (3)" xfId="272" xr:uid="{00000000-0005-0000-0000-000024010000}"/>
    <cellStyle name="Normal 8 3" xfId="273" xr:uid="{00000000-0005-0000-0000-000025010000}"/>
    <cellStyle name="Normal 8 4" xfId="274" xr:uid="{00000000-0005-0000-0000-000026010000}"/>
    <cellStyle name="Normal 8_Book1 (3)" xfId="275" xr:uid="{00000000-0005-0000-0000-000027010000}"/>
    <cellStyle name="Normal 9" xfId="276" xr:uid="{00000000-0005-0000-0000-000028010000}"/>
    <cellStyle name="Normal 9 2" xfId="277" xr:uid="{00000000-0005-0000-0000-000029010000}"/>
    <cellStyle name="Normal 9 3" xfId="278" xr:uid="{00000000-0005-0000-0000-00002A010000}"/>
    <cellStyle name="Normal 9 4" xfId="279" xr:uid="{00000000-0005-0000-0000-00002B010000}"/>
    <cellStyle name="Normal 9 5" xfId="280" xr:uid="{00000000-0005-0000-0000-00002C010000}"/>
    <cellStyle name="Normal 9 6" xfId="281" xr:uid="{00000000-0005-0000-0000-00002D010000}"/>
    <cellStyle name="Normal 9 7" xfId="282" xr:uid="{00000000-0005-0000-0000-00002E010000}"/>
    <cellStyle name="Normal 9 8" xfId="283" xr:uid="{00000000-0005-0000-0000-00002F010000}"/>
    <cellStyle name="Normal," xfId="284" xr:uid="{00000000-0005-0000-0000-000030010000}"/>
    <cellStyle name="Normal, 2" xfId="285" xr:uid="{00000000-0005-0000-0000-000031010000}"/>
    <cellStyle name="Normalblå" xfId="286" xr:uid="{00000000-0005-0000-0000-000032010000}"/>
    <cellStyle name="Normalblåtekst" xfId="287" xr:uid="{00000000-0005-0000-0000-000033010000}"/>
    <cellStyle name="Normalblåtekstcentreret" xfId="288" xr:uid="{00000000-0005-0000-0000-000034010000}"/>
    <cellStyle name="NormalIT" xfId="289" xr:uid="{00000000-0005-0000-0000-000035010000}"/>
    <cellStyle name="Overskrift" xfId="290" xr:uid="{00000000-0005-0000-0000-000036010000}"/>
    <cellStyle name="Percent" xfId="333" builtinId="5"/>
    <cellStyle name="PrisDKK," xfId="291" xr:uid="{00000000-0005-0000-0000-000037010000}"/>
    <cellStyle name="Procent 2" xfId="292" xr:uid="{00000000-0005-0000-0000-000038010000}"/>
    <cellStyle name="Procent 2 2" xfId="293" xr:uid="{00000000-0005-0000-0000-000039010000}"/>
    <cellStyle name="Procent 2 3" xfId="294" xr:uid="{00000000-0005-0000-0000-00003A010000}"/>
    <cellStyle name="Procent 2 3 2" xfId="295" xr:uid="{00000000-0005-0000-0000-00003B010000}"/>
    <cellStyle name="Procent 2 3 3" xfId="296" xr:uid="{00000000-0005-0000-0000-00003C010000}"/>
    <cellStyle name="Procent 2 3 4" xfId="297" xr:uid="{00000000-0005-0000-0000-00003D010000}"/>
    <cellStyle name="Procent 3" xfId="298" xr:uid="{00000000-0005-0000-0000-00003E010000}"/>
    <cellStyle name="Procent 3 2" xfId="299" xr:uid="{00000000-0005-0000-0000-00003F010000}"/>
    <cellStyle name="Procent 4" xfId="300" xr:uid="{00000000-0005-0000-0000-000040010000}"/>
    <cellStyle name="Tekst" xfId="301" xr:uid="{00000000-0005-0000-0000-000041010000}"/>
    <cellStyle name="Tekst 2" xfId="302" xr:uid="{00000000-0005-0000-0000-000042010000}"/>
    <cellStyle name="Title" xfId="1" builtinId="15"/>
    <cellStyle name="ValutaDKK," xfId="303" xr:uid="{00000000-0005-0000-0000-000044010000}"/>
    <cellStyle name="ValutaDKK,00" xfId="304" xr:uid="{00000000-0005-0000-0000-000045010000}"/>
    <cellStyle name="ValutaDKK,00,øre" xfId="305" xr:uid="{00000000-0005-0000-0000-000046010000}"/>
    <cellStyle name="ValutaDKKblå,00" xfId="306" xr:uid="{00000000-0005-0000-0000-000047010000}"/>
    <cellStyle name="ValutaDKKblå,00,øre" xfId="307" xr:uid="{00000000-0005-0000-0000-000048010000}"/>
    <cellStyle name="ValutaEUR" xfId="308" xr:uid="{00000000-0005-0000-0000-000049010000}"/>
    <cellStyle name="ValutaEURblå" xfId="309" xr:uid="{00000000-0005-0000-0000-00004A010000}"/>
    <cellStyle name="ValutaEURkurs" xfId="310" xr:uid="{00000000-0005-0000-0000-00004B010000}"/>
  </cellStyles>
  <dxfs count="276">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ont>
        <color theme="1" tint="0.24994659260841701"/>
      </font>
      <fill>
        <patternFill>
          <bgColor theme="2"/>
        </patternFill>
      </fill>
    </dxf>
    <dxf>
      <font>
        <color theme="1"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ont>
        <strike/>
      </font>
      <fill>
        <patternFill>
          <bgColor theme="2" tint="-9.9948118533890809E-2"/>
        </patternFill>
      </fill>
    </dxf>
    <dxf>
      <font>
        <strike/>
      </font>
      <fill>
        <patternFill>
          <bgColor theme="2" tint="-9.9948118533890809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ont>
        <strike/>
        <color theme="0" tint="-0.24994659260841701"/>
      </font>
      <fill>
        <patternFill>
          <bgColor theme="2"/>
        </patternFill>
      </fill>
    </dxf>
  </dxfs>
  <tableStyles count="0" defaultTableStyle="TableStyleMedium9" defaultPivotStyle="PivotStyleLight16"/>
  <colors>
    <mruColors>
      <color rgb="FFDEEBF7"/>
      <color rgb="FF38777E"/>
      <color rgb="FF7EC9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1985073436132307"/>
          <c:y val="6.8004725858480705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'Benzin - diesel - hybrid'!$E$122</c:f>
              <c:strCache>
                <c:ptCount val="1"/>
                <c:pt idx="0">
                  <c:v>PRODUKT 1</c:v>
                </c:pt>
              </c:strCache>
            </c:strRef>
          </c:tx>
          <c:spPr>
            <a:ln>
              <a:solidFill>
                <a:srgbClr val="7EC9B7"/>
              </a:solidFill>
            </a:ln>
          </c:spPr>
          <c:marker>
            <c:symbol val="none"/>
          </c:marker>
          <c:xVal>
            <c:strRef>
              <c:f>'IB - B&amp;D&amp;H'!$Z$27:$Z$46</c:f>
              <c:strCache>
                <c:ptCount val="4"/>
                <c:pt idx="0">
                  <c:v>1</c:v>
                </c:pt>
                <c:pt idx="1">
                  <c:v>2</c:v>
                </c:pt>
                <c:pt idx="2">
                  <c:v>3</c:v>
                </c:pt>
                <c:pt idx="3">
                  <c:v>4</c:v>
                </c:pt>
              </c:strCache>
            </c:strRef>
          </c:xVal>
          <c:yVal>
            <c:numRef>
              <c:f>'Benzin - diesel - hybrid'!$E$123:$E$142</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DB2A-4181-9981-395F520BCA84}"/>
            </c:ext>
          </c:extLst>
        </c:ser>
        <c:ser>
          <c:idx val="2"/>
          <c:order val="2"/>
          <c:tx>
            <c:strRef>
              <c:f>'Benzin - diesel - hybrid'!$G$122</c:f>
              <c:strCache>
                <c:ptCount val="1"/>
                <c:pt idx="0">
                  <c:v>PRODUKT 2</c:v>
                </c:pt>
              </c:strCache>
            </c:strRef>
          </c:tx>
          <c:spPr>
            <a:ln>
              <a:solidFill>
                <a:srgbClr val="38777E"/>
              </a:solidFill>
            </a:ln>
          </c:spPr>
          <c:marker>
            <c:symbol val="none"/>
          </c:marker>
          <c:xVal>
            <c:strRef>
              <c:f>'IB - B&amp;D&amp;H'!$Z$27:$Z$46</c:f>
              <c:strCache>
                <c:ptCount val="4"/>
                <c:pt idx="0">
                  <c:v>1</c:v>
                </c:pt>
                <c:pt idx="1">
                  <c:v>2</c:v>
                </c:pt>
                <c:pt idx="2">
                  <c:v>3</c:v>
                </c:pt>
                <c:pt idx="3">
                  <c:v>4</c:v>
                </c:pt>
              </c:strCache>
            </c:strRef>
          </c:xVal>
          <c:yVal>
            <c:numRef>
              <c:f>'Benzin - diesel - hybrid'!$G$123:$G$142</c:f>
            </c:numRef>
          </c:yVal>
          <c:smooth val="0"/>
          <c:extLst>
            <c:ext xmlns:c16="http://schemas.microsoft.com/office/drawing/2014/chart" uri="{C3380CC4-5D6E-409C-BE32-E72D297353CC}">
              <c16:uniqueId val="{00000001-DB2A-4181-9981-395F520BCA84}"/>
            </c:ext>
          </c:extLst>
        </c:ser>
        <c:ser>
          <c:idx val="4"/>
          <c:order val="4"/>
          <c:tx>
            <c:strRef>
              <c:f>'Benzin - diesel - hybrid'!$I$122</c:f>
              <c:strCache>
                <c:ptCount val="1"/>
                <c:pt idx="0">
                  <c:v>PRODUKT 3</c:v>
                </c:pt>
              </c:strCache>
            </c:strRef>
          </c:tx>
          <c:marker>
            <c:symbol val="none"/>
          </c:marker>
          <c:xVal>
            <c:strRef>
              <c:f>'IB - B&amp;D&amp;H'!$Z$27:$Z$46</c:f>
              <c:strCache>
                <c:ptCount val="4"/>
                <c:pt idx="0">
                  <c:v>1</c:v>
                </c:pt>
                <c:pt idx="1">
                  <c:v>2</c:v>
                </c:pt>
                <c:pt idx="2">
                  <c:v>3</c:v>
                </c:pt>
                <c:pt idx="3">
                  <c:v>4</c:v>
                </c:pt>
              </c:strCache>
            </c:strRef>
          </c:xVal>
          <c:yVal>
            <c:numRef>
              <c:f>'Benzin - diesel - hybrid'!$I$123:$I$142</c:f>
            </c:numRef>
          </c:yVal>
          <c:smooth val="0"/>
          <c:extLst>
            <c:ext xmlns:c16="http://schemas.microsoft.com/office/drawing/2014/chart" uri="{C3380CC4-5D6E-409C-BE32-E72D297353CC}">
              <c16:uniqueId val="{00000002-DB2A-4181-9981-395F520BCA84}"/>
            </c:ext>
          </c:extLst>
        </c:ser>
        <c:ser>
          <c:idx val="6"/>
          <c:order val="6"/>
          <c:tx>
            <c:strRef>
              <c:f>'Benzin - diesel - hybrid'!$K$122</c:f>
              <c:strCache>
                <c:ptCount val="1"/>
                <c:pt idx="0">
                  <c:v>PRODUKT 4</c:v>
                </c:pt>
              </c:strCache>
            </c:strRef>
          </c:tx>
          <c:marker>
            <c:symbol val="none"/>
          </c:marker>
          <c:xVal>
            <c:strRef>
              <c:f>'IB - B&amp;D&amp;H'!$Z$27:$Z$46</c:f>
              <c:strCache>
                <c:ptCount val="4"/>
                <c:pt idx="0">
                  <c:v>1</c:v>
                </c:pt>
                <c:pt idx="1">
                  <c:v>2</c:v>
                </c:pt>
                <c:pt idx="2">
                  <c:v>3</c:v>
                </c:pt>
                <c:pt idx="3">
                  <c:v>4</c:v>
                </c:pt>
              </c:strCache>
            </c:strRef>
          </c:xVal>
          <c:yVal>
            <c:numRef>
              <c:f>'Benzin - diesel - hybrid'!$K$123:$K$142</c:f>
            </c:numRef>
          </c:yVal>
          <c:smooth val="0"/>
          <c:extLst>
            <c:ext xmlns:c16="http://schemas.microsoft.com/office/drawing/2014/chart" uri="{C3380CC4-5D6E-409C-BE32-E72D297353CC}">
              <c16:uniqueId val="{00000003-DB2A-4181-9981-395F520BCA84}"/>
            </c:ext>
          </c:extLst>
        </c:ser>
        <c:ser>
          <c:idx val="8"/>
          <c:order val="8"/>
          <c:tx>
            <c:strRef>
              <c:f>'Benzin - diesel - hybrid'!$M$122</c:f>
              <c:strCache>
                <c:ptCount val="1"/>
                <c:pt idx="0">
                  <c:v>PRODUKT 5</c:v>
                </c:pt>
              </c:strCache>
            </c:strRef>
          </c:tx>
          <c:marker>
            <c:symbol val="none"/>
          </c:marker>
          <c:xVal>
            <c:strRef>
              <c:f>'IB - B&amp;D&amp;H'!$Z$27:$Z$46</c:f>
              <c:strCache>
                <c:ptCount val="4"/>
                <c:pt idx="0">
                  <c:v>1</c:v>
                </c:pt>
                <c:pt idx="1">
                  <c:v>2</c:v>
                </c:pt>
                <c:pt idx="2">
                  <c:v>3</c:v>
                </c:pt>
                <c:pt idx="3">
                  <c:v>4</c:v>
                </c:pt>
              </c:strCache>
            </c:strRef>
          </c:xVal>
          <c:yVal>
            <c:numRef>
              <c:f>'Benzin - diesel - hybrid'!$M$123:$M$142</c:f>
            </c:numRef>
          </c:yVal>
          <c:smooth val="0"/>
          <c:extLst>
            <c:ext xmlns:c16="http://schemas.microsoft.com/office/drawing/2014/chart" uri="{C3380CC4-5D6E-409C-BE32-E72D297353CC}">
              <c16:uniqueId val="{00000004-DB2A-4181-9981-395F520BCA84}"/>
            </c:ext>
          </c:extLst>
        </c:ser>
        <c:ser>
          <c:idx val="10"/>
          <c:order val="10"/>
          <c:tx>
            <c:strRef>
              <c:f>'Benzin - diesel - hybrid'!$O$122</c:f>
              <c:strCache>
                <c:ptCount val="1"/>
                <c:pt idx="0">
                  <c:v>PRODUKT 6</c:v>
                </c:pt>
              </c:strCache>
            </c:strRef>
          </c:tx>
          <c:marker>
            <c:symbol val="none"/>
          </c:marker>
          <c:xVal>
            <c:strRef>
              <c:f>'IB - B&amp;D&amp;H'!$Z$27:$Z$46</c:f>
              <c:strCache>
                <c:ptCount val="4"/>
                <c:pt idx="0">
                  <c:v>1</c:v>
                </c:pt>
                <c:pt idx="1">
                  <c:v>2</c:v>
                </c:pt>
                <c:pt idx="2">
                  <c:v>3</c:v>
                </c:pt>
                <c:pt idx="3">
                  <c:v>4</c:v>
                </c:pt>
              </c:strCache>
            </c:strRef>
          </c:xVal>
          <c:yVal>
            <c:numRef>
              <c:f>'Benzin - diesel - hybrid'!$O$123:$O$142</c:f>
            </c:numRef>
          </c:yVal>
          <c:smooth val="0"/>
          <c:extLst>
            <c:ext xmlns:c16="http://schemas.microsoft.com/office/drawing/2014/chart" uri="{C3380CC4-5D6E-409C-BE32-E72D297353CC}">
              <c16:uniqueId val="{00000005-DB2A-4181-9981-395F520BCA84}"/>
            </c:ext>
          </c:extLst>
        </c:ser>
        <c:ser>
          <c:idx val="12"/>
          <c:order val="12"/>
          <c:tx>
            <c:strRef>
              <c:f>'Benzin - diesel - hybrid'!$Q$122</c:f>
              <c:strCache>
                <c:ptCount val="1"/>
                <c:pt idx="0">
                  <c:v>PRODUKT 7</c:v>
                </c:pt>
              </c:strCache>
            </c:strRef>
          </c:tx>
          <c:marker>
            <c:symbol val="none"/>
          </c:marker>
          <c:xVal>
            <c:strRef>
              <c:f>'IB - B&amp;D&amp;H'!$Z$27:$Z$46</c:f>
              <c:strCache>
                <c:ptCount val="4"/>
                <c:pt idx="0">
                  <c:v>1</c:v>
                </c:pt>
                <c:pt idx="1">
                  <c:v>2</c:v>
                </c:pt>
                <c:pt idx="2">
                  <c:v>3</c:v>
                </c:pt>
                <c:pt idx="3">
                  <c:v>4</c:v>
                </c:pt>
              </c:strCache>
            </c:strRef>
          </c:xVal>
          <c:yVal>
            <c:numRef>
              <c:f>'Benzin - diesel - hybrid'!$Q$123:$Q$142</c:f>
            </c:numRef>
          </c:yVal>
          <c:smooth val="0"/>
          <c:extLst>
            <c:ext xmlns:c16="http://schemas.microsoft.com/office/drawing/2014/chart" uri="{C3380CC4-5D6E-409C-BE32-E72D297353CC}">
              <c16:uniqueId val="{00000006-DB2A-4181-9981-395F520BCA84}"/>
            </c:ext>
          </c:extLst>
        </c:ser>
        <c:ser>
          <c:idx val="14"/>
          <c:order val="14"/>
          <c:tx>
            <c:strRef>
              <c:f>'Benzin - diesel - hybrid'!$S$122</c:f>
              <c:strCache>
                <c:ptCount val="1"/>
                <c:pt idx="0">
                  <c:v>PRODUKT 8</c:v>
                </c:pt>
              </c:strCache>
            </c:strRef>
          </c:tx>
          <c:marker>
            <c:symbol val="none"/>
          </c:marker>
          <c:xVal>
            <c:strRef>
              <c:f>'IB - B&amp;D&amp;H'!$Z$27:$Z$46</c:f>
              <c:strCache>
                <c:ptCount val="4"/>
                <c:pt idx="0">
                  <c:v>1</c:v>
                </c:pt>
                <c:pt idx="1">
                  <c:v>2</c:v>
                </c:pt>
                <c:pt idx="2">
                  <c:v>3</c:v>
                </c:pt>
                <c:pt idx="3">
                  <c:v>4</c:v>
                </c:pt>
              </c:strCache>
            </c:strRef>
          </c:xVal>
          <c:yVal>
            <c:numRef>
              <c:f>'Benzin - diesel - hybrid'!$S$123:$S$142</c:f>
            </c:numRef>
          </c:yVal>
          <c:smooth val="0"/>
          <c:extLst>
            <c:ext xmlns:c16="http://schemas.microsoft.com/office/drawing/2014/chart" uri="{C3380CC4-5D6E-409C-BE32-E72D297353CC}">
              <c16:uniqueId val="{00000007-DB2A-4181-9981-395F520BCA84}"/>
            </c:ext>
          </c:extLst>
        </c:ser>
        <c:ser>
          <c:idx val="16"/>
          <c:order val="16"/>
          <c:tx>
            <c:strRef>
              <c:f>'Benzin - diesel - hybrid'!$U$8</c:f>
              <c:strCache>
                <c:ptCount val="1"/>
                <c:pt idx="0">
                  <c:v>PRODUKT 9</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2-32E4-4DE5-AD03-F1CDB1BA355B}"/>
            </c:ext>
          </c:extLst>
        </c:ser>
        <c:ser>
          <c:idx val="18"/>
          <c:order val="18"/>
          <c:tx>
            <c:strRef>
              <c:f>'Benzin - diesel - hybrid'!$W$8</c:f>
              <c:strCache>
                <c:ptCount val="1"/>
                <c:pt idx="0">
                  <c:v>PRODUKT 10</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4-32E4-4DE5-AD03-F1CDB1BA355B}"/>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'Benzin - diesel - hybrid'!$F$122</c15:sqref>
                        </c15:formulaRef>
                      </c:ext>
                    </c:extLst>
                    <c:strCache>
                      <c:ptCount val="1"/>
                    </c:strCache>
                  </c:strRef>
                </c:tx>
                <c:marker>
                  <c:symbol val="none"/>
                </c:marker>
                <c:yVal>
                  <c:numRef>
                    <c:extLst>
                      <c:ext uri="{02D57815-91ED-43cb-92C2-25804820EDAC}">
                        <c15:formulaRef>
                          <c15:sqref>'Benzin - diesel - hybrid'!$F$123:$F$142</c15:sqref>
                        </c15:formulaRef>
                      </c:ext>
                    </c:extLst>
                    <c:numCache>
                      <c:formatCode>0</c:formatCode>
                      <c:ptCount val="20"/>
                    </c:numCache>
                  </c:numRef>
                </c:yVal>
                <c:smooth val="0"/>
                <c:extLst>
                  <c:ext xmlns:c16="http://schemas.microsoft.com/office/drawing/2014/chart" uri="{C3380CC4-5D6E-409C-BE32-E72D297353CC}">
                    <c16:uniqueId val="{00000008-DB2A-4181-9981-395F520BCA84}"/>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'Benzin - diesel - hybrid'!$H$122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hybrid'!$H$123:$H$142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9-DB2A-4181-9981-395F520BCA84}"/>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'Benzin - diesel - hybrid'!$J$122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hybrid'!$J$123:$J$142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A-DB2A-4181-9981-395F520BCA84}"/>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'Benzin - diesel - hybrid'!$L$122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hybrid'!$L$123:$L$142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DB2A-4181-9981-395F520BCA84}"/>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'Benzin - diesel - hybrid'!$N$122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hybrid'!$N$123:$N$142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DB2A-4181-9981-395F520BCA84}"/>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'Benzin - diesel - hybrid'!$P$122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hybrid'!$P$123:$P$142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DB2A-4181-9981-395F520BCA84}"/>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'Benzin - diesel - hybrid'!$R$122</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'Benzin - diesel - hybrid'!$R$123:$R$142</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DB2A-4181-9981-395F520BCA84}"/>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'Benzin - diesel -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1-32E4-4DE5-AD03-F1CDB1BA355B}"/>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'Benzin - diesel -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3-32E4-4DE5-AD03-F1CDB1BA355B}"/>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en-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en-DK"/>
          </a:p>
        </c:txPr>
        <c:crossAx val="162767616"/>
        <c:crosses val="autoZero"/>
        <c:crossBetween val="midCat"/>
      </c:valAx>
      <c:spPr>
        <a:noFill/>
        <a:ln>
          <a:noFill/>
        </a:ln>
      </c:spPr>
    </c:plotArea>
    <c:legend>
      <c:legendPos val="r"/>
      <c:layout>
        <c:manualLayout>
          <c:xMode val="edge"/>
          <c:yMode val="edge"/>
          <c:x val="0.74685462125255953"/>
          <c:y val="0.13609833959641668"/>
          <c:w val="0.16702806835442457"/>
          <c:h val="0.58422141408732819"/>
        </c:manualLayout>
      </c:layout>
      <c:overlay val="0"/>
      <c:txPr>
        <a:bodyPr/>
        <a:lstStyle/>
        <a:p>
          <a:pPr>
            <a:defRPr sz="800">
              <a:latin typeface="Arial"/>
              <a:cs typeface="Arial"/>
            </a:defRPr>
          </a:pPr>
          <a:endParaRPr lang="en-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6117297354233526"/>
          <c:y val="0.15394696083104925"/>
          <c:w val="0.70055941934031229"/>
          <c:h val="0.49581841869958831"/>
        </c:manualLayout>
      </c:layout>
      <c:barChart>
        <c:barDir val="col"/>
        <c:grouping val="stacked"/>
        <c:varyColors val="0"/>
        <c:ser>
          <c:idx val="0"/>
          <c:order val="0"/>
          <c:tx>
            <c:strRef>
              <c:f>'Benzin - diesel - hybrid'!$C$71</c:f>
              <c:strCache>
                <c:ptCount val="1"/>
                <c:pt idx="0">
                  <c:v>Investeringsomkostninger i alt</c:v>
                </c:pt>
              </c:strCache>
            </c:strRef>
          </c:tx>
          <c:spPr>
            <a:solidFill>
              <a:srgbClr val="38777E"/>
            </a:solidFill>
          </c:spPr>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hybrid'!$E$71,'Benzin - diesel - hybrid'!$G$71,'Benzin - diesel - hybrid'!$I$71,'Benzin - diesel - hybrid'!$K$71,'Benzin - diesel - hybrid'!$M$71,'Benzin - diesel - hybrid'!$O$71,'Benzin - diesel - hybrid'!$Q$71,'Benzin - diesel - hybrid'!$S$71)</c:f>
              <c:numCache>
                <c:formatCode>_("kr."* #,##0_);_("kr."* \(#,##0\);_("kr."* "-"_);_(@_)</c:formatCode>
                <c:ptCount val="1"/>
                <c:pt idx="0">
                  <c:v>0</c:v>
                </c:pt>
              </c:numCache>
              <c:extLst/>
            </c:numRef>
          </c:val>
          <c:extLst>
            <c:ext xmlns:c16="http://schemas.microsoft.com/office/drawing/2014/chart" uri="{C3380CC4-5D6E-409C-BE32-E72D297353CC}">
              <c16:uniqueId val="{00000000-70E2-4BD1-8256-DA0119B51161}"/>
            </c:ext>
          </c:extLst>
        </c:ser>
        <c:ser>
          <c:idx val="1"/>
          <c:order val="1"/>
          <c:tx>
            <c:strRef>
              <c:f>'Benzin - diesel - hybrid'!$C$72</c:f>
              <c:strCache>
                <c:ptCount val="1"/>
                <c:pt idx="0">
                  <c:v>Driftsomkostning i alt</c:v>
                </c:pt>
              </c:strCache>
            </c:strRef>
          </c:tx>
          <c:spPr>
            <a:solidFill>
              <a:srgbClr val="7EC9B7"/>
            </a:solidFill>
          </c:spPr>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hybrid'!$E$72,'Benzin - diesel - hybrid'!$G$72,'Benzin - diesel - hybrid'!$I$72,'Benzin - diesel - hybrid'!$K$72,'Benzin - diesel - hybrid'!$M$72,'Benzin - diesel - hybrid'!$O$72,'Benzin - diesel - hybrid'!$Q$72,'Benzin - diesel - hybrid'!$S$72)</c:f>
              <c:numCache>
                <c:formatCode>_("kr."* #,##0_);_("kr."* \(#,##0\);_("kr."* "-"_);_(@_)</c:formatCode>
                <c:ptCount val="1"/>
                <c:pt idx="0">
                  <c:v>0</c:v>
                </c:pt>
              </c:numCache>
              <c:extLst/>
            </c:numRef>
          </c:val>
          <c:extLst>
            <c:ext xmlns:c16="http://schemas.microsoft.com/office/drawing/2014/chart" uri="{C3380CC4-5D6E-409C-BE32-E72D297353CC}">
              <c16:uniqueId val="{00000001-70E2-4BD1-8256-DA0119B51161}"/>
            </c:ext>
          </c:extLst>
        </c:ser>
        <c:ser>
          <c:idx val="2"/>
          <c:order val="2"/>
          <c:tx>
            <c:strRef>
              <c:f>'Benzin - diesel - hybrid'!$C$73</c:f>
              <c:strCache>
                <c:ptCount val="1"/>
                <c:pt idx="0">
                  <c:v>Service, vedligehold og løbende omkostninger i alt</c:v>
                </c:pt>
              </c:strCache>
            </c:strRef>
          </c:tx>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hybrid'!$E$73,'Benzin - diesel - hybrid'!$G$73,'Benzin - diesel - hybrid'!$I$73,'Benzin - diesel - hybrid'!$K$73,'Benzin - diesel - hybrid'!$M$73,'Benzin - diesel - hybrid'!$O$73,'Benzin - diesel - hybrid'!$Q$73,'Benzin - diesel - hybrid'!$S$73)</c:f>
              <c:numCache>
                <c:formatCode>_("kr."* #,##0_);_("kr."* \(#,##0\);_("kr."* "-"_);_(@_)</c:formatCode>
                <c:ptCount val="1"/>
                <c:pt idx="0">
                  <c:v>0</c:v>
                </c:pt>
              </c:numCache>
              <c:extLst/>
            </c:numRef>
          </c:val>
          <c:extLst>
            <c:ext xmlns:c16="http://schemas.microsoft.com/office/drawing/2014/chart" uri="{C3380CC4-5D6E-409C-BE32-E72D297353CC}">
              <c16:uniqueId val="{00000000-387B-4265-A319-C289D36C048C}"/>
            </c:ext>
          </c:extLst>
        </c:ser>
        <c:ser>
          <c:idx val="4"/>
          <c:order val="4"/>
          <c:tx>
            <c:strRef>
              <c:f>'Benzin - diesel - hybrid'!$C$74</c:f>
              <c:strCache>
                <c:ptCount val="1"/>
                <c:pt idx="0">
                  <c:v>Samfundsøkonomiske omkostninger af eksterne virkninger på miljøet</c:v>
                </c:pt>
              </c:strCache>
            </c:strRef>
          </c:tx>
          <c:invertIfNegative val="0"/>
          <c:cat>
            <c:strRef>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extLst/>
            </c:strRef>
          </c:cat>
          <c:val>
            <c:numRef>
              <c:f>('Benzin - diesel - hybrid'!$E$74,'Benzin - diesel - hybrid'!$G$74,'Benzin - diesel - hybrid'!$I$74,'Benzin - diesel - hybrid'!$K$74,'Benzin - diesel - hybrid'!$M$74,'Benzin - diesel - hybrid'!$O$74,'Benzin - diesel - hybrid'!$Q$74,'Benzin - diesel - hybrid'!$S$74,'Benzin - diesel - hybrid'!$U$74,'Benzin - diesel - hybrid'!$W$74)</c:f>
              <c:numCache>
                <c:formatCode>_("kr."* #,##0_);_("kr."* \(#,##0\);_("kr."* "-"_);_(@_)</c:formatCode>
                <c:ptCount val="1"/>
                <c:pt idx="0">
                  <c:v>0</c:v>
                </c:pt>
              </c:numCache>
              <c:extLst/>
            </c:numRef>
          </c:val>
          <c:extLst>
            <c:ext xmlns:c16="http://schemas.microsoft.com/office/drawing/2014/chart" uri="{C3380CC4-5D6E-409C-BE32-E72D297353CC}">
              <c16:uniqueId val="{00000001-577D-415F-839A-7E4CB32C0DD5}"/>
            </c:ext>
          </c:extLst>
        </c:ser>
        <c:dLbls>
          <c:showLegendKey val="0"/>
          <c:showVal val="0"/>
          <c:showCatName val="0"/>
          <c:showSerName val="0"/>
          <c:showPercent val="0"/>
          <c:showBubbleSize val="0"/>
        </c:dLbls>
        <c:gapWidth val="150"/>
        <c:overlap val="100"/>
        <c:axId val="420156496"/>
        <c:axId val="420157280"/>
        <c:extLst>
          <c:ext xmlns:c15="http://schemas.microsoft.com/office/drawing/2012/chart" uri="{02D57815-91ED-43cb-92C2-25804820EDAC}">
            <c15:filteredBarSeries>
              <c15:ser>
                <c:idx val="3"/>
                <c:order val="3"/>
                <c:tx>
                  <c:strRef>
                    <c:extLst>
                      <c:ext uri="{02D57815-91ED-43cb-92C2-25804820EDAC}">
                        <c15:formulaRef>
                          <c15:sqref>'Benzin - diesel - hybrid'!#REF!</c15:sqref>
                        </c15:formulaRef>
                      </c:ext>
                    </c:extLst>
                    <c:strCache>
                      <c:ptCount val="1"/>
                      <c:pt idx="0">
                        <c:v>#REF!</c:v>
                      </c:pt>
                    </c:strCache>
                  </c:strRef>
                </c:tx>
                <c:invertIfNegative val="0"/>
                <c:cat>
                  <c:strRef>
                    <c:extLst>
                      <c:ext uri="{02D57815-91ED-43cb-92C2-25804820EDAC}">
                        <c15:formulaRef>
                          <c15:sqref>('Benzin - diesel - hybrid'!$E$8,'Benzin - diesel - hybrid'!$G$8,'Benzin - diesel - hybrid'!$I$8,'Benzin - diesel - hybrid'!$K$8,'Benzin - diesel - hybrid'!$M$8,'Benzin - diesel - hybrid'!$O$8,'Benzin - diesel - hybrid'!$Q$8,'Benzin - diesel - hybrid'!$S$8,'Benzin - diesel - hybrid'!$U$8,'Benzin - diesel - hybrid'!$W$8)</c15:sqref>
                        </c15:formulaRef>
                      </c:ext>
                    </c:extLst>
                    <c:strCache>
                      <c:ptCount val="1"/>
                      <c:pt idx="0">
                        <c:v>PRODUKT 1</c:v>
                      </c:pt>
                    </c:strCache>
                  </c:strRef>
                </c:cat>
                <c:val>
                  <c:numRef>
                    <c:extLst>
                      <c:ext uri="{02D57815-91ED-43cb-92C2-25804820EDAC}">
                        <c15:formulaRef>
                          <c15:sqref>'Benzin - diesel - hybrid'!#REF!</c15:sqref>
                        </c15:formulaRef>
                      </c:ext>
                    </c:extLst>
                    <c:numCache>
                      <c:formatCode>General</c:formatCode>
                      <c:ptCount val="1"/>
                      <c:pt idx="0">
                        <c:v>1</c:v>
                      </c:pt>
                    </c:numCache>
                  </c:numRef>
                </c:val>
                <c:extLst>
                  <c:ext xmlns:c16="http://schemas.microsoft.com/office/drawing/2014/chart" uri="{C3380CC4-5D6E-409C-BE32-E72D297353CC}">
                    <c16:uniqueId val="{00000001-387B-4265-A319-C289D36C048C}"/>
                  </c:ext>
                </c:extLst>
              </c15:ser>
            </c15:filteredBarSeries>
          </c:ext>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7.5143212992225553E-2"/>
          <c:y val="0.73571644214622967"/>
          <c:w val="0.8799037127630428"/>
          <c:h val="0.26428348576858746"/>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'Benzin - diesel - hybrid'!$E$8</c:f>
              <c:strCache>
                <c:ptCount val="1"/>
                <c:pt idx="0">
                  <c:v>PRODUKT 1</c:v>
                </c:pt>
              </c:strCache>
            </c:strRef>
          </c:tx>
          <c:invertIfNegative val="0"/>
          <c:val>
            <c:numRef>
              <c:f>'Benzin - diesel - hybrid'!$E$145:$E$164</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6-8A27-4469-B624-E6BD38FAB09F}"/>
            </c:ext>
          </c:extLst>
        </c:ser>
        <c:ser>
          <c:idx val="1"/>
          <c:order val="1"/>
          <c:tx>
            <c:strRef>
              <c:f>'Benzin - diesel - hybrid'!$G$144</c:f>
              <c:strCache>
                <c:ptCount val="1"/>
                <c:pt idx="0">
                  <c:v>PRODUKT 2</c:v>
                </c:pt>
              </c:strCache>
            </c:strRef>
          </c:tx>
          <c:invertIfNegative val="0"/>
          <c:val>
            <c:numRef>
              <c:f>'Benzin - diesel - hybrid'!$G$145:$G$164</c:f>
            </c:numRef>
          </c:val>
          <c:extLst>
            <c:ext xmlns:c16="http://schemas.microsoft.com/office/drawing/2014/chart" uri="{C3380CC4-5D6E-409C-BE32-E72D297353CC}">
              <c16:uniqueId val="{00000008-8A27-4469-B624-E6BD38FAB09F}"/>
            </c:ext>
          </c:extLst>
        </c:ser>
        <c:ser>
          <c:idx val="2"/>
          <c:order val="2"/>
          <c:tx>
            <c:strRef>
              <c:f>'Benzin - diesel - hybrid'!$I$144</c:f>
              <c:strCache>
                <c:ptCount val="1"/>
                <c:pt idx="0">
                  <c:v>PRODUKT 3</c:v>
                </c:pt>
              </c:strCache>
            </c:strRef>
          </c:tx>
          <c:invertIfNegative val="0"/>
          <c:val>
            <c:numRef>
              <c:f>'Benzin - diesel - hybrid'!$I$145:$I$164</c:f>
            </c:numRef>
          </c:val>
          <c:extLst>
            <c:ext xmlns:c16="http://schemas.microsoft.com/office/drawing/2014/chart" uri="{C3380CC4-5D6E-409C-BE32-E72D297353CC}">
              <c16:uniqueId val="{00000009-8A27-4469-B624-E6BD38FAB09F}"/>
            </c:ext>
          </c:extLst>
        </c:ser>
        <c:ser>
          <c:idx val="3"/>
          <c:order val="3"/>
          <c:tx>
            <c:strRef>
              <c:f>'Benzin - diesel - hybrid'!$K$8</c:f>
              <c:strCache>
                <c:ptCount val="1"/>
                <c:pt idx="0">
                  <c:v>PRODUKT 4</c:v>
                </c:pt>
              </c:strCache>
            </c:strRef>
          </c:tx>
          <c:invertIfNegative val="0"/>
          <c:val>
            <c:numRef>
              <c:f>'Benzin - diesel - hybrid'!$K$145:$K$164</c:f>
            </c:numRef>
          </c:val>
          <c:extLst>
            <c:ext xmlns:c16="http://schemas.microsoft.com/office/drawing/2014/chart" uri="{C3380CC4-5D6E-409C-BE32-E72D297353CC}">
              <c16:uniqueId val="{0000000A-8A27-4469-B624-E6BD38FAB09F}"/>
            </c:ext>
          </c:extLst>
        </c:ser>
        <c:ser>
          <c:idx val="4"/>
          <c:order val="4"/>
          <c:tx>
            <c:strRef>
              <c:f>'Benzin - diesel - hybrid'!$M$144</c:f>
              <c:strCache>
                <c:ptCount val="1"/>
                <c:pt idx="0">
                  <c:v>PRODUKT 5</c:v>
                </c:pt>
              </c:strCache>
            </c:strRef>
          </c:tx>
          <c:invertIfNegative val="0"/>
          <c:val>
            <c:numRef>
              <c:f>'Benzin - diesel - hybrid'!$M$145:$M$164</c:f>
            </c:numRef>
          </c:val>
          <c:extLst>
            <c:ext xmlns:c16="http://schemas.microsoft.com/office/drawing/2014/chart" uri="{C3380CC4-5D6E-409C-BE32-E72D297353CC}">
              <c16:uniqueId val="{0000000B-8A27-4469-B624-E6BD38FAB09F}"/>
            </c:ext>
          </c:extLst>
        </c:ser>
        <c:ser>
          <c:idx val="5"/>
          <c:order val="5"/>
          <c:tx>
            <c:strRef>
              <c:f>'Benzin - diesel - hybrid'!$O$144</c:f>
              <c:strCache>
                <c:ptCount val="1"/>
                <c:pt idx="0">
                  <c:v>PRODUKT 6</c:v>
                </c:pt>
              </c:strCache>
            </c:strRef>
          </c:tx>
          <c:invertIfNegative val="0"/>
          <c:val>
            <c:numRef>
              <c:f>'Benzin - diesel - hybrid'!$O$145:$O$164</c:f>
            </c:numRef>
          </c:val>
          <c:extLst>
            <c:ext xmlns:c16="http://schemas.microsoft.com/office/drawing/2014/chart" uri="{C3380CC4-5D6E-409C-BE32-E72D297353CC}">
              <c16:uniqueId val="{0000000C-8A27-4469-B624-E6BD38FAB09F}"/>
            </c:ext>
          </c:extLst>
        </c:ser>
        <c:ser>
          <c:idx val="6"/>
          <c:order val="6"/>
          <c:tx>
            <c:strRef>
              <c:f>'Benzin - diesel - hybrid'!$Q$144</c:f>
              <c:strCache>
                <c:ptCount val="1"/>
                <c:pt idx="0">
                  <c:v>PRODUKT 7</c:v>
                </c:pt>
              </c:strCache>
            </c:strRef>
          </c:tx>
          <c:invertIfNegative val="0"/>
          <c:val>
            <c:numRef>
              <c:f>'Benzin - diesel - hybrid'!$Q$145:$Q$164</c:f>
            </c:numRef>
          </c:val>
          <c:extLst>
            <c:ext xmlns:c16="http://schemas.microsoft.com/office/drawing/2014/chart" uri="{C3380CC4-5D6E-409C-BE32-E72D297353CC}">
              <c16:uniqueId val="{0000000D-8A27-4469-B624-E6BD38FAB09F}"/>
            </c:ext>
          </c:extLst>
        </c:ser>
        <c:ser>
          <c:idx val="7"/>
          <c:order val="7"/>
          <c:tx>
            <c:strRef>
              <c:f>'Benzin - diesel - hybrid'!$S$144</c:f>
              <c:strCache>
                <c:ptCount val="1"/>
                <c:pt idx="0">
                  <c:v>PRODUKT 8</c:v>
                </c:pt>
              </c:strCache>
            </c:strRef>
          </c:tx>
          <c:invertIfNegative val="0"/>
          <c:val>
            <c:numRef>
              <c:f>'Benzin - diesel - hybrid'!$S$145:$S$164</c:f>
            </c:numRef>
          </c:val>
          <c:extLst>
            <c:ext xmlns:c16="http://schemas.microsoft.com/office/drawing/2014/chart" uri="{C3380CC4-5D6E-409C-BE32-E72D297353CC}">
              <c16:uniqueId val="{0000000E-8A27-4469-B624-E6BD38FAB09F}"/>
            </c:ext>
          </c:extLst>
        </c:ser>
        <c:ser>
          <c:idx val="8"/>
          <c:order val="8"/>
          <c:tx>
            <c:strRef>
              <c:f>'Benzin - diesel - hybrid'!$U$144</c:f>
              <c:strCache>
                <c:ptCount val="1"/>
                <c:pt idx="0">
                  <c:v>PRODUKT 9</c:v>
                </c:pt>
              </c:strCache>
            </c:strRef>
          </c:tx>
          <c:invertIfNegative val="0"/>
          <c:val>
            <c:numRef>
              <c:f>'Benzin - diesel - hybrid'!$U$145:$U$164</c:f>
            </c:numRef>
          </c:val>
          <c:extLst>
            <c:ext xmlns:c16="http://schemas.microsoft.com/office/drawing/2014/chart" uri="{C3380CC4-5D6E-409C-BE32-E72D297353CC}">
              <c16:uniqueId val="{0000000F-8A27-4469-B624-E6BD38FAB09F}"/>
            </c:ext>
          </c:extLst>
        </c:ser>
        <c:ser>
          <c:idx val="9"/>
          <c:order val="9"/>
          <c:tx>
            <c:strRef>
              <c:f>'Benzin - diesel - hybrid'!$W$144</c:f>
              <c:strCache>
                <c:ptCount val="1"/>
                <c:pt idx="0">
                  <c:v>PRODUKT 10</c:v>
                </c:pt>
              </c:strCache>
            </c:strRef>
          </c:tx>
          <c:invertIfNegative val="0"/>
          <c:val>
            <c:numRef>
              <c:f>'Benzin - diesel - hybrid'!$W$145:$W$164</c:f>
            </c:numRef>
          </c:val>
          <c:extLst>
            <c:ext xmlns:c16="http://schemas.microsoft.com/office/drawing/2014/chart" uri="{C3380CC4-5D6E-409C-BE32-E72D297353CC}">
              <c16:uniqueId val="{00000010-8A27-4469-B624-E6BD38FAB09F}"/>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0.25494111697541377"/>
          <c:y val="0.76870631122691857"/>
          <c:w val="9.5673101548499784E-2"/>
          <c:h val="0.23129368772489881"/>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'Benzin - diesel - hybrid'!$C$79</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'Benzin - diesel - hybrid'!$E$8:$W$8</c15:sqref>
                  </c15:fullRef>
                </c:ext>
              </c:extLst>
              <c:f>('Benzin - diesel - hybrid'!$E$8,'Benzin - diesel - hybrid'!$G$8,'Benzin - diesel - hybrid'!$I$8,'Benzin - diesel - hybrid'!$K$8,'Benzin - diesel - hybrid'!$M$8,'Benzin - diesel - hybrid'!$O$8,'Benzin - diesel - hybrid'!$Q$8,'Benzin - diesel - hybrid'!$S$8,'Benzin - diesel - hybrid'!$U$8,'Benzin - diesel - hybrid'!$W$8)</c:f>
              <c:strCache>
                <c:ptCount val="1"/>
                <c:pt idx="0">
                  <c:v>PRODUKT 1</c:v>
                </c:pt>
              </c:strCache>
            </c:strRef>
          </c:cat>
          <c:val>
            <c:numRef>
              <c:extLst>
                <c:ext xmlns:c15="http://schemas.microsoft.com/office/drawing/2012/chart" uri="{02D57815-91ED-43cb-92C2-25804820EDAC}">
                  <c15:fullRef>
                    <c15:sqref>'Benzin - diesel - hybrid'!$E$79:$W$79</c15:sqref>
                  </c15:fullRef>
                </c:ext>
              </c:extLst>
              <c:f>('Benzin - diesel - hybrid'!$E$79,'Benzin - diesel - hybrid'!$G$79,'Benzin - diesel - hybrid'!$I$79,'Benzin - diesel - hybrid'!$K$79,'Benzin - diesel - hybrid'!$M$79,'Benzin - diesel - hybrid'!$O$79,'Benzin - diesel - hybrid'!$Q$79,'Benzin - diesel - hybrid'!$S$79,'Benzin - diesel - hybrid'!$U$79,'Benzin - diesel - hybrid'!$W$79)</c:f>
              <c:numCache>
                <c:formatCode>#,##0.00</c:formatCode>
                <c:ptCount val="1"/>
                <c:pt idx="0">
                  <c:v>0</c:v>
                </c:pt>
              </c:numCache>
            </c:numRef>
          </c:val>
          <c:extLst>
            <c:ext xmlns:c16="http://schemas.microsoft.com/office/drawing/2014/chart" uri="{C3380CC4-5D6E-409C-BE32-E72D297353CC}">
              <c16:uniqueId val="{00000000-53B3-48B0-8BC5-99D92B0B3BC3}"/>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Akkumulerede samlede nettoomkostninger (nutidsværdi)</a:t>
            </a:r>
            <a:endParaRPr lang="da-DK" sz="1400">
              <a:effectLst/>
              <a:latin typeface="Arial" panose="020B0604020202020204" pitchFamily="34" charset="0"/>
              <a:cs typeface="Arial" panose="020B0604020202020204" pitchFamily="34" charset="0"/>
            </a:endParaRPr>
          </a:p>
        </c:rich>
      </c:tx>
      <c:layout>
        <c:manualLayout>
          <c:xMode val="edge"/>
          <c:yMode val="edge"/>
          <c:x val="0.15246863443378531"/>
          <c:y val="6.8004573589009992E-2"/>
        </c:manualLayout>
      </c:layout>
      <c:overlay val="1"/>
    </c:title>
    <c:autoTitleDeleted val="0"/>
    <c:plotArea>
      <c:layout>
        <c:manualLayout>
          <c:layoutTarget val="inner"/>
          <c:xMode val="edge"/>
          <c:yMode val="edge"/>
          <c:x val="0.13725775162214701"/>
          <c:y val="0.22813702379932904"/>
          <c:w val="0.58884317031204192"/>
          <c:h val="0.59590418970954329"/>
        </c:manualLayout>
      </c:layout>
      <c:scatterChart>
        <c:scatterStyle val="lineMarker"/>
        <c:varyColors val="0"/>
        <c:ser>
          <c:idx val="0"/>
          <c:order val="0"/>
          <c:tx>
            <c:strRef>
              <c:f>'El og plugin hybrid'!$E$145</c:f>
              <c:strCache>
                <c:ptCount val="1"/>
                <c:pt idx="0">
                  <c:v>PRODUKT 1 EL</c:v>
                </c:pt>
              </c:strCache>
            </c:strRef>
          </c:tx>
          <c:spPr>
            <a:ln>
              <a:solidFill>
                <a:srgbClr val="7EC9B7"/>
              </a:solidFill>
            </a:ln>
          </c:spPr>
          <c:marker>
            <c:symbol val="none"/>
          </c:marker>
          <c:xVal>
            <c:strRef>
              <c:f>'IB - E&amp;PH'!$Z$27:$Z$46</c:f>
              <c:strCache>
                <c:ptCount val="4"/>
                <c:pt idx="0">
                  <c:v>1</c:v>
                </c:pt>
                <c:pt idx="1">
                  <c:v>2</c:v>
                </c:pt>
                <c:pt idx="2">
                  <c:v>3</c:v>
                </c:pt>
                <c:pt idx="3">
                  <c:v>4</c:v>
                </c:pt>
              </c:strCache>
            </c:strRef>
          </c:xVal>
          <c:yVal>
            <c:numRef>
              <c:f>'El og plugin hybrid'!$E$146:$E$165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1F86-419D-9D15-2F1845D1190C}"/>
            </c:ext>
          </c:extLst>
        </c:ser>
        <c:ser>
          <c:idx val="2"/>
          <c:order val="2"/>
          <c:tx>
            <c:strRef>
              <c:f>'El og plugin hybrid'!$G$145</c:f>
              <c:strCache>
                <c:ptCount val="1"/>
                <c:pt idx="0">
                  <c:v>PRODUKT 2 EL</c:v>
                </c:pt>
              </c:strCache>
            </c:strRef>
          </c:tx>
          <c:spPr>
            <a:ln>
              <a:solidFill>
                <a:srgbClr val="38777E"/>
              </a:solidFill>
            </a:ln>
          </c:spPr>
          <c:marker>
            <c:symbol val="none"/>
          </c:marker>
          <c:xVal>
            <c:strRef>
              <c:f>'IB - E&amp;PH'!$Z$27:$Z$46</c:f>
              <c:strCache>
                <c:ptCount val="4"/>
                <c:pt idx="0">
                  <c:v>1</c:v>
                </c:pt>
                <c:pt idx="1">
                  <c:v>2</c:v>
                </c:pt>
                <c:pt idx="2">
                  <c:v>3</c:v>
                </c:pt>
                <c:pt idx="3">
                  <c:v>4</c:v>
                </c:pt>
              </c:strCache>
            </c:strRef>
          </c:xVal>
          <c:yVal>
            <c:numRef>
              <c:f>'El og plugin hybrid'!$G$146:$G$165</c:f>
            </c:numRef>
          </c:yVal>
          <c:smooth val="0"/>
          <c:extLst>
            <c:ext xmlns:c16="http://schemas.microsoft.com/office/drawing/2014/chart" uri="{C3380CC4-5D6E-409C-BE32-E72D297353CC}">
              <c16:uniqueId val="{00000001-1F86-419D-9D15-2F1845D1190C}"/>
            </c:ext>
          </c:extLst>
        </c:ser>
        <c:ser>
          <c:idx val="4"/>
          <c:order val="4"/>
          <c:tx>
            <c:strRef>
              <c:f>'El og plugin hybrid'!$I$145</c:f>
              <c:strCache>
                <c:ptCount val="1"/>
                <c:pt idx="0">
                  <c:v>PRODUKT 3 EL</c:v>
                </c:pt>
              </c:strCache>
            </c:strRef>
          </c:tx>
          <c:marker>
            <c:symbol val="none"/>
          </c:marker>
          <c:xVal>
            <c:strRef>
              <c:f>'IB - E&amp;PH'!$Z$27:$Z$46</c:f>
              <c:strCache>
                <c:ptCount val="4"/>
                <c:pt idx="0">
                  <c:v>1</c:v>
                </c:pt>
                <c:pt idx="1">
                  <c:v>2</c:v>
                </c:pt>
                <c:pt idx="2">
                  <c:v>3</c:v>
                </c:pt>
                <c:pt idx="3">
                  <c:v>4</c:v>
                </c:pt>
              </c:strCache>
            </c:strRef>
          </c:xVal>
          <c:yVal>
            <c:numRef>
              <c:f>'El og plugin hybrid'!$I$146:$I$165</c:f>
            </c:numRef>
          </c:yVal>
          <c:smooth val="0"/>
          <c:extLst>
            <c:ext xmlns:c16="http://schemas.microsoft.com/office/drawing/2014/chart" uri="{C3380CC4-5D6E-409C-BE32-E72D297353CC}">
              <c16:uniqueId val="{00000002-1F86-419D-9D15-2F1845D1190C}"/>
            </c:ext>
          </c:extLst>
        </c:ser>
        <c:ser>
          <c:idx val="6"/>
          <c:order val="6"/>
          <c:tx>
            <c:strRef>
              <c:f>'El og plugin hybrid'!$K$145</c:f>
              <c:strCache>
                <c:ptCount val="1"/>
                <c:pt idx="0">
                  <c:v>PRODUKT 4 EL</c:v>
                </c:pt>
              </c:strCache>
            </c:strRef>
          </c:tx>
          <c:marker>
            <c:symbol val="none"/>
          </c:marker>
          <c:xVal>
            <c:strRef>
              <c:f>'IB - E&amp;PH'!$Z$27:$Z$46</c:f>
              <c:strCache>
                <c:ptCount val="4"/>
                <c:pt idx="0">
                  <c:v>1</c:v>
                </c:pt>
                <c:pt idx="1">
                  <c:v>2</c:v>
                </c:pt>
                <c:pt idx="2">
                  <c:v>3</c:v>
                </c:pt>
                <c:pt idx="3">
                  <c:v>4</c:v>
                </c:pt>
              </c:strCache>
            </c:strRef>
          </c:xVal>
          <c:yVal>
            <c:numRef>
              <c:f>'El og plugin hybrid'!$K$146:$K$165</c:f>
            </c:numRef>
          </c:yVal>
          <c:smooth val="0"/>
          <c:extLst>
            <c:ext xmlns:c16="http://schemas.microsoft.com/office/drawing/2014/chart" uri="{C3380CC4-5D6E-409C-BE32-E72D297353CC}">
              <c16:uniqueId val="{00000003-1F86-419D-9D15-2F1845D1190C}"/>
            </c:ext>
          </c:extLst>
        </c:ser>
        <c:ser>
          <c:idx val="8"/>
          <c:order val="8"/>
          <c:tx>
            <c:strRef>
              <c:f>'El og plugin hybrid'!$M$145</c:f>
              <c:strCache>
                <c:ptCount val="1"/>
                <c:pt idx="0">
                  <c:v>PRODUKT 5 EL</c:v>
                </c:pt>
              </c:strCache>
            </c:strRef>
          </c:tx>
          <c:marker>
            <c:symbol val="none"/>
          </c:marker>
          <c:xVal>
            <c:strRef>
              <c:f>'IB - E&amp;PH'!$Z$27:$Z$46</c:f>
              <c:strCache>
                <c:ptCount val="4"/>
                <c:pt idx="0">
                  <c:v>1</c:v>
                </c:pt>
                <c:pt idx="1">
                  <c:v>2</c:v>
                </c:pt>
                <c:pt idx="2">
                  <c:v>3</c:v>
                </c:pt>
                <c:pt idx="3">
                  <c:v>4</c:v>
                </c:pt>
              </c:strCache>
            </c:strRef>
          </c:xVal>
          <c:yVal>
            <c:numRef>
              <c:f>'El og plugin hybrid'!$M$146:$M$165</c:f>
            </c:numRef>
          </c:yVal>
          <c:smooth val="0"/>
          <c:extLst>
            <c:ext xmlns:c16="http://schemas.microsoft.com/office/drawing/2014/chart" uri="{C3380CC4-5D6E-409C-BE32-E72D297353CC}">
              <c16:uniqueId val="{00000004-1F86-419D-9D15-2F1845D1190C}"/>
            </c:ext>
          </c:extLst>
        </c:ser>
        <c:ser>
          <c:idx val="10"/>
          <c:order val="10"/>
          <c:tx>
            <c:strRef>
              <c:f>'El og plugin hybrid'!$O$145</c:f>
              <c:strCache>
                <c:ptCount val="1"/>
                <c:pt idx="0">
                  <c:v>PRODUKT 6 EL</c:v>
                </c:pt>
              </c:strCache>
            </c:strRef>
          </c:tx>
          <c:marker>
            <c:symbol val="none"/>
          </c:marker>
          <c:xVal>
            <c:strRef>
              <c:f>'IB - E&amp;PH'!$Z$27:$Z$46</c:f>
              <c:strCache>
                <c:ptCount val="4"/>
                <c:pt idx="0">
                  <c:v>1</c:v>
                </c:pt>
                <c:pt idx="1">
                  <c:v>2</c:v>
                </c:pt>
                <c:pt idx="2">
                  <c:v>3</c:v>
                </c:pt>
                <c:pt idx="3">
                  <c:v>4</c:v>
                </c:pt>
              </c:strCache>
            </c:strRef>
          </c:xVal>
          <c:yVal>
            <c:numRef>
              <c:f>'El og plugin hybrid'!$O$146:$O$165</c:f>
            </c:numRef>
          </c:yVal>
          <c:smooth val="0"/>
          <c:extLst>
            <c:ext xmlns:c16="http://schemas.microsoft.com/office/drawing/2014/chart" uri="{C3380CC4-5D6E-409C-BE32-E72D297353CC}">
              <c16:uniqueId val="{00000005-1F86-419D-9D15-2F1845D1190C}"/>
            </c:ext>
          </c:extLst>
        </c:ser>
        <c:ser>
          <c:idx val="12"/>
          <c:order val="12"/>
          <c:tx>
            <c:strRef>
              <c:f>'El og plugin hybrid'!$Q$145</c:f>
              <c:strCache>
                <c:ptCount val="1"/>
                <c:pt idx="0">
                  <c:v>PRODUKT 7 EL</c:v>
                </c:pt>
              </c:strCache>
            </c:strRef>
          </c:tx>
          <c:marker>
            <c:symbol val="none"/>
          </c:marker>
          <c:xVal>
            <c:strRef>
              <c:f>'IB - E&amp;PH'!$Z$27:$Z$46</c:f>
              <c:strCache>
                <c:ptCount val="4"/>
                <c:pt idx="0">
                  <c:v>1</c:v>
                </c:pt>
                <c:pt idx="1">
                  <c:v>2</c:v>
                </c:pt>
                <c:pt idx="2">
                  <c:v>3</c:v>
                </c:pt>
                <c:pt idx="3">
                  <c:v>4</c:v>
                </c:pt>
              </c:strCache>
            </c:strRef>
          </c:xVal>
          <c:yVal>
            <c:numRef>
              <c:f>'El og plugin hybrid'!$Q$146:$Q$165</c:f>
            </c:numRef>
          </c:yVal>
          <c:smooth val="0"/>
          <c:extLst>
            <c:ext xmlns:c16="http://schemas.microsoft.com/office/drawing/2014/chart" uri="{C3380CC4-5D6E-409C-BE32-E72D297353CC}">
              <c16:uniqueId val="{00000006-1F86-419D-9D15-2F1845D1190C}"/>
            </c:ext>
          </c:extLst>
        </c:ser>
        <c:ser>
          <c:idx val="14"/>
          <c:order val="14"/>
          <c:tx>
            <c:strRef>
              <c:f>'El og plugin hybrid'!$S$145</c:f>
              <c:strCache>
                <c:ptCount val="1"/>
                <c:pt idx="0">
                  <c:v>PRODUKT 8 EL</c:v>
                </c:pt>
              </c:strCache>
            </c:strRef>
          </c:tx>
          <c:marker>
            <c:symbol val="none"/>
          </c:marker>
          <c:xVal>
            <c:strRef>
              <c:f>'IB - E&amp;PH'!$Z$27:$Z$46</c:f>
              <c:strCache>
                <c:ptCount val="4"/>
                <c:pt idx="0">
                  <c:v>1</c:v>
                </c:pt>
                <c:pt idx="1">
                  <c:v>2</c:v>
                </c:pt>
                <c:pt idx="2">
                  <c:v>3</c:v>
                </c:pt>
                <c:pt idx="3">
                  <c:v>4</c:v>
                </c:pt>
              </c:strCache>
            </c:strRef>
          </c:xVal>
          <c:yVal>
            <c:numRef>
              <c:f>'El og plugin hybrid'!$S$146:$S$165</c:f>
            </c:numRef>
          </c:yVal>
          <c:smooth val="0"/>
          <c:extLst>
            <c:ext xmlns:c16="http://schemas.microsoft.com/office/drawing/2014/chart" uri="{C3380CC4-5D6E-409C-BE32-E72D297353CC}">
              <c16:uniqueId val="{00000007-1F86-419D-9D15-2F1845D1190C}"/>
            </c:ext>
          </c:extLst>
        </c:ser>
        <c:ser>
          <c:idx val="16"/>
          <c:order val="16"/>
          <c:tx>
            <c:strRef>
              <c:f>'El og plugin hybrid'!$U$8</c:f>
              <c:strCache>
                <c:ptCount val="1"/>
                <c:pt idx="0">
                  <c:v>PRODUKT 9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8-1F86-419D-9D15-2F1845D1190C}"/>
            </c:ext>
          </c:extLst>
        </c:ser>
        <c:ser>
          <c:idx val="18"/>
          <c:order val="18"/>
          <c:tx>
            <c:strRef>
              <c:f>'El og plugin hybrid'!$W$8</c:f>
              <c:strCache>
                <c:ptCount val="1"/>
                <c:pt idx="0">
                  <c:v>PRODUKT 10 EL</c:v>
                </c:pt>
              </c:strCache>
            </c:strRef>
          </c:tx>
          <c:marker>
            <c:symbol val="none"/>
          </c:marker>
          <c:yVal>
            <c:numLit>
              <c:formatCode>General</c:formatCode>
              <c:ptCount val="1"/>
              <c:pt idx="0">
                <c:v>1</c:v>
              </c:pt>
            </c:numLit>
          </c:yVal>
          <c:smooth val="0"/>
          <c:extLst>
            <c:ext xmlns:c16="http://schemas.microsoft.com/office/drawing/2014/chart" uri="{C3380CC4-5D6E-409C-BE32-E72D297353CC}">
              <c16:uniqueId val="{00000009-1F86-419D-9D15-2F1845D1190C}"/>
            </c:ext>
          </c:extLst>
        </c:ser>
        <c:dLbls>
          <c:showLegendKey val="0"/>
          <c:showVal val="0"/>
          <c:showCatName val="0"/>
          <c:showSerName val="0"/>
          <c:showPercent val="0"/>
          <c:showBubbleSize val="0"/>
        </c:dLbls>
        <c:axId val="162767616"/>
        <c:axId val="162764088"/>
        <c:extLst>
          <c:ext xmlns:c15="http://schemas.microsoft.com/office/drawing/2012/chart" uri="{02D57815-91ED-43cb-92C2-25804820EDAC}">
            <c15:filteredScatterSeries>
              <c15:ser>
                <c:idx val="1"/>
                <c:order val="1"/>
                <c:tx>
                  <c:strRef>
                    <c:extLst>
                      <c:ext uri="{02D57815-91ED-43cb-92C2-25804820EDAC}">
                        <c15:formulaRef>
                          <c15:sqref>'El og plugin hybrid'!$F$145</c15:sqref>
                        </c15:formulaRef>
                      </c:ext>
                    </c:extLst>
                    <c:strCache>
                      <c:ptCount val="1"/>
                    </c:strCache>
                  </c:strRef>
                </c:tx>
                <c:marker>
                  <c:symbol val="none"/>
                </c:marker>
                <c:yVal>
                  <c:numRef>
                    <c:extLst>
                      <c:ext uri="{02D57815-91ED-43cb-92C2-25804820EDAC}">
                        <c15:formulaRef>
                          <c15:sqref>'El og plugin hybrid'!$F$146:$F$165</c15:sqref>
                        </c15:formulaRef>
                      </c:ext>
                    </c:extLst>
                    <c:numCache>
                      <c:formatCode>0</c:formatCode>
                      <c:ptCount val="20"/>
                    </c:numCache>
                  </c:numRef>
                </c:yVal>
                <c:smooth val="0"/>
                <c:extLst>
                  <c:ext xmlns:c16="http://schemas.microsoft.com/office/drawing/2014/chart" uri="{C3380CC4-5D6E-409C-BE32-E72D297353CC}">
                    <c16:uniqueId val="{0000000A-1F86-419D-9D15-2F1845D1190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'El og plugin hybrid'!$H$145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hybrid'!$H$146:$H$165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B-1F86-419D-9D15-2F1845D1190C}"/>
                  </c:ext>
                </c:extLst>
              </c15:ser>
            </c15:filteredScatterSeries>
            <c15:filteredScatterSeries>
              <c15:ser>
                <c:idx val="5"/>
                <c:order val="5"/>
                <c:tx>
                  <c:strRef>
                    <c:extLst xmlns:c15="http://schemas.microsoft.com/office/drawing/2012/chart">
                      <c:ext xmlns:c15="http://schemas.microsoft.com/office/drawing/2012/chart" uri="{02D57815-91ED-43cb-92C2-25804820EDAC}">
                        <c15:formulaRef>
                          <c15:sqref>'El og plugin hybrid'!$J$145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hybrid'!$J$146:$J$165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C-1F86-419D-9D15-2F1845D1190C}"/>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'El og plugin hybrid'!$L$145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hybrid'!$L$146:$L$165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D-1F86-419D-9D15-2F1845D1190C}"/>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'El og plugin hybrid'!$N$145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hybrid'!$N$146:$N$165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E-1F86-419D-9D15-2F1845D1190C}"/>
                  </c:ext>
                </c:extLst>
              </c15:ser>
            </c15:filteredScatterSeries>
            <c15:filteredScatterSeries>
              <c15:ser>
                <c:idx val="11"/>
                <c:order val="11"/>
                <c:tx>
                  <c:strRef>
                    <c:extLst xmlns:c15="http://schemas.microsoft.com/office/drawing/2012/chart">
                      <c:ext xmlns:c15="http://schemas.microsoft.com/office/drawing/2012/chart" uri="{02D57815-91ED-43cb-92C2-25804820EDAC}">
                        <c15:formulaRef>
                          <c15:sqref>'El og plugin hybrid'!$P$145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hybrid'!$P$146:$P$165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0F-1F86-419D-9D15-2F1845D1190C}"/>
                  </c:ext>
                </c:extLst>
              </c15:ser>
            </c15:filteredScatterSeries>
            <c15:filteredScatterSeries>
              <c15:ser>
                <c:idx val="13"/>
                <c:order val="13"/>
                <c:tx>
                  <c:strRef>
                    <c:extLst xmlns:c15="http://schemas.microsoft.com/office/drawing/2012/chart">
                      <c:ext xmlns:c15="http://schemas.microsoft.com/office/drawing/2012/chart" uri="{02D57815-91ED-43cb-92C2-25804820EDAC}">
                        <c15:formulaRef>
                          <c15:sqref>'El og plugin hybrid'!$R$145</c15:sqref>
                        </c15:formulaRef>
                      </c:ext>
                    </c:extLst>
                    <c:strCache>
                      <c:ptCount val="1"/>
                    </c:strCache>
                  </c:strRef>
                </c:tx>
                <c:marker>
                  <c:symbol val="none"/>
                </c:marker>
                <c:yVal>
                  <c:numRef>
                    <c:extLst xmlns:c15="http://schemas.microsoft.com/office/drawing/2012/chart">
                      <c:ext xmlns:c15="http://schemas.microsoft.com/office/drawing/2012/chart" uri="{02D57815-91ED-43cb-92C2-25804820EDAC}">
                        <c15:formulaRef>
                          <c15:sqref>'El og plugin hybrid'!$R$146:$R$165</c15:sqref>
                        </c15:formulaRef>
                      </c:ext>
                    </c:extLst>
                    <c:numCache>
                      <c:formatCode>0</c:formatCode>
                      <c:ptCount val="20"/>
                    </c:numCache>
                  </c:numRef>
                </c:yVal>
                <c:smooth val="0"/>
                <c:extLst xmlns:c15="http://schemas.microsoft.com/office/drawing/2012/chart">
                  <c:ext xmlns:c16="http://schemas.microsoft.com/office/drawing/2014/chart" uri="{C3380CC4-5D6E-409C-BE32-E72D297353CC}">
                    <c16:uniqueId val="{00000010-1F86-419D-9D15-2F1845D1190C}"/>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'El og plugin hybrid'!$T$8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1-1F86-419D-9D15-2F1845D1190C}"/>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'El og plugin hybrid'!$V$8</c15:sqref>
                        </c15:formulaRef>
                      </c:ext>
                    </c:extLst>
                    <c:strCache>
                      <c:ptCount val="1"/>
                    </c:strCache>
                  </c:strRef>
                </c:tx>
                <c:marker>
                  <c:symbol val="none"/>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12-1F86-419D-9D15-2F1845D1190C}"/>
                  </c:ext>
                </c:extLst>
              </c15:ser>
            </c15:filteredScatterSeries>
          </c:ext>
        </c:extLst>
      </c:scatterChart>
      <c:valAx>
        <c:axId val="162767616"/>
        <c:scaling>
          <c:orientation val="minMax"/>
        </c:scaling>
        <c:delete val="0"/>
        <c:axPos val="b"/>
        <c:title>
          <c:tx>
            <c:rich>
              <a:bodyPr/>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År</a:t>
                </a:r>
              </a:p>
            </c:rich>
          </c:tx>
          <c:overlay val="0"/>
        </c:title>
        <c:numFmt formatCode="General" sourceLinked="1"/>
        <c:majorTickMark val="out"/>
        <c:minorTickMark val="none"/>
        <c:tickLblPos val="nextTo"/>
        <c:txPr>
          <a:bodyPr/>
          <a:lstStyle/>
          <a:p>
            <a:pPr>
              <a:defRPr sz="800">
                <a:latin typeface="Arial"/>
                <a:cs typeface="Arial"/>
              </a:defRPr>
            </a:pPr>
            <a:endParaRPr lang="en-DK"/>
          </a:p>
        </c:txPr>
        <c:crossAx val="162764088"/>
        <c:crosses val="autoZero"/>
        <c:crossBetween val="midCat"/>
        <c:majorUnit val="1"/>
        <c:minorUnit val="1"/>
      </c:valAx>
      <c:valAx>
        <c:axId val="162764088"/>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0"/>
        <c:majorTickMark val="out"/>
        <c:minorTickMark val="none"/>
        <c:tickLblPos val="nextTo"/>
        <c:txPr>
          <a:bodyPr/>
          <a:lstStyle/>
          <a:p>
            <a:pPr>
              <a:defRPr sz="800">
                <a:latin typeface="Arial"/>
                <a:cs typeface="Arial"/>
              </a:defRPr>
            </a:pPr>
            <a:endParaRPr lang="en-DK"/>
          </a:p>
        </c:txPr>
        <c:crossAx val="162767616"/>
        <c:crosses val="autoZero"/>
        <c:crossBetween val="midCat"/>
      </c:valAx>
      <c:spPr>
        <a:noFill/>
        <a:ln>
          <a:noFill/>
        </a:ln>
      </c:spPr>
    </c:plotArea>
    <c:legend>
      <c:legendPos val="r"/>
      <c:layout>
        <c:manualLayout>
          <c:xMode val="edge"/>
          <c:yMode val="edge"/>
          <c:x val="0.76841652041588471"/>
          <c:y val="0.21092923831125615"/>
          <c:w val="0.16713483722017411"/>
          <c:h val="0.5815873897217595"/>
        </c:manualLayout>
      </c:layout>
      <c:overlay val="0"/>
      <c:txPr>
        <a:bodyPr/>
        <a:lstStyle/>
        <a:p>
          <a:pPr>
            <a:defRPr sz="800">
              <a:latin typeface="Arial"/>
              <a:cs typeface="Arial"/>
            </a:defRPr>
          </a:pPr>
          <a:endParaRPr lang="en-DK"/>
        </a:p>
      </c:txPr>
    </c:legend>
    <c:plotVisOnly val="1"/>
    <c:dispBlanksAs val="gap"/>
    <c:showDLblsOverMax val="0"/>
  </c:chart>
  <c:spPr>
    <a:noFill/>
    <a:ln>
      <a:noFill/>
    </a:ln>
  </c:spPr>
  <c:printSettings>
    <c:headerFooter/>
    <c:pageMargins b="0.75000000000000211" l="0.70000000000000095" r="0.70000000000000095" t="0.75000000000000211" header="0.30000000000000004" footer="0.30000000000000004"/>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TCO</a:t>
            </a:r>
            <a:r>
              <a:rPr lang="da-DK" sz="1400" b="1" baseline="0">
                <a:effectLst/>
                <a:latin typeface="Arial" panose="020B0604020202020204" pitchFamily="34" charset="0"/>
                <a:cs typeface="Arial" panose="020B0604020202020204" pitchFamily="34" charset="0"/>
              </a:rPr>
              <a:t> for den angivne tidsperiode (nutidsværdi) </a:t>
            </a:r>
            <a:endParaRPr lang="da-DK" sz="1400">
              <a:effectLst/>
              <a:latin typeface="Arial" panose="020B0604020202020204" pitchFamily="34" charset="0"/>
              <a:cs typeface="Arial" panose="020B0604020202020204" pitchFamily="34" charset="0"/>
            </a:endParaRPr>
          </a:p>
        </c:rich>
      </c:tx>
      <c:layout>
        <c:manualLayout>
          <c:xMode val="edge"/>
          <c:yMode val="edge"/>
          <c:x val="0.19309002602377409"/>
          <c:y val="1.1273089913345264E-2"/>
        </c:manualLayout>
      </c:layout>
      <c:overlay val="1"/>
    </c:title>
    <c:autoTitleDeleted val="0"/>
    <c:plotArea>
      <c:layout>
        <c:manualLayout>
          <c:layoutTarget val="inner"/>
          <c:xMode val="edge"/>
          <c:yMode val="edge"/>
          <c:x val="0.15565398917204773"/>
          <c:y val="0.15394703193381398"/>
          <c:w val="0.79149550891303211"/>
          <c:h val="0.49581841869958831"/>
        </c:manualLayout>
      </c:layout>
      <c:barChart>
        <c:barDir val="col"/>
        <c:grouping val="stacked"/>
        <c:varyColors val="0"/>
        <c:ser>
          <c:idx val="0"/>
          <c:order val="0"/>
          <c:tx>
            <c:strRef>
              <c:f>'El og plugin hybrid'!$C$93</c:f>
              <c:strCache>
                <c:ptCount val="1"/>
                <c:pt idx="0">
                  <c:v>Investeringsomkostning (uden ladestandere/ladebokse)</c:v>
                </c:pt>
              </c:strCache>
            </c:strRef>
          </c:tx>
          <c:spPr>
            <a:solidFill>
              <a:srgbClr val="38777E"/>
            </a:solidFill>
          </c:spPr>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hybrid'!$E$93,'El og plugin hybrid'!$G$93,'El og plugin hybrid'!$I$93,'El og plugin hybrid'!$K$93,'El og plugin hybrid'!$M$93,'El og plugin hybrid'!$O$93,'El og plugin hybrid'!$Q$93,'El og plugin hybrid'!$S$93)</c:f>
              <c:numCache>
                <c:formatCode>_("kr."* #,##0_);_("kr."* \(#,##0\);_("kr."* "-"_);_(@_)</c:formatCode>
                <c:ptCount val="1"/>
                <c:pt idx="0">
                  <c:v>0</c:v>
                </c:pt>
              </c:numCache>
              <c:extLst/>
            </c:numRef>
          </c:val>
          <c:extLst>
            <c:ext xmlns:c16="http://schemas.microsoft.com/office/drawing/2014/chart" uri="{C3380CC4-5D6E-409C-BE32-E72D297353CC}">
              <c16:uniqueId val="{00000000-6164-449C-A001-2764517DBA75}"/>
            </c:ext>
          </c:extLst>
        </c:ser>
        <c:ser>
          <c:idx val="1"/>
          <c:order val="1"/>
          <c:tx>
            <c:strRef>
              <c:f>'El og plugin hybrid'!$C$95</c:f>
              <c:strCache>
                <c:ptCount val="1"/>
                <c:pt idx="0">
                  <c:v>Driftsomkostning i alt</c:v>
                </c:pt>
              </c:strCache>
            </c:strRef>
          </c:tx>
          <c:spPr>
            <a:solidFill>
              <a:srgbClr val="7EC9B7"/>
            </a:solidFill>
          </c:spPr>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hybrid'!$E$95,'El og plugin hybrid'!$G$95,'El og plugin hybrid'!$I$95,'El og plugin hybrid'!$K$95,'El og plugin hybrid'!$M$95,'El og plugin hybrid'!$O$95,'El og plugin hybrid'!$Q$95,'El og plugin hybrid'!$S$95)</c:f>
              <c:numCache>
                <c:formatCode>_("kr."* #,##0_);_("kr."* \(#,##0\);_("kr."* "-"_);_(@_)</c:formatCode>
                <c:ptCount val="1"/>
                <c:pt idx="0">
                  <c:v>0</c:v>
                </c:pt>
              </c:numCache>
              <c:extLst/>
            </c:numRef>
          </c:val>
          <c:extLst>
            <c:ext xmlns:c16="http://schemas.microsoft.com/office/drawing/2014/chart" uri="{C3380CC4-5D6E-409C-BE32-E72D297353CC}">
              <c16:uniqueId val="{00000001-6164-449C-A001-2764517DBA75}"/>
            </c:ext>
          </c:extLst>
        </c:ser>
        <c:ser>
          <c:idx val="2"/>
          <c:order val="2"/>
          <c:tx>
            <c:strRef>
              <c:f>'El og plugin hybrid'!$C$96</c:f>
              <c:strCache>
                <c:ptCount val="1"/>
                <c:pt idx="0">
                  <c:v>Service, vedligehold og løbende omkostninger i alt</c:v>
                </c:pt>
              </c:strCache>
            </c:strRef>
          </c:tx>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hybrid'!$E$96,'El og plugin hybrid'!$G$96,'El og plugin hybrid'!$I$96,'El og plugin hybrid'!$K$96,'El og plugin hybrid'!$M$96,'El og plugin hybrid'!$O$96,'El og plugin hybrid'!$Q$96,'El og plugin hybrid'!$S$96)</c:f>
              <c:numCache>
                <c:formatCode>_("kr."* #,##0_);_("kr."* \(#,##0\);_("kr."* "-"_);_(@_)</c:formatCode>
                <c:ptCount val="1"/>
                <c:pt idx="0">
                  <c:v>0</c:v>
                </c:pt>
              </c:numCache>
              <c:extLst/>
            </c:numRef>
          </c:val>
          <c:extLst>
            <c:ext xmlns:c16="http://schemas.microsoft.com/office/drawing/2014/chart" uri="{C3380CC4-5D6E-409C-BE32-E72D297353CC}">
              <c16:uniqueId val="{00000002-6164-449C-A001-2764517DBA75}"/>
            </c:ext>
          </c:extLst>
        </c:ser>
        <c:ser>
          <c:idx val="3"/>
          <c:order val="3"/>
          <c:tx>
            <c:strRef>
              <c:f>'El og plugin hybrid'!#REF!</c:f>
              <c:strCache>
                <c:ptCount val="1"/>
                <c:pt idx="0">
                  <c:v>#REF!</c:v>
                </c:pt>
              </c:strCache>
            </c:strRef>
          </c:tx>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hybrid'!#REF!</c:f>
              <c:numCache>
                <c:formatCode>General</c:formatCode>
                <c:ptCount val="1"/>
                <c:pt idx="0">
                  <c:v>1</c:v>
                </c:pt>
              </c:numCache>
              <c:extLst/>
            </c:numRef>
          </c:val>
          <c:extLst>
            <c:ext xmlns:c16="http://schemas.microsoft.com/office/drawing/2014/chart" uri="{C3380CC4-5D6E-409C-BE32-E72D297353CC}">
              <c16:uniqueId val="{00000003-6164-449C-A001-2764517DBA75}"/>
            </c:ext>
          </c:extLst>
        </c:ser>
        <c:ser>
          <c:idx val="4"/>
          <c:order val="4"/>
          <c:tx>
            <c:strRef>
              <c:f>'El og plugin hybrid'!$C$97</c:f>
              <c:strCache>
                <c:ptCount val="1"/>
                <c:pt idx="0">
                  <c:v>Samfundsøkonomiske omkostninger af eksterne virkninger på miljøet</c:v>
                </c:pt>
              </c:strCache>
            </c:strRef>
          </c:tx>
          <c:invertIfNegative val="0"/>
          <c:cat>
            <c:strRef>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extLst/>
            </c:strRef>
          </c:cat>
          <c:val>
            <c:numRef>
              <c:f>('El og plugin hybrid'!$E$97,'El og plugin hybrid'!$G$97,'El og plugin hybrid'!$I$97,'El og plugin hybrid'!$K$97,'El og plugin hybrid'!$M$97,'El og plugin hybrid'!$O$97,'El og plugin hybrid'!$Q$97,'El og plugin hybrid'!$S$97,'El og plugin hybrid'!$U$97,'El og plugin hybrid'!$W$97)</c:f>
              <c:numCache>
                <c:formatCode>_("kr."* #,##0_);_("kr."* \(#,##0\);_("kr."* "-"_);_(@_)</c:formatCode>
                <c:ptCount val="1"/>
                <c:pt idx="0">
                  <c:v>0</c:v>
                </c:pt>
              </c:numCache>
              <c:extLst/>
            </c:numRef>
          </c:val>
          <c:extLst>
            <c:ext xmlns:c16="http://schemas.microsoft.com/office/drawing/2014/chart" uri="{C3380CC4-5D6E-409C-BE32-E72D297353CC}">
              <c16:uniqueId val="{00000004-6164-449C-A001-2764517DBA75}"/>
            </c:ext>
          </c:extLst>
        </c:ser>
        <c:dLbls>
          <c:showLegendKey val="0"/>
          <c:showVal val="0"/>
          <c:showCatName val="0"/>
          <c:showSerName val="0"/>
          <c:showPercent val="0"/>
          <c:showBubbleSize val="0"/>
        </c:dLbls>
        <c:gapWidth val="150"/>
        <c:overlap val="100"/>
        <c:axId val="420156496"/>
        <c:axId val="420157280"/>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_(&quot;kr.&quot;* #,##0_);_(&quot;kr.&quot;* \(#,##0\);_(&quot;kr.&quot;* &quot;-&quot;_);_(@_)"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0.16606910723333718"/>
          <c:y val="0.73571644214622967"/>
          <c:w val="0.69926071315424254"/>
          <c:h val="0.26428347600371294"/>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400">
                <a:latin typeface="Arial" panose="020B0604020202020204" pitchFamily="34" charset="0"/>
                <a:cs typeface="Arial" panose="020B0604020202020204" pitchFamily="34" charset="0"/>
              </a:defRPr>
            </a:pPr>
            <a:r>
              <a:rPr lang="da-DK" sz="1400" b="1">
                <a:effectLst/>
                <a:latin typeface="Arial" panose="020B0604020202020204" pitchFamily="34" charset="0"/>
                <a:cs typeface="Arial" panose="020B0604020202020204" pitchFamily="34" charset="0"/>
              </a:rPr>
              <a:t>Årlige gennemsnitlige</a:t>
            </a:r>
            <a:r>
              <a:rPr lang="da-DK" sz="1400" b="1" baseline="0">
                <a:effectLst/>
                <a:latin typeface="Arial" panose="020B0604020202020204" pitchFamily="34" charset="0"/>
                <a:cs typeface="Arial" panose="020B0604020202020204" pitchFamily="34" charset="0"/>
              </a:rPr>
              <a:t> omkostninger (relation til levetid)</a:t>
            </a:r>
            <a:endParaRPr lang="da-DK" sz="1400">
              <a:effectLst/>
              <a:latin typeface="Arial" panose="020B0604020202020204" pitchFamily="34" charset="0"/>
              <a:cs typeface="Arial" panose="020B0604020202020204" pitchFamily="34" charset="0"/>
            </a:endParaRPr>
          </a:p>
        </c:rich>
      </c:tx>
      <c:layout>
        <c:manualLayout>
          <c:xMode val="edge"/>
          <c:yMode val="edge"/>
          <c:x val="0.11147108864933175"/>
          <c:y val="1.1273089913345264E-2"/>
        </c:manualLayout>
      </c:layout>
      <c:overlay val="1"/>
    </c:title>
    <c:autoTitleDeleted val="0"/>
    <c:plotArea>
      <c:layout>
        <c:manualLayout>
          <c:layoutTarget val="inner"/>
          <c:xMode val="edge"/>
          <c:yMode val="edge"/>
          <c:x val="0.10748320656842852"/>
          <c:y val="0.17925778340618118"/>
          <c:w val="0.74044554875710611"/>
          <c:h val="0.51449402450329462"/>
        </c:manualLayout>
      </c:layout>
      <c:barChart>
        <c:barDir val="col"/>
        <c:grouping val="clustered"/>
        <c:varyColors val="0"/>
        <c:ser>
          <c:idx val="0"/>
          <c:order val="0"/>
          <c:tx>
            <c:strRef>
              <c:f>'El og plugin hybrid'!$E$8</c:f>
              <c:strCache>
                <c:ptCount val="1"/>
                <c:pt idx="0">
                  <c:v>PRODUKT 1 EL</c:v>
                </c:pt>
              </c:strCache>
            </c:strRef>
          </c:tx>
          <c:invertIfNegative val="0"/>
          <c:val>
            <c:numRef>
              <c:f>'El og plugin hybrid'!$E$168:$E$187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810-4042-AC43-5CFB3B4A5994}"/>
            </c:ext>
          </c:extLst>
        </c:ser>
        <c:ser>
          <c:idx val="1"/>
          <c:order val="1"/>
          <c:tx>
            <c:strRef>
              <c:f>'El og plugin hybrid'!$G$167</c:f>
              <c:strCache>
                <c:ptCount val="1"/>
                <c:pt idx="0">
                  <c:v>PRODUKT 2 EL</c:v>
                </c:pt>
              </c:strCache>
            </c:strRef>
          </c:tx>
          <c:invertIfNegative val="0"/>
          <c:val>
            <c:numRef>
              <c:f>'El og plugin hybrid'!$G$168:$G$187</c:f>
            </c:numRef>
          </c:val>
          <c:extLst>
            <c:ext xmlns:c16="http://schemas.microsoft.com/office/drawing/2014/chart" uri="{C3380CC4-5D6E-409C-BE32-E72D297353CC}">
              <c16:uniqueId val="{00000001-1810-4042-AC43-5CFB3B4A5994}"/>
            </c:ext>
          </c:extLst>
        </c:ser>
        <c:ser>
          <c:idx val="2"/>
          <c:order val="2"/>
          <c:tx>
            <c:strRef>
              <c:f>'El og plugin hybrid'!$I$167</c:f>
              <c:strCache>
                <c:ptCount val="1"/>
                <c:pt idx="0">
                  <c:v>PRODUKT 3 EL</c:v>
                </c:pt>
              </c:strCache>
            </c:strRef>
          </c:tx>
          <c:invertIfNegative val="0"/>
          <c:val>
            <c:numRef>
              <c:f>'El og plugin hybrid'!$I$168:$I$187</c:f>
            </c:numRef>
          </c:val>
          <c:extLst>
            <c:ext xmlns:c16="http://schemas.microsoft.com/office/drawing/2014/chart" uri="{C3380CC4-5D6E-409C-BE32-E72D297353CC}">
              <c16:uniqueId val="{00000002-1810-4042-AC43-5CFB3B4A5994}"/>
            </c:ext>
          </c:extLst>
        </c:ser>
        <c:ser>
          <c:idx val="3"/>
          <c:order val="3"/>
          <c:tx>
            <c:strRef>
              <c:f>'El og plugin hybrid'!$K$8</c:f>
              <c:strCache>
                <c:ptCount val="1"/>
                <c:pt idx="0">
                  <c:v>PRODUKT 4 EL</c:v>
                </c:pt>
              </c:strCache>
            </c:strRef>
          </c:tx>
          <c:invertIfNegative val="0"/>
          <c:val>
            <c:numRef>
              <c:f>'El og plugin hybrid'!$K$168:$K$187</c:f>
            </c:numRef>
          </c:val>
          <c:extLst>
            <c:ext xmlns:c16="http://schemas.microsoft.com/office/drawing/2014/chart" uri="{C3380CC4-5D6E-409C-BE32-E72D297353CC}">
              <c16:uniqueId val="{00000003-1810-4042-AC43-5CFB3B4A5994}"/>
            </c:ext>
          </c:extLst>
        </c:ser>
        <c:ser>
          <c:idx val="4"/>
          <c:order val="4"/>
          <c:tx>
            <c:strRef>
              <c:f>'El og plugin hybrid'!$M$167</c:f>
              <c:strCache>
                <c:ptCount val="1"/>
                <c:pt idx="0">
                  <c:v>PRODUKT 5 EL</c:v>
                </c:pt>
              </c:strCache>
            </c:strRef>
          </c:tx>
          <c:invertIfNegative val="0"/>
          <c:val>
            <c:numRef>
              <c:f>'El og plugin hybrid'!$M$168:$M$187</c:f>
            </c:numRef>
          </c:val>
          <c:extLst>
            <c:ext xmlns:c16="http://schemas.microsoft.com/office/drawing/2014/chart" uri="{C3380CC4-5D6E-409C-BE32-E72D297353CC}">
              <c16:uniqueId val="{00000004-1810-4042-AC43-5CFB3B4A5994}"/>
            </c:ext>
          </c:extLst>
        </c:ser>
        <c:ser>
          <c:idx val="5"/>
          <c:order val="5"/>
          <c:tx>
            <c:strRef>
              <c:f>'El og plugin hybrid'!$O$167</c:f>
              <c:strCache>
                <c:ptCount val="1"/>
                <c:pt idx="0">
                  <c:v>PRODUKT 6 EL</c:v>
                </c:pt>
              </c:strCache>
            </c:strRef>
          </c:tx>
          <c:invertIfNegative val="0"/>
          <c:val>
            <c:numRef>
              <c:f>'El og plugin hybrid'!$O$168:$O$187</c:f>
            </c:numRef>
          </c:val>
          <c:extLst>
            <c:ext xmlns:c16="http://schemas.microsoft.com/office/drawing/2014/chart" uri="{C3380CC4-5D6E-409C-BE32-E72D297353CC}">
              <c16:uniqueId val="{00000005-1810-4042-AC43-5CFB3B4A5994}"/>
            </c:ext>
          </c:extLst>
        </c:ser>
        <c:ser>
          <c:idx val="6"/>
          <c:order val="6"/>
          <c:tx>
            <c:strRef>
              <c:f>'El og plugin hybrid'!$Q$167</c:f>
              <c:strCache>
                <c:ptCount val="1"/>
                <c:pt idx="0">
                  <c:v>PRODUKT 7 EL</c:v>
                </c:pt>
              </c:strCache>
            </c:strRef>
          </c:tx>
          <c:invertIfNegative val="0"/>
          <c:val>
            <c:numRef>
              <c:f>'El og plugin hybrid'!$Q$168:$Q$187</c:f>
            </c:numRef>
          </c:val>
          <c:extLst>
            <c:ext xmlns:c16="http://schemas.microsoft.com/office/drawing/2014/chart" uri="{C3380CC4-5D6E-409C-BE32-E72D297353CC}">
              <c16:uniqueId val="{00000006-1810-4042-AC43-5CFB3B4A5994}"/>
            </c:ext>
          </c:extLst>
        </c:ser>
        <c:ser>
          <c:idx val="7"/>
          <c:order val="7"/>
          <c:tx>
            <c:strRef>
              <c:f>'El og plugin hybrid'!$S$167</c:f>
              <c:strCache>
                <c:ptCount val="1"/>
                <c:pt idx="0">
                  <c:v>PRODUKT 8 EL</c:v>
                </c:pt>
              </c:strCache>
            </c:strRef>
          </c:tx>
          <c:invertIfNegative val="0"/>
          <c:val>
            <c:numRef>
              <c:f>'El og plugin hybrid'!$S$168:$S$187</c:f>
            </c:numRef>
          </c:val>
          <c:extLst>
            <c:ext xmlns:c16="http://schemas.microsoft.com/office/drawing/2014/chart" uri="{C3380CC4-5D6E-409C-BE32-E72D297353CC}">
              <c16:uniqueId val="{00000007-1810-4042-AC43-5CFB3B4A5994}"/>
            </c:ext>
          </c:extLst>
        </c:ser>
        <c:ser>
          <c:idx val="8"/>
          <c:order val="8"/>
          <c:tx>
            <c:strRef>
              <c:f>'El og plugin hybrid'!$U$167</c:f>
              <c:strCache>
                <c:ptCount val="1"/>
                <c:pt idx="0">
                  <c:v>PRODUKT 9 EL</c:v>
                </c:pt>
              </c:strCache>
            </c:strRef>
          </c:tx>
          <c:invertIfNegative val="0"/>
          <c:val>
            <c:numRef>
              <c:f>'El og plugin hybrid'!$U$168:$U$187</c:f>
            </c:numRef>
          </c:val>
          <c:extLst>
            <c:ext xmlns:c16="http://schemas.microsoft.com/office/drawing/2014/chart" uri="{C3380CC4-5D6E-409C-BE32-E72D297353CC}">
              <c16:uniqueId val="{00000008-1810-4042-AC43-5CFB3B4A5994}"/>
            </c:ext>
          </c:extLst>
        </c:ser>
        <c:ser>
          <c:idx val="9"/>
          <c:order val="9"/>
          <c:tx>
            <c:strRef>
              <c:f>'El og plugin hybrid'!$W$167</c:f>
              <c:strCache>
                <c:ptCount val="1"/>
                <c:pt idx="0">
                  <c:v>PRODUKT 10 EL</c:v>
                </c:pt>
              </c:strCache>
            </c:strRef>
          </c:tx>
          <c:invertIfNegative val="0"/>
          <c:val>
            <c:numRef>
              <c:f>'El og plugin hybrid'!$W$168:$W$187</c:f>
            </c:numRef>
          </c:val>
          <c:extLst>
            <c:ext xmlns:c16="http://schemas.microsoft.com/office/drawing/2014/chart" uri="{C3380CC4-5D6E-409C-BE32-E72D297353CC}">
              <c16:uniqueId val="{00000009-1810-4042-AC43-5CFB3B4A5994}"/>
            </c:ext>
          </c:extLst>
        </c:ser>
        <c:dLbls>
          <c:showLegendKey val="0"/>
          <c:showVal val="0"/>
          <c:showCatName val="0"/>
          <c:showSerName val="0"/>
          <c:showPercent val="0"/>
          <c:showBubbleSize val="0"/>
        </c:dLbls>
        <c:gapWidth val="150"/>
        <c:axId val="420156496"/>
        <c:axId val="420157280"/>
        <c:extLst/>
      </c:barChart>
      <c:catAx>
        <c:axId val="420156496"/>
        <c:scaling>
          <c:orientation val="minMax"/>
        </c:scaling>
        <c:delete val="0"/>
        <c:axPos val="b"/>
        <c:numFmt formatCode="General" sourceLinked="0"/>
        <c:majorTickMark val="out"/>
        <c:minorTickMark val="none"/>
        <c:tickLblPos val="nextTo"/>
        <c:txPr>
          <a:bodyPr rot="0" vert="horz"/>
          <a:lstStyle/>
          <a:p>
            <a:pPr>
              <a:defRPr sz="800">
                <a:latin typeface="Arial"/>
                <a:cs typeface="Arial"/>
              </a:defRPr>
            </a:pPr>
            <a:endParaRPr lang="en-DK"/>
          </a:p>
        </c:txPr>
        <c:crossAx val="420157280"/>
        <c:crosses val="autoZero"/>
        <c:auto val="1"/>
        <c:lblAlgn val="ctr"/>
        <c:lblOffset val="100"/>
        <c:noMultiLvlLbl val="0"/>
      </c:catAx>
      <c:valAx>
        <c:axId val="420157280"/>
        <c:scaling>
          <c:orientation val="minMax"/>
        </c:scaling>
        <c:delete val="0"/>
        <c:axPos val="l"/>
        <c:majorGridlines/>
        <c:title>
          <c:tx>
            <c:rich>
              <a:bodyPr rot="-5400000" vert="horz"/>
              <a:lstStyle/>
              <a:p>
                <a:pPr>
                  <a:defRPr sz="800" b="0">
                    <a:latin typeface="Arial" panose="020B0604020202020204" pitchFamily="34" charset="0"/>
                    <a:cs typeface="Arial" panose="020B0604020202020204" pitchFamily="34" charset="0"/>
                  </a:defRPr>
                </a:pPr>
                <a:r>
                  <a:rPr lang="en-US" sz="800" b="0">
                    <a:latin typeface="Arial" panose="020B0604020202020204" pitchFamily="34" charset="0"/>
                    <a:cs typeface="Arial" panose="020B0604020202020204" pitchFamily="34" charset="0"/>
                  </a:rPr>
                  <a:t>Kroner</a:t>
                </a:r>
              </a:p>
            </c:rich>
          </c:tx>
          <c:overlay val="0"/>
        </c:title>
        <c:numFmt formatCode="0" sourceLinked="1"/>
        <c:majorTickMark val="out"/>
        <c:minorTickMark val="none"/>
        <c:tickLblPos val="nextTo"/>
        <c:txPr>
          <a:bodyPr/>
          <a:lstStyle/>
          <a:p>
            <a:pPr>
              <a:defRPr sz="800">
                <a:latin typeface="Arial" panose="020B0604020202020204" pitchFamily="34" charset="0"/>
                <a:cs typeface="Arial" panose="020B0604020202020204" pitchFamily="34" charset="0"/>
              </a:defRPr>
            </a:pPr>
            <a:endParaRPr lang="en-DK"/>
          </a:p>
        </c:txPr>
        <c:crossAx val="420156496"/>
        <c:crosses val="autoZero"/>
        <c:crossBetween val="between"/>
      </c:valAx>
      <c:spPr>
        <a:noFill/>
      </c:spPr>
    </c:plotArea>
    <c:legend>
      <c:legendPos val="r"/>
      <c:layout>
        <c:manualLayout>
          <c:xMode val="edge"/>
          <c:yMode val="edge"/>
          <c:x val="8.2255364519091392E-2"/>
          <c:y val="0.76870631122691857"/>
          <c:w val="0.77994054238628274"/>
          <c:h val="0.23129361096674703"/>
        </c:manualLayout>
      </c:layout>
      <c:overlay val="0"/>
      <c:txPr>
        <a:bodyPr/>
        <a:lstStyle/>
        <a:p>
          <a:pPr>
            <a:defRPr sz="800">
              <a:latin typeface="Arial" panose="020B0604020202020204" pitchFamily="34" charset="0"/>
              <a:cs typeface="Arial" panose="020B0604020202020204" pitchFamily="34" charset="0"/>
            </a:defRPr>
          </a:pPr>
          <a:endParaRPr lang="en-DK"/>
        </a:p>
      </c:txPr>
    </c:legend>
    <c:plotVisOnly val="1"/>
    <c:dispBlanksAs val="gap"/>
    <c:showDLblsOverMax val="0"/>
  </c:chart>
  <c:spPr>
    <a:noFill/>
    <a:ln>
      <a:noFill/>
    </a:ln>
  </c:spPr>
  <c:printSettings>
    <c:headerFooter/>
    <c:pageMargins b="0.75000000000000211" l="0.70000000000000095" r="0.70000000000000095" t="1.3100000000000023" header="0.30000000000000004" footer="0.30000000000000004"/>
    <c:pageSetup paperSize="9"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 eksterne virkninger på miljøet fra brugsfasen</a:t>
            </a:r>
          </a:p>
        </c:rich>
      </c:tx>
      <c:layout>
        <c:manualLayout>
          <c:xMode val="edge"/>
          <c:yMode val="edge"/>
          <c:x val="0.14947393468125178"/>
          <c:y val="3.5844650331365357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'El og plugin hybrid'!$C$102</c:f>
              <c:strCache>
                <c:ptCount val="1"/>
                <c:pt idx="0">
                  <c:v>Samlede eksterne virkninger på miljøet fra brugsfasen</c:v>
                </c:pt>
              </c:strCache>
            </c:strRef>
          </c:tx>
          <c:spPr>
            <a:solidFill>
              <a:srgbClr val="316377"/>
            </a:solidFill>
          </c:spPr>
          <c:invertIfNegative val="0"/>
          <c:cat>
            <c:strRef>
              <c:extLst>
                <c:ext xmlns:c15="http://schemas.microsoft.com/office/drawing/2012/chart" uri="{02D57815-91ED-43cb-92C2-25804820EDAC}">
                  <c15:fullRef>
                    <c15:sqref>'El og plugin hybrid'!$E$8:$W$8</c15:sqref>
                  </c15:fullRef>
                </c:ext>
              </c:extLst>
              <c:f>('El og plugin hybrid'!$E$8,'El og plugin hybrid'!$G$8,'El og plugin hybrid'!$I$8,'El og plugin hybrid'!$K$8,'El og plugin hybrid'!$M$8,'El og plugin hybrid'!$O$8,'El og plugin hybrid'!$Q$8,'El og plugin hybrid'!$S$8,'El og plugin hybrid'!$U$8,'El og plugin hybrid'!$W$8)</c:f>
              <c:strCache>
                <c:ptCount val="1"/>
                <c:pt idx="0">
                  <c:v>PRODUKT 1 EL</c:v>
                </c:pt>
              </c:strCache>
            </c:strRef>
          </c:cat>
          <c:val>
            <c:numRef>
              <c:extLst>
                <c:ext xmlns:c15="http://schemas.microsoft.com/office/drawing/2012/chart" uri="{02D57815-91ED-43cb-92C2-25804820EDAC}">
                  <c15:fullRef>
                    <c15:sqref>'El og plugin hybrid'!$E$102:$W$102</c15:sqref>
                  </c15:fullRef>
                </c:ext>
              </c:extLst>
              <c:f>('El og plugin hybrid'!$E$102,'El og plugin hybrid'!$G$102,'El og plugin hybrid'!$I$102,'El og plugin hybrid'!$K$102,'El og plugin hybrid'!$M$102,'El og plugin hybrid'!$O$102,'El og plugin hybrid'!$Q$102,'El og plugin hybrid'!$S$102,'El og plugin hybrid'!$U$102,'El og plugin hybrid'!$W$102)</c:f>
              <c:numCache>
                <c:formatCode>#,##0.00</c:formatCode>
                <c:ptCount val="1"/>
                <c:pt idx="0">
                  <c:v>0</c:v>
                </c:pt>
              </c:numCache>
            </c:numRef>
          </c:val>
          <c:extLst>
            <c:ext xmlns:c16="http://schemas.microsoft.com/office/drawing/2014/chart" uri="{C3380CC4-5D6E-409C-BE32-E72D297353CC}">
              <c16:uniqueId val="{00000000-6ABD-48DD-9257-869C9576A00A}"/>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83248829889540532"/>
          <c:w val="0.65336995127264719"/>
          <c:h val="0.12213348236232717"/>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da-DK" sz="1200"/>
              <a:t>Akkumulerede samlede udgifter (nutidsværdi)</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58627889140062805"/>
          <c:h val="0.60453056614356393"/>
        </c:manualLayout>
      </c:layout>
      <c:lineChart>
        <c:grouping val="standard"/>
        <c:varyColors val="0"/>
        <c:ser>
          <c:idx val="0"/>
          <c:order val="0"/>
          <c:tx>
            <c:strRef>
              <c:f>'Sammenligning på tværs'!$E$99</c:f>
              <c:strCache>
                <c:ptCount val="1"/>
                <c:pt idx="0">
                  <c:v>#NUM!</c:v>
                </c:pt>
              </c:strCache>
            </c:strRef>
          </c:tx>
          <c:marker>
            <c:symbol val="none"/>
          </c:marker>
          <c:val>
            <c:numRef>
              <c:f>'Sammenligning på tværs'!$E$100:$E$118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2-4640-4A31-AE1E-41BD37AC4B8C}"/>
            </c:ext>
          </c:extLst>
        </c:ser>
        <c:ser>
          <c:idx val="1"/>
          <c:order val="1"/>
          <c:tx>
            <c:strRef>
              <c:f>'Sammenligning på tværs'!$G$99</c:f>
              <c:strCache>
                <c:ptCount val="1"/>
                <c:pt idx="0">
                  <c:v>#NUM!</c:v>
                </c:pt>
              </c:strCache>
            </c:strRef>
          </c:tx>
          <c:marker>
            <c:symbol val="none"/>
          </c:marker>
          <c:val>
            <c:numRef>
              <c:f>'Sammenligning på tværs'!$G$100:$G$118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3-4640-4A31-AE1E-41BD37AC4B8C}"/>
            </c:ext>
          </c:extLst>
        </c:ser>
        <c:ser>
          <c:idx val="2"/>
          <c:order val="2"/>
          <c:tx>
            <c:strRef>
              <c:f>'Sammenligning på tværs'!$I$99</c:f>
              <c:strCache>
                <c:ptCount val="1"/>
                <c:pt idx="0">
                  <c:v>#NUM!</c:v>
                </c:pt>
              </c:strCache>
            </c:strRef>
          </c:tx>
          <c:marker>
            <c:symbol val="none"/>
          </c:marker>
          <c:val>
            <c:numRef>
              <c:f>'Sammenligning på tværs'!$I$100:$I$118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4-4640-4A31-AE1E-41BD37AC4B8C}"/>
            </c:ext>
          </c:extLst>
        </c:ser>
        <c:ser>
          <c:idx val="3"/>
          <c:order val="3"/>
          <c:tx>
            <c:strRef>
              <c:f>'Sammenligning på tværs'!$K$99</c:f>
              <c:strCache>
                <c:ptCount val="1"/>
                <c:pt idx="0">
                  <c:v>#NUM!</c:v>
                </c:pt>
              </c:strCache>
            </c:strRef>
          </c:tx>
          <c:marker>
            <c:symbol val="none"/>
          </c:marker>
          <c:val>
            <c:numRef>
              <c:f>'Sammenligning på tværs'!$K$100:$K$118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5-4640-4A31-AE1E-41BD37AC4B8C}"/>
            </c:ext>
          </c:extLst>
        </c:ser>
        <c:ser>
          <c:idx val="4"/>
          <c:order val="4"/>
          <c:tx>
            <c:strRef>
              <c:f>'Sammenligning på tværs'!$M$99</c:f>
              <c:strCache>
                <c:ptCount val="1"/>
                <c:pt idx="0">
                  <c:v>#NUM!</c:v>
                </c:pt>
              </c:strCache>
            </c:strRef>
          </c:tx>
          <c:marker>
            <c:symbol val="none"/>
          </c:marker>
          <c:val>
            <c:numRef>
              <c:f>'Sammenligning på tværs'!$M$100:$M$118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6-4640-4A31-AE1E-41BD37AC4B8C}"/>
            </c:ext>
          </c:extLst>
        </c:ser>
        <c:ser>
          <c:idx val="5"/>
          <c:order val="5"/>
          <c:tx>
            <c:strRef>
              <c:f>'Sammenligning på tværs'!$O$99</c:f>
              <c:strCache>
                <c:ptCount val="1"/>
                <c:pt idx="0">
                  <c:v>#NUM!</c:v>
                </c:pt>
              </c:strCache>
            </c:strRef>
          </c:tx>
          <c:marker>
            <c:symbol val="none"/>
          </c:marker>
          <c:val>
            <c:numRef>
              <c:f>'Sammenligning på tværs'!$O$100:$O$118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7-4640-4A31-AE1E-41BD37AC4B8C}"/>
            </c:ext>
          </c:extLst>
        </c:ser>
        <c:dLbls>
          <c:showLegendKey val="0"/>
          <c:showVal val="0"/>
          <c:showCatName val="0"/>
          <c:showSerName val="0"/>
          <c:showPercent val="0"/>
          <c:showBubbleSize val="0"/>
        </c:dLbls>
        <c:smooth val="0"/>
        <c:axId val="311254432"/>
        <c:axId val="311249336"/>
        <c:extLst/>
      </c:lineChart>
      <c:catAx>
        <c:axId val="311254432"/>
        <c:scaling>
          <c:orientation val="minMax"/>
        </c:scaling>
        <c:delete val="0"/>
        <c:axPos val="b"/>
        <c:title>
          <c:tx>
            <c:rich>
              <a:bodyPr/>
              <a:lstStyle/>
              <a:p>
                <a:pPr>
                  <a:defRPr b="0"/>
                </a:pPr>
                <a:r>
                  <a:rPr lang="da-DK" b="0"/>
                  <a:t>År</a:t>
                </a:r>
              </a:p>
            </c:rich>
          </c:tx>
          <c:layout>
            <c:manualLayout>
              <c:xMode val="edge"/>
              <c:yMode val="edge"/>
              <c:x val="0.4081655665716532"/>
              <c:y val="0.8630442632055324"/>
            </c:manualLayout>
          </c:layout>
          <c:overlay val="0"/>
        </c:title>
        <c:numFmt formatCode="General" sourceLinked="0"/>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da-DK" b="0"/>
                  <a:t>Kroner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4506816209911164"/>
          <c:y val="9.7385640377634045E-2"/>
          <c:w val="0.21087785483496047"/>
          <c:h val="0.36816604987471602"/>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TCO for den angivne tidsperiode</a:t>
            </a:r>
            <a:r>
              <a:rPr lang="da-DK" sz="1200" baseline="0"/>
              <a:t> (nutidsværdi)</a:t>
            </a:r>
            <a:endParaRPr lang="da-DK" sz="1200"/>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2"/>
          <c:order val="0"/>
          <c:tx>
            <c:strRef>
              <c:f>'Sammenligning på tværs'!$C$21</c:f>
              <c:strCache>
                <c:ptCount val="1"/>
                <c:pt idx="0">
                  <c:v>Investeringsomkostning (uden ladestandere/ladebokse)</c:v>
                </c:pt>
              </c:strCache>
            </c:strRef>
          </c:tx>
          <c:spPr>
            <a:solidFill>
              <a:srgbClr val="4A9FA8"/>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tværs'!$E$21,'Sammenligning på tværs'!$G$21,'Sammenligning på tværs'!$I$21:$P$21)</c15:sqref>
                  </c15:fullRef>
                </c:ext>
              </c:extLst>
              <c:f>('Sammenligning på tværs'!$E$21,'Sammenligning på tværs'!$I$21,'Sammenligning på tværs'!$K$21,'Sammenligning på tværs'!$M$21,'Sammenligning på tværs'!$O$21)</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0-B3A7-4FD4-9CD6-A1FF90099352}"/>
            </c:ext>
          </c:extLst>
        </c:ser>
        <c:ser>
          <c:idx val="0"/>
          <c:order val="1"/>
          <c:tx>
            <c:strRef>
              <c:f>'Sammenligning på tværs'!$C$23</c:f>
              <c:strCache>
                <c:ptCount val="1"/>
                <c:pt idx="0">
                  <c:v>Driftsomkostning i alt</c:v>
                </c:pt>
              </c:strCache>
            </c:strRef>
          </c:tx>
          <c:spPr>
            <a:solidFill>
              <a:schemeClr val="tx2"/>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6">
                  <c:v>0</c:v>
                </c:pt>
              </c:numCache>
            </c:numRef>
          </c:cat>
          <c:val>
            <c:numRef>
              <c:extLst>
                <c:ext xmlns:c15="http://schemas.microsoft.com/office/drawing/2012/chart" uri="{02D57815-91ED-43cb-92C2-25804820EDAC}">
                  <c15:fullRef>
                    <c15:sqref>('Sammenligning på tværs'!$E$23,'Sammenligning på tværs'!$G$23,'Sammenligning på tværs'!$I$23:$O$23)</c15:sqref>
                  </c15:fullRef>
                </c:ext>
              </c:extLst>
              <c:f>('Sammenligning på tværs'!$E$23,'Sammenligning på tværs'!$I$23,'Sammenligning på tværs'!$K$23,'Sammenligning på tværs'!$M$23,'Sammenligning på tværs'!$O$23)</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1-B3A7-4FD4-9CD6-A1FF90099352}"/>
            </c:ext>
          </c:extLst>
        </c:ser>
        <c:ser>
          <c:idx val="3"/>
          <c:order val="2"/>
          <c:tx>
            <c:strRef>
              <c:f>'Sammenligning på tværs'!$C$24</c:f>
              <c:strCache>
                <c:ptCount val="1"/>
                <c:pt idx="0">
                  <c:v>Service, vedligehold og løbende omkostninger i alt</c:v>
                </c:pt>
              </c:strCache>
            </c:strRef>
          </c:tx>
          <c:spPr>
            <a:solidFill>
              <a:srgbClr val="7EC9B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tværs'!$E$24,'Sammenligning på tværs'!$G$24,'Sammenligning på tværs'!$I$24:$P$24)</c15:sqref>
                  </c15:fullRef>
                </c:ext>
              </c:extLst>
              <c:f>('Sammenligning på tværs'!$E$24,'Sammenligning på tværs'!$I$24,'Sammenligning på tværs'!$K$24,'Sammenligning på tværs'!$M$24,'Sammenligning på tværs'!$O$24)</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2-B3A7-4FD4-9CD6-A1FF90099352}"/>
            </c:ext>
          </c:extLst>
        </c:ser>
        <c:ser>
          <c:idx val="4"/>
          <c:order val="3"/>
          <c:tx>
            <c:strRef>
              <c:f>'Sammenligning på tværs'!$C$25</c:f>
              <c:strCache>
                <c:ptCount val="1"/>
                <c:pt idx="0">
                  <c:v>Samfundsøkonomiske omkostninger af eksterne virkninger på miljøet</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tværs'!$E$25,'Sammenligning på tværs'!$G$25,'Sammenligning på tværs'!$I$25:$P$25)</c15:sqref>
                  </c15:fullRef>
                </c:ext>
              </c:extLst>
              <c:f>('Sammenligning på tværs'!$E$25,'Sammenligning på tværs'!$I$25,'Sammenligning på tværs'!$K$25,'Sammenligning på tværs'!$M$25,'Sammenligning på tværs'!$O$25)</c:f>
              <c:numCache>
                <c:formatCode>_("kr."* #,##0_);_("kr."* \(#,##0\);_("kr."* "-"_);_(@_)</c:formatCode>
                <c:ptCount val="5"/>
                <c:pt idx="0">
                  <c:v>0</c:v>
                </c:pt>
                <c:pt idx="1">
                  <c:v>0</c:v>
                </c:pt>
                <c:pt idx="2">
                  <c:v>0</c:v>
                </c:pt>
                <c:pt idx="3">
                  <c:v>0</c:v>
                </c:pt>
                <c:pt idx="4">
                  <c:v>0</c:v>
                </c:pt>
              </c:numCache>
            </c:numRef>
          </c:val>
          <c:extLst>
            <c:ext xmlns:c16="http://schemas.microsoft.com/office/drawing/2014/chart" uri="{C3380CC4-5D6E-409C-BE32-E72D297353CC}">
              <c16:uniqueId val="{00000004-B3A7-4FD4-9CD6-A1FF90099352}"/>
            </c:ext>
          </c:extLst>
        </c:ser>
        <c:ser>
          <c:idx val="1"/>
          <c:order val="4"/>
          <c:tx>
            <c:strRef>
              <c:f>'Sammenligning på tværs'!$C$22</c:f>
              <c:strCache>
                <c:ptCount val="1"/>
                <c:pt idx="0">
                  <c:v>Investeringsomkostning (kun ladestandere/ladebokse)</c:v>
                </c:pt>
              </c:strCache>
            </c:strRef>
          </c:tx>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tværs'!$I$12,'Sammenligning på tværs'!$K$12,'Sammenligning på tværs'!$M$12,'Sammenligning på tværs'!$O$12)</c:f>
              <c:numCache>
                <c:formatCode>General</c:formatCode>
                <c:ptCount val="6"/>
                <c:pt idx="0">
                  <c:v>0</c:v>
                </c:pt>
                <c:pt idx="1">
                  <c:v>0</c:v>
                </c:pt>
                <c:pt idx="2">
                  <c:v>0</c:v>
                </c:pt>
                <c:pt idx="3">
                  <c:v>0</c:v>
                </c:pt>
                <c:pt idx="4">
                  <c:v>0</c:v>
                </c:pt>
                <c:pt idx="5">
                  <c:v>0</c:v>
                </c:pt>
              </c:numCache>
            </c:numRef>
          </c:cat>
          <c:val>
            <c:numRef>
              <c:extLst>
                <c:ext xmlns:c15="http://schemas.microsoft.com/office/drawing/2012/chart" uri="{02D57815-91ED-43cb-92C2-25804820EDAC}">
                  <c15:fullRef>
                    <c15:sqref>'Sammenligning på tværs'!$E$22:$O$22</c15:sqref>
                  </c15:fullRef>
                </c:ext>
              </c:extLst>
              <c:f>('Sammenligning på tværs'!$E$22,'Sammenligning på tværs'!$G$22,'Sammenligning på tværs'!$I$22,'Sammenligning på tværs'!$K$22,'Sammenligning på tværs'!$M$22,'Sammenligning på tværs'!$O$22)</c:f>
              <c:numCache>
                <c:formatCode>_("kr."* #,##0_);_("kr."* \(#,##0\);_("kr."*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493F-43CE-95FD-1009DAC348F7}"/>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Kroner</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11269619955813312"/>
          <c:y val="0.75786499482588732"/>
          <c:w val="0.86509931237751736"/>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Gennemsnitlige årlige omkostninger</a:t>
            </a:r>
          </a:p>
          <a:p>
            <a:pPr>
              <a:defRPr sz="1200"/>
            </a:pPr>
            <a:r>
              <a:rPr lang="en-US" sz="1200"/>
              <a:t>(relation til levetid)</a:t>
            </a:r>
          </a:p>
        </c:rich>
      </c:tx>
      <c:layout>
        <c:manualLayout>
          <c:xMode val="edge"/>
          <c:yMode val="edge"/>
          <c:x val="0.17472274433409268"/>
          <c:y val="7.737766677354796E-2"/>
        </c:manualLayout>
      </c:layout>
      <c:overlay val="1"/>
    </c:title>
    <c:autoTitleDeleted val="0"/>
    <c:plotArea>
      <c:layout>
        <c:manualLayout>
          <c:layoutTarget val="inner"/>
          <c:xMode val="edge"/>
          <c:yMode val="edge"/>
          <c:x val="0.14333375274912699"/>
          <c:y val="0.19574727380463"/>
          <c:w val="0.64346533788945426"/>
          <c:h val="0.6549548625045738"/>
        </c:manualLayout>
      </c:layout>
      <c:barChart>
        <c:barDir val="col"/>
        <c:grouping val="clustered"/>
        <c:varyColors val="0"/>
        <c:ser>
          <c:idx val="0"/>
          <c:order val="0"/>
          <c:tx>
            <c:strRef>
              <c:f>'Sammenligning på tværs'!$E$121</c:f>
              <c:strCache>
                <c:ptCount val="1"/>
                <c:pt idx="0">
                  <c:v>#NUM!</c:v>
                </c:pt>
              </c:strCache>
            </c:strRef>
          </c:tx>
          <c:invertIfNegative val="0"/>
          <c:val>
            <c:numRef>
              <c:f>'Sammenligning på tværs'!$E$122:$E$140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A8E7-45CA-AB95-383D9DDFC6E5}"/>
            </c:ext>
          </c:extLst>
        </c:ser>
        <c:ser>
          <c:idx val="1"/>
          <c:order val="1"/>
          <c:tx>
            <c:strRef>
              <c:f>'Sammenligning på tværs'!$G$121</c:f>
              <c:strCache>
                <c:ptCount val="1"/>
                <c:pt idx="0">
                  <c:v>#NUM!</c:v>
                </c:pt>
              </c:strCache>
            </c:strRef>
          </c:tx>
          <c:invertIfNegative val="0"/>
          <c:val>
            <c:numRef>
              <c:f>'Sammenligning på tværs'!$G$122:$G$140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A8E7-45CA-AB95-383D9DDFC6E5}"/>
            </c:ext>
          </c:extLst>
        </c:ser>
        <c:ser>
          <c:idx val="2"/>
          <c:order val="2"/>
          <c:tx>
            <c:strRef>
              <c:f>'Sammenligning på tværs'!$I$121</c:f>
              <c:strCache>
                <c:ptCount val="1"/>
                <c:pt idx="0">
                  <c:v>#NUM!</c:v>
                </c:pt>
              </c:strCache>
            </c:strRef>
          </c:tx>
          <c:invertIfNegative val="0"/>
          <c:val>
            <c:numRef>
              <c:f>'Sammenligning på tværs'!$I$122:$I$140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A8E7-45CA-AB95-383D9DDFC6E5}"/>
            </c:ext>
          </c:extLst>
        </c:ser>
        <c:ser>
          <c:idx val="3"/>
          <c:order val="3"/>
          <c:tx>
            <c:strRef>
              <c:f>'Sammenligning på tværs'!$K$121</c:f>
              <c:strCache>
                <c:ptCount val="1"/>
                <c:pt idx="0">
                  <c:v>#NUM!</c:v>
                </c:pt>
              </c:strCache>
            </c:strRef>
          </c:tx>
          <c:invertIfNegative val="0"/>
          <c:val>
            <c:numRef>
              <c:f>'Sammenligning på tværs'!$K$122:$K$140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4-A8E7-45CA-AB95-383D9DDFC6E5}"/>
            </c:ext>
          </c:extLst>
        </c:ser>
        <c:ser>
          <c:idx val="4"/>
          <c:order val="4"/>
          <c:tx>
            <c:strRef>
              <c:f>'Sammenligning på tværs'!$M$121</c:f>
              <c:strCache>
                <c:ptCount val="1"/>
                <c:pt idx="0">
                  <c:v>#NUM!</c:v>
                </c:pt>
              </c:strCache>
            </c:strRef>
          </c:tx>
          <c:invertIfNegative val="0"/>
          <c:val>
            <c:numRef>
              <c:f>'Sammenligning på tværs'!$M$122:$M$140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5-A8E7-45CA-AB95-383D9DDFC6E5}"/>
            </c:ext>
          </c:extLst>
        </c:ser>
        <c:ser>
          <c:idx val="5"/>
          <c:order val="5"/>
          <c:tx>
            <c:strRef>
              <c:f>'Sammenligning på tværs'!$O$121</c:f>
              <c:strCache>
                <c:ptCount val="1"/>
                <c:pt idx="0">
                  <c:v>#NUM!</c:v>
                </c:pt>
              </c:strCache>
            </c:strRef>
          </c:tx>
          <c:invertIfNegative val="0"/>
          <c:val>
            <c:numRef>
              <c:f>'Sammenligning på tværs'!$O$122:$O$140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6-A8E7-45CA-AB95-383D9DDFC6E5}"/>
            </c:ext>
          </c:extLst>
        </c:ser>
        <c:dLbls>
          <c:showLegendKey val="0"/>
          <c:showVal val="0"/>
          <c:showCatName val="0"/>
          <c:showSerName val="0"/>
          <c:showPercent val="0"/>
          <c:showBubbleSize val="0"/>
        </c:dLbls>
        <c:gapWidth val="150"/>
        <c:axId val="311254432"/>
        <c:axId val="311249336"/>
        <c:extLst/>
      </c:barChart>
      <c:catAx>
        <c:axId val="311254432"/>
        <c:scaling>
          <c:orientation val="minMax"/>
        </c:scaling>
        <c:delete val="0"/>
        <c:axPos val="b"/>
        <c:title>
          <c:tx>
            <c:rich>
              <a:bodyPr/>
              <a:lstStyle/>
              <a:p>
                <a:pPr>
                  <a:defRPr b="0"/>
                </a:pPr>
                <a:r>
                  <a:rPr lang="da-DK" b="0"/>
                  <a:t>År</a:t>
                </a:r>
              </a:p>
            </c:rich>
          </c:tx>
          <c:layout>
            <c:manualLayout>
              <c:xMode val="edge"/>
              <c:yMode val="edge"/>
              <c:x val="0.43800194758894823"/>
              <c:y val="0.92898365350138568"/>
            </c:manualLayout>
          </c:layout>
          <c:overlay val="0"/>
        </c:title>
        <c:numFmt formatCode="General" sourceLinked="1"/>
        <c:majorTickMark val="out"/>
        <c:minorTickMark val="none"/>
        <c:tickLblPos val="nextTo"/>
        <c:crossAx val="311249336"/>
        <c:crosses val="autoZero"/>
        <c:auto val="1"/>
        <c:lblAlgn val="ctr"/>
        <c:lblOffset val="100"/>
        <c:noMultiLvlLbl val="0"/>
      </c:catAx>
      <c:valAx>
        <c:axId val="311249336"/>
        <c:scaling>
          <c:orientation val="minMax"/>
        </c:scaling>
        <c:delete val="0"/>
        <c:axPos val="l"/>
        <c:majorGridlines/>
        <c:title>
          <c:tx>
            <c:rich>
              <a:bodyPr/>
              <a:lstStyle/>
              <a:p>
                <a:pPr>
                  <a:defRPr b="0"/>
                </a:pPr>
                <a:r>
                  <a:rPr lang="en-US" b="0"/>
                  <a:t>Kroner/år</a:t>
                </a:r>
              </a:p>
            </c:rich>
          </c:tx>
          <c:overlay val="0"/>
        </c:title>
        <c:numFmt formatCode="#,##0" sourceLinked="0"/>
        <c:majorTickMark val="out"/>
        <c:minorTickMark val="none"/>
        <c:tickLblPos val="nextTo"/>
        <c:crossAx val="311254432"/>
        <c:crosses val="autoZero"/>
        <c:crossBetween val="between"/>
      </c:valAx>
      <c:spPr>
        <a:noFill/>
        <a:ln>
          <a:noFill/>
        </a:ln>
      </c:spPr>
    </c:plotArea>
    <c:legend>
      <c:legendPos val="r"/>
      <c:layout>
        <c:manualLayout>
          <c:xMode val="edge"/>
          <c:yMode val="edge"/>
          <c:x val="0.79666411765097433"/>
          <c:y val="0.15718348625534403"/>
          <c:w val="0.17865994223048154"/>
          <c:h val="0.33739988588638925"/>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pPr>
            <a:r>
              <a:rPr lang="da-DK" sz="1200"/>
              <a:t>Samlede</a:t>
            </a:r>
            <a:r>
              <a:rPr lang="da-DK" sz="1200" baseline="0"/>
              <a:t> </a:t>
            </a:r>
            <a:r>
              <a:rPr lang="da-DK" sz="1200"/>
              <a:t>eksterne virkninger på miljøet fra brugsfasen</a:t>
            </a:r>
          </a:p>
        </c:rich>
      </c:tx>
      <c:layout>
        <c:manualLayout>
          <c:xMode val="edge"/>
          <c:yMode val="edge"/>
          <c:x val="0.1494740208213601"/>
          <c:y val="7.7302171282606774E-2"/>
        </c:manualLayout>
      </c:layout>
      <c:overlay val="1"/>
    </c:title>
    <c:autoTitleDeleted val="0"/>
    <c:plotArea>
      <c:layout>
        <c:manualLayout>
          <c:layoutTarget val="inner"/>
          <c:xMode val="edge"/>
          <c:yMode val="edge"/>
          <c:x val="0.13643975631355695"/>
          <c:y val="0.19068205839203678"/>
          <c:w val="0.8369400193736013"/>
          <c:h val="0.53735899633611028"/>
        </c:manualLayout>
      </c:layout>
      <c:barChart>
        <c:barDir val="col"/>
        <c:grouping val="stacked"/>
        <c:varyColors val="0"/>
        <c:ser>
          <c:idx val="4"/>
          <c:order val="0"/>
          <c:tx>
            <c:strRef>
              <c:f>'Sammenligning på tværs'!$C$30</c:f>
              <c:strCache>
                <c:ptCount val="1"/>
                <c:pt idx="0">
                  <c:v>Samlede eksterne virkninger på miljøet fra brugsfasen</c:v>
                </c:pt>
              </c:strCache>
            </c:strRef>
          </c:tx>
          <c:spPr>
            <a:solidFill>
              <a:srgbClr val="316377"/>
            </a:solidFill>
          </c:spPr>
          <c:invertIfNegative val="0"/>
          <c:cat>
            <c:numRef>
              <c:extLst>
                <c:ext xmlns:c15="http://schemas.microsoft.com/office/drawing/2012/chart" uri="{02D57815-91ED-43cb-92C2-25804820EDAC}">
                  <c15:fullRef>
                    <c15:sqref>'Sammenligning på tværs'!$E$12:$O$12</c15:sqref>
                  </c15:fullRef>
                </c:ext>
              </c:extLst>
              <c:f>('Sammenligning på tværs'!$E$12,'Sammenligning på tværs'!$G$12,'Sammenligning på tværs'!$I$12:$O$12)</c:f>
              <c:numCache>
                <c:formatCode>General</c:formatCode>
                <c:ptCount val="9"/>
                <c:pt idx="0">
                  <c:v>0</c:v>
                </c:pt>
                <c:pt idx="1">
                  <c:v>0</c:v>
                </c:pt>
                <c:pt idx="2">
                  <c:v>0</c:v>
                </c:pt>
                <c:pt idx="4">
                  <c:v>0</c:v>
                </c:pt>
                <c:pt idx="6">
                  <c:v>0</c:v>
                </c:pt>
                <c:pt idx="8">
                  <c:v>0</c:v>
                </c:pt>
              </c:numCache>
            </c:numRef>
          </c:cat>
          <c:val>
            <c:numRef>
              <c:extLst>
                <c:ext xmlns:c15="http://schemas.microsoft.com/office/drawing/2012/chart" uri="{02D57815-91ED-43cb-92C2-25804820EDAC}">
                  <c15:fullRef>
                    <c15:sqref>'Sammenligning på tværs'!$E$30:$O$30</c15:sqref>
                  </c15:fullRef>
                </c:ext>
              </c:extLst>
              <c:f>('Sammenligning på tværs'!$E$30,'Sammenligning på tværs'!$G$30,'Sammenligning på tværs'!$I$30:$O$30)</c:f>
              <c:numCache>
                <c:formatCode>0.00</c:formatCode>
                <c:ptCount val="9"/>
                <c:pt idx="0">
                  <c:v>0</c:v>
                </c:pt>
                <c:pt idx="1">
                  <c:v>0</c:v>
                </c:pt>
                <c:pt idx="2">
                  <c:v>0</c:v>
                </c:pt>
                <c:pt idx="4">
                  <c:v>0</c:v>
                </c:pt>
                <c:pt idx="6">
                  <c:v>0</c:v>
                </c:pt>
                <c:pt idx="8">
                  <c:v>0</c:v>
                </c:pt>
              </c:numCache>
            </c:numRef>
          </c:val>
          <c:extLst>
            <c:ext xmlns:c16="http://schemas.microsoft.com/office/drawing/2014/chart" uri="{C3380CC4-5D6E-409C-BE32-E72D297353CC}">
              <c16:uniqueId val="{00000004-674A-4043-9DFA-E0CBC3727676}"/>
            </c:ext>
          </c:extLst>
        </c:ser>
        <c:dLbls>
          <c:showLegendKey val="0"/>
          <c:showVal val="0"/>
          <c:showCatName val="0"/>
          <c:showSerName val="0"/>
          <c:showPercent val="0"/>
          <c:showBubbleSize val="0"/>
        </c:dLbls>
        <c:gapWidth val="150"/>
        <c:overlap val="100"/>
        <c:axId val="311252080"/>
        <c:axId val="311255216"/>
        <c:extLst/>
      </c:barChart>
      <c:catAx>
        <c:axId val="311252080"/>
        <c:scaling>
          <c:orientation val="minMax"/>
        </c:scaling>
        <c:delete val="0"/>
        <c:axPos val="b"/>
        <c:numFmt formatCode="General" sourceLinked="0"/>
        <c:majorTickMark val="out"/>
        <c:minorTickMark val="none"/>
        <c:tickLblPos val="nextTo"/>
        <c:txPr>
          <a:bodyPr rot="1200000" vert="horz"/>
          <a:lstStyle/>
          <a:p>
            <a:pPr>
              <a:defRPr/>
            </a:pPr>
            <a:endParaRPr lang="en-DK"/>
          </a:p>
        </c:txPr>
        <c:crossAx val="311255216"/>
        <c:crosses val="autoZero"/>
        <c:auto val="1"/>
        <c:lblAlgn val="ctr"/>
        <c:lblOffset val="100"/>
        <c:noMultiLvlLbl val="0"/>
      </c:catAx>
      <c:valAx>
        <c:axId val="311255216"/>
        <c:scaling>
          <c:orientation val="minMax"/>
        </c:scaling>
        <c:delete val="0"/>
        <c:axPos val="l"/>
        <c:majorGridlines/>
        <c:title>
          <c:tx>
            <c:rich>
              <a:bodyPr/>
              <a:lstStyle/>
              <a:p>
                <a:pPr>
                  <a:defRPr b="0"/>
                </a:pPr>
                <a:r>
                  <a:rPr lang="en-US" b="0"/>
                  <a:t>tons CO2e</a:t>
                </a:r>
              </a:p>
            </c:rich>
          </c:tx>
          <c:overlay val="0"/>
        </c:title>
        <c:numFmt formatCode="#,##0" sourceLinked="0"/>
        <c:majorTickMark val="out"/>
        <c:minorTickMark val="none"/>
        <c:tickLblPos val="nextTo"/>
        <c:crossAx val="311252080"/>
        <c:crosses val="autoZero"/>
        <c:crossBetween val="between"/>
      </c:valAx>
      <c:spPr>
        <a:noFill/>
      </c:spPr>
    </c:plotArea>
    <c:legend>
      <c:legendPos val="b"/>
      <c:layout>
        <c:manualLayout>
          <c:xMode val="edge"/>
          <c:yMode val="edge"/>
          <c:x val="0.24502708684593233"/>
          <c:y val="0.75786499482588732"/>
          <c:w val="0.65336995127264719"/>
          <c:h val="0.19675673149997044"/>
        </c:manualLayout>
      </c:layout>
      <c:overlay val="0"/>
    </c:legend>
    <c:plotVisOnly val="1"/>
    <c:dispBlanksAs val="gap"/>
    <c:showDLblsOverMax val="0"/>
  </c:chart>
  <c:spPr>
    <a:noFill/>
    <a:ln>
      <a:noFill/>
    </a:ln>
  </c:spPr>
  <c:txPr>
    <a:bodyPr/>
    <a:lstStyle/>
    <a:p>
      <a:pPr>
        <a:defRPr sz="800">
          <a:latin typeface="Arial" panose="020B0604020202020204" pitchFamily="34" charset="0"/>
          <a:cs typeface="Arial" panose="020B0604020202020204" pitchFamily="34" charset="0"/>
        </a:defRPr>
      </a:pPr>
      <a:endParaRPr lang="en-DK"/>
    </a:p>
  </c:txPr>
  <c:printSettings>
    <c:headerFooter/>
    <c:pageMargins b="0.750000000000002" l="0.70000000000000095" r="0.70000000000000095" t="0.750000000000002"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Elpris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strRef>
              <c:f>'ENS udvikling i elpris'!$B$4</c:f>
              <c:strCache>
                <c:ptCount val="1"/>
                <c:pt idx="0">
                  <c:v>Rå samfundsøkonomisk pris på el</c:v>
                </c:pt>
              </c:strCache>
            </c:strRef>
          </c:tx>
          <c:marker>
            <c:symbol val="none"/>
          </c:marker>
          <c:cat>
            <c:numRef>
              <c:f>'ENS udvikling i elpris'!$A$5:$A$21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elpris'!$B$5:$B$21</c:f>
              <c:numCache>
                <c:formatCode>0</c:formatCode>
                <c:ptCount val="17"/>
                <c:pt idx="0">
                  <c:v>350</c:v>
                </c:pt>
                <c:pt idx="1">
                  <c:v>370</c:v>
                </c:pt>
                <c:pt idx="2">
                  <c:v>360</c:v>
                </c:pt>
                <c:pt idx="3">
                  <c:v>360</c:v>
                </c:pt>
                <c:pt idx="4">
                  <c:v>380</c:v>
                </c:pt>
                <c:pt idx="5">
                  <c:v>390</c:v>
                </c:pt>
                <c:pt idx="6">
                  <c:v>400</c:v>
                </c:pt>
                <c:pt idx="7">
                  <c:v>390</c:v>
                </c:pt>
                <c:pt idx="8">
                  <c:v>390</c:v>
                </c:pt>
                <c:pt idx="9">
                  <c:v>390</c:v>
                </c:pt>
                <c:pt idx="10">
                  <c:v>380</c:v>
                </c:pt>
                <c:pt idx="11">
                  <c:v>380</c:v>
                </c:pt>
                <c:pt idx="12">
                  <c:v>380</c:v>
                </c:pt>
                <c:pt idx="13">
                  <c:v>380</c:v>
                </c:pt>
                <c:pt idx="14">
                  <c:v>370</c:v>
                </c:pt>
                <c:pt idx="15">
                  <c:v>380</c:v>
                </c:pt>
                <c:pt idx="16">
                  <c:v>370</c:v>
                </c:pt>
              </c:numCache>
            </c:numRef>
          </c:val>
          <c:smooth val="0"/>
          <c:extLst>
            <c:ext xmlns:c16="http://schemas.microsoft.com/office/drawing/2014/chart" uri="{C3380CC4-5D6E-409C-BE32-E72D297353CC}">
              <c16:uniqueId val="{00000000-0B53-4B90-9E73-710D3F34326F}"/>
            </c:ext>
          </c:extLst>
        </c:ser>
        <c:ser>
          <c:idx val="1"/>
          <c:order val="1"/>
          <c:tx>
            <c:v>An virksomhed</c:v>
          </c:tx>
          <c:marker>
            <c:symbol val="none"/>
          </c:marker>
          <c:val>
            <c:numRef>
              <c:f>'ENS udvikling i elpris'!$C$5:$C$21</c:f>
              <c:numCache>
                <c:formatCode>0</c:formatCode>
                <c:ptCount val="17"/>
                <c:pt idx="0">
                  <c:v>491.04027223076099</c:v>
                </c:pt>
                <c:pt idx="1">
                  <c:v>512.26056969585852</c:v>
                </c:pt>
                <c:pt idx="2">
                  <c:v>501.63687146843711</c:v>
                </c:pt>
                <c:pt idx="3">
                  <c:v>501.62868763702522</c:v>
                </c:pt>
                <c:pt idx="4">
                  <c:v>522.85155531929979</c:v>
                </c:pt>
                <c:pt idx="5">
                  <c:v>533.46187389034321</c:v>
                </c:pt>
                <c:pt idx="6">
                  <c:v>544.07395991253111</c:v>
                </c:pt>
                <c:pt idx="7">
                  <c:v>533.47661210050194</c:v>
                </c:pt>
                <c:pt idx="8">
                  <c:v>533.4912983062361</c:v>
                </c:pt>
                <c:pt idx="9">
                  <c:v>533.50800983662907</c:v>
                </c:pt>
                <c:pt idx="10">
                  <c:v>522.90800951562835</c:v>
                </c:pt>
                <c:pt idx="11">
                  <c:v>522.92238996038088</c:v>
                </c:pt>
                <c:pt idx="12">
                  <c:v>522.92238996038088</c:v>
                </c:pt>
                <c:pt idx="13">
                  <c:v>522.92238996038088</c:v>
                </c:pt>
                <c:pt idx="14">
                  <c:v>512.30667870772697</c:v>
                </c:pt>
                <c:pt idx="15">
                  <c:v>522.92238996038088</c:v>
                </c:pt>
                <c:pt idx="16">
                  <c:v>512.30667870772697</c:v>
                </c:pt>
              </c:numCache>
            </c:numRef>
          </c:val>
          <c:smooth val="0"/>
          <c:extLst>
            <c:ext xmlns:c16="http://schemas.microsoft.com/office/drawing/2014/chart" uri="{C3380CC4-5D6E-409C-BE32-E72D297353CC}">
              <c16:uniqueId val="{00000001-0B53-4B90-9E73-710D3F34326F}"/>
            </c:ext>
          </c:extLst>
        </c:ser>
        <c:ser>
          <c:idx val="2"/>
          <c:order val="2"/>
          <c:tx>
            <c:v>An husholdning</c:v>
          </c:tx>
          <c:marker>
            <c:symbol val="none"/>
          </c:marker>
          <c:val>
            <c:numRef>
              <c:f>'ENS udvikling i elpris'!$D$5:$D$21</c:f>
              <c:numCache>
                <c:formatCode>0</c:formatCode>
                <c:ptCount val="17"/>
                <c:pt idx="0">
                  <c:v>675.27079961678908</c:v>
                </c:pt>
                <c:pt idx="1">
                  <c:v>696.49109708188655</c:v>
                </c:pt>
                <c:pt idx="2">
                  <c:v>685.86739885446525</c:v>
                </c:pt>
                <c:pt idx="3">
                  <c:v>685.85921502305325</c:v>
                </c:pt>
                <c:pt idx="4">
                  <c:v>707.08208270532782</c:v>
                </c:pt>
                <c:pt idx="5">
                  <c:v>717.69240127637124</c:v>
                </c:pt>
                <c:pt idx="6">
                  <c:v>728.30448729855914</c:v>
                </c:pt>
                <c:pt idx="7">
                  <c:v>717.70713948652997</c:v>
                </c:pt>
                <c:pt idx="8">
                  <c:v>717.72182569226413</c:v>
                </c:pt>
                <c:pt idx="9">
                  <c:v>717.7385372226571</c:v>
                </c:pt>
                <c:pt idx="10">
                  <c:v>707.13853690165638</c:v>
                </c:pt>
                <c:pt idx="11">
                  <c:v>707.15291734640891</c:v>
                </c:pt>
                <c:pt idx="12">
                  <c:v>707.15291734640891</c:v>
                </c:pt>
                <c:pt idx="13">
                  <c:v>707.15291734640891</c:v>
                </c:pt>
                <c:pt idx="14">
                  <c:v>696.537206093755</c:v>
                </c:pt>
                <c:pt idx="15">
                  <c:v>707.15291734640891</c:v>
                </c:pt>
                <c:pt idx="16">
                  <c:v>696.537206093755</c:v>
                </c:pt>
              </c:numCache>
            </c:numRef>
          </c:val>
          <c:smooth val="0"/>
          <c:extLst>
            <c:ext xmlns:c16="http://schemas.microsoft.com/office/drawing/2014/chart" uri="{C3380CC4-5D6E-409C-BE32-E72D297353CC}">
              <c16:uniqueId val="{00000002-0B53-4B90-9E73-710D3F34326F}"/>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elpris'!$A$4</c:f>
              <c:strCache>
                <c:ptCount val="1"/>
                <c:pt idx="0">
                  <c:v>2019-priser kr./MWh</c:v>
                </c:pt>
              </c:strCache>
            </c:strRef>
          </c:tx>
          <c:layout>
            <c:manualLayout>
              <c:xMode val="edge"/>
              <c:yMode val="edge"/>
              <c:x val="2.2222222222222223E-2"/>
              <c:y val="0.2864551337023466"/>
            </c:manualLayout>
          </c:layout>
          <c:overlay val="0"/>
          <c:txPr>
            <a:bodyPr rot="-5400000" vert="horz"/>
            <a:lstStyle/>
            <a:p>
              <a:pPr>
                <a:defRPr/>
              </a:pPr>
              <a:endParaRPr lang="en-DK"/>
            </a:p>
          </c:txPr>
        </c:title>
        <c:numFmt formatCode="0" sourceLinked="1"/>
        <c:majorTickMark val="out"/>
        <c:minorTickMark val="none"/>
        <c:tickLblPos val="nextTo"/>
        <c:crossAx val="200287360"/>
        <c:crosses val="autoZero"/>
        <c:crossBetween val="between"/>
      </c:valAx>
    </c:plotArea>
    <c:legend>
      <c:legendPos val="b"/>
      <c:overlay val="0"/>
      <c:txPr>
        <a:bodyPr/>
        <a:lstStyle/>
        <a:p>
          <a:pPr>
            <a:defRPr sz="900"/>
          </a:pPr>
          <a:endParaRPr lang="en-DK"/>
        </a:p>
      </c:txPr>
    </c:legend>
    <c:plotVisOnly val="1"/>
    <c:dispBlanksAs val="gap"/>
    <c:showDLblsOverMax val="0"/>
  </c:chart>
  <c:txPr>
    <a:bodyPr/>
    <a:lstStyle/>
    <a:p>
      <a:pPr>
        <a:defRPr sz="1000"/>
      </a:pPr>
      <a:endParaRPr lang="en-DK"/>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Brændstofpris</a:t>
            </a:r>
          </a:p>
        </c:rich>
      </c:tx>
      <c:overlay val="0"/>
    </c:title>
    <c:autoTitleDeleted val="0"/>
    <c:plotArea>
      <c:layout>
        <c:manualLayout>
          <c:layoutTarget val="inner"/>
          <c:xMode val="edge"/>
          <c:yMode val="edge"/>
          <c:x val="0.15207174103237103"/>
          <c:y val="0.15776647710702849"/>
          <c:w val="0.81389632545931767"/>
          <c:h val="0.48146565837686128"/>
        </c:manualLayout>
      </c:layout>
      <c:lineChart>
        <c:grouping val="standard"/>
        <c:varyColors val="0"/>
        <c:ser>
          <c:idx val="0"/>
          <c:order val="0"/>
          <c:tx>
            <c:v>Rå samfundsøkonomisk importpris på råolie (kr./GJ)</c:v>
          </c:tx>
          <c:marker>
            <c:symbol val="none"/>
          </c:marker>
          <c:cat>
            <c:numRef>
              <c:f>'ENS udvikling i brændstofspris'!$A$5:$A$21</c:f>
              <c:numCache>
                <c:formatCode>General</c:formatCode>
                <c:ptCount val="17"/>
                <c:pt idx="0">
                  <c:v>2019</c:v>
                </c:pt>
                <c:pt idx="1">
                  <c:v>2020</c:v>
                </c:pt>
                <c:pt idx="2">
                  <c:v>2021</c:v>
                </c:pt>
                <c:pt idx="3">
                  <c:v>2022</c:v>
                </c:pt>
                <c:pt idx="4">
                  <c:v>2023</c:v>
                </c:pt>
                <c:pt idx="5">
                  <c:v>2024</c:v>
                </c:pt>
                <c:pt idx="6">
                  <c:v>2025</c:v>
                </c:pt>
                <c:pt idx="7">
                  <c:v>2026</c:v>
                </c:pt>
                <c:pt idx="8">
                  <c:v>2027</c:v>
                </c:pt>
                <c:pt idx="9">
                  <c:v>2028</c:v>
                </c:pt>
                <c:pt idx="10">
                  <c:v>2029</c:v>
                </c:pt>
                <c:pt idx="11">
                  <c:v>2030</c:v>
                </c:pt>
                <c:pt idx="12">
                  <c:v>2031</c:v>
                </c:pt>
                <c:pt idx="13">
                  <c:v>2032</c:v>
                </c:pt>
                <c:pt idx="14">
                  <c:v>2033</c:v>
                </c:pt>
                <c:pt idx="15">
                  <c:v>2034</c:v>
                </c:pt>
                <c:pt idx="16">
                  <c:v>2035</c:v>
                </c:pt>
              </c:numCache>
            </c:numRef>
          </c:cat>
          <c:val>
            <c:numRef>
              <c:f>'ENS udvikling i brændstofspris'!$B$5:$B$21</c:f>
              <c:numCache>
                <c:formatCode>0.0</c:formatCode>
                <c:ptCount val="17"/>
                <c:pt idx="0">
                  <c:v>73.900000000000006</c:v>
                </c:pt>
                <c:pt idx="1">
                  <c:v>75.900000000000006</c:v>
                </c:pt>
                <c:pt idx="2">
                  <c:v>77.7</c:v>
                </c:pt>
                <c:pt idx="3">
                  <c:v>79.3</c:v>
                </c:pt>
                <c:pt idx="4">
                  <c:v>81</c:v>
                </c:pt>
                <c:pt idx="5">
                  <c:v>82.7</c:v>
                </c:pt>
                <c:pt idx="6">
                  <c:v>84.1</c:v>
                </c:pt>
                <c:pt idx="7">
                  <c:v>86.7</c:v>
                </c:pt>
                <c:pt idx="8">
                  <c:v>88.2</c:v>
                </c:pt>
                <c:pt idx="9">
                  <c:v>89.6</c:v>
                </c:pt>
                <c:pt idx="10">
                  <c:v>90.9</c:v>
                </c:pt>
                <c:pt idx="11">
                  <c:v>92.1</c:v>
                </c:pt>
                <c:pt idx="12">
                  <c:v>93.7</c:v>
                </c:pt>
                <c:pt idx="13">
                  <c:v>95.6</c:v>
                </c:pt>
                <c:pt idx="14">
                  <c:v>97.3</c:v>
                </c:pt>
                <c:pt idx="15">
                  <c:v>99</c:v>
                </c:pt>
                <c:pt idx="16">
                  <c:v>100.6</c:v>
                </c:pt>
              </c:numCache>
            </c:numRef>
          </c:val>
          <c:smooth val="0"/>
          <c:extLst>
            <c:ext xmlns:c16="http://schemas.microsoft.com/office/drawing/2014/chart" uri="{C3380CC4-5D6E-409C-BE32-E72D297353CC}">
              <c16:uniqueId val="{00000000-581D-48E0-A5E2-9967CA5C317E}"/>
            </c:ext>
          </c:extLst>
        </c:ser>
        <c:ser>
          <c:idx val="1"/>
          <c:order val="1"/>
          <c:tx>
            <c:v>An forbruger - benzin (kr./GJ)</c:v>
          </c:tx>
          <c:marker>
            <c:symbol val="none"/>
          </c:marker>
          <c:val>
            <c:numRef>
              <c:f>'ENS udvikling i brændstofspris'!$C$5:$C$21</c:f>
              <c:numCache>
                <c:formatCode>0.0</c:formatCode>
                <c:ptCount val="17"/>
                <c:pt idx="0">
                  <c:v>123.6</c:v>
                </c:pt>
                <c:pt idx="1">
                  <c:v>125.7</c:v>
                </c:pt>
                <c:pt idx="2">
                  <c:v>127.4</c:v>
                </c:pt>
                <c:pt idx="3">
                  <c:v>129</c:v>
                </c:pt>
                <c:pt idx="4">
                  <c:v>130.80000000000001</c:v>
                </c:pt>
                <c:pt idx="5">
                  <c:v>132.4</c:v>
                </c:pt>
                <c:pt idx="6">
                  <c:v>133.80000000000001</c:v>
                </c:pt>
                <c:pt idx="7">
                  <c:v>136.4</c:v>
                </c:pt>
                <c:pt idx="8">
                  <c:v>137.9</c:v>
                </c:pt>
                <c:pt idx="9">
                  <c:v>139.30000000000001</c:v>
                </c:pt>
                <c:pt idx="10">
                  <c:v>140.69999999999999</c:v>
                </c:pt>
                <c:pt idx="11">
                  <c:v>141.9</c:v>
                </c:pt>
                <c:pt idx="12">
                  <c:v>143.4</c:v>
                </c:pt>
                <c:pt idx="13">
                  <c:v>145.30000000000001</c:v>
                </c:pt>
                <c:pt idx="14">
                  <c:v>147.1</c:v>
                </c:pt>
                <c:pt idx="15">
                  <c:v>148.69999999999999</c:v>
                </c:pt>
                <c:pt idx="16">
                  <c:v>150.30000000000001</c:v>
                </c:pt>
              </c:numCache>
            </c:numRef>
          </c:val>
          <c:smooth val="0"/>
          <c:extLst>
            <c:ext xmlns:c16="http://schemas.microsoft.com/office/drawing/2014/chart" uri="{C3380CC4-5D6E-409C-BE32-E72D297353CC}">
              <c16:uniqueId val="{00000001-581D-48E0-A5E2-9967CA5C317E}"/>
            </c:ext>
          </c:extLst>
        </c:ser>
        <c:ser>
          <c:idx val="2"/>
          <c:order val="2"/>
          <c:tx>
            <c:v>An forbruger - diesel (kr./GJ)</c:v>
          </c:tx>
          <c:marker>
            <c:symbol val="none"/>
          </c:marker>
          <c:val>
            <c:numRef>
              <c:f>'ENS udvikling i brændstofspris'!$D$5:$D$21</c:f>
              <c:numCache>
                <c:formatCode>0</c:formatCode>
                <c:ptCount val="17"/>
                <c:pt idx="0">
                  <c:v>118.1</c:v>
                </c:pt>
                <c:pt idx="1">
                  <c:v>120.1</c:v>
                </c:pt>
                <c:pt idx="2">
                  <c:v>121.9</c:v>
                </c:pt>
                <c:pt idx="3">
                  <c:v>123.5</c:v>
                </c:pt>
                <c:pt idx="4">
                  <c:v>125.2</c:v>
                </c:pt>
                <c:pt idx="5">
                  <c:v>126.9</c:v>
                </c:pt>
                <c:pt idx="6">
                  <c:v>128.19999999999999</c:v>
                </c:pt>
                <c:pt idx="7">
                  <c:v>130.9</c:v>
                </c:pt>
                <c:pt idx="8">
                  <c:v>132.4</c:v>
                </c:pt>
                <c:pt idx="9">
                  <c:v>133.80000000000001</c:v>
                </c:pt>
                <c:pt idx="10">
                  <c:v>135.1</c:v>
                </c:pt>
                <c:pt idx="11">
                  <c:v>136.30000000000001</c:v>
                </c:pt>
                <c:pt idx="12">
                  <c:v>137.9</c:v>
                </c:pt>
                <c:pt idx="13">
                  <c:v>139.69999999999999</c:v>
                </c:pt>
                <c:pt idx="14">
                  <c:v>141.5</c:v>
                </c:pt>
                <c:pt idx="15">
                  <c:v>143.19999999999999</c:v>
                </c:pt>
                <c:pt idx="16">
                  <c:v>144.80000000000001</c:v>
                </c:pt>
              </c:numCache>
            </c:numRef>
          </c:val>
          <c:smooth val="0"/>
          <c:extLst>
            <c:ext xmlns:c16="http://schemas.microsoft.com/office/drawing/2014/chart" uri="{C3380CC4-5D6E-409C-BE32-E72D297353CC}">
              <c16:uniqueId val="{00000002-581D-48E0-A5E2-9967CA5C317E}"/>
            </c:ext>
          </c:extLst>
        </c:ser>
        <c:dLbls>
          <c:showLegendKey val="0"/>
          <c:showVal val="0"/>
          <c:showCatName val="0"/>
          <c:showSerName val="0"/>
          <c:showPercent val="0"/>
          <c:showBubbleSize val="0"/>
        </c:dLbls>
        <c:smooth val="0"/>
        <c:axId val="200287360"/>
        <c:axId val="200288896"/>
      </c:lineChart>
      <c:catAx>
        <c:axId val="200287360"/>
        <c:scaling>
          <c:orientation val="minMax"/>
        </c:scaling>
        <c:delete val="0"/>
        <c:axPos val="b"/>
        <c:numFmt formatCode="General" sourceLinked="1"/>
        <c:majorTickMark val="out"/>
        <c:minorTickMark val="none"/>
        <c:tickLblPos val="nextTo"/>
        <c:crossAx val="200288896"/>
        <c:crosses val="autoZero"/>
        <c:auto val="1"/>
        <c:lblAlgn val="ctr"/>
        <c:lblOffset val="100"/>
        <c:noMultiLvlLbl val="0"/>
      </c:catAx>
      <c:valAx>
        <c:axId val="200288896"/>
        <c:scaling>
          <c:orientation val="minMax"/>
        </c:scaling>
        <c:delete val="0"/>
        <c:axPos val="l"/>
        <c:majorGridlines/>
        <c:title>
          <c:tx>
            <c:strRef>
              <c:f>'ENS udvikling i brændstofspris'!$A$4</c:f>
              <c:strCache>
                <c:ptCount val="1"/>
                <c:pt idx="0">
                  <c:v>2019-priser</c:v>
                </c:pt>
              </c:strCache>
            </c:strRef>
          </c:tx>
          <c:layout>
            <c:manualLayout>
              <c:xMode val="edge"/>
              <c:yMode val="edge"/>
              <c:x val="2.2222222222222223E-2"/>
              <c:y val="0.2864551337023466"/>
            </c:manualLayout>
          </c:layout>
          <c:overlay val="0"/>
          <c:txPr>
            <a:bodyPr rot="-5400000" vert="horz"/>
            <a:lstStyle/>
            <a:p>
              <a:pPr>
                <a:defRPr/>
              </a:pPr>
              <a:endParaRPr lang="en-DK"/>
            </a:p>
          </c:txPr>
        </c:title>
        <c:numFmt formatCode="0.0" sourceLinked="1"/>
        <c:majorTickMark val="out"/>
        <c:minorTickMark val="none"/>
        <c:tickLblPos val="nextTo"/>
        <c:crossAx val="200287360"/>
        <c:crosses val="autoZero"/>
        <c:crossBetween val="between"/>
      </c:valAx>
    </c:plotArea>
    <c:legend>
      <c:legendPos val="b"/>
      <c:layout>
        <c:manualLayout>
          <c:xMode val="edge"/>
          <c:yMode val="edge"/>
          <c:x val="0.13203368328958881"/>
          <c:y val="0.77646947977656644"/>
          <c:w val="0.8275990813648294"/>
          <c:h val="0.19306518309142981"/>
        </c:manualLayout>
      </c:layout>
      <c:overlay val="0"/>
      <c:txPr>
        <a:bodyPr/>
        <a:lstStyle/>
        <a:p>
          <a:pPr>
            <a:defRPr sz="900"/>
          </a:pPr>
          <a:endParaRPr lang="en-DK"/>
        </a:p>
      </c:txPr>
    </c:legend>
    <c:plotVisOnly val="1"/>
    <c:dispBlanksAs val="gap"/>
    <c:showDLblsOverMax val="0"/>
  </c:chart>
  <c:txPr>
    <a:bodyPr/>
    <a:lstStyle/>
    <a:p>
      <a:pPr>
        <a:defRPr sz="1000"/>
      </a:pPr>
      <a:endParaRPr lang="en-DK"/>
    </a:p>
  </c:txPr>
  <c:printSettings>
    <c:headerFooter/>
    <c:pageMargins b="0.75000000000000044" l="0.7000000000000004" r="0.7000000000000004" t="0.75000000000000044" header="0.30000000000000021" footer="0.30000000000000021"/>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image" Target="../media/image1.png"/><Relationship Id="rId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9524</xdr:rowOff>
    </xdr:from>
    <xdr:to>
      <xdr:col>10</xdr:col>
      <xdr:colOff>472440</xdr:colOff>
      <xdr:row>41</xdr:row>
      <xdr:rowOff>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9050" y="9524"/>
          <a:ext cx="6930390" cy="7692120"/>
        </a:xfrm>
        <a:prstGeom prst="rect">
          <a:avLst/>
        </a:prstGeom>
        <a:solidFill>
          <a:srgbClr val="DEEBF7"/>
        </a:solidFill>
        <a:ln w="12700">
          <a:solidFill>
            <a:sysClr val="windowText" lastClr="000000"/>
          </a:solidFill>
        </a:ln>
        <a:effectLst/>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r>
            <a:rPr lang="da-DK" sz="2200" b="1">
              <a:solidFill>
                <a:sysClr val="windowText" lastClr="000000"/>
              </a:solidFill>
              <a:latin typeface="Arial" panose="020B0604020202020204" pitchFamily="34" charset="0"/>
              <a:cs typeface="Arial" panose="020B0604020202020204" pitchFamily="34" charset="0"/>
            </a:rPr>
            <a:t>Introduktion</a:t>
          </a:r>
        </a:p>
        <a:p>
          <a:endParaRPr lang="da-DK" sz="1300">
            <a:solidFill>
              <a:sysClr val="windowText" lastClr="000000"/>
            </a:solidFill>
            <a:latin typeface="Arial" panose="020B0604020202020204" pitchFamily="34" charset="0"/>
            <a:cs typeface="Arial" panose="020B0604020202020204" pitchFamily="34" charset="0"/>
          </a:endParaRPr>
        </a:p>
        <a:p>
          <a:r>
            <a:rPr lang="da-DK" sz="1400">
              <a:solidFill>
                <a:sysClr val="windowText" lastClr="000000"/>
              </a:solidFill>
              <a:latin typeface="Arial" panose="020B0604020202020204" pitchFamily="34" charset="0"/>
              <a:cs typeface="Arial" panose="020B0604020202020204" pitchFamily="34" charset="0"/>
            </a:rPr>
            <a:t>Dette værktøj til TCO-beregning for motorkøretøjer indeholder</a:t>
          </a:r>
          <a:r>
            <a:rPr lang="da-DK" sz="1400" baseline="0">
              <a:solidFill>
                <a:sysClr val="windowText" lastClr="000000"/>
              </a:solidFill>
              <a:latin typeface="Arial" panose="020B0604020202020204" pitchFamily="34" charset="0"/>
              <a:cs typeface="Arial" panose="020B0604020202020204" pitchFamily="34" charset="0"/>
            </a:rPr>
            <a:t> seks faneblade: </a:t>
          </a:r>
        </a:p>
        <a:p>
          <a:r>
            <a:rPr lang="da-DK" sz="1400" b="0" i="1" baseline="0">
              <a:solidFill>
                <a:sysClr val="windowText" lastClr="000000"/>
              </a:solidFill>
              <a:latin typeface="Arial" panose="020B0604020202020204" pitchFamily="34" charset="0"/>
              <a:cs typeface="Arial" panose="020B0604020202020204" pitchFamily="34" charset="0"/>
            </a:rPr>
            <a:t>- </a:t>
          </a:r>
          <a:r>
            <a:rPr lang="da-DK" sz="1400" b="1" i="1" baseline="0">
              <a:solidFill>
                <a:sysClr val="windowText" lastClr="000000"/>
              </a:solidFill>
              <a:latin typeface="Arial" panose="020B0604020202020204" pitchFamily="34" charset="0"/>
              <a:cs typeface="Arial" panose="020B0604020202020204" pitchFamily="34" charset="0"/>
            </a:rPr>
            <a:t>Introduktion</a:t>
          </a:r>
          <a:r>
            <a:rPr lang="da-DK" sz="1400" baseline="0">
              <a:solidFill>
                <a:sysClr val="windowText" lastClr="000000"/>
              </a:solidFill>
              <a:latin typeface="Arial" panose="020B0604020202020204" pitchFamily="34" charset="0"/>
              <a:cs typeface="Arial" panose="020B0604020202020204" pitchFamily="34" charset="0"/>
            </a:rPr>
            <a:t>, som kort skitserer værktøjet.</a:t>
          </a:r>
        </a:p>
        <a:p>
          <a:r>
            <a:rPr lang="da-DK" sz="1400" b="1" i="1" baseline="0">
              <a:solidFill>
                <a:sysClr val="windowText" lastClr="000000"/>
              </a:solidFill>
              <a:latin typeface="Arial" panose="020B0604020202020204" pitchFamily="34" charset="0"/>
              <a:ea typeface="+mn-ea"/>
              <a:cs typeface="Arial" panose="020B0604020202020204" pitchFamily="34" charset="0"/>
            </a:rPr>
            <a:t>- Benzin - diesel - hybrid (uden opladning),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El og plugin hybrid, </a:t>
          </a:r>
          <a:r>
            <a:rPr lang="da-DK" sz="1400" baseline="0">
              <a:solidFill>
                <a:sysClr val="windowText" lastClr="000000"/>
              </a:solidFill>
              <a:latin typeface="Arial" panose="020B0604020202020204" pitchFamily="34" charset="0"/>
              <a:ea typeface="+mn-ea"/>
              <a:cs typeface="Arial" panose="020B0604020202020204" pitchFamily="34" charset="0"/>
            </a:rPr>
            <a:t>som udgør selve beregningsværktøjet for denne type motorkøretøjer.</a:t>
          </a:r>
        </a:p>
        <a:p>
          <a:r>
            <a:rPr lang="da-DK" sz="1400" b="1" i="1" baseline="0">
              <a:solidFill>
                <a:sysClr val="windowText" lastClr="000000"/>
              </a:solidFill>
              <a:latin typeface="Arial" panose="020B0604020202020204" pitchFamily="34" charset="0"/>
              <a:ea typeface="+mn-ea"/>
              <a:cs typeface="Arial" panose="020B0604020202020204" pitchFamily="34" charset="0"/>
            </a:rPr>
            <a:t>- Sammenligning på tværs</a:t>
          </a:r>
          <a:r>
            <a:rPr lang="da-DK" sz="1400" baseline="0">
              <a:solidFill>
                <a:sysClr val="windowText" lastClr="000000"/>
              </a:solidFill>
              <a:latin typeface="Arial" panose="020B0604020202020204" pitchFamily="34" charset="0"/>
              <a:ea typeface="+mn-ea"/>
              <a:cs typeface="Arial" panose="020B0604020202020204" pitchFamily="34" charset="0"/>
            </a:rPr>
            <a:t>, som giver mulighed for at sammenligne to motorkøretøjer på tværs af brændstoftyper. </a:t>
          </a:r>
          <a:endParaRPr lang="en-US" sz="140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Beregningsmetode, </a:t>
          </a:r>
          <a:r>
            <a:rPr lang="da-DK" sz="1400" baseline="0">
              <a:solidFill>
                <a:sysClr val="windowText" lastClr="000000"/>
              </a:solidFill>
              <a:latin typeface="Arial" panose="020B0604020202020204" pitchFamily="34" charset="0"/>
              <a:ea typeface="+mn-ea"/>
              <a:cs typeface="Arial" panose="020B0604020202020204" pitchFamily="34" charset="0"/>
            </a:rPr>
            <a:t>som forklarer, hvordan værktøjet beregner </a:t>
          </a:r>
          <a:r>
            <a:rPr lang="da-DK" sz="1400" i="0" baseline="0">
              <a:solidFill>
                <a:sysClr val="windowText" lastClr="000000"/>
              </a:solidFill>
              <a:latin typeface="Arial" panose="020B0604020202020204" pitchFamily="34" charset="0"/>
              <a:ea typeface="+mn-ea"/>
              <a:cs typeface="Arial" panose="020B0604020202020204" pitchFamily="34" charset="0"/>
            </a:rPr>
            <a:t>totalomkostningerne.</a:t>
          </a:r>
          <a:endParaRPr lang="en-DK" sz="1400" i="0" baseline="0">
            <a:solidFill>
              <a:sysClr val="windowText" lastClr="000000"/>
            </a:solidFill>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400" b="1" i="1" baseline="0">
              <a:solidFill>
                <a:sysClr val="windowText" lastClr="000000"/>
              </a:solidFill>
              <a:latin typeface="Arial" panose="020B0604020202020204" pitchFamily="34" charset="0"/>
              <a:ea typeface="+mn-ea"/>
              <a:cs typeface="Arial" panose="020B0604020202020204" pitchFamily="34" charset="0"/>
            </a:rPr>
            <a:t>- Fremskrivning, </a:t>
          </a:r>
          <a:r>
            <a:rPr lang="da-DK" sz="1400" i="0" baseline="0">
              <a:solidFill>
                <a:sysClr val="windowText" lastClr="000000"/>
              </a:solidFill>
              <a:latin typeface="Arial" panose="020B0604020202020204" pitchFamily="34" charset="0"/>
              <a:ea typeface="+mn-ea"/>
              <a:cs typeface="Arial" panose="020B0604020202020204" pitchFamily="34" charset="0"/>
            </a:rPr>
            <a:t>som forklarer hvordan beregningsværktøjernes standardværdier for elpris, vandpris og emissionsfaktor er fremskrevet. </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Værktøjet kan anvendes til overvejelser om valg af produkttyper og udbudskrav ligesom det kan anvendes i selve tilbudsfasen. </a:t>
          </a:r>
        </a:p>
        <a:p>
          <a:endParaRPr lang="da-DK" sz="1400" i="0" baseline="0">
            <a:solidFill>
              <a:sysClr val="windowText" lastClr="000000"/>
            </a:solidFill>
            <a:latin typeface="Arial" panose="020B0604020202020204" pitchFamily="34" charset="0"/>
            <a:ea typeface="+mn-ea"/>
            <a:cs typeface="Arial" panose="020B0604020202020204" pitchFamily="34" charset="0"/>
          </a:endParaRPr>
        </a:p>
        <a:p>
          <a:r>
            <a:rPr lang="da-DK" sz="1400" i="0" baseline="0">
              <a:solidFill>
                <a:sysClr val="windowText" lastClr="000000"/>
              </a:solidFill>
              <a:latin typeface="Arial" panose="020B0604020202020204" pitchFamily="34" charset="0"/>
              <a:ea typeface="+mn-ea"/>
              <a:cs typeface="Arial" panose="020B0604020202020204" pitchFamily="34" charset="0"/>
            </a:rPr>
            <a:t>Ved brug som parameter for tildeling i udbuddet kan værktøjet offentliggøres sammen med udbudsmaterialet, hvor ordregiver forinden offentliggørelse indtaster udbuddets specifikationer. Dette gælder f.eks. oplysninger om brug og efterbrug af produktet, som skal være ens for alle de produkter, der sammenlignes, for at kunne give et retvisende resultat. Det er også i fanebladet </a:t>
          </a:r>
          <a:r>
            <a:rPr lang="da-DK" sz="1400" i="1" baseline="0">
              <a:solidFill>
                <a:sysClr val="windowText" lastClr="000000"/>
              </a:solidFill>
              <a:latin typeface="Arial" panose="020B0604020202020204" pitchFamily="34" charset="0"/>
              <a:ea typeface="+mn-ea"/>
              <a:cs typeface="Arial" panose="020B0604020202020204" pitchFamily="34" charset="0"/>
            </a:rPr>
            <a:t>Benzin - diesel - hybrid </a:t>
          </a:r>
          <a:r>
            <a:rPr lang="da-DK" sz="1400" b="0" i="0" baseline="0">
              <a:solidFill>
                <a:sysClr val="windowText" lastClr="000000"/>
              </a:solidFill>
              <a:latin typeface="Arial" panose="020B0604020202020204" pitchFamily="34" charset="0"/>
              <a:ea typeface="+mn-ea"/>
              <a:cs typeface="Arial" panose="020B0604020202020204" pitchFamily="34" charset="0"/>
            </a:rPr>
            <a:t>og/eller </a:t>
          </a:r>
          <a:r>
            <a:rPr lang="da-DK" sz="1400" i="1" baseline="0">
              <a:solidFill>
                <a:sysClr val="windowText" lastClr="000000"/>
              </a:solidFill>
              <a:latin typeface="Arial" panose="020B0604020202020204" pitchFamily="34" charset="0"/>
              <a:ea typeface="+mn-ea"/>
              <a:cs typeface="Arial" panose="020B0604020202020204" pitchFamily="34" charset="0"/>
            </a:rPr>
            <a:t>El og plugin hybrid</a:t>
          </a:r>
          <a:r>
            <a:rPr lang="da-DK" sz="1400" i="0" baseline="0">
              <a:solidFill>
                <a:sysClr val="windowText" lastClr="000000"/>
              </a:solidFill>
              <a:latin typeface="Arial" panose="020B0604020202020204" pitchFamily="34" charset="0"/>
              <a:ea typeface="+mn-ea"/>
              <a:cs typeface="Arial" panose="020B0604020202020204" pitchFamily="34" charset="0"/>
            </a:rPr>
            <a:t>, at tilbudsgiver indtaster de tilbudte produkters eller løsningers tekniske specifikationer.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chemeClr val="tx1"/>
              </a:solidFill>
              <a:latin typeface="Arial" panose="020B0604020202020204" pitchFamily="34" charset="0"/>
              <a:cs typeface="Arial" panose="020B0604020202020204" pitchFamily="34" charset="0"/>
            </a:rPr>
            <a:t>Fanebladet </a:t>
          </a:r>
          <a:r>
            <a:rPr lang="da-DK" sz="1400" i="1" baseline="0">
              <a:solidFill>
                <a:schemeClr val="tx1"/>
              </a:solidFill>
              <a:latin typeface="Arial" panose="020B0604020202020204" pitchFamily="34" charset="0"/>
              <a:cs typeface="Arial" panose="020B0604020202020204" pitchFamily="34" charset="0"/>
            </a:rPr>
            <a:t>Beregningsmetode</a:t>
          </a:r>
          <a:r>
            <a:rPr lang="da-DK" sz="1400" i="0" baseline="0">
              <a:solidFill>
                <a:schemeClr val="tx1"/>
              </a:solidFill>
              <a:latin typeface="Arial" panose="020B0604020202020204" pitchFamily="34" charset="0"/>
              <a:cs typeface="Arial" panose="020B0604020202020204" pitchFamily="34" charset="0"/>
            </a:rPr>
            <a:t> </a:t>
          </a:r>
          <a:r>
            <a:rPr lang="da-DK" sz="1400" i="0" baseline="0">
              <a:solidFill>
                <a:sysClr val="windowText" lastClr="000000"/>
              </a:solidFill>
              <a:latin typeface="Arial" panose="020B0604020202020204" pitchFamily="34" charset="0"/>
              <a:cs typeface="Arial" panose="020B0604020202020204" pitchFamily="34" charset="0"/>
            </a:rPr>
            <a:t>indeholder en trinvis forklaring på, hvordan værktøjet beregner totalomkostningerne.</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i="0" baseline="0">
              <a:solidFill>
                <a:sysClr val="windowText" lastClr="000000"/>
              </a:solidFill>
              <a:latin typeface="Arial" panose="020B0604020202020204" pitchFamily="34" charset="0"/>
              <a:cs typeface="Arial" panose="020B0604020202020204" pitchFamily="34" charset="0"/>
            </a:rPr>
            <a:t>Til værktøjet er der udarbejdet en separat vejledning, der beskriver, hvordan du skal bruge værktøjet. Hent vejledningen på csr-indkob.dk under TCO-værktøjer.</a:t>
          </a:r>
        </a:p>
        <a:p>
          <a:endParaRPr lang="da-DK" sz="1400" i="0" baseline="0">
            <a:solidFill>
              <a:sysClr val="windowText" lastClr="000000"/>
            </a:solidFill>
            <a:latin typeface="Arial" panose="020B0604020202020204" pitchFamily="34" charset="0"/>
            <a:cs typeface="Arial" panose="020B0604020202020204" pitchFamily="34" charset="0"/>
          </a:endParaRPr>
        </a:p>
        <a:p>
          <a:r>
            <a:rPr lang="da-DK" sz="1400" b="1" i="0" baseline="0">
              <a:solidFill>
                <a:sysClr val="windowText" lastClr="000000"/>
              </a:solidFill>
              <a:latin typeface="Arial" panose="020B0604020202020204" pitchFamily="34" charset="0"/>
              <a:cs typeface="Arial" panose="020B0604020202020204" pitchFamily="34" charset="0"/>
            </a:rPr>
            <a:t>God fornøjelse med brugen af TCO-værktøjet for motorkøretøjer.</a:t>
          </a:r>
          <a:endParaRPr lang="da-DK" sz="1400" b="0" i="0" baseline="0">
            <a:solidFill>
              <a:sysClr val="windowText" lastClr="000000"/>
            </a:solidFill>
            <a:latin typeface="Arial" panose="020B0604020202020204" pitchFamily="34" charset="0"/>
            <a:cs typeface="Arial" panose="020B0604020202020204" pitchFamily="34" charset="0"/>
          </a:endParaRPr>
        </a:p>
        <a:p>
          <a:endParaRPr lang="da-DK" sz="1400" b="0" i="0" baseline="0">
            <a:solidFill>
              <a:sysClr val="windowText" lastClr="000000"/>
            </a:solidFill>
            <a:latin typeface="Arial" panose="020B0604020202020204" pitchFamily="34" charset="0"/>
            <a:cs typeface="Arial" panose="020B0604020202020204" pitchFamily="34" charset="0"/>
          </a:endParaRPr>
        </a:p>
        <a:p>
          <a:r>
            <a:rPr lang="da-DK" sz="1000" b="0" i="0" baseline="0">
              <a:solidFill>
                <a:sysClr val="windowText" lastClr="000000"/>
              </a:solidFill>
              <a:latin typeface="Arial" panose="020B0604020202020204" pitchFamily="34" charset="0"/>
              <a:cs typeface="Arial" panose="020B0604020202020204" pitchFamily="34" charset="0"/>
            </a:rPr>
            <a:t>Version: Juni 2021</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rot="20376796">
          <a:off x="3269916" y="946511"/>
          <a:ext cx="619586"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rot="20376796">
          <a:off x="4954253" y="983817"/>
          <a:ext cx="619585"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rot="20376796">
          <a:off x="7903826" y="927207"/>
          <a:ext cx="623818" cy="466029"/>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xdr:col>
      <xdr:colOff>99133</xdr:colOff>
      <xdr:row>79</xdr:row>
      <xdr:rowOff>59528</xdr:rowOff>
    </xdr:from>
    <xdr:to>
      <xdr:col>3</xdr:col>
      <xdr:colOff>700423</xdr:colOff>
      <xdr:row>96</xdr:row>
      <xdr:rowOff>104241</xdr:rowOff>
    </xdr:to>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710045</xdr:colOff>
      <xdr:row>80</xdr:row>
      <xdr:rowOff>31743</xdr:rowOff>
    </xdr:from>
    <xdr:to>
      <xdr:col>23</xdr:col>
      <xdr:colOff>204106</xdr:colOff>
      <xdr:row>98</xdr:row>
      <xdr:rowOff>37035</xdr:rowOff>
    </xdr:to>
    <xdr:graphicFrame macro="">
      <xdr:nvGraphicFramePr>
        <xdr:cNvPr id="27" name="Chart 2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rot="20376796">
          <a:off x="7371222" y="609961"/>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rot="20376796">
          <a:off x="8511045" y="610501"/>
          <a:ext cx="30473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26</xdr:col>
      <xdr:colOff>353867</xdr:colOff>
      <xdr:row>6</xdr:row>
      <xdr:rowOff>285750</xdr:rowOff>
    </xdr:from>
    <xdr:to>
      <xdr:col>30</xdr:col>
      <xdr:colOff>436095</xdr:colOff>
      <xdr:row>8</xdr:row>
      <xdr:rowOff>0</xdr:rowOff>
    </xdr:to>
    <xdr:sp macro="" textlink="">
      <xdr:nvSpPr>
        <xdr:cNvPr id="33" name="Rectangular Callout 32">
          <a:extLst>
            <a:ext uri="{FF2B5EF4-FFF2-40B4-BE49-F238E27FC236}">
              <a16:creationId xmlns:a16="http://schemas.microsoft.com/office/drawing/2014/main" id="{00000000-0008-0000-0100-000021000000}"/>
            </a:ext>
          </a:extLst>
        </xdr:cNvPr>
        <xdr:cNvSpPr/>
      </xdr:nvSpPr>
      <xdr:spPr>
        <a:xfrm>
          <a:off x="12060958" y="1982932"/>
          <a:ext cx="8672046" cy="216477"/>
        </a:xfrm>
        <a:prstGeom prst="wedgeRectCallout">
          <a:avLst>
            <a:gd name="adj1" fmla="val -63602"/>
            <a:gd name="adj2" fmla="val -906062"/>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2</xdr:col>
      <xdr:colOff>51290</xdr:colOff>
      <xdr:row>96</xdr:row>
      <xdr:rowOff>108925</xdr:rowOff>
    </xdr:from>
    <xdr:to>
      <xdr:col>3</xdr:col>
      <xdr:colOff>146540</xdr:colOff>
      <xdr:row>114</xdr:row>
      <xdr:rowOff>1620820</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353867</xdr:colOff>
      <xdr:row>78</xdr:row>
      <xdr:rowOff>16566</xdr:rowOff>
    </xdr:from>
    <xdr:to>
      <xdr:col>30</xdr:col>
      <xdr:colOff>436095</xdr:colOff>
      <xdr:row>80</xdr:row>
      <xdr:rowOff>23665</xdr:rowOff>
    </xdr:to>
    <xdr:sp macro="" textlink="">
      <xdr:nvSpPr>
        <xdr:cNvPr id="39" name="Rectangular Callout 45">
          <a:extLst>
            <a:ext uri="{FF2B5EF4-FFF2-40B4-BE49-F238E27FC236}">
              <a16:creationId xmlns:a16="http://schemas.microsoft.com/office/drawing/2014/main" id="{00000000-0008-0000-0100-000027000000}"/>
            </a:ext>
          </a:extLst>
        </xdr:cNvPr>
        <xdr:cNvSpPr/>
      </xdr:nvSpPr>
      <xdr:spPr>
        <a:xfrm>
          <a:off x="13033357" y="15971236"/>
          <a:ext cx="9202564" cy="385733"/>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  </a:t>
          </a:r>
        </a:p>
      </xdr:txBody>
    </xdr:sp>
    <xdr:clientData/>
  </xdr:twoCellAnchor>
  <xdr:twoCellAnchor>
    <xdr:from>
      <xdr:col>26</xdr:col>
      <xdr:colOff>353867</xdr:colOff>
      <xdr:row>80</xdr:row>
      <xdr:rowOff>181996</xdr:rowOff>
    </xdr:from>
    <xdr:to>
      <xdr:col>30</xdr:col>
      <xdr:colOff>436095</xdr:colOff>
      <xdr:row>83</xdr:row>
      <xdr:rowOff>27214</xdr:rowOff>
    </xdr:to>
    <xdr:sp macro="" textlink="">
      <xdr:nvSpPr>
        <xdr:cNvPr id="40" name="Rectangular Callout 45">
          <a:extLst>
            <a:ext uri="{FF2B5EF4-FFF2-40B4-BE49-F238E27FC236}">
              <a16:creationId xmlns:a16="http://schemas.microsoft.com/office/drawing/2014/main" id="{00000000-0008-0000-0100-000028000000}"/>
            </a:ext>
          </a:extLst>
        </xdr:cNvPr>
        <xdr:cNvSpPr/>
      </xdr:nvSpPr>
      <xdr:spPr>
        <a:xfrm>
          <a:off x="22036231" y="16651587"/>
          <a:ext cx="7200000" cy="416718"/>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26</xdr:col>
      <xdr:colOff>353867</xdr:colOff>
      <xdr:row>96</xdr:row>
      <xdr:rowOff>37420</xdr:rowOff>
    </xdr:from>
    <xdr:to>
      <xdr:col>30</xdr:col>
      <xdr:colOff>436095</xdr:colOff>
      <xdr:row>98</xdr:row>
      <xdr:rowOff>113590</xdr:rowOff>
    </xdr:to>
    <xdr:sp macro="" textlink="">
      <xdr:nvSpPr>
        <xdr:cNvPr id="41" name="Rectangular Callout 45">
          <a:extLst>
            <a:ext uri="{FF2B5EF4-FFF2-40B4-BE49-F238E27FC236}">
              <a16:creationId xmlns:a16="http://schemas.microsoft.com/office/drawing/2014/main" id="{00000000-0008-0000-0100-000029000000}"/>
            </a:ext>
          </a:extLst>
        </xdr:cNvPr>
        <xdr:cNvSpPr/>
      </xdr:nvSpPr>
      <xdr:spPr>
        <a:xfrm>
          <a:off x="13033357" y="19399793"/>
          <a:ext cx="9202564" cy="454803"/>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26</xdr:col>
      <xdr:colOff>353867</xdr:colOff>
      <xdr:row>21</xdr:row>
      <xdr:rowOff>129102</xdr:rowOff>
    </xdr:from>
    <xdr:to>
      <xdr:col>30</xdr:col>
      <xdr:colOff>436095</xdr:colOff>
      <xdr:row>23</xdr:row>
      <xdr:rowOff>63185</xdr:rowOff>
    </xdr:to>
    <xdr:sp macro="" textlink="">
      <xdr:nvSpPr>
        <xdr:cNvPr id="42" name="Rectangular Callout 20">
          <a:extLst>
            <a:ext uri="{FF2B5EF4-FFF2-40B4-BE49-F238E27FC236}">
              <a16:creationId xmlns:a16="http://schemas.microsoft.com/office/drawing/2014/main" id="{B02D9D63-9F62-4B65-AC85-5F0D5D5E5B8B}"/>
            </a:ext>
          </a:extLst>
        </xdr:cNvPr>
        <xdr:cNvSpPr/>
      </xdr:nvSpPr>
      <xdr:spPr>
        <a:xfrm>
          <a:off x="22036231" y="4856966"/>
          <a:ext cx="7200000" cy="315083"/>
        </a:xfrm>
        <a:prstGeom prst="wedgeRectCallout">
          <a:avLst>
            <a:gd name="adj1" fmla="val -65282"/>
            <a:gd name="adj2" fmla="val 4440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26</xdr:col>
      <xdr:colOff>353867</xdr:colOff>
      <xdr:row>30</xdr:row>
      <xdr:rowOff>131883</xdr:rowOff>
    </xdr:from>
    <xdr:to>
      <xdr:col>30</xdr:col>
      <xdr:colOff>436095</xdr:colOff>
      <xdr:row>34</xdr:row>
      <xdr:rowOff>133351</xdr:rowOff>
    </xdr:to>
    <xdr:sp macro="" textlink="">
      <xdr:nvSpPr>
        <xdr:cNvPr id="44" name="Rectangular Callout 20">
          <a:extLst>
            <a:ext uri="{FF2B5EF4-FFF2-40B4-BE49-F238E27FC236}">
              <a16:creationId xmlns:a16="http://schemas.microsoft.com/office/drawing/2014/main" id="{75EFD17D-08C7-4AC5-8C41-DF828C5B154E}"/>
            </a:ext>
          </a:extLst>
        </xdr:cNvPr>
        <xdr:cNvSpPr/>
      </xdr:nvSpPr>
      <xdr:spPr>
        <a:xfrm>
          <a:off x="12307742" y="6646983"/>
          <a:ext cx="8683303" cy="763468"/>
        </a:xfrm>
        <a:prstGeom prst="wedgeRectCallout">
          <a:avLst>
            <a:gd name="adj1" fmla="val -62043"/>
            <a:gd name="adj2" fmla="val -31966"/>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26</xdr:col>
      <xdr:colOff>353867</xdr:colOff>
      <xdr:row>24</xdr:row>
      <xdr:rowOff>26120</xdr:rowOff>
    </xdr:from>
    <xdr:to>
      <xdr:col>30</xdr:col>
      <xdr:colOff>436095</xdr:colOff>
      <xdr:row>30</xdr:row>
      <xdr:rowOff>50967</xdr:rowOff>
    </xdr:to>
    <xdr:sp macro="" textlink="">
      <xdr:nvSpPr>
        <xdr:cNvPr id="47" name="Rectangular Callout 20">
          <a:extLst>
            <a:ext uri="{FF2B5EF4-FFF2-40B4-BE49-F238E27FC236}">
              <a16:creationId xmlns:a16="http://schemas.microsoft.com/office/drawing/2014/main" id="{0FEB090F-5808-4245-B825-1840BE218B1C}"/>
            </a:ext>
          </a:extLst>
        </xdr:cNvPr>
        <xdr:cNvSpPr/>
      </xdr:nvSpPr>
      <xdr:spPr>
        <a:xfrm>
          <a:off x="22036231" y="5325484"/>
          <a:ext cx="7200000" cy="1167847"/>
        </a:xfrm>
        <a:prstGeom prst="wedgeRectCallout">
          <a:avLst>
            <a:gd name="adj1" fmla="val -63352"/>
            <a:gd name="adj2" fmla="val -29696"/>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26</xdr:col>
      <xdr:colOff>353867</xdr:colOff>
      <xdr:row>48</xdr:row>
      <xdr:rowOff>117230</xdr:rowOff>
    </xdr:from>
    <xdr:to>
      <xdr:col>30</xdr:col>
      <xdr:colOff>436095</xdr:colOff>
      <xdr:row>55</xdr:row>
      <xdr:rowOff>40821</xdr:rowOff>
    </xdr:to>
    <xdr:sp macro="" textlink="">
      <xdr:nvSpPr>
        <xdr:cNvPr id="50" name="Rectangular Callout 17">
          <a:extLst>
            <a:ext uri="{FF2B5EF4-FFF2-40B4-BE49-F238E27FC236}">
              <a16:creationId xmlns:a16="http://schemas.microsoft.com/office/drawing/2014/main" id="{97F237D3-C24B-4F7B-9F64-45668843D769}"/>
            </a:ext>
          </a:extLst>
        </xdr:cNvPr>
        <xdr:cNvSpPr/>
      </xdr:nvSpPr>
      <xdr:spPr>
        <a:xfrm>
          <a:off x="22036231" y="10352275"/>
          <a:ext cx="7200000" cy="1257091"/>
        </a:xfrm>
        <a:prstGeom prst="wedgeRectCallout">
          <a:avLst>
            <a:gd name="adj1" fmla="val -64917"/>
            <a:gd name="adj2" fmla="val -852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3</xdr:col>
      <xdr:colOff>467591</xdr:colOff>
      <xdr:row>99</xdr:row>
      <xdr:rowOff>136071</xdr:rowOff>
    </xdr:from>
    <xdr:to>
      <xdr:col>22</xdr:col>
      <xdr:colOff>0</xdr:colOff>
      <xdr:row>114</xdr:row>
      <xdr:rowOff>612320</xdr:rowOff>
    </xdr:to>
    <xdr:graphicFrame macro="">
      <xdr:nvGraphicFramePr>
        <xdr:cNvPr id="46" name="Chart 45">
          <a:extLst>
            <a:ext uri="{FF2B5EF4-FFF2-40B4-BE49-F238E27FC236}">
              <a16:creationId xmlns:a16="http://schemas.microsoft.com/office/drawing/2014/main" id="{F1D5AAB4-3178-47C0-A180-CBD34759AA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353867</xdr:colOff>
      <xdr:row>44</xdr:row>
      <xdr:rowOff>125606</xdr:rowOff>
    </xdr:from>
    <xdr:to>
      <xdr:col>30</xdr:col>
      <xdr:colOff>436095</xdr:colOff>
      <xdr:row>46</xdr:row>
      <xdr:rowOff>85193</xdr:rowOff>
    </xdr:to>
    <xdr:sp macro="" textlink="">
      <xdr:nvSpPr>
        <xdr:cNvPr id="53" name="Rectangular Callout 21">
          <a:extLst>
            <a:ext uri="{FF2B5EF4-FFF2-40B4-BE49-F238E27FC236}">
              <a16:creationId xmlns:a16="http://schemas.microsoft.com/office/drawing/2014/main" id="{1DD41693-8026-41BD-AB7B-C0906027AE34}"/>
            </a:ext>
          </a:extLst>
        </xdr:cNvPr>
        <xdr:cNvSpPr/>
      </xdr:nvSpPr>
      <xdr:spPr>
        <a:xfrm>
          <a:off x="12307742" y="9555356"/>
          <a:ext cx="8683303" cy="340587"/>
        </a:xfrm>
        <a:prstGeom prst="wedgeRectCallout">
          <a:avLst>
            <a:gd name="adj1" fmla="val -62349"/>
            <a:gd name="adj2" fmla="val 3702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26</xdr:col>
      <xdr:colOff>353867</xdr:colOff>
      <xdr:row>64</xdr:row>
      <xdr:rowOff>169252</xdr:rowOff>
    </xdr:from>
    <xdr:to>
      <xdr:col>30</xdr:col>
      <xdr:colOff>436095</xdr:colOff>
      <xdr:row>66</xdr:row>
      <xdr:rowOff>124558</xdr:rowOff>
    </xdr:to>
    <xdr:sp macro="" textlink="">
      <xdr:nvSpPr>
        <xdr:cNvPr id="54" name="Rectangular Callout 24">
          <a:extLst>
            <a:ext uri="{FF2B5EF4-FFF2-40B4-BE49-F238E27FC236}">
              <a16:creationId xmlns:a16="http://schemas.microsoft.com/office/drawing/2014/main" id="{16889983-ED4D-440E-BBFB-43F0EFF05D10}"/>
            </a:ext>
          </a:extLst>
        </xdr:cNvPr>
        <xdr:cNvSpPr/>
      </xdr:nvSpPr>
      <xdr:spPr>
        <a:xfrm>
          <a:off x="22036231" y="13452297"/>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26</xdr:col>
      <xdr:colOff>353867</xdr:colOff>
      <xdr:row>62</xdr:row>
      <xdr:rowOff>166321</xdr:rowOff>
    </xdr:from>
    <xdr:to>
      <xdr:col>30</xdr:col>
      <xdr:colOff>436095</xdr:colOff>
      <xdr:row>64</xdr:row>
      <xdr:rowOff>121627</xdr:rowOff>
    </xdr:to>
    <xdr:sp macro="" textlink="">
      <xdr:nvSpPr>
        <xdr:cNvPr id="57" name="Rectangular Callout 24">
          <a:extLst>
            <a:ext uri="{FF2B5EF4-FFF2-40B4-BE49-F238E27FC236}">
              <a16:creationId xmlns:a16="http://schemas.microsoft.com/office/drawing/2014/main" id="{683D3120-7007-4540-8F9A-0C5A7028132A}"/>
            </a:ext>
          </a:extLst>
        </xdr:cNvPr>
        <xdr:cNvSpPr/>
      </xdr:nvSpPr>
      <xdr:spPr>
        <a:xfrm>
          <a:off x="22036231" y="13068366"/>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26</xdr:col>
      <xdr:colOff>353867</xdr:colOff>
      <xdr:row>55</xdr:row>
      <xdr:rowOff>108857</xdr:rowOff>
    </xdr:from>
    <xdr:to>
      <xdr:col>30</xdr:col>
      <xdr:colOff>436095</xdr:colOff>
      <xdr:row>62</xdr:row>
      <xdr:rowOff>27215</xdr:rowOff>
    </xdr:to>
    <xdr:sp macro="" textlink="">
      <xdr:nvSpPr>
        <xdr:cNvPr id="59" name="Rectangular Callout 17">
          <a:extLst>
            <a:ext uri="{FF2B5EF4-FFF2-40B4-BE49-F238E27FC236}">
              <a16:creationId xmlns:a16="http://schemas.microsoft.com/office/drawing/2014/main" id="{E0947141-8BD8-45A2-B0EC-25BAED8A5A30}"/>
            </a:ext>
          </a:extLst>
        </xdr:cNvPr>
        <xdr:cNvSpPr/>
      </xdr:nvSpPr>
      <xdr:spPr>
        <a:xfrm>
          <a:off x="22036231" y="11677402"/>
          <a:ext cx="7200000" cy="1251858"/>
        </a:xfrm>
        <a:prstGeom prst="wedgeRectCallout">
          <a:avLst>
            <a:gd name="adj1" fmla="val -64917"/>
            <a:gd name="adj2" fmla="val -852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353867</xdr:colOff>
      <xdr:row>11</xdr:row>
      <xdr:rowOff>0</xdr:rowOff>
    </xdr:from>
    <xdr:to>
      <xdr:col>30</xdr:col>
      <xdr:colOff>436095</xdr:colOff>
      <xdr:row>14</xdr:row>
      <xdr:rowOff>75855</xdr:rowOff>
    </xdr:to>
    <xdr:sp macro="" textlink="">
      <xdr:nvSpPr>
        <xdr:cNvPr id="61" name="Rectangular Callout 15">
          <a:extLst>
            <a:ext uri="{FF2B5EF4-FFF2-40B4-BE49-F238E27FC236}">
              <a16:creationId xmlns:a16="http://schemas.microsoft.com/office/drawing/2014/main" id="{CA628513-7660-4955-8476-A979696D4D16}"/>
            </a:ext>
          </a:extLst>
        </xdr:cNvPr>
        <xdr:cNvSpPr/>
      </xdr:nvSpPr>
      <xdr:spPr>
        <a:xfrm>
          <a:off x="22036231" y="2822864"/>
          <a:ext cx="7200000" cy="647355"/>
        </a:xfrm>
        <a:prstGeom prst="wedgeRectCallout">
          <a:avLst>
            <a:gd name="adj1" fmla="val -60100"/>
            <a:gd name="adj2" fmla="val 336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26</xdr:col>
      <xdr:colOff>353867</xdr:colOff>
      <xdr:row>9</xdr:row>
      <xdr:rowOff>69272</xdr:rowOff>
    </xdr:from>
    <xdr:to>
      <xdr:col>30</xdr:col>
      <xdr:colOff>436095</xdr:colOff>
      <xdr:row>10</xdr:row>
      <xdr:rowOff>108615</xdr:rowOff>
    </xdr:to>
    <xdr:sp macro="" textlink="">
      <xdr:nvSpPr>
        <xdr:cNvPr id="62" name="Rectangular Callout 15">
          <a:extLst>
            <a:ext uri="{FF2B5EF4-FFF2-40B4-BE49-F238E27FC236}">
              <a16:creationId xmlns:a16="http://schemas.microsoft.com/office/drawing/2014/main" id="{3690A7D4-7889-4F37-BF4C-EE5BF5D0A651}"/>
            </a:ext>
          </a:extLst>
        </xdr:cNvPr>
        <xdr:cNvSpPr/>
      </xdr:nvSpPr>
      <xdr:spPr>
        <a:xfrm>
          <a:off x="22036231" y="2493817"/>
          <a:ext cx="7200000" cy="247162"/>
        </a:xfrm>
        <a:prstGeom prst="wedgeRectCallout">
          <a:avLst>
            <a:gd name="adj1" fmla="val -60668"/>
            <a:gd name="adj2" fmla="val 49940"/>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der er engangsomkostninger i starten af leasingperioden, indtastes udgifterne her.</a:t>
          </a:r>
        </a:p>
      </xdr:txBody>
    </xdr:sp>
    <xdr:clientData/>
  </xdr:twoCellAnchor>
  <xdr:twoCellAnchor>
    <xdr:from>
      <xdr:col>26</xdr:col>
      <xdr:colOff>353867</xdr:colOff>
      <xdr:row>18</xdr:row>
      <xdr:rowOff>38524</xdr:rowOff>
    </xdr:from>
    <xdr:to>
      <xdr:col>30</xdr:col>
      <xdr:colOff>436095</xdr:colOff>
      <xdr:row>19</xdr:row>
      <xdr:rowOff>175846</xdr:rowOff>
    </xdr:to>
    <xdr:sp macro="" textlink="">
      <xdr:nvSpPr>
        <xdr:cNvPr id="64" name="Rectangular Callout 16">
          <a:extLst>
            <a:ext uri="{FF2B5EF4-FFF2-40B4-BE49-F238E27FC236}">
              <a16:creationId xmlns:a16="http://schemas.microsoft.com/office/drawing/2014/main" id="{34FADF1F-AEFC-48DC-AD2A-A70E7D37187C}"/>
            </a:ext>
          </a:extLst>
        </xdr:cNvPr>
        <xdr:cNvSpPr/>
      </xdr:nvSpPr>
      <xdr:spPr>
        <a:xfrm>
          <a:off x="22036231" y="4194888"/>
          <a:ext cx="7200000" cy="327822"/>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26</xdr:col>
      <xdr:colOff>353867</xdr:colOff>
      <xdr:row>14</xdr:row>
      <xdr:rowOff>131885</xdr:rowOff>
    </xdr:from>
    <xdr:to>
      <xdr:col>30</xdr:col>
      <xdr:colOff>436095</xdr:colOff>
      <xdr:row>17</xdr:row>
      <xdr:rowOff>156883</xdr:rowOff>
    </xdr:to>
    <xdr:sp macro="" textlink="">
      <xdr:nvSpPr>
        <xdr:cNvPr id="65" name="Rectangular Callout 16">
          <a:extLst>
            <a:ext uri="{FF2B5EF4-FFF2-40B4-BE49-F238E27FC236}">
              <a16:creationId xmlns:a16="http://schemas.microsoft.com/office/drawing/2014/main" id="{DE8D1394-650B-4AE4-8310-E982B9B30A83}"/>
            </a:ext>
          </a:extLst>
        </xdr:cNvPr>
        <xdr:cNvSpPr/>
      </xdr:nvSpPr>
      <xdr:spPr>
        <a:xfrm>
          <a:off x="22036231" y="3526249"/>
          <a:ext cx="7200000" cy="596498"/>
        </a:xfrm>
        <a:prstGeom prst="wedgeRectCallout">
          <a:avLst>
            <a:gd name="adj1" fmla="val -61365"/>
            <a:gd name="adj2" fmla="val 43014"/>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per køretøj svarende til det antal km, der er angivet nedenfor. En omregning fra kr./km kan derfor være nødvendig.</a:t>
          </a:r>
        </a:p>
      </xdr:txBody>
    </xdr:sp>
    <xdr:clientData/>
  </xdr:twoCellAnchor>
  <xdr:twoCellAnchor editAs="oneCell">
    <xdr:from>
      <xdr:col>4</xdr:col>
      <xdr:colOff>750793</xdr:colOff>
      <xdr:row>1</xdr:row>
      <xdr:rowOff>67234</xdr:rowOff>
    </xdr:from>
    <xdr:to>
      <xdr:col>21</xdr:col>
      <xdr:colOff>269823</xdr:colOff>
      <xdr:row>2</xdr:row>
      <xdr:rowOff>597753</xdr:rowOff>
    </xdr:to>
    <xdr:pic>
      <xdr:nvPicPr>
        <xdr:cNvPr id="3" name="Picture 2">
          <a:extLst>
            <a:ext uri="{FF2B5EF4-FFF2-40B4-BE49-F238E27FC236}">
              <a16:creationId xmlns:a16="http://schemas.microsoft.com/office/drawing/2014/main" id="{D57CCA73-0562-400E-ACCF-29C7902A00BD}"/>
            </a:ext>
          </a:extLst>
        </xdr:cNvPr>
        <xdr:cNvPicPr>
          <a:picLocks noChangeAspect="1"/>
        </xdr:cNvPicPr>
      </xdr:nvPicPr>
      <xdr:blipFill>
        <a:blip xmlns:r="http://schemas.openxmlformats.org/officeDocument/2006/relationships" r:embed="rId5"/>
        <a:stretch>
          <a:fillRect/>
        </a:stretch>
      </xdr:blipFill>
      <xdr:spPr>
        <a:xfrm>
          <a:off x="8113058" y="302558"/>
          <a:ext cx="2818129" cy="720000"/>
        </a:xfrm>
        <a:prstGeom prst="rect">
          <a:avLst/>
        </a:prstGeom>
      </xdr:spPr>
    </xdr:pic>
    <xdr:clientData/>
  </xdr:twoCellAnchor>
  <xdr:twoCellAnchor>
    <xdr:from>
      <xdr:col>26</xdr:col>
      <xdr:colOff>353867</xdr:colOff>
      <xdr:row>37</xdr:row>
      <xdr:rowOff>190499</xdr:rowOff>
    </xdr:from>
    <xdr:to>
      <xdr:col>30</xdr:col>
      <xdr:colOff>436095</xdr:colOff>
      <xdr:row>39</xdr:row>
      <xdr:rowOff>55949</xdr:rowOff>
    </xdr:to>
    <xdr:sp macro="" textlink="">
      <xdr:nvSpPr>
        <xdr:cNvPr id="34" name="Rectangular Callout 20">
          <a:extLst>
            <a:ext uri="{FF2B5EF4-FFF2-40B4-BE49-F238E27FC236}">
              <a16:creationId xmlns:a16="http://schemas.microsoft.com/office/drawing/2014/main" id="{30062A5D-9455-4D00-A8E0-BC043CA2B645}"/>
            </a:ext>
          </a:extLst>
        </xdr:cNvPr>
        <xdr:cNvSpPr/>
      </xdr:nvSpPr>
      <xdr:spPr>
        <a:xfrm>
          <a:off x="22036231" y="7966363"/>
          <a:ext cx="7200000" cy="367677"/>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26</xdr:col>
      <xdr:colOff>353867</xdr:colOff>
      <xdr:row>46</xdr:row>
      <xdr:rowOff>114483</xdr:rowOff>
    </xdr:from>
    <xdr:to>
      <xdr:col>30</xdr:col>
      <xdr:colOff>436095</xdr:colOff>
      <xdr:row>48</xdr:row>
      <xdr:rowOff>37790</xdr:rowOff>
    </xdr:to>
    <xdr:sp macro="" textlink="">
      <xdr:nvSpPr>
        <xdr:cNvPr id="37" name="Rectangular Callout 24">
          <a:extLst>
            <a:ext uri="{FF2B5EF4-FFF2-40B4-BE49-F238E27FC236}">
              <a16:creationId xmlns:a16="http://schemas.microsoft.com/office/drawing/2014/main" id="{F3669AD2-6FA3-46A2-93D4-EBC4C2247546}"/>
            </a:ext>
          </a:extLst>
        </xdr:cNvPr>
        <xdr:cNvSpPr/>
      </xdr:nvSpPr>
      <xdr:spPr>
        <a:xfrm>
          <a:off x="12307742" y="9925233"/>
          <a:ext cx="8683303" cy="304307"/>
        </a:xfrm>
        <a:prstGeom prst="wedgeRectCallout">
          <a:avLst>
            <a:gd name="adj1" fmla="val -62360"/>
            <a:gd name="adj2" fmla="val -954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et benzin- eller diesel drevet motorkøretøj der skal evalueres. </a:t>
          </a:r>
        </a:p>
      </xdr:txBody>
    </xdr:sp>
    <xdr:clientData/>
  </xdr:twoCellAnchor>
  <xdr:twoCellAnchor>
    <xdr:from>
      <xdr:col>27</xdr:col>
      <xdr:colOff>17318</xdr:colOff>
      <xdr:row>0</xdr:row>
      <xdr:rowOff>173182</xdr:rowOff>
    </xdr:from>
    <xdr:to>
      <xdr:col>28</xdr:col>
      <xdr:colOff>634587</xdr:colOff>
      <xdr:row>6</xdr:row>
      <xdr:rowOff>28525</xdr:rowOff>
    </xdr:to>
    <xdr:sp macro="" textlink="">
      <xdr:nvSpPr>
        <xdr:cNvPr id="38" name="TextBox 37">
          <a:extLst>
            <a:ext uri="{FF2B5EF4-FFF2-40B4-BE49-F238E27FC236}">
              <a16:creationId xmlns:a16="http://schemas.microsoft.com/office/drawing/2014/main" id="{8E713F3C-2C5C-4C34-9D69-FCA59CBDF88B}"/>
            </a:ext>
          </a:extLst>
        </xdr:cNvPr>
        <xdr:cNvSpPr txBox="1"/>
      </xdr:nvSpPr>
      <xdr:spPr>
        <a:xfrm>
          <a:off x="12313227" y="173182"/>
          <a:ext cx="4496542" cy="1552525"/>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26</xdr:col>
      <xdr:colOff>361950</xdr:colOff>
      <xdr:row>41</xdr:row>
      <xdr:rowOff>28574</xdr:rowOff>
    </xdr:from>
    <xdr:to>
      <xdr:col>30</xdr:col>
      <xdr:colOff>444177</xdr:colOff>
      <xdr:row>44</xdr:row>
      <xdr:rowOff>68924</xdr:rowOff>
    </xdr:to>
    <xdr:sp macro="" textlink="">
      <xdr:nvSpPr>
        <xdr:cNvPr id="35" name="Rectangular Callout 20">
          <a:extLst>
            <a:ext uri="{FF2B5EF4-FFF2-40B4-BE49-F238E27FC236}">
              <a16:creationId xmlns:a16="http://schemas.microsoft.com/office/drawing/2014/main" id="{B2EE3D31-ECFC-4FB9-9FF7-AB73E6958CC1}"/>
            </a:ext>
          </a:extLst>
        </xdr:cNvPr>
        <xdr:cNvSpPr/>
      </xdr:nvSpPr>
      <xdr:spPr>
        <a:xfrm>
          <a:off x="12315825" y="8762999"/>
          <a:ext cx="8683302" cy="735675"/>
        </a:xfrm>
        <a:prstGeom prst="wedgeRectCallout">
          <a:avLst>
            <a:gd name="adj1" fmla="val -62656"/>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479091</xdr:colOff>
      <xdr:row>1</xdr:row>
      <xdr:rowOff>946511</xdr:rowOff>
    </xdr:from>
    <xdr:to>
      <xdr:col>3</xdr:col>
      <xdr:colOff>1098677</xdr:colOff>
      <xdr:row>1</xdr:row>
      <xdr:rowOff>1412540</xdr:rowOff>
    </xdr:to>
    <xdr:sp macro="" textlink="">
      <xdr:nvSpPr>
        <xdr:cNvPr id="2" name="TextBox 1">
          <a:extLst>
            <a:ext uri="{FF2B5EF4-FFF2-40B4-BE49-F238E27FC236}">
              <a16:creationId xmlns:a16="http://schemas.microsoft.com/office/drawing/2014/main" id="{6705650D-B747-4889-A83A-68D18F92C056}"/>
            </a:ext>
          </a:extLst>
        </xdr:cNvPr>
        <xdr:cNvSpPr txBox="1"/>
      </xdr:nvSpPr>
      <xdr:spPr>
        <a:xfrm rot="20376796">
          <a:off x="6251241" y="470261"/>
          <a:ext cx="619586"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3</xdr:col>
      <xdr:colOff>2163428</xdr:colOff>
      <xdr:row>1</xdr:row>
      <xdr:rowOff>983817</xdr:rowOff>
    </xdr:from>
    <xdr:to>
      <xdr:col>3</xdr:col>
      <xdr:colOff>2783013</xdr:colOff>
      <xdr:row>1</xdr:row>
      <xdr:rowOff>1449846</xdr:rowOff>
    </xdr:to>
    <xdr:sp macro="" textlink="">
      <xdr:nvSpPr>
        <xdr:cNvPr id="3" name="TextBox 2">
          <a:extLst>
            <a:ext uri="{FF2B5EF4-FFF2-40B4-BE49-F238E27FC236}">
              <a16:creationId xmlns:a16="http://schemas.microsoft.com/office/drawing/2014/main" id="{DAC6EBE7-FB99-4FBA-B3E1-F66EB1FBE887}"/>
            </a:ext>
          </a:extLst>
        </xdr:cNvPr>
        <xdr:cNvSpPr txBox="1"/>
      </xdr:nvSpPr>
      <xdr:spPr>
        <a:xfrm rot="20376796">
          <a:off x="723072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4</xdr:col>
      <xdr:colOff>1141076</xdr:colOff>
      <xdr:row>1</xdr:row>
      <xdr:rowOff>927207</xdr:rowOff>
    </xdr:from>
    <xdr:to>
      <xdr:col>5</xdr:col>
      <xdr:colOff>183744</xdr:colOff>
      <xdr:row>1</xdr:row>
      <xdr:rowOff>1393236</xdr:rowOff>
    </xdr:to>
    <xdr:sp macro="" textlink="">
      <xdr:nvSpPr>
        <xdr:cNvPr id="4" name="TextBox 3">
          <a:extLst>
            <a:ext uri="{FF2B5EF4-FFF2-40B4-BE49-F238E27FC236}">
              <a16:creationId xmlns:a16="http://schemas.microsoft.com/office/drawing/2014/main" id="{73C5FB61-1306-45F7-AB2C-7FC199575117}"/>
            </a:ext>
          </a:extLst>
        </xdr:cNvPr>
        <xdr:cNvSpPr txBox="1"/>
      </xdr:nvSpPr>
      <xdr:spPr>
        <a:xfrm rot="20376796">
          <a:off x="835150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0</xdr:col>
      <xdr:colOff>0</xdr:colOff>
      <xdr:row>102</xdr:row>
      <xdr:rowOff>30220</xdr:rowOff>
    </xdr:from>
    <xdr:to>
      <xdr:col>3</xdr:col>
      <xdr:colOff>321535</xdr:colOff>
      <xdr:row>119</xdr:row>
      <xdr:rowOff>74933</xdr:rowOff>
    </xdr:to>
    <xdr:graphicFrame macro="">
      <xdr:nvGraphicFramePr>
        <xdr:cNvPr id="5" name="Chart 4">
          <a:extLst>
            <a:ext uri="{FF2B5EF4-FFF2-40B4-BE49-F238E27FC236}">
              <a16:creationId xmlns:a16="http://schemas.microsoft.com/office/drawing/2014/main" id="{10A81B12-113F-42B1-B07E-E1542C87B7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73270</xdr:colOff>
      <xdr:row>103</xdr:row>
      <xdr:rowOff>2434</xdr:rowOff>
    </xdr:from>
    <xdr:to>
      <xdr:col>21</xdr:col>
      <xdr:colOff>102577</xdr:colOff>
      <xdr:row>121</xdr:row>
      <xdr:rowOff>22380</xdr:rowOff>
    </xdr:to>
    <xdr:graphicFrame macro="">
      <xdr:nvGraphicFramePr>
        <xdr:cNvPr id="6" name="Chart 5">
          <a:extLst>
            <a:ext uri="{FF2B5EF4-FFF2-40B4-BE49-F238E27FC236}">
              <a16:creationId xmlns:a16="http://schemas.microsoft.com/office/drawing/2014/main" id="{CD961AE2-8226-46E8-8DCD-17E84ECBF8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983817</xdr:rowOff>
    </xdr:from>
    <xdr:to>
      <xdr:col>8</xdr:col>
      <xdr:colOff>0</xdr:colOff>
      <xdr:row>1</xdr:row>
      <xdr:rowOff>1449846</xdr:rowOff>
    </xdr:to>
    <xdr:sp macro="" textlink="">
      <xdr:nvSpPr>
        <xdr:cNvPr id="7" name="TextBox 6">
          <a:extLst>
            <a:ext uri="{FF2B5EF4-FFF2-40B4-BE49-F238E27FC236}">
              <a16:creationId xmlns:a16="http://schemas.microsoft.com/office/drawing/2014/main" id="{69191CD7-48E5-461E-8330-7AD9CC8E300D}"/>
            </a:ext>
          </a:extLst>
        </xdr:cNvPr>
        <xdr:cNvSpPr txBox="1"/>
      </xdr:nvSpPr>
      <xdr:spPr>
        <a:xfrm rot="20376796">
          <a:off x="10010775" y="469467"/>
          <a:ext cx="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8</xdr:col>
      <xdr:colOff>1141076</xdr:colOff>
      <xdr:row>1</xdr:row>
      <xdr:rowOff>927207</xdr:rowOff>
    </xdr:from>
    <xdr:to>
      <xdr:col>9</xdr:col>
      <xdr:colOff>183744</xdr:colOff>
      <xdr:row>1</xdr:row>
      <xdr:rowOff>1393236</xdr:rowOff>
    </xdr:to>
    <xdr:sp macro="" textlink="">
      <xdr:nvSpPr>
        <xdr:cNvPr id="8" name="TextBox 7">
          <a:extLst>
            <a:ext uri="{FF2B5EF4-FFF2-40B4-BE49-F238E27FC236}">
              <a16:creationId xmlns:a16="http://schemas.microsoft.com/office/drawing/2014/main" id="{7A40727C-1EFE-449B-AC56-CBF2C88950B3}"/>
            </a:ext>
          </a:extLst>
        </xdr:cNvPr>
        <xdr:cNvSpPr txBox="1"/>
      </xdr:nvSpPr>
      <xdr:spPr>
        <a:xfrm rot="20376796">
          <a:off x="10970876"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11</xdr:col>
      <xdr:colOff>2163428</xdr:colOff>
      <xdr:row>1</xdr:row>
      <xdr:rowOff>983817</xdr:rowOff>
    </xdr:from>
    <xdr:to>
      <xdr:col>11</xdr:col>
      <xdr:colOff>2783013</xdr:colOff>
      <xdr:row>1</xdr:row>
      <xdr:rowOff>1449846</xdr:rowOff>
    </xdr:to>
    <xdr:sp macro="" textlink="">
      <xdr:nvSpPr>
        <xdr:cNvPr id="9" name="TextBox 8">
          <a:extLst>
            <a:ext uri="{FF2B5EF4-FFF2-40B4-BE49-F238E27FC236}">
              <a16:creationId xmlns:a16="http://schemas.microsoft.com/office/drawing/2014/main" id="{A43BEE6D-07B8-45DF-84E5-48E4E2B652CF}"/>
            </a:ext>
          </a:extLst>
        </xdr:cNvPr>
        <xdr:cNvSpPr txBox="1"/>
      </xdr:nvSpPr>
      <xdr:spPr>
        <a:xfrm rot="20376796">
          <a:off x="124694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12</xdr:col>
      <xdr:colOff>1141076</xdr:colOff>
      <xdr:row>1</xdr:row>
      <xdr:rowOff>927207</xdr:rowOff>
    </xdr:from>
    <xdr:to>
      <xdr:col>13</xdr:col>
      <xdr:colOff>183744</xdr:colOff>
      <xdr:row>1</xdr:row>
      <xdr:rowOff>1393236</xdr:rowOff>
    </xdr:to>
    <xdr:sp macro="" textlink="">
      <xdr:nvSpPr>
        <xdr:cNvPr id="10" name="TextBox 9">
          <a:extLst>
            <a:ext uri="{FF2B5EF4-FFF2-40B4-BE49-F238E27FC236}">
              <a16:creationId xmlns:a16="http://schemas.microsoft.com/office/drawing/2014/main" id="{E6B20DCB-BC57-4A49-8A74-84F368D2C7CF}"/>
            </a:ext>
          </a:extLst>
        </xdr:cNvPr>
        <xdr:cNvSpPr txBox="1"/>
      </xdr:nvSpPr>
      <xdr:spPr>
        <a:xfrm rot="20376796">
          <a:off x="135902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15</xdr:col>
      <xdr:colOff>2163428</xdr:colOff>
      <xdr:row>1</xdr:row>
      <xdr:rowOff>983817</xdr:rowOff>
    </xdr:from>
    <xdr:to>
      <xdr:col>15</xdr:col>
      <xdr:colOff>2783013</xdr:colOff>
      <xdr:row>1</xdr:row>
      <xdr:rowOff>1449846</xdr:rowOff>
    </xdr:to>
    <xdr:sp macro="" textlink="">
      <xdr:nvSpPr>
        <xdr:cNvPr id="11" name="TextBox 10">
          <a:extLst>
            <a:ext uri="{FF2B5EF4-FFF2-40B4-BE49-F238E27FC236}">
              <a16:creationId xmlns:a16="http://schemas.microsoft.com/office/drawing/2014/main" id="{953BDEF1-4F1F-460F-8E70-3D723222C3F4}"/>
            </a:ext>
          </a:extLst>
        </xdr:cNvPr>
        <xdr:cNvSpPr txBox="1"/>
      </xdr:nvSpPr>
      <xdr:spPr>
        <a:xfrm rot="20376796">
          <a:off x="15212678" y="469467"/>
          <a:ext cx="460"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16</xdr:col>
      <xdr:colOff>1141076</xdr:colOff>
      <xdr:row>1</xdr:row>
      <xdr:rowOff>927207</xdr:rowOff>
    </xdr:from>
    <xdr:to>
      <xdr:col>17</xdr:col>
      <xdr:colOff>183744</xdr:colOff>
      <xdr:row>1</xdr:row>
      <xdr:rowOff>1393236</xdr:rowOff>
    </xdr:to>
    <xdr:sp macro="" textlink="">
      <xdr:nvSpPr>
        <xdr:cNvPr id="12" name="TextBox 11">
          <a:extLst>
            <a:ext uri="{FF2B5EF4-FFF2-40B4-BE49-F238E27FC236}">
              <a16:creationId xmlns:a16="http://schemas.microsoft.com/office/drawing/2014/main" id="{B2367078-0FEA-4923-8D13-912E468EED3A}"/>
            </a:ext>
          </a:extLst>
        </xdr:cNvPr>
        <xdr:cNvSpPr txBox="1"/>
      </xdr:nvSpPr>
      <xdr:spPr>
        <a:xfrm rot="20376796">
          <a:off x="16333451" y="470007"/>
          <a:ext cx="185668" cy="0"/>
        </a:xfrm>
        <a:prstGeom prst="rect">
          <a:avLst/>
        </a:prstGeom>
        <a:noFill/>
        <a:ln w="9525" cmpd="sng">
          <a:noFill/>
        </a:ln>
        <a:effectLst>
          <a:outerShdw blurRad="50800" dist="50800" dir="5400000" algn="ctr" rotWithShape="0">
            <a:schemeClr val="accent3">
              <a:lumMod val="60000"/>
              <a:lumOff val="40000"/>
            </a:scheme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TCO</a:t>
          </a:r>
        </a:p>
      </xdr:txBody>
    </xdr:sp>
    <xdr:clientData/>
  </xdr:twoCellAnchor>
  <xdr:twoCellAnchor>
    <xdr:from>
      <xdr:col>26</xdr:col>
      <xdr:colOff>105242</xdr:colOff>
      <xdr:row>6</xdr:row>
      <xdr:rowOff>285749</xdr:rowOff>
    </xdr:from>
    <xdr:to>
      <xdr:col>30</xdr:col>
      <xdr:colOff>183473</xdr:colOff>
      <xdr:row>8</xdr:row>
      <xdr:rowOff>33617</xdr:rowOff>
    </xdr:to>
    <xdr:sp macro="" textlink="">
      <xdr:nvSpPr>
        <xdr:cNvPr id="13" name="Rectangular Callout 32">
          <a:extLst>
            <a:ext uri="{FF2B5EF4-FFF2-40B4-BE49-F238E27FC236}">
              <a16:creationId xmlns:a16="http://schemas.microsoft.com/office/drawing/2014/main" id="{55E5B40F-E812-43C8-BEC6-668D87D2FBF8}"/>
            </a:ext>
          </a:extLst>
        </xdr:cNvPr>
        <xdr:cNvSpPr/>
      </xdr:nvSpPr>
      <xdr:spPr>
        <a:xfrm>
          <a:off x="12150704" y="2117480"/>
          <a:ext cx="7200000" cy="246099"/>
        </a:xfrm>
        <a:prstGeom prst="wedgeRectCallout">
          <a:avLst>
            <a:gd name="adj1" fmla="val -66292"/>
            <a:gd name="adj2" fmla="val -839470"/>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1100" baseline="0">
              <a:solidFill>
                <a:schemeClr val="tx1"/>
              </a:solidFill>
              <a:effectLst/>
              <a:latin typeface="Arial" panose="020B0604020202020204" pitchFamily="34" charset="0"/>
              <a:ea typeface="+mn-ea"/>
              <a:cs typeface="Arial" panose="020B0604020202020204" pitchFamily="34" charset="0"/>
            </a:rPr>
            <a:t>Tryk på plus-tegnet i toppen, hvis du ønsker at tilføje flere produkter.</a:t>
          </a:r>
          <a:endParaRPr lang="da-DK" sz="1100">
            <a:solidFill>
              <a:schemeClr val="tx1"/>
            </a:solidFill>
            <a:effectLst/>
            <a:latin typeface="Arial" panose="020B0604020202020204" pitchFamily="34" charset="0"/>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endParaRPr lang="da-DK" sz="1100" baseline="0">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0</xdr:colOff>
      <xdr:row>119</xdr:row>
      <xdr:rowOff>167540</xdr:rowOff>
    </xdr:from>
    <xdr:to>
      <xdr:col>3</xdr:col>
      <xdr:colOff>315057</xdr:colOff>
      <xdr:row>137</xdr:row>
      <xdr:rowOff>159831</xdr:rowOff>
    </xdr:to>
    <xdr:graphicFrame macro="">
      <xdr:nvGraphicFramePr>
        <xdr:cNvPr id="16" name="Chart 15">
          <a:extLst>
            <a:ext uri="{FF2B5EF4-FFF2-40B4-BE49-F238E27FC236}">
              <a16:creationId xmlns:a16="http://schemas.microsoft.com/office/drawing/2014/main" id="{AB18483A-07A9-4814-A9FE-AD8D574081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105242</xdr:colOff>
      <xdr:row>101</xdr:row>
      <xdr:rowOff>16566</xdr:rowOff>
    </xdr:from>
    <xdr:to>
      <xdr:col>30</xdr:col>
      <xdr:colOff>183473</xdr:colOff>
      <xdr:row>102</xdr:row>
      <xdr:rowOff>125605</xdr:rowOff>
    </xdr:to>
    <xdr:sp macro="" textlink="">
      <xdr:nvSpPr>
        <xdr:cNvPr id="17" name="Rectangular Callout 45">
          <a:extLst>
            <a:ext uri="{FF2B5EF4-FFF2-40B4-BE49-F238E27FC236}">
              <a16:creationId xmlns:a16="http://schemas.microsoft.com/office/drawing/2014/main" id="{3FA552AA-8066-411A-A02A-374B2659F9D8}"/>
            </a:ext>
          </a:extLst>
        </xdr:cNvPr>
        <xdr:cNvSpPr/>
      </xdr:nvSpPr>
      <xdr:spPr>
        <a:xfrm>
          <a:off x="12866649" y="21130665"/>
          <a:ext cx="7643802" cy="301632"/>
        </a:xfrm>
        <a:prstGeom prst="wedgeRectCallout">
          <a:avLst>
            <a:gd name="adj1" fmla="val -61571"/>
            <a:gd name="adj2" fmla="val -21241"/>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Akkumulerede samlede nettoomkostninger (nutidsværdi) viser udviklingen i de samlede akkumulerede nettoomkostninger over TCO-beregningsperioden.  </a:t>
          </a:r>
        </a:p>
      </xdr:txBody>
    </xdr:sp>
    <xdr:clientData/>
  </xdr:twoCellAnchor>
  <xdr:twoCellAnchor>
    <xdr:from>
      <xdr:col>26</xdr:col>
      <xdr:colOff>105242</xdr:colOff>
      <xdr:row>103</xdr:row>
      <xdr:rowOff>181997</xdr:rowOff>
    </xdr:from>
    <xdr:to>
      <xdr:col>30</xdr:col>
      <xdr:colOff>183473</xdr:colOff>
      <xdr:row>105</xdr:row>
      <xdr:rowOff>20935</xdr:rowOff>
    </xdr:to>
    <xdr:sp macro="" textlink="">
      <xdr:nvSpPr>
        <xdr:cNvPr id="18" name="Rectangular Callout 45">
          <a:extLst>
            <a:ext uri="{FF2B5EF4-FFF2-40B4-BE49-F238E27FC236}">
              <a16:creationId xmlns:a16="http://schemas.microsoft.com/office/drawing/2014/main" id="{310016EC-7083-4866-B2DA-EC673694AA05}"/>
            </a:ext>
          </a:extLst>
        </xdr:cNvPr>
        <xdr:cNvSpPr/>
      </xdr:nvSpPr>
      <xdr:spPr>
        <a:xfrm>
          <a:off x="12866649" y="21681282"/>
          <a:ext cx="7643802" cy="224125"/>
        </a:xfrm>
        <a:prstGeom prst="wedgeRectCallout">
          <a:avLst>
            <a:gd name="adj1" fmla="val -61048"/>
            <a:gd name="adj2" fmla="val -21414"/>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TCO for den angivne tidsperiode (nutidsværdi) viser TCO over den valgte evalueringsperioden for hvert enkelt produkt. </a:t>
          </a:r>
        </a:p>
      </xdr:txBody>
    </xdr:sp>
    <xdr:clientData/>
  </xdr:twoCellAnchor>
  <xdr:twoCellAnchor>
    <xdr:from>
      <xdr:col>26</xdr:col>
      <xdr:colOff>105242</xdr:colOff>
      <xdr:row>119</xdr:row>
      <xdr:rowOff>37420</xdr:rowOff>
    </xdr:from>
    <xdr:to>
      <xdr:col>30</xdr:col>
      <xdr:colOff>183473</xdr:colOff>
      <xdr:row>121</xdr:row>
      <xdr:rowOff>163286</xdr:rowOff>
    </xdr:to>
    <xdr:sp macro="" textlink="">
      <xdr:nvSpPr>
        <xdr:cNvPr id="19" name="Rectangular Callout 45">
          <a:extLst>
            <a:ext uri="{FF2B5EF4-FFF2-40B4-BE49-F238E27FC236}">
              <a16:creationId xmlns:a16="http://schemas.microsoft.com/office/drawing/2014/main" id="{EC489C1C-1BB2-49C3-A1E6-673A7D34F639}"/>
            </a:ext>
          </a:extLst>
        </xdr:cNvPr>
        <xdr:cNvSpPr/>
      </xdr:nvSpPr>
      <xdr:spPr>
        <a:xfrm>
          <a:off x="12866649" y="24618200"/>
          <a:ext cx="7643802" cy="511053"/>
        </a:xfrm>
        <a:prstGeom prst="wedgeRectCallout">
          <a:avLst>
            <a:gd name="adj1" fmla="val -62238"/>
            <a:gd name="adj2" fmla="val -13380"/>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nchorCtr="0"/>
        <a:lstStyle/>
        <a:p>
          <a:pPr marL="0" marR="0" indent="0" algn="l" defTabSz="914400" eaLnBrk="1" fontAlgn="auto" latinLnBrk="0" hangingPunct="1">
            <a:lnSpc>
              <a:spcPct val="100000"/>
            </a:lnSpc>
            <a:spcBef>
              <a:spcPts val="0"/>
            </a:spcBef>
            <a:spcAft>
              <a:spcPts val="0"/>
            </a:spcAft>
            <a:buClrTx/>
            <a:buSzTx/>
            <a:buFontTx/>
            <a:buNone/>
            <a:tabLst/>
            <a:defRPr/>
          </a:pPr>
          <a:r>
            <a:rPr lang="da-DK" sz="800" b="0" baseline="0">
              <a:solidFill>
                <a:sysClr val="windowText" lastClr="000000"/>
              </a:solidFill>
              <a:latin typeface="Arial"/>
              <a:ea typeface="+mn-ea"/>
              <a:cs typeface="Arial"/>
            </a:rPr>
            <a:t>Årlige gennemsnitlige omkostninger, dvs. TCO divideret med levetiden, viser de gennemsnitlige årlige omkostninger for levetider mellem 1 og 20 år. Figuren kan bruges til at vise de årlige omkostninger ved en bestemt levetid. </a:t>
          </a:r>
        </a:p>
      </xdr:txBody>
    </xdr:sp>
    <xdr:clientData/>
  </xdr:twoCellAnchor>
  <xdr:twoCellAnchor>
    <xdr:from>
      <xdr:col>26</xdr:col>
      <xdr:colOff>105242</xdr:colOff>
      <xdr:row>27</xdr:row>
      <xdr:rowOff>70487</xdr:rowOff>
    </xdr:from>
    <xdr:to>
      <xdr:col>30</xdr:col>
      <xdr:colOff>183473</xdr:colOff>
      <xdr:row>29</xdr:row>
      <xdr:rowOff>4570</xdr:rowOff>
    </xdr:to>
    <xdr:sp macro="" textlink="">
      <xdr:nvSpPr>
        <xdr:cNvPr id="20" name="Rectangular Callout 20">
          <a:extLst>
            <a:ext uri="{FF2B5EF4-FFF2-40B4-BE49-F238E27FC236}">
              <a16:creationId xmlns:a16="http://schemas.microsoft.com/office/drawing/2014/main" id="{3D81F755-A26C-4379-BE77-26A5187D8DAA}"/>
            </a:ext>
          </a:extLst>
        </xdr:cNvPr>
        <xdr:cNvSpPr/>
      </xdr:nvSpPr>
      <xdr:spPr>
        <a:xfrm>
          <a:off x="12150704" y="6137179"/>
          <a:ext cx="7200000" cy="432314"/>
        </a:xfrm>
        <a:prstGeom prst="wedgeRectCallout">
          <a:avLst>
            <a:gd name="adj1" fmla="val -59627"/>
            <a:gd name="adj2" fmla="val 20675"/>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De eksterne virkninger på miljøet som følge af CO2-emissioner ved strømforbruget under brugsfasen bliver medregnet i TCO-beregningen som standard. Det kan fravælges ved at vælge 'Nej'. </a:t>
          </a:r>
          <a:endParaRPr lang="da-DK" sz="800">
            <a:solidFill>
              <a:schemeClr val="tx1">
                <a:lumMod val="65000"/>
                <a:lumOff val="35000"/>
              </a:schemeClr>
            </a:solidFill>
            <a:latin typeface="Arial"/>
            <a:cs typeface="Arial"/>
          </a:endParaRPr>
        </a:p>
      </xdr:txBody>
    </xdr:sp>
    <xdr:clientData/>
  </xdr:twoCellAnchor>
  <xdr:twoCellAnchor>
    <xdr:from>
      <xdr:col>26</xdr:col>
      <xdr:colOff>105242</xdr:colOff>
      <xdr:row>29</xdr:row>
      <xdr:rowOff>95746</xdr:rowOff>
    </xdr:from>
    <xdr:to>
      <xdr:col>30</xdr:col>
      <xdr:colOff>183473</xdr:colOff>
      <xdr:row>32</xdr:row>
      <xdr:rowOff>83198</xdr:rowOff>
    </xdr:to>
    <xdr:sp macro="" textlink="">
      <xdr:nvSpPr>
        <xdr:cNvPr id="21" name="Rectangular Callout 20">
          <a:extLst>
            <a:ext uri="{FF2B5EF4-FFF2-40B4-BE49-F238E27FC236}">
              <a16:creationId xmlns:a16="http://schemas.microsoft.com/office/drawing/2014/main" id="{724E41CB-9CEC-4298-A0E0-D249FCB122CB}"/>
            </a:ext>
          </a:extLst>
        </xdr:cNvPr>
        <xdr:cNvSpPr/>
      </xdr:nvSpPr>
      <xdr:spPr>
        <a:xfrm>
          <a:off x="12150704" y="6660669"/>
          <a:ext cx="7200000" cy="558952"/>
        </a:xfrm>
        <a:prstGeom prst="wedgeRectCallout">
          <a:avLst>
            <a:gd name="adj1" fmla="val -59699"/>
            <a:gd name="adj2" fmla="val 18672"/>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elproduktionen, fx hvis organisationen har en el-leveringsaftale med lave CO2-emissioner. Standard-emissionsfaktoren er fastlagt efter Energistyrelsens rapport, 'Samfundsøkonomiske beregningsforudsætninger for energipriser og emissioner, oktober 2019' inkl. fremskrivningen heraf. Hvis egen emissionsfaktor angives, bruges den samme for hvert år i evalueringsperioden. </a:t>
          </a:r>
          <a:endParaRPr lang="da-DK" sz="800">
            <a:solidFill>
              <a:schemeClr val="tx1">
                <a:lumMod val="65000"/>
                <a:lumOff val="35000"/>
              </a:schemeClr>
            </a:solidFill>
            <a:latin typeface="Arial"/>
            <a:cs typeface="Arial"/>
          </a:endParaRPr>
        </a:p>
      </xdr:txBody>
    </xdr:sp>
    <xdr:clientData/>
  </xdr:twoCellAnchor>
  <xdr:twoCellAnchor>
    <xdr:from>
      <xdr:col>26</xdr:col>
      <xdr:colOff>105242</xdr:colOff>
      <xdr:row>40</xdr:row>
      <xdr:rowOff>77900</xdr:rowOff>
    </xdr:from>
    <xdr:to>
      <xdr:col>30</xdr:col>
      <xdr:colOff>183473</xdr:colOff>
      <xdr:row>44</xdr:row>
      <xdr:rowOff>157369</xdr:rowOff>
    </xdr:to>
    <xdr:sp macro="" textlink="">
      <xdr:nvSpPr>
        <xdr:cNvPr id="22" name="Rectangular Callout 20">
          <a:extLst>
            <a:ext uri="{FF2B5EF4-FFF2-40B4-BE49-F238E27FC236}">
              <a16:creationId xmlns:a16="http://schemas.microsoft.com/office/drawing/2014/main" id="{9DE16A53-41BE-403D-874D-AD7DE465A13C}"/>
            </a:ext>
          </a:extLst>
        </xdr:cNvPr>
        <xdr:cNvSpPr/>
      </xdr:nvSpPr>
      <xdr:spPr>
        <a:xfrm>
          <a:off x="12139872" y="8766357"/>
          <a:ext cx="7201275" cy="841469"/>
        </a:xfrm>
        <a:prstGeom prst="wedgeRectCallout">
          <a:avLst>
            <a:gd name="adj1" fmla="val -58943"/>
            <a:gd name="adj2" fmla="val -15529"/>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hvorvidt det ønskes at anvende en standard-værdisætning af de samfundsøkonomiske omkostninger ved eksterne virkninger på miljøet eller egen værdisætning. Standardværdien er fastlagt efter Klimarådets anbefaling for en CO2-afgift i 2030 på 1.500 kr./tons, som er nærmere beskrevet i deres rapport "Kendte veje og nye spor til en 70% reduktion" fra marts 2020.</a:t>
          </a:r>
        </a:p>
        <a:p>
          <a:pPr algn="l"/>
          <a:r>
            <a:rPr lang="da-DK" sz="800" baseline="0">
              <a:solidFill>
                <a:schemeClr val="tx1">
                  <a:lumMod val="65000"/>
                  <a:lumOff val="35000"/>
                </a:schemeClr>
              </a:solidFill>
              <a:latin typeface="Arial"/>
              <a:ea typeface="+mn-ea"/>
              <a:cs typeface="Arial"/>
            </a:rPr>
            <a:t> </a:t>
          </a:r>
        </a:p>
        <a:p>
          <a:pPr algn="l"/>
          <a:r>
            <a:rPr lang="da-DK" sz="800" baseline="0">
              <a:solidFill>
                <a:schemeClr val="tx1">
                  <a:lumMod val="65000"/>
                  <a:lumOff val="35000"/>
                </a:schemeClr>
              </a:solidFill>
              <a:latin typeface="Arial"/>
              <a:ea typeface="+mn-ea"/>
              <a:cs typeface="Arial"/>
            </a:rPr>
            <a:t>Alternativt kan der anvendes 5000 kr./tons, som er redegjort for i et metodestudie udført af Umweltbundesamt (den tyske føderale miljøstyrelse): 'Umweltbundesamt (2019): Methodological Convention 3.0 for the Assessment of Environmental Costs'. </a:t>
          </a:r>
        </a:p>
      </xdr:txBody>
    </xdr:sp>
    <xdr:clientData/>
  </xdr:twoCellAnchor>
  <xdr:twoCellAnchor>
    <xdr:from>
      <xdr:col>26</xdr:col>
      <xdr:colOff>105242</xdr:colOff>
      <xdr:row>33</xdr:row>
      <xdr:rowOff>84738</xdr:rowOff>
    </xdr:from>
    <xdr:to>
      <xdr:col>30</xdr:col>
      <xdr:colOff>183473</xdr:colOff>
      <xdr:row>39</xdr:row>
      <xdr:rowOff>109585</xdr:rowOff>
    </xdr:to>
    <xdr:sp macro="" textlink="">
      <xdr:nvSpPr>
        <xdr:cNvPr id="23" name="Rectangular Callout 20">
          <a:extLst>
            <a:ext uri="{FF2B5EF4-FFF2-40B4-BE49-F238E27FC236}">
              <a16:creationId xmlns:a16="http://schemas.microsoft.com/office/drawing/2014/main" id="{8AFB9746-D10B-4F69-A3BF-0FCD84E087CF}"/>
            </a:ext>
          </a:extLst>
        </xdr:cNvPr>
        <xdr:cNvSpPr/>
      </xdr:nvSpPr>
      <xdr:spPr>
        <a:xfrm>
          <a:off x="12150704" y="7411661"/>
          <a:ext cx="7200000" cy="1167847"/>
        </a:xfrm>
        <a:prstGeom prst="wedgeRectCallout">
          <a:avLst>
            <a:gd name="adj1" fmla="val -60048"/>
            <a:gd name="adj2" fmla="val -20101"/>
          </a:avLst>
        </a:prstGeom>
        <a:solidFill>
          <a:schemeClr val="accent3">
            <a:lumMod val="40000"/>
            <a:lumOff val="60000"/>
          </a:schemeClr>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Angiv, om det ønskes at anvende en standard-emisssionsfaktor eller egen CO2-emissionsfaktor ved brændstofforbrug, så skal det indtastes her. Standardværdierne er fastsat ud fra IPCC's Fifth Assessment Report, fra 2014, s. 1355, hvor emissionsfaktoren for benzin og diesel er hhv. 2,8 kg  CO2e/liter og 3,2 kg CO2e/liter. Dertil antages det at der iblandes bioetanol, og ifølge drivkraftdanmark.dk iblandes der 10% bioetanol i benzin (E10) og 7% bioetanol i diesel (B7). Dermed fastsætter vi standardemisionsfaktorerne til at være 2,52 kg CO2e/liter for benzin (E10) og 2,98 kg CO2e/liter for diesel (B7). IPCC er i gang med at udarbejde deres Sixth Assessment Report, hvori der kan blive introduceret nye emissionsfaktorer. </a:t>
          </a:r>
        </a:p>
        <a:p>
          <a:pPr algn="l"/>
          <a:endParaRPr lang="da-DK" sz="800" baseline="0">
            <a:solidFill>
              <a:schemeClr val="tx1">
                <a:lumMod val="65000"/>
                <a:lumOff val="35000"/>
              </a:schemeClr>
            </a:solidFill>
            <a:latin typeface="Arial"/>
            <a:ea typeface="+mn-ea"/>
            <a:cs typeface="Arial"/>
          </a:endParaRPr>
        </a:p>
        <a:p>
          <a:pPr algn="l"/>
          <a:r>
            <a:rPr lang="da-DK" sz="800" baseline="0">
              <a:solidFill>
                <a:schemeClr val="tx1">
                  <a:lumMod val="65000"/>
                  <a:lumOff val="35000"/>
                </a:schemeClr>
              </a:solidFill>
              <a:latin typeface="Arial"/>
              <a:ea typeface="+mn-ea"/>
              <a:cs typeface="Arial"/>
            </a:rPr>
            <a:t>Det er muligt at anvende egne emissionsfaktorer. I så fald vil vi anbefale at der kun anvendes dokumenterede værdier, hvori udledning fra produktion ogdistribution, og ikke alene forbrændingen, af brændstofferne også indgår i estimatet. </a:t>
          </a:r>
          <a:endParaRPr lang="da-DK" sz="800"/>
        </a:p>
      </xdr:txBody>
    </xdr:sp>
    <xdr:clientData/>
  </xdr:twoCellAnchor>
  <xdr:twoCellAnchor>
    <xdr:from>
      <xdr:col>26</xdr:col>
      <xdr:colOff>105242</xdr:colOff>
      <xdr:row>65</xdr:row>
      <xdr:rowOff>117231</xdr:rowOff>
    </xdr:from>
    <xdr:to>
      <xdr:col>30</xdr:col>
      <xdr:colOff>183473</xdr:colOff>
      <xdr:row>70</xdr:row>
      <xdr:rowOff>58614</xdr:rowOff>
    </xdr:to>
    <xdr:sp macro="" textlink="">
      <xdr:nvSpPr>
        <xdr:cNvPr id="24" name="Rectangular Callout 17">
          <a:extLst>
            <a:ext uri="{FF2B5EF4-FFF2-40B4-BE49-F238E27FC236}">
              <a16:creationId xmlns:a16="http://schemas.microsoft.com/office/drawing/2014/main" id="{BF31F01A-1457-471D-8E35-80194E921A5C}"/>
            </a:ext>
          </a:extLst>
        </xdr:cNvPr>
        <xdr:cNvSpPr/>
      </xdr:nvSpPr>
      <xdr:spPr>
        <a:xfrm>
          <a:off x="12150704" y="14023731"/>
          <a:ext cx="7200000" cy="893883"/>
        </a:xfrm>
        <a:prstGeom prst="wedgeRectCallout">
          <a:avLst>
            <a:gd name="adj1" fmla="val -60207"/>
            <a:gd name="adj2" fmla="val -28054"/>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Standard-elprisen er sat ud fra 1. år for brugsperioden, Energistyrelsens 'Samfundsøkonomiske beregningsforudsætninger for energipriser og emissioner, oktober 2019' og fastsættelse af tariffer og afgifter fra Energistyrelsens hjemmeside, www.ens.dk. I 2021 er elprisen sat til 1,85 kr./kWh ekskl. moms. Der er muligt at bruge egen elpris og elprisstigning ved at vælge 'Nej' til anvendelse af standardelpriser med gennemsnitlig fremskrivning. </a:t>
          </a:r>
        </a:p>
        <a:p>
          <a:endParaRPr lang="da-DK" sz="800">
            <a:solidFill>
              <a:schemeClr val="tx1">
                <a:lumMod val="65000"/>
                <a:lumOff val="35000"/>
              </a:schemeClr>
            </a:solidFill>
            <a:latin typeface="Arial"/>
            <a:ea typeface="+mn-ea"/>
            <a:cs typeface="Arial"/>
          </a:endParaRPr>
        </a:p>
        <a:p>
          <a:pPr marL="0" marR="0" lvl="0" indent="0" defTabSz="914400" eaLnBrk="1" fontAlgn="auto" latinLnBrk="0" hangingPunct="1">
            <a:lnSpc>
              <a:spcPct val="100000"/>
            </a:lnSpc>
            <a:spcBef>
              <a:spcPts val="0"/>
            </a:spcBef>
            <a:spcAft>
              <a:spcPts val="0"/>
            </a:spcAft>
            <a:buClrTx/>
            <a:buSzTx/>
            <a:buFontTx/>
            <a:buNone/>
            <a:tabLst/>
            <a:defRPr/>
          </a:pPr>
          <a:r>
            <a:rPr lang="da-DK" sz="800">
              <a:solidFill>
                <a:schemeClr val="tx1">
                  <a:lumMod val="65000"/>
                  <a:lumOff val="35000"/>
                </a:schemeClr>
              </a:solidFill>
              <a:latin typeface="Arial"/>
              <a:ea typeface="+mn-ea"/>
              <a:cs typeface="Arial"/>
            </a:rPr>
            <a:t>Elprisen fremskrives over TCO-evalueringsperioden med den gennemsnitlige årlige elprisstigning fra Energistyrelsen, 1,67 %, ud fra Energistyrelsens 'Samfundsøkonomiske beregningsforudsætninger for energipriser og emissioner, oktober 2019'. Elprisstigningen kan ændres, hvis det ønskes.</a:t>
          </a:r>
          <a:endParaRPr lang="en-DK" sz="800">
            <a:solidFill>
              <a:schemeClr val="tx1">
                <a:lumMod val="65000"/>
                <a:lumOff val="35000"/>
              </a:schemeClr>
            </a:solidFill>
            <a:latin typeface="Arial"/>
            <a:ea typeface="+mn-ea"/>
            <a:cs typeface="Arial"/>
          </a:endParaRPr>
        </a:p>
        <a:p>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105242</xdr:colOff>
      <xdr:row>71</xdr:row>
      <xdr:rowOff>73269</xdr:rowOff>
    </xdr:from>
    <xdr:to>
      <xdr:col>30</xdr:col>
      <xdr:colOff>183473</xdr:colOff>
      <xdr:row>77</xdr:row>
      <xdr:rowOff>40821</xdr:rowOff>
    </xdr:to>
    <xdr:sp macro="" textlink="">
      <xdr:nvSpPr>
        <xdr:cNvPr id="25" name="Rectangular Callout 17">
          <a:extLst>
            <a:ext uri="{FF2B5EF4-FFF2-40B4-BE49-F238E27FC236}">
              <a16:creationId xmlns:a16="http://schemas.microsoft.com/office/drawing/2014/main" id="{281D2F47-C2FE-4D47-97FC-DFE22ECE6C2C}"/>
            </a:ext>
          </a:extLst>
        </xdr:cNvPr>
        <xdr:cNvSpPr/>
      </xdr:nvSpPr>
      <xdr:spPr>
        <a:xfrm>
          <a:off x="12150704" y="15122769"/>
          <a:ext cx="7200000" cy="1110552"/>
        </a:xfrm>
        <a:prstGeom prst="wedgeRectCallout">
          <a:avLst>
            <a:gd name="adj1" fmla="val -60236"/>
            <a:gd name="adj2" fmla="val -1555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Standard-benzinprisen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4,08 kr/liter, hvorefter der tillægges en række afgifter efter drivkraftsdanmark.dk's opgørelse, der samlet udgør 8,74 kr./liter benzin. Der anvendes en årlig prisstigning på 1,39%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egene værdier for benzin på samme vilkår. I så fald anbefales det at anvende priser og afgifter der fremgår af jeres benzinregning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xdr:col>
      <xdr:colOff>5729653</xdr:colOff>
      <xdr:row>120</xdr:row>
      <xdr:rowOff>117232</xdr:rowOff>
    </xdr:from>
    <xdr:to>
      <xdr:col>21</xdr:col>
      <xdr:colOff>117231</xdr:colOff>
      <xdr:row>137</xdr:row>
      <xdr:rowOff>73269</xdr:rowOff>
    </xdr:to>
    <xdr:graphicFrame macro="">
      <xdr:nvGraphicFramePr>
        <xdr:cNvPr id="26" name="Chart 25">
          <a:extLst>
            <a:ext uri="{FF2B5EF4-FFF2-40B4-BE49-F238E27FC236}">
              <a16:creationId xmlns:a16="http://schemas.microsoft.com/office/drawing/2014/main" id="{D9052237-37A3-4983-975E-510B76204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105242</xdr:colOff>
      <xdr:row>54</xdr:row>
      <xdr:rowOff>52338</xdr:rowOff>
    </xdr:from>
    <xdr:to>
      <xdr:col>30</xdr:col>
      <xdr:colOff>183473</xdr:colOff>
      <xdr:row>56</xdr:row>
      <xdr:rowOff>108857</xdr:rowOff>
    </xdr:to>
    <xdr:sp macro="" textlink="">
      <xdr:nvSpPr>
        <xdr:cNvPr id="28" name="Rectangular Callout 21">
          <a:extLst>
            <a:ext uri="{FF2B5EF4-FFF2-40B4-BE49-F238E27FC236}">
              <a16:creationId xmlns:a16="http://schemas.microsoft.com/office/drawing/2014/main" id="{C9976905-AE6F-403F-BA4D-54108C32C298}"/>
            </a:ext>
          </a:extLst>
        </xdr:cNvPr>
        <xdr:cNvSpPr/>
      </xdr:nvSpPr>
      <xdr:spPr>
        <a:xfrm>
          <a:off x="12866649" y="11750294"/>
          <a:ext cx="7643802" cy="441706"/>
        </a:xfrm>
        <a:prstGeom prst="wedgeRectCallout">
          <a:avLst>
            <a:gd name="adj1" fmla="val -59929"/>
            <a:gd name="adj2" fmla="val 32643"/>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eaLnBrk="1" fontAlgn="auto" latinLnBrk="0" hangingPunct="1"/>
          <a:r>
            <a:rPr lang="da-DK" sz="800" baseline="0">
              <a:solidFill>
                <a:schemeClr val="tx1">
                  <a:lumMod val="65000"/>
                  <a:lumOff val="35000"/>
                </a:schemeClr>
              </a:solidFill>
              <a:latin typeface="Arial"/>
              <a:ea typeface="+mn-ea"/>
              <a:cs typeface="Arial"/>
            </a:rPr>
            <a:t>Diskonteringsrenten bruges til beregning af nutidsværdien af fremtidige driftsudgifter. Ved samfundsøkonomiske beregninger anbefaler Finansministeriet at bruge en rente på 3,5 %. Hvis I ønsker en simpel beregning, sæt renten til 0 %.</a:t>
          </a:r>
        </a:p>
      </xdr:txBody>
    </xdr:sp>
    <xdr:clientData/>
  </xdr:twoCellAnchor>
  <xdr:twoCellAnchor>
    <xdr:from>
      <xdr:col>26</xdr:col>
      <xdr:colOff>105242</xdr:colOff>
      <xdr:row>86</xdr:row>
      <xdr:rowOff>169252</xdr:rowOff>
    </xdr:from>
    <xdr:to>
      <xdr:col>30</xdr:col>
      <xdr:colOff>183473</xdr:colOff>
      <xdr:row>88</xdr:row>
      <xdr:rowOff>124558</xdr:rowOff>
    </xdr:to>
    <xdr:sp macro="" textlink="">
      <xdr:nvSpPr>
        <xdr:cNvPr id="29" name="Rectangular Callout 24">
          <a:extLst>
            <a:ext uri="{FF2B5EF4-FFF2-40B4-BE49-F238E27FC236}">
              <a16:creationId xmlns:a16="http://schemas.microsoft.com/office/drawing/2014/main" id="{D3EBF332-2F86-4FED-A328-FFB9FBA6D778}"/>
            </a:ext>
          </a:extLst>
        </xdr:cNvPr>
        <xdr:cNvSpPr/>
      </xdr:nvSpPr>
      <xdr:spPr>
        <a:xfrm>
          <a:off x="12150704" y="18076252"/>
          <a:ext cx="7200000" cy="336306"/>
        </a:xfrm>
        <a:prstGeom prst="wedgeRectCallout">
          <a:avLst>
            <a:gd name="adj1" fmla="val -59267"/>
            <a:gd name="adj2" fmla="val -55910"/>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Hvis der er forskel i hvilke delelementer, der er omfattet af de forskellige tilbud, kan evt. prisforskel indtastes her. Dette sikrer, at sammenligningsgrundlaget er ens i de forskellige tilbud. </a:t>
          </a:r>
        </a:p>
      </xdr:txBody>
    </xdr:sp>
    <xdr:clientData/>
  </xdr:twoCellAnchor>
  <xdr:twoCellAnchor>
    <xdr:from>
      <xdr:col>26</xdr:col>
      <xdr:colOff>105242</xdr:colOff>
      <xdr:row>84</xdr:row>
      <xdr:rowOff>166321</xdr:rowOff>
    </xdr:from>
    <xdr:to>
      <xdr:col>30</xdr:col>
      <xdr:colOff>183473</xdr:colOff>
      <xdr:row>86</xdr:row>
      <xdr:rowOff>121627</xdr:rowOff>
    </xdr:to>
    <xdr:sp macro="" textlink="">
      <xdr:nvSpPr>
        <xdr:cNvPr id="30" name="Rectangular Callout 24">
          <a:extLst>
            <a:ext uri="{FF2B5EF4-FFF2-40B4-BE49-F238E27FC236}">
              <a16:creationId xmlns:a16="http://schemas.microsoft.com/office/drawing/2014/main" id="{8BC97D1A-3F14-48FD-8B51-20AC6050168E}"/>
            </a:ext>
          </a:extLst>
        </xdr:cNvPr>
        <xdr:cNvSpPr/>
      </xdr:nvSpPr>
      <xdr:spPr>
        <a:xfrm>
          <a:off x="12150704" y="17692321"/>
          <a:ext cx="7200000" cy="336306"/>
        </a:xfrm>
        <a:prstGeom prst="wedgeRectCallout">
          <a:avLst>
            <a:gd name="adj1" fmla="val -58970"/>
            <a:gd name="adj2" fmla="val -10196"/>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Sammenligningsgrundlaget skal være ens for de udbudte køretøjer. Hvis I er selvforsikret skal der her estimeres en udgift, som lægges til prisen for ansvarsforsikringen. </a:t>
          </a:r>
        </a:p>
      </xdr:txBody>
    </xdr:sp>
    <xdr:clientData/>
  </xdr:twoCellAnchor>
  <xdr:twoCellAnchor>
    <xdr:from>
      <xdr:col>26</xdr:col>
      <xdr:colOff>105242</xdr:colOff>
      <xdr:row>78</xdr:row>
      <xdr:rowOff>58615</xdr:rowOff>
    </xdr:from>
    <xdr:to>
      <xdr:col>30</xdr:col>
      <xdr:colOff>183473</xdr:colOff>
      <xdr:row>84</xdr:row>
      <xdr:rowOff>27215</xdr:rowOff>
    </xdr:to>
    <xdr:sp macro="" textlink="">
      <xdr:nvSpPr>
        <xdr:cNvPr id="31" name="Rectangular Callout 17">
          <a:extLst>
            <a:ext uri="{FF2B5EF4-FFF2-40B4-BE49-F238E27FC236}">
              <a16:creationId xmlns:a16="http://schemas.microsoft.com/office/drawing/2014/main" id="{3E2BF8E0-E152-4576-8C93-B28F5C679006}"/>
            </a:ext>
          </a:extLst>
        </xdr:cNvPr>
        <xdr:cNvSpPr/>
      </xdr:nvSpPr>
      <xdr:spPr>
        <a:xfrm>
          <a:off x="12150704" y="16441615"/>
          <a:ext cx="7200000" cy="1111600"/>
        </a:xfrm>
        <a:prstGeom prst="wedgeRectCallout">
          <a:avLst>
            <a:gd name="adj1" fmla="val -59218"/>
            <a:gd name="adj2" fmla="val -10869"/>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r>
            <a:rPr lang="da-DK" sz="800">
              <a:solidFill>
                <a:schemeClr val="tx1">
                  <a:lumMod val="65000"/>
                  <a:lumOff val="35000"/>
                </a:schemeClr>
              </a:solidFill>
              <a:latin typeface="Arial"/>
              <a:ea typeface="+mn-ea"/>
              <a:cs typeface="Arial"/>
            </a:rPr>
            <a:t>Standard-dieselprisen er sat ud fra 1. år for brugsperioden, og er fastsat</a:t>
          </a:r>
          <a:r>
            <a:rPr lang="da-DK" sz="800" baseline="0">
              <a:solidFill>
                <a:schemeClr val="tx1">
                  <a:lumMod val="65000"/>
                  <a:lumOff val="35000"/>
                </a:schemeClr>
              </a:solidFill>
              <a:latin typeface="Arial"/>
              <a:ea typeface="+mn-ea"/>
              <a:cs typeface="Arial"/>
            </a:rPr>
            <a:t> efter Energistyrelsens 'Fremskrivning af brændselspriser og CO2-kvotepris' af 28. august 2019, hvor en rå produktpris er estimeret og fremskrevet. Denne produktpris er pr. 2021 sat til 4,39 kr/liter, hvorefter der tillægges en række afgifter efter drivkraftsdanmark.dk's opgørelse, der samlet udgør 7,63 kr./liter benzin. Der anvendes en årlig prisstigning på 1,45% for selve produktet, hvor afgifterne er undtaget stigningen. Ligeledes er moms ekskluderet fra denne pris grundet mulighederne for momsrefusion. </a:t>
          </a:r>
        </a:p>
        <a:p>
          <a:endParaRPr lang="da-DK" sz="800" baseline="0">
            <a:solidFill>
              <a:schemeClr val="tx1">
                <a:lumMod val="65000"/>
                <a:lumOff val="35000"/>
              </a:schemeClr>
            </a:solidFill>
            <a:latin typeface="Arial"/>
            <a:ea typeface="+mn-ea"/>
            <a:cs typeface="Arial"/>
          </a:endParaRPr>
        </a:p>
        <a:p>
          <a:endParaRPr lang="da-DK" sz="800" baseline="0">
            <a:solidFill>
              <a:schemeClr val="tx1">
                <a:lumMod val="65000"/>
                <a:lumOff val="35000"/>
              </a:schemeClr>
            </a:solidFill>
            <a:latin typeface="Arial"/>
            <a:ea typeface="+mn-ea"/>
            <a:cs typeface="Arial"/>
          </a:endParaRPr>
        </a:p>
        <a:p>
          <a:r>
            <a:rPr lang="da-DK" sz="800" baseline="0">
              <a:solidFill>
                <a:schemeClr val="tx1">
                  <a:lumMod val="65000"/>
                  <a:lumOff val="35000"/>
                </a:schemeClr>
              </a:solidFill>
              <a:latin typeface="Arial"/>
              <a:ea typeface="+mn-ea"/>
              <a:cs typeface="Arial"/>
            </a:rPr>
            <a:t>Det vil være muligt at anvende egne værdier for dieselpå samme vilkår. I så fald anbefales det at anvende priser og afgifter der fremgår af jeres dieselregning eller kan indhentes hos jeres leverandør. </a:t>
          </a:r>
          <a:endParaRPr lang="en-DK" sz="800">
            <a:solidFill>
              <a:schemeClr val="tx1">
                <a:lumMod val="65000"/>
                <a:lumOff val="35000"/>
              </a:schemeClr>
            </a:solidFill>
            <a:latin typeface="Arial"/>
            <a:ea typeface="+mn-ea"/>
            <a:cs typeface="Arial"/>
          </a:endParaRPr>
        </a:p>
      </xdr:txBody>
    </xdr:sp>
    <xdr:clientData/>
  </xdr:twoCellAnchor>
  <xdr:twoCellAnchor>
    <xdr:from>
      <xdr:col>26</xdr:col>
      <xdr:colOff>105242</xdr:colOff>
      <xdr:row>18</xdr:row>
      <xdr:rowOff>4907</xdr:rowOff>
    </xdr:from>
    <xdr:to>
      <xdr:col>30</xdr:col>
      <xdr:colOff>183473</xdr:colOff>
      <xdr:row>20</xdr:row>
      <xdr:rowOff>14653</xdr:rowOff>
    </xdr:to>
    <xdr:sp macro="" textlink="">
      <xdr:nvSpPr>
        <xdr:cNvPr id="36" name="Rectangular Callout 16">
          <a:extLst>
            <a:ext uri="{FF2B5EF4-FFF2-40B4-BE49-F238E27FC236}">
              <a16:creationId xmlns:a16="http://schemas.microsoft.com/office/drawing/2014/main" id="{B948E7BD-4FA1-42DA-92A9-095466479E77}"/>
            </a:ext>
          </a:extLst>
        </xdr:cNvPr>
        <xdr:cNvSpPr/>
      </xdr:nvSpPr>
      <xdr:spPr>
        <a:xfrm>
          <a:off x="12150704" y="4239869"/>
          <a:ext cx="7200000" cy="390746"/>
        </a:xfrm>
        <a:prstGeom prst="wedgeRectCallout">
          <a:avLst>
            <a:gd name="adj1" fmla="val -60621"/>
            <a:gd name="adj2" fmla="val -310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Grøn ejerafgift fastsættes via brændstofforbrugsafgiftsloven (LBK nr. 169 af 18.2.2020). Vægtafgift og grøn ejerafgift kan også beregnes via Skats hjemmeside (https://skat.dk/skat.aspx?oid=4052). </a:t>
          </a:r>
          <a:endParaRPr lang="da-DK" sz="800" baseline="0">
            <a:solidFill>
              <a:srgbClr val="FF0000"/>
            </a:solidFill>
            <a:effectLst/>
            <a:latin typeface="Arial" panose="020B0604020202020204" pitchFamily="34" charset="0"/>
            <a:ea typeface="+mn-ea"/>
            <a:cs typeface="Arial" panose="020B0604020202020204" pitchFamily="34" charset="0"/>
          </a:endParaRPr>
        </a:p>
      </xdr:txBody>
    </xdr:sp>
    <xdr:clientData/>
  </xdr:twoCellAnchor>
  <xdr:twoCellAnchor>
    <xdr:from>
      <xdr:col>26</xdr:col>
      <xdr:colOff>105242</xdr:colOff>
      <xdr:row>14</xdr:row>
      <xdr:rowOff>93563</xdr:rowOff>
    </xdr:from>
    <xdr:to>
      <xdr:col>30</xdr:col>
      <xdr:colOff>183473</xdr:colOff>
      <xdr:row>17</xdr:row>
      <xdr:rowOff>87924</xdr:rowOff>
    </xdr:to>
    <xdr:sp macro="" textlink="">
      <xdr:nvSpPr>
        <xdr:cNvPr id="37" name="Rectangular Callout 16">
          <a:extLst>
            <a:ext uri="{FF2B5EF4-FFF2-40B4-BE49-F238E27FC236}">
              <a16:creationId xmlns:a16="http://schemas.microsoft.com/office/drawing/2014/main" id="{12F682DE-CD32-4517-88B7-B938A8A608AA}"/>
            </a:ext>
          </a:extLst>
        </xdr:cNvPr>
        <xdr:cNvSpPr/>
      </xdr:nvSpPr>
      <xdr:spPr>
        <a:xfrm>
          <a:off x="12150704" y="3566525"/>
          <a:ext cx="7200000" cy="565861"/>
        </a:xfrm>
        <a:prstGeom prst="wedgeRectCallout">
          <a:avLst>
            <a:gd name="adj1" fmla="val -61192"/>
            <a:gd name="adj2" fmla="val 56876"/>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Serviceaftaler, der omfatter service og vedligehold, kan også omfatte dækskifte, erstatningsbiler m.m. Sammenligningsgrundlaget skal være ens for at de enkelte bud kan sammenlignes korrekt. Det bør præciseres i kravspecifikationen hvilke elementer, der skal være omfattet af serviceaftalen. Bemærk, at prisen på serviceaftalen skal opgives på årsbasis pr. køretøj svarende til det antal km, der er angivet nedenfor. En omregning fra kr./km kan derfor være nødvendig.</a:t>
          </a:r>
        </a:p>
      </xdr:txBody>
    </xdr:sp>
    <xdr:clientData/>
  </xdr:twoCellAnchor>
  <xdr:twoCellAnchor>
    <xdr:from>
      <xdr:col>26</xdr:col>
      <xdr:colOff>105242</xdr:colOff>
      <xdr:row>20</xdr:row>
      <xdr:rowOff>263770</xdr:rowOff>
    </xdr:from>
    <xdr:to>
      <xdr:col>30</xdr:col>
      <xdr:colOff>183473</xdr:colOff>
      <xdr:row>23</xdr:row>
      <xdr:rowOff>186838</xdr:rowOff>
    </xdr:to>
    <xdr:sp macro="" textlink="">
      <xdr:nvSpPr>
        <xdr:cNvPr id="39" name="Rectangular Callout 15">
          <a:extLst>
            <a:ext uri="{FF2B5EF4-FFF2-40B4-BE49-F238E27FC236}">
              <a16:creationId xmlns:a16="http://schemas.microsoft.com/office/drawing/2014/main" id="{F698C6A2-79EB-4259-8183-36EF6E346546}"/>
            </a:ext>
          </a:extLst>
        </xdr:cNvPr>
        <xdr:cNvSpPr/>
      </xdr:nvSpPr>
      <xdr:spPr>
        <a:xfrm>
          <a:off x="12150704" y="4879732"/>
          <a:ext cx="7200000" cy="611798"/>
        </a:xfrm>
        <a:prstGeom prst="wedgeRectCallout">
          <a:avLst>
            <a:gd name="adj1" fmla="val -60100"/>
            <a:gd name="adj2" fmla="val 33608"/>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Brændstofforbruget for lette køretøjer måles efter metoderne i WLTP ("Worldwide Harmonized Light Vehicle Test Procedure") som angivet i Kommisionens Forordning 2017/1151 af 1. juni 2017 om supplerende regler til typegodkendelse af motorkøretøjer.</a:t>
          </a:r>
        </a:p>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For tunge køretøjer måles efter metoderne i VECTO ("Vehicle Energy Consumption calculation Tool") (https://ec.europa.eu/clima/policies/transport/vehicles/vecto_en). </a:t>
          </a:r>
        </a:p>
      </xdr:txBody>
    </xdr:sp>
    <xdr:clientData/>
  </xdr:twoCellAnchor>
  <xdr:twoCellAnchor>
    <xdr:from>
      <xdr:col>26</xdr:col>
      <xdr:colOff>105242</xdr:colOff>
      <xdr:row>11</xdr:row>
      <xdr:rowOff>0</xdr:rowOff>
    </xdr:from>
    <xdr:to>
      <xdr:col>30</xdr:col>
      <xdr:colOff>183473</xdr:colOff>
      <xdr:row>14</xdr:row>
      <xdr:rowOff>0</xdr:rowOff>
    </xdr:to>
    <xdr:sp macro="" textlink="">
      <xdr:nvSpPr>
        <xdr:cNvPr id="40" name="Rectangular Callout 15">
          <a:extLst>
            <a:ext uri="{FF2B5EF4-FFF2-40B4-BE49-F238E27FC236}">
              <a16:creationId xmlns:a16="http://schemas.microsoft.com/office/drawing/2014/main" id="{E50A6896-7133-4174-BD31-B97A904A1FF0}"/>
            </a:ext>
          </a:extLst>
        </xdr:cNvPr>
        <xdr:cNvSpPr/>
      </xdr:nvSpPr>
      <xdr:spPr>
        <a:xfrm>
          <a:off x="12150704" y="2901462"/>
          <a:ext cx="7200000" cy="571500"/>
        </a:xfrm>
        <a:prstGeom prst="wedgeRectCallout">
          <a:avLst>
            <a:gd name="adj1" fmla="val -60834"/>
            <a:gd name="adj2" fmla="val 41739"/>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panose="020B0604020202020204" pitchFamily="34" charset="0"/>
              <a:ea typeface="+mn-ea"/>
              <a:cs typeface="Arial" panose="020B0604020202020204" pitchFamily="34" charset="0"/>
            </a:rPr>
            <a:t>Elforbruget for lette køretøjer (for både el og plugin hybrid) måles efter metoderne i WLTP ("Worldwide Harmonized Light Vehicle Test Procedure") som angivet i Kommisionens Forordning 2017/1151 af 1. juni 2017 om supplerende regler til typegodkendelse af motorkøretøjer (se COC-dokumentet). For tunge køretøjer måles efter metoderne i VECTO ("Vehicle Energy Consumption calculation Tool") (https://ec.europa.eu/clima/policies/transport/vehicles/vecto_en).  </a:t>
          </a:r>
        </a:p>
      </xdr:txBody>
    </xdr:sp>
    <xdr:clientData/>
  </xdr:twoCellAnchor>
  <xdr:twoCellAnchor>
    <xdr:from>
      <xdr:col>26</xdr:col>
      <xdr:colOff>105242</xdr:colOff>
      <xdr:row>59</xdr:row>
      <xdr:rowOff>0</xdr:rowOff>
    </xdr:from>
    <xdr:to>
      <xdr:col>30</xdr:col>
      <xdr:colOff>183473</xdr:colOff>
      <xdr:row>61</xdr:row>
      <xdr:rowOff>0</xdr:rowOff>
    </xdr:to>
    <xdr:sp macro="" textlink="">
      <xdr:nvSpPr>
        <xdr:cNvPr id="41" name="Rectangular Callout 24">
          <a:extLst>
            <a:ext uri="{FF2B5EF4-FFF2-40B4-BE49-F238E27FC236}">
              <a16:creationId xmlns:a16="http://schemas.microsoft.com/office/drawing/2014/main" id="{D73365FB-46A3-475B-AACE-89EF245DAC8A}"/>
            </a:ext>
          </a:extLst>
        </xdr:cNvPr>
        <xdr:cNvSpPr/>
      </xdr:nvSpPr>
      <xdr:spPr>
        <a:xfrm>
          <a:off x="12150704" y="12514385"/>
          <a:ext cx="7200000" cy="381000"/>
        </a:xfrm>
        <a:prstGeom prst="wedgeRectCallout">
          <a:avLst>
            <a:gd name="adj1" fmla="val -59129"/>
            <a:gd name="adj2" fmla="val -15351"/>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Ifølge Energistyrelsen (2013) "Et velfungerende marked for opladning af elbiler" antages en ladestander at have en levetid på 10 år. Der kan indtastes en anden forventet levetid, hvis I har andre informationer.  </a:t>
          </a:r>
        </a:p>
      </xdr:txBody>
    </xdr:sp>
    <xdr:clientData/>
  </xdr:twoCellAnchor>
  <xdr:twoCellAnchor>
    <xdr:from>
      <xdr:col>26</xdr:col>
      <xdr:colOff>105242</xdr:colOff>
      <xdr:row>56</xdr:row>
      <xdr:rowOff>146538</xdr:rowOff>
    </xdr:from>
    <xdr:to>
      <xdr:col>30</xdr:col>
      <xdr:colOff>183473</xdr:colOff>
      <xdr:row>58</xdr:row>
      <xdr:rowOff>137013</xdr:rowOff>
    </xdr:to>
    <xdr:sp macro="" textlink="">
      <xdr:nvSpPr>
        <xdr:cNvPr id="42" name="Rectangular Callout 15">
          <a:extLst>
            <a:ext uri="{FF2B5EF4-FFF2-40B4-BE49-F238E27FC236}">
              <a16:creationId xmlns:a16="http://schemas.microsoft.com/office/drawing/2014/main" id="{538C4A45-450E-43FA-9B79-B4206EC11290}"/>
            </a:ext>
          </a:extLst>
        </xdr:cNvPr>
        <xdr:cNvSpPr/>
      </xdr:nvSpPr>
      <xdr:spPr>
        <a:xfrm>
          <a:off x="12150704" y="12089423"/>
          <a:ext cx="7200000" cy="371475"/>
        </a:xfrm>
        <a:prstGeom prst="wedgeRectCallout">
          <a:avLst>
            <a:gd name="adj1" fmla="val -59752"/>
            <a:gd name="adj2" fmla="val 29435"/>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latin typeface="Arial"/>
              <a:ea typeface="+mn-ea"/>
              <a:cs typeface="Arial"/>
            </a:rPr>
            <a:t>Oplysninger om udgifter indhentes fra ladeoperatører: Den samlede anskaffelsespris for det nødvendige antal ladestandere divideres med antallet af køretøjer der indkøbes.  </a:t>
          </a:r>
        </a:p>
      </xdr:txBody>
    </xdr:sp>
    <xdr:clientData/>
  </xdr:twoCellAnchor>
  <xdr:twoCellAnchor>
    <xdr:from>
      <xdr:col>26</xdr:col>
      <xdr:colOff>105242</xdr:colOff>
      <xdr:row>9</xdr:row>
      <xdr:rowOff>0</xdr:rowOff>
    </xdr:from>
    <xdr:to>
      <xdr:col>30</xdr:col>
      <xdr:colOff>183473</xdr:colOff>
      <xdr:row>10</xdr:row>
      <xdr:rowOff>45944</xdr:rowOff>
    </xdr:to>
    <xdr:sp macro="" textlink="">
      <xdr:nvSpPr>
        <xdr:cNvPr id="43" name="Rectangular Callout 15">
          <a:extLst>
            <a:ext uri="{FF2B5EF4-FFF2-40B4-BE49-F238E27FC236}">
              <a16:creationId xmlns:a16="http://schemas.microsoft.com/office/drawing/2014/main" id="{67ECEBA7-FBBF-4144-BC0A-A539F2FB8F05}"/>
            </a:ext>
          </a:extLst>
        </xdr:cNvPr>
        <xdr:cNvSpPr/>
      </xdr:nvSpPr>
      <xdr:spPr>
        <a:xfrm>
          <a:off x="12150704" y="2520462"/>
          <a:ext cx="7200000" cy="236444"/>
        </a:xfrm>
        <a:prstGeom prst="wedgeRectCallout">
          <a:avLst>
            <a:gd name="adj1" fmla="val -61354"/>
            <a:gd name="adj2" fmla="val 124090"/>
          </a:avLst>
        </a:prstGeom>
        <a:solidFill>
          <a:schemeClr val="accent1">
            <a:lumMod val="20000"/>
            <a:lumOff val="80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Hvis der er engangsomkostninger i starten af leasingperioden, indtastes udgiterne her.</a:t>
          </a:r>
        </a:p>
      </xdr:txBody>
    </xdr:sp>
    <xdr:clientData/>
  </xdr:twoCellAnchor>
  <xdr:twoCellAnchor editAs="oneCell">
    <xdr:from>
      <xdr:col>4</xdr:col>
      <xdr:colOff>280151</xdr:colOff>
      <xdr:row>1</xdr:row>
      <xdr:rowOff>89646</xdr:rowOff>
    </xdr:from>
    <xdr:to>
      <xdr:col>23</xdr:col>
      <xdr:colOff>64474</xdr:colOff>
      <xdr:row>2</xdr:row>
      <xdr:rowOff>629490</xdr:rowOff>
    </xdr:to>
    <xdr:pic>
      <xdr:nvPicPr>
        <xdr:cNvPr id="33" name="Picture 32">
          <a:extLst>
            <a:ext uri="{FF2B5EF4-FFF2-40B4-BE49-F238E27FC236}">
              <a16:creationId xmlns:a16="http://schemas.microsoft.com/office/drawing/2014/main" id="{C4D06B18-EDA3-4A04-9DCF-1D980C908567}"/>
            </a:ext>
          </a:extLst>
        </xdr:cNvPr>
        <xdr:cNvPicPr>
          <a:picLocks noChangeAspect="1"/>
        </xdr:cNvPicPr>
      </xdr:nvPicPr>
      <xdr:blipFill>
        <a:blip xmlns:r="http://schemas.openxmlformats.org/officeDocument/2006/relationships" r:embed="rId5"/>
        <a:stretch>
          <a:fillRect/>
        </a:stretch>
      </xdr:blipFill>
      <xdr:spPr>
        <a:xfrm>
          <a:off x="7306239" y="324970"/>
          <a:ext cx="2813064" cy="720000"/>
        </a:xfrm>
        <a:prstGeom prst="rect">
          <a:avLst/>
        </a:prstGeom>
      </xdr:spPr>
    </xdr:pic>
    <xdr:clientData/>
  </xdr:twoCellAnchor>
  <xdr:twoCellAnchor>
    <xdr:from>
      <xdr:col>26</xdr:col>
      <xdr:colOff>105242</xdr:colOff>
      <xdr:row>61</xdr:row>
      <xdr:rowOff>159519</xdr:rowOff>
    </xdr:from>
    <xdr:to>
      <xdr:col>30</xdr:col>
      <xdr:colOff>183473</xdr:colOff>
      <xdr:row>63</xdr:row>
      <xdr:rowOff>128463</xdr:rowOff>
    </xdr:to>
    <xdr:sp macro="" textlink="">
      <xdr:nvSpPr>
        <xdr:cNvPr id="44" name="Rectangular Callout 24">
          <a:extLst>
            <a:ext uri="{FF2B5EF4-FFF2-40B4-BE49-F238E27FC236}">
              <a16:creationId xmlns:a16="http://schemas.microsoft.com/office/drawing/2014/main" id="{AFBB20B5-3D8D-485B-AC47-B9BBB97C7B03}"/>
            </a:ext>
          </a:extLst>
        </xdr:cNvPr>
        <xdr:cNvSpPr/>
      </xdr:nvSpPr>
      <xdr:spPr>
        <a:xfrm>
          <a:off x="12150704" y="13054904"/>
          <a:ext cx="7200000" cy="349944"/>
        </a:xfrm>
        <a:prstGeom prst="wedgeRectCallout">
          <a:avLst>
            <a:gd name="adj1" fmla="val -60016"/>
            <a:gd name="adj2" fmla="val -1640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Angiv den årlige pris pr. køretøj for at have et opladsningsabonnement</a:t>
          </a:r>
        </a:p>
      </xdr:txBody>
    </xdr:sp>
    <xdr:clientData/>
  </xdr:twoCellAnchor>
  <xdr:twoCellAnchor>
    <xdr:from>
      <xdr:col>26</xdr:col>
      <xdr:colOff>105242</xdr:colOff>
      <xdr:row>64</xdr:row>
      <xdr:rowOff>29310</xdr:rowOff>
    </xdr:from>
    <xdr:to>
      <xdr:col>30</xdr:col>
      <xdr:colOff>183473</xdr:colOff>
      <xdr:row>64</xdr:row>
      <xdr:rowOff>379254</xdr:rowOff>
    </xdr:to>
    <xdr:sp macro="" textlink="">
      <xdr:nvSpPr>
        <xdr:cNvPr id="45" name="Rectangular Callout 24">
          <a:extLst>
            <a:ext uri="{FF2B5EF4-FFF2-40B4-BE49-F238E27FC236}">
              <a16:creationId xmlns:a16="http://schemas.microsoft.com/office/drawing/2014/main" id="{785AA178-2B23-4D45-A970-8F5CF217F99B}"/>
            </a:ext>
          </a:extLst>
        </xdr:cNvPr>
        <xdr:cNvSpPr/>
      </xdr:nvSpPr>
      <xdr:spPr>
        <a:xfrm>
          <a:off x="12150704" y="13496195"/>
          <a:ext cx="7200000" cy="349944"/>
        </a:xfrm>
        <a:prstGeom prst="wedgeRectCallout">
          <a:avLst>
            <a:gd name="adj1" fmla="val -59813"/>
            <a:gd name="adj2" fmla="val -16408"/>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r>
            <a:rPr lang="da-DK" sz="800" baseline="0">
              <a:solidFill>
                <a:schemeClr val="tx1">
                  <a:lumMod val="65000"/>
                  <a:lumOff val="35000"/>
                </a:schemeClr>
              </a:solidFill>
              <a:latin typeface="Arial"/>
              <a:ea typeface="+mn-ea"/>
              <a:cs typeface="Arial"/>
            </a:rPr>
            <a:t>Vælg hvorvidt det er en elbil, en plugin hybrid-benzin eller en plugin hybrid-diesel, der skal evalueres. </a:t>
          </a:r>
        </a:p>
      </xdr:txBody>
    </xdr:sp>
    <xdr:clientData/>
  </xdr:twoCellAnchor>
  <xdr:twoCellAnchor>
    <xdr:from>
      <xdr:col>26</xdr:col>
      <xdr:colOff>105242</xdr:colOff>
      <xdr:row>46</xdr:row>
      <xdr:rowOff>175846</xdr:rowOff>
    </xdr:from>
    <xdr:to>
      <xdr:col>30</xdr:col>
      <xdr:colOff>183473</xdr:colOff>
      <xdr:row>48</xdr:row>
      <xdr:rowOff>43334</xdr:rowOff>
    </xdr:to>
    <xdr:sp macro="" textlink="">
      <xdr:nvSpPr>
        <xdr:cNvPr id="46" name="Rectangular Callout 20">
          <a:extLst>
            <a:ext uri="{FF2B5EF4-FFF2-40B4-BE49-F238E27FC236}">
              <a16:creationId xmlns:a16="http://schemas.microsoft.com/office/drawing/2014/main" id="{6005E1B1-A7E9-4DDF-B934-6030F198AE26}"/>
            </a:ext>
          </a:extLst>
        </xdr:cNvPr>
        <xdr:cNvSpPr/>
      </xdr:nvSpPr>
      <xdr:spPr>
        <a:xfrm>
          <a:off x="12150704" y="9979269"/>
          <a:ext cx="7200000" cy="365719"/>
        </a:xfrm>
        <a:prstGeom prst="wedgeRectCallout">
          <a:avLst>
            <a:gd name="adj1" fmla="val -60763"/>
            <a:gd name="adj2" fmla="val 22104"/>
          </a:avLst>
        </a:prstGeom>
        <a:solidFill>
          <a:srgbClr val="B3DFD5"/>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en-US" sz="800" baseline="0">
              <a:solidFill>
                <a:schemeClr val="tx1">
                  <a:lumMod val="65000"/>
                  <a:lumOff val="35000"/>
                </a:schemeClr>
              </a:solidFill>
              <a:latin typeface="Arial"/>
              <a:ea typeface="+mn-ea"/>
              <a:cs typeface="Arial"/>
            </a:rPr>
            <a:t>Angiv antallet af motorkøretøjer der er nødvendigt, og hvad det forventede årlige kørselsforbrug er. </a:t>
          </a:r>
          <a:endParaRPr lang="da-DK" sz="800" baseline="0">
            <a:solidFill>
              <a:schemeClr val="tx1">
                <a:lumMod val="65000"/>
                <a:lumOff val="35000"/>
              </a:schemeClr>
            </a:solidFill>
            <a:latin typeface="Arial"/>
            <a:ea typeface="+mn-ea"/>
            <a:cs typeface="Arial"/>
          </a:endParaRPr>
        </a:p>
      </xdr:txBody>
    </xdr:sp>
    <xdr:clientData/>
  </xdr:twoCellAnchor>
  <xdr:twoCellAnchor>
    <xdr:from>
      <xdr:col>26</xdr:col>
      <xdr:colOff>0</xdr:colOff>
      <xdr:row>1</xdr:row>
      <xdr:rowOff>43961</xdr:rowOff>
    </xdr:from>
    <xdr:to>
      <xdr:col>28</xdr:col>
      <xdr:colOff>30176</xdr:colOff>
      <xdr:row>5</xdr:row>
      <xdr:rowOff>176658</xdr:rowOff>
    </xdr:to>
    <xdr:sp macro="" textlink="">
      <xdr:nvSpPr>
        <xdr:cNvPr id="47" name="TextBox 46">
          <a:extLst>
            <a:ext uri="{FF2B5EF4-FFF2-40B4-BE49-F238E27FC236}">
              <a16:creationId xmlns:a16="http://schemas.microsoft.com/office/drawing/2014/main" id="{819E7CC5-BD6D-49A3-B65B-05BC324E59C6}"/>
            </a:ext>
          </a:extLst>
        </xdr:cNvPr>
        <xdr:cNvSpPr txBox="1"/>
      </xdr:nvSpPr>
      <xdr:spPr>
        <a:xfrm>
          <a:off x="12045462" y="234461"/>
          <a:ext cx="4499599" cy="1583428"/>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accent1">
                  <a:lumMod val="60000"/>
                  <a:lumOff val="40000"/>
                </a:schemeClr>
              </a:solidFill>
              <a:latin typeface="Arial"/>
              <a:cs typeface="Arial"/>
            </a:rPr>
            <a:t>Blåt område udfyldes af tilbudsgiver </a:t>
          </a:r>
        </a:p>
        <a:p>
          <a:r>
            <a:rPr lang="da-DK" sz="1400" b="1">
              <a:solidFill>
                <a:srgbClr val="7EC9B7"/>
              </a:solidFill>
              <a:latin typeface="Arial"/>
              <a:ea typeface="+mn-ea"/>
              <a:cs typeface="Arial"/>
            </a:rPr>
            <a:t>Mørkegrønt område udfyldes af ordregiver</a:t>
          </a:r>
        </a:p>
        <a:p>
          <a:r>
            <a:rPr lang="da-DK" sz="1400" b="1">
              <a:solidFill>
                <a:srgbClr val="7EC9B7"/>
              </a:solidFill>
              <a:latin typeface="Arial"/>
              <a:ea typeface="+mn-ea"/>
              <a:cs typeface="Arial"/>
            </a:rPr>
            <a:t>Lysegrønt område udfyldes af ordregiver</a:t>
          </a:r>
        </a:p>
        <a:p>
          <a:r>
            <a:rPr lang="da-DK" sz="1400" b="1">
              <a:solidFill>
                <a:schemeClr val="bg2">
                  <a:lumMod val="75000"/>
                </a:schemeClr>
              </a:solidFill>
              <a:latin typeface="Arial"/>
              <a:ea typeface="+mn-ea"/>
              <a:cs typeface="Arial"/>
            </a:rPr>
            <a:t>Brunt område udfyldes af ordregiver </a:t>
          </a:r>
        </a:p>
        <a:p>
          <a:r>
            <a:rPr lang="da-DK" sz="1400" b="1">
              <a:solidFill>
                <a:schemeClr val="bg1">
                  <a:lumMod val="65000"/>
                </a:schemeClr>
              </a:solidFill>
              <a:latin typeface="Arial"/>
              <a:ea typeface="+mn-ea"/>
              <a:cs typeface="Arial"/>
            </a:rPr>
            <a:t>Gråt område viser resultatdata</a:t>
          </a:r>
        </a:p>
      </xdr:txBody>
    </xdr:sp>
    <xdr:clientData/>
  </xdr:twoCellAnchor>
  <xdr:twoCellAnchor>
    <xdr:from>
      <xdr:col>26</xdr:col>
      <xdr:colOff>104775</xdr:colOff>
      <xdr:row>50</xdr:row>
      <xdr:rowOff>9525</xdr:rowOff>
    </xdr:from>
    <xdr:to>
      <xdr:col>30</xdr:col>
      <xdr:colOff>187002</xdr:colOff>
      <xdr:row>53</xdr:row>
      <xdr:rowOff>173699</xdr:rowOff>
    </xdr:to>
    <xdr:sp macro="" textlink="">
      <xdr:nvSpPr>
        <xdr:cNvPr id="48" name="Rectangular Callout 20">
          <a:extLst>
            <a:ext uri="{FF2B5EF4-FFF2-40B4-BE49-F238E27FC236}">
              <a16:creationId xmlns:a16="http://schemas.microsoft.com/office/drawing/2014/main" id="{A0A46C56-AC50-4C56-BB0D-214E5D966713}"/>
            </a:ext>
          </a:extLst>
        </xdr:cNvPr>
        <xdr:cNvSpPr/>
      </xdr:nvSpPr>
      <xdr:spPr>
        <a:xfrm>
          <a:off x="12144375" y="10725150"/>
          <a:ext cx="7206927" cy="859499"/>
        </a:xfrm>
        <a:prstGeom prst="wedgeRectCallout">
          <a:avLst>
            <a:gd name="adj1" fmla="val -58707"/>
            <a:gd name="adj2" fmla="val 36302"/>
          </a:avLst>
        </a:prstGeom>
        <a:solidFill>
          <a:schemeClr val="bg2"/>
        </a:solidFill>
        <a:ln w="9525">
          <a:solidFill>
            <a:schemeClr val="tx1">
              <a:lumMod val="50000"/>
              <a:lumOff val="50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da-DK" sz="800" baseline="0">
              <a:solidFill>
                <a:schemeClr val="tx1">
                  <a:lumMod val="65000"/>
                  <a:lumOff val="35000"/>
                </a:schemeClr>
              </a:solidFill>
              <a:latin typeface="Arial"/>
              <a:ea typeface="+mn-ea"/>
              <a:cs typeface="Arial"/>
            </a:rPr>
            <a:t>Ofte benyttes en beregningsperiode på 4 år for almindelige biler, som svarer til en gennemsnitlig brugstid uden større forventede reparationer på bilen. TCO-evalueringsperioden kan ændres i overensstemmelse med betingelserne i udbuddet, men skal svare til den periode serviceaftalen på bilerne er gældende. </a:t>
          </a:r>
        </a:p>
        <a:p>
          <a:pPr algn="l"/>
          <a:endParaRPr lang="da-DK" sz="800" baseline="0">
            <a:solidFill>
              <a:schemeClr val="tx1">
                <a:lumMod val="65000"/>
                <a:lumOff val="35000"/>
              </a:schemeClr>
            </a:solidFill>
            <a:latin typeface="Arial"/>
            <a:ea typeface="+mn-ea"/>
            <a:cs typeface="Arial"/>
          </a:endParaRPr>
        </a:p>
        <a:p>
          <a:pPr marL="0" marR="0" lvl="0" indent="0" algn="l" defTabSz="914400" eaLnBrk="1" fontAlgn="auto" latinLnBrk="0" hangingPunct="1">
            <a:lnSpc>
              <a:spcPct val="100000"/>
            </a:lnSpc>
            <a:spcBef>
              <a:spcPts val="0"/>
            </a:spcBef>
            <a:spcAft>
              <a:spcPts val="0"/>
            </a:spcAft>
            <a:buClrTx/>
            <a:buSzTx/>
            <a:buFontTx/>
            <a:buNone/>
            <a:tabLst/>
            <a:defRPr/>
          </a:pPr>
          <a:r>
            <a:rPr lang="da-DK" sz="800" baseline="0">
              <a:solidFill>
                <a:schemeClr val="tx1">
                  <a:lumMod val="65000"/>
                  <a:lumOff val="35000"/>
                </a:schemeClr>
              </a:solidFill>
              <a:latin typeface="Arial"/>
              <a:ea typeface="+mn-ea"/>
              <a:cs typeface="Arial"/>
            </a:rPr>
            <a:t>Bemærk, at hvis motorkøretøjerne har forskellige TCO-evalueringsperioder, skal motorkøretøjet med længst evalueringsperiode, være "Produkt 1". Ellers bliver perioden for akkumulerede samlede nettoomkostninger i resultat-diagrammet ikke vist korrekt. </a:t>
          </a:r>
        </a:p>
        <a:p>
          <a:pPr algn="l"/>
          <a:endParaRPr lang="da-DK" sz="800" b="1" baseline="0">
            <a:solidFill>
              <a:schemeClr val="tx1">
                <a:lumMod val="65000"/>
                <a:lumOff val="35000"/>
              </a:schemeClr>
            </a:solidFill>
            <a:latin typeface="Arial"/>
            <a:ea typeface="+mn-ea"/>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152400</xdr:colOff>
      <xdr:row>17</xdr:row>
      <xdr:rowOff>28574</xdr:rowOff>
    </xdr:from>
    <xdr:to>
      <xdr:col>23</xdr:col>
      <xdr:colOff>2400300</xdr:colOff>
      <xdr:row>30</xdr:row>
      <xdr:rowOff>0</xdr:rowOff>
    </xdr:to>
    <xdr:sp macro="" textlink="">
      <xdr:nvSpPr>
        <xdr:cNvPr id="2" name="Rectangular Callout 15">
          <a:extLst>
            <a:ext uri="{FF2B5EF4-FFF2-40B4-BE49-F238E27FC236}">
              <a16:creationId xmlns:a16="http://schemas.microsoft.com/office/drawing/2014/main" id="{F74EF37A-590F-4E1A-9854-4A2E856309CB}"/>
            </a:ext>
          </a:extLst>
        </xdr:cNvPr>
        <xdr:cNvSpPr/>
      </xdr:nvSpPr>
      <xdr:spPr>
        <a:xfrm>
          <a:off x="10944225" y="2790824"/>
          <a:ext cx="6477000" cy="2371726"/>
        </a:xfrm>
        <a:prstGeom prst="wedgeRectCallout">
          <a:avLst>
            <a:gd name="adj1" fmla="val -49476"/>
            <a:gd name="adj2" fmla="val 17367"/>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Bemærk at denne sammenligning </a:t>
          </a:r>
          <a:r>
            <a:rPr lang="da-DK" sz="1200" b="0" i="0" u="none" baseline="0">
              <a:solidFill>
                <a:schemeClr val="tx1">
                  <a:lumMod val="65000"/>
                  <a:lumOff val="35000"/>
                </a:schemeClr>
              </a:solidFill>
              <a:effectLst/>
              <a:latin typeface="Arial" panose="020B0604020202020204" pitchFamily="34" charset="0"/>
              <a:ea typeface="+mn-ea"/>
              <a:cs typeface="Arial" panose="020B0604020202020204" pitchFamily="34" charset="0"/>
            </a:rPr>
            <a:t>ikke bør anvendes</a:t>
          </a:r>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 i specifikke udbud, hvor beregningen indgår i tildelingen af en ordre. Forskellen på traditionelle køretøjer og el-drevne køretøjer medfører nogle usikkerheder i TCO-beregningen, der kan føre til en skævvridning til fordel for enten det traditionelle eller det el-drevne køretøj. Dette gælder især udgifter forbundet med ladestandere. </a:t>
          </a:r>
        </a:p>
        <a:p>
          <a:pPr marL="0" indent="0" algn="l"/>
          <a:endPar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endParaRPr>
        </a:p>
        <a:p>
          <a:pPr marL="0" indent="0" algn="l"/>
          <a:r>
            <a:rPr lang="da-DK" sz="1200" baseline="0">
              <a:solidFill>
                <a:schemeClr val="tx1">
                  <a:lumMod val="65000"/>
                  <a:lumOff val="35000"/>
                </a:schemeClr>
              </a:solidFill>
              <a:effectLst/>
              <a:latin typeface="Arial" panose="020B0604020202020204" pitchFamily="34" charset="0"/>
              <a:ea typeface="+mn-ea"/>
              <a:cs typeface="Arial" panose="020B0604020202020204" pitchFamily="34" charset="0"/>
            </a:rPr>
            <a:t>Af ovenstående årsag bør sammenligninger på tværs af forskellige typer køretøjer udelukkende anvendes internt hos den offentlige instans. Sammenligninger kan eksempelvis indgå i ordregivers strategiske overvejelser ifm. en fremtidig prioritering af forskellige typer motorkøretøjer.  </a:t>
          </a:r>
        </a:p>
      </xdr:txBody>
    </xdr:sp>
    <xdr:clientData/>
  </xdr:twoCellAnchor>
  <xdr:twoCellAnchor>
    <xdr:from>
      <xdr:col>2</xdr:col>
      <xdr:colOff>163324</xdr:colOff>
      <xdr:row>32</xdr:row>
      <xdr:rowOff>59574</xdr:rowOff>
    </xdr:from>
    <xdr:to>
      <xdr:col>4</xdr:col>
      <xdr:colOff>415636</xdr:colOff>
      <xdr:row>46</xdr:row>
      <xdr:rowOff>118829</xdr:rowOff>
    </xdr:to>
    <xdr:graphicFrame macro="">
      <xdr:nvGraphicFramePr>
        <xdr:cNvPr id="3" name="Chart 2">
          <a:extLst>
            <a:ext uri="{FF2B5EF4-FFF2-40B4-BE49-F238E27FC236}">
              <a16:creationId xmlns:a16="http://schemas.microsoft.com/office/drawing/2014/main" id="{51B02E4A-0F4A-4238-823D-392735022F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554182</xdr:colOff>
      <xdr:row>31</xdr:row>
      <xdr:rowOff>76445</xdr:rowOff>
    </xdr:from>
    <xdr:to>
      <xdr:col>16</xdr:col>
      <xdr:colOff>238125</xdr:colOff>
      <xdr:row>48</xdr:row>
      <xdr:rowOff>123825</xdr:rowOff>
    </xdr:to>
    <xdr:graphicFrame macro="">
      <xdr:nvGraphicFramePr>
        <xdr:cNvPr id="4" name="Chart 3">
          <a:extLst>
            <a:ext uri="{FF2B5EF4-FFF2-40B4-BE49-F238E27FC236}">
              <a16:creationId xmlns:a16="http://schemas.microsoft.com/office/drawing/2014/main" id="{439974DB-1FE8-44D3-B756-CAC9CA24DB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142911</xdr:colOff>
      <xdr:row>1</xdr:row>
      <xdr:rowOff>146430</xdr:rowOff>
    </xdr:from>
    <xdr:to>
      <xdr:col>23</xdr:col>
      <xdr:colOff>152400</xdr:colOff>
      <xdr:row>5</xdr:row>
      <xdr:rowOff>85726</xdr:rowOff>
    </xdr:to>
    <xdr:sp macro="" textlink="">
      <xdr:nvSpPr>
        <xdr:cNvPr id="5" name="TextBox 4">
          <a:extLst>
            <a:ext uri="{FF2B5EF4-FFF2-40B4-BE49-F238E27FC236}">
              <a16:creationId xmlns:a16="http://schemas.microsoft.com/office/drawing/2014/main" id="{C3CCAACE-D3FB-47F7-ABEF-B494E49CCEC4}"/>
            </a:ext>
          </a:extLst>
        </xdr:cNvPr>
        <xdr:cNvSpPr txBox="1"/>
      </xdr:nvSpPr>
      <xdr:spPr>
        <a:xfrm>
          <a:off x="10934736" y="336930"/>
          <a:ext cx="4238589" cy="853696"/>
        </a:xfrm>
        <a:prstGeom prst="rect">
          <a:avLst/>
        </a:prstGeom>
        <a:pattFill prst="pct60">
          <a:fgClr>
            <a:srgbClr val="FFFF00"/>
          </a:fgClr>
          <a:bgClr>
            <a:schemeClr val="bg1"/>
          </a:bgClr>
        </a:patt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a-DK" sz="1800" b="1">
              <a:solidFill>
                <a:srgbClr val="000000"/>
              </a:solidFill>
              <a:latin typeface="Arial"/>
              <a:cs typeface="Arial"/>
            </a:rPr>
            <a:t>Vejledning i udfyldelse af felter</a:t>
          </a:r>
        </a:p>
        <a:p>
          <a:endParaRPr lang="da-DK" sz="300" b="1">
            <a:solidFill>
              <a:schemeClr val="bg1">
                <a:lumMod val="75000"/>
              </a:schemeClr>
            </a:solidFill>
            <a:latin typeface="Arial"/>
            <a:cs typeface="Arial"/>
          </a:endParaRPr>
        </a:p>
        <a:p>
          <a:r>
            <a:rPr lang="da-DK" sz="1400" b="1">
              <a:solidFill>
                <a:schemeClr val="bg2">
                  <a:lumMod val="75000"/>
                </a:schemeClr>
              </a:solidFill>
              <a:latin typeface="Arial"/>
              <a:ea typeface="+mn-ea"/>
              <a:cs typeface="Arial"/>
            </a:rPr>
            <a:t>Brunt område udfyldes med produktnavne</a:t>
          </a:r>
        </a:p>
        <a:p>
          <a:r>
            <a:rPr lang="da-DK" sz="1400" b="1">
              <a:solidFill>
                <a:schemeClr val="bg1">
                  <a:lumMod val="65000"/>
                </a:schemeClr>
              </a:solidFill>
              <a:latin typeface="Arial"/>
              <a:ea typeface="+mn-ea"/>
              <a:cs typeface="Arial"/>
            </a:rPr>
            <a:t>Gråt område viser resultatdata fra de andre ark</a:t>
          </a:r>
        </a:p>
      </xdr:txBody>
    </xdr:sp>
    <xdr:clientData/>
  </xdr:twoCellAnchor>
  <xdr:twoCellAnchor>
    <xdr:from>
      <xdr:col>1</xdr:col>
      <xdr:colOff>233362</xdr:colOff>
      <xdr:row>46</xdr:row>
      <xdr:rowOff>1</xdr:rowOff>
    </xdr:from>
    <xdr:to>
      <xdr:col>4</xdr:col>
      <xdr:colOff>346363</xdr:colOff>
      <xdr:row>56</xdr:row>
      <xdr:rowOff>1447800</xdr:rowOff>
    </xdr:to>
    <xdr:graphicFrame macro="">
      <xdr:nvGraphicFramePr>
        <xdr:cNvPr id="9" name="Chart 8">
          <a:extLst>
            <a:ext uri="{FF2B5EF4-FFF2-40B4-BE49-F238E27FC236}">
              <a16:creationId xmlns:a16="http://schemas.microsoft.com/office/drawing/2014/main" id="{8258470C-59F5-40CB-9F42-4977767DFC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329046</xdr:colOff>
      <xdr:row>47</xdr:row>
      <xdr:rowOff>81643</xdr:rowOff>
    </xdr:from>
    <xdr:to>
      <xdr:col>16</xdr:col>
      <xdr:colOff>42182</xdr:colOff>
      <xdr:row>56</xdr:row>
      <xdr:rowOff>1496785</xdr:rowOff>
    </xdr:to>
    <xdr:graphicFrame macro="">
      <xdr:nvGraphicFramePr>
        <xdr:cNvPr id="12" name="Chart 11">
          <a:extLst>
            <a:ext uri="{FF2B5EF4-FFF2-40B4-BE49-F238E27FC236}">
              <a16:creationId xmlns:a16="http://schemas.microsoft.com/office/drawing/2014/main" id="{D7B51433-9E03-4C5C-9FB1-257EE10999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190500</xdr:colOff>
      <xdr:row>10</xdr:row>
      <xdr:rowOff>163285</xdr:rowOff>
    </xdr:from>
    <xdr:to>
      <xdr:col>23</xdr:col>
      <xdr:colOff>2449286</xdr:colOff>
      <xdr:row>12</xdr:row>
      <xdr:rowOff>189139</xdr:rowOff>
    </xdr:to>
    <xdr:sp macro="" textlink="">
      <xdr:nvSpPr>
        <xdr:cNvPr id="10" name="Rectangular Callout 15">
          <a:extLst>
            <a:ext uri="{FF2B5EF4-FFF2-40B4-BE49-F238E27FC236}">
              <a16:creationId xmlns:a16="http://schemas.microsoft.com/office/drawing/2014/main" id="{533BB1D0-2E79-4AB3-889A-5B200EFB10E9}"/>
            </a:ext>
          </a:extLst>
        </xdr:cNvPr>
        <xdr:cNvSpPr/>
      </xdr:nvSpPr>
      <xdr:spPr>
        <a:xfrm>
          <a:off x="16927286" y="2626178"/>
          <a:ext cx="6477000" cy="447675"/>
        </a:xfrm>
        <a:prstGeom prst="wedgeRectCallout">
          <a:avLst>
            <a:gd name="adj1" fmla="val -59329"/>
            <a:gd name="adj2" fmla="val 1306"/>
          </a:avLst>
        </a:prstGeom>
        <a:solidFill>
          <a:schemeClr val="bg1">
            <a:lumMod val="85000"/>
            <a:alpha val="50000"/>
          </a:schemeClr>
        </a:solid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l"/>
          <a:r>
            <a:rPr lang="da-DK" sz="800" baseline="0">
              <a:solidFill>
                <a:schemeClr val="tx1">
                  <a:lumMod val="65000"/>
                  <a:lumOff val="35000"/>
                </a:schemeClr>
              </a:solidFill>
              <a:effectLst/>
              <a:latin typeface="Arial" panose="020B0604020202020204" pitchFamily="34" charset="0"/>
              <a:ea typeface="+mn-ea"/>
              <a:cs typeface="Arial" panose="020B0604020202020204" pitchFamily="34" charset="0"/>
            </a:rPr>
            <a:t>Her udvælger sammenligner værktøjet automatisk de tre billigste tilbud fra hhv. "Benzin - Diesel - Hybrid" og "El og plugin-hybrid". Derefter kan brugeren sammenligne de forskellige parametre og gøre brug af graferne i bunden af siden.</a:t>
          </a:r>
        </a:p>
      </xdr:txBody>
    </xdr:sp>
    <xdr:clientData/>
  </xdr:twoCellAnchor>
  <xdr:twoCellAnchor editAs="oneCell">
    <xdr:from>
      <xdr:col>12</xdr:col>
      <xdr:colOff>312965</xdr:colOff>
      <xdr:row>2</xdr:row>
      <xdr:rowOff>340178</xdr:rowOff>
    </xdr:from>
    <xdr:to>
      <xdr:col>16</xdr:col>
      <xdr:colOff>137522</xdr:colOff>
      <xdr:row>4</xdr:row>
      <xdr:rowOff>148500</xdr:rowOff>
    </xdr:to>
    <xdr:pic>
      <xdr:nvPicPr>
        <xdr:cNvPr id="7" name="Picture 6">
          <a:extLst>
            <a:ext uri="{FF2B5EF4-FFF2-40B4-BE49-F238E27FC236}">
              <a16:creationId xmlns:a16="http://schemas.microsoft.com/office/drawing/2014/main" id="{AF5F0DF6-8289-4647-AD6B-6891D3160908}"/>
            </a:ext>
          </a:extLst>
        </xdr:cNvPr>
        <xdr:cNvPicPr>
          <a:picLocks noChangeAspect="1"/>
        </xdr:cNvPicPr>
      </xdr:nvPicPr>
      <xdr:blipFill>
        <a:blip xmlns:r="http://schemas.openxmlformats.org/officeDocument/2006/relationships" r:embed="rId5"/>
        <a:stretch>
          <a:fillRect/>
        </a:stretch>
      </xdr:blipFill>
      <xdr:spPr>
        <a:xfrm>
          <a:off x="13103679" y="870857"/>
          <a:ext cx="2818129" cy="72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19048</xdr:colOff>
      <xdr:row>0</xdr:row>
      <xdr:rowOff>19049</xdr:rowOff>
    </xdr:from>
    <xdr:to>
      <xdr:col>11</xdr:col>
      <xdr:colOff>99060</xdr:colOff>
      <xdr:row>73</xdr:row>
      <xdr:rowOff>123825</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9"/>
              <a:ext cx="8462012" cy="14011276"/>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𝐓𝐂𝐎</m:t>
                  </m:r>
                  <m:r>
                    <a:rPr lang="da-DK" sz="1000" b="0" i="0">
                      <a:latin typeface="Cambria Math" panose="02040503050406030204" pitchFamily="18" charset="0"/>
                    </a:rPr>
                    <m:t>=</m:t>
                  </m:r>
                  <m:r>
                    <m:rPr>
                      <m:sty m:val="p"/>
                    </m:rPr>
                    <a:rPr lang="da-DK" sz="1000" b="0" i="0">
                      <a:latin typeface="Cambria Math" panose="02040503050406030204" pitchFamily="18" charset="0"/>
                    </a:rPr>
                    <m:t>Investeringsomkostning</m:t>
                  </m:r>
                  <m:r>
                    <a:rPr lang="da-DK" sz="1000" b="0" i="0">
                      <a:latin typeface="Cambria Math" panose="02040503050406030204" pitchFamily="18" charset="0"/>
                    </a:rPr>
                    <m:t>+</m:t>
                  </m:r>
                  <m:r>
                    <m:rPr>
                      <m:sty m:val="p"/>
                    </m:rPr>
                    <a:rPr lang="da-DK" sz="1000" b="0" i="0">
                      <a:latin typeface="Cambria Math" panose="02040503050406030204" pitchFamily="18" charset="0"/>
                    </a:rPr>
                    <m:t>summen</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nutidsv</m:t>
                  </m:r>
                  <m:r>
                    <a:rPr lang="da-DK" sz="1000" b="0" i="0">
                      <a:latin typeface="Cambria Math" panose="02040503050406030204" pitchFamily="18" charset="0"/>
                    </a:rPr>
                    <m:t>æ</m:t>
                  </m:r>
                  <m:r>
                    <m:rPr>
                      <m:sty m:val="p"/>
                    </m:rPr>
                    <a:rPr lang="da-DK" sz="1000" b="0" i="0">
                      <a:latin typeface="Cambria Math" panose="02040503050406030204" pitchFamily="18" charset="0"/>
                    </a:rPr>
                    <m:t>rdi</m:t>
                  </m:r>
                  <m:r>
                    <a:rPr lang="da-DK" sz="1000" b="0" i="0">
                      <a:latin typeface="Cambria Math" panose="02040503050406030204" pitchFamily="18" charset="0"/>
                    </a:rPr>
                    <m:t> </m:t>
                  </m:r>
                  <m:r>
                    <m:rPr>
                      <m:sty m:val="p"/>
                    </m:rPr>
                    <a:rPr lang="da-DK" sz="1000" b="0" i="0">
                      <a:latin typeface="Cambria Math" panose="02040503050406030204" pitchFamily="18" charset="0"/>
                    </a:rPr>
                    <m:t>af</m:t>
                  </m:r>
                  <m:r>
                    <a:rPr lang="da-DK" sz="1000" b="0" i="0">
                      <a:latin typeface="Cambria Math" panose="02040503050406030204" pitchFamily="18" charset="0"/>
                    </a:rPr>
                    <m:t> </m:t>
                  </m:r>
                  <m:r>
                    <m:rPr>
                      <m:sty m:val="p"/>
                    </m:rPr>
                    <a:rPr lang="da-DK" sz="1000" b="0" i="0">
                      <a:latin typeface="Cambria Math" panose="02040503050406030204" pitchFamily="18" charset="0"/>
                    </a:rPr>
                    <m:t>driftsomkostningerne</m:t>
                  </m:r>
                  <m:r>
                    <a:rPr lang="da-DK" sz="1000" b="0" i="0">
                      <a:latin typeface="Cambria Math" panose="02040503050406030204" pitchFamily="18" charset="0"/>
                    </a:rPr>
                    <m:t> </m:t>
                  </m:r>
                  <m:r>
                    <m:rPr>
                      <m:sty m:val="p"/>
                    </m:rPr>
                    <a:rPr lang="da-DK" sz="1000" b="0" i="0">
                      <a:latin typeface="Cambria Math" panose="02040503050406030204" pitchFamily="18" charset="0"/>
                    </a:rPr>
                    <m:t>i</m:t>
                  </m:r>
                  <m:r>
                    <a:rPr lang="da-DK" sz="1000" b="0" i="0">
                      <a:latin typeface="Cambria Math" panose="02040503050406030204" pitchFamily="18" charset="0"/>
                    </a:rPr>
                    <m:t> </m:t>
                  </m:r>
                  <m:r>
                    <m:rPr>
                      <m:sty m:val="p"/>
                    </m:rPr>
                    <a:rPr lang="da-DK" sz="1000" b="0" i="0">
                      <a:latin typeface="Cambria Math" panose="02040503050406030204" pitchFamily="18" charset="0"/>
                    </a:rPr>
                    <m:t>alle</m:t>
                  </m:r>
                  <m:r>
                    <a:rPr lang="da-DK" sz="1000" b="0" i="0">
                      <a:latin typeface="Cambria Math" panose="02040503050406030204" pitchFamily="18" charset="0"/>
                    </a:rPr>
                    <m:t> å</m:t>
                  </m:r>
                  <m:r>
                    <m:rPr>
                      <m:sty m:val="p"/>
                    </m:rPr>
                    <a:rPr lang="da-DK" sz="1000" b="0" i="0">
                      <a:latin typeface="Cambria Math" panose="02040503050406030204" pitchFamily="18" charset="0"/>
                    </a:rPr>
                    <m:t>r</m:t>
                  </m:r>
                </m:oMath>
              </a14:m>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14:m>
                <m:oMath xmlns:m="http://schemas.openxmlformats.org/officeDocument/2006/math">
                  <m:r>
                    <a:rPr lang="da-DK" sz="1000" b="1" i="0">
                      <a:latin typeface="Cambria Math" panose="02040503050406030204" pitchFamily="18" charset="0"/>
                    </a:rPr>
                    <m:t>𝐈𝐧𝐯𝐞𝐬𝐭𝐞𝐫𝐢𝐧𝐠𝐬𝐨𝐦𝐤𝐨𝐬𝐭𝐧𝐢𝐧𝐠</m:t>
                  </m:r>
                  <m:r>
                    <a:rPr lang="da-DK" sz="1000" b="0" i="0">
                      <a:latin typeface="Cambria Math" panose="02040503050406030204" pitchFamily="18" charset="0"/>
                    </a:rPr>
                    <m:t>=</m:t>
                  </m:r>
                </m:oMath>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chemeClr val="dk1"/>
                            </a:solidFill>
                            <a:latin typeface="Cambria Math" panose="02040503050406030204" pitchFamily="18" charset="0"/>
                            <a:ea typeface="+mn-ea"/>
                            <a:cs typeface="+mn-cs"/>
                          </a:rPr>
                        </m:ctrlPr>
                      </m:dPr>
                      <m:e>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ret</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j</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ekstra</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garantiperiode</m:t>
                        </m:r>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evt</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indk</m:t>
                        </m:r>
                        <m:r>
                          <a:rPr lang="da-DK" sz="1000" b="0" i="0">
                            <a:solidFill>
                              <a:schemeClr val="dk1"/>
                            </a:solidFill>
                            <a:latin typeface="Cambria Math" panose="02040503050406030204" pitchFamily="18" charset="0"/>
                            <a:ea typeface="+mn-ea"/>
                            <a:cs typeface="+mn-cs"/>
                          </a:rPr>
                          <m:t>ø</m:t>
                        </m:r>
                        <m:r>
                          <m:rPr>
                            <m:sty m:val="p"/>
                          </m:rPr>
                          <a:rPr lang="da-DK" sz="1000" b="0" i="0">
                            <a:solidFill>
                              <a:schemeClr val="dk1"/>
                            </a:solidFill>
                            <a:latin typeface="Cambria Math" panose="02040503050406030204" pitchFamily="18" charset="0"/>
                            <a:ea typeface="+mn-ea"/>
                            <a:cs typeface="+mn-cs"/>
                          </a:rPr>
                          <m:t>bspris</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til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r>
                          <a:rPr lang="da-DK" sz="1000" b="0" i="0">
                            <a:solidFill>
                              <a:schemeClr val="dk1"/>
                            </a:solidFill>
                            <a:latin typeface="Cambria Math" panose="02040503050406030204" pitchFamily="18" charset="0"/>
                            <a:ea typeface="+mn-ea"/>
                            <a:cs typeface="+mn-cs"/>
                          </a:rPr>
                          <m:t> </m:t>
                        </m:r>
                        <m:r>
                          <a:rPr lang="da-DK" sz="1000" b="0" i="1">
                            <a:solidFill>
                              <a:schemeClr val="dk1"/>
                            </a:solidFill>
                            <a:latin typeface="Cambria Math" panose="02040503050406030204" pitchFamily="18" charset="0"/>
                            <a:ea typeface="Cambria Math" panose="02040503050406030204" pitchFamily="18" charset="0"/>
                            <a:cs typeface="+mn-cs"/>
                          </a:rPr>
                          <m:t>×</m:t>
                        </m:r>
                        <m:r>
                          <a:rPr lang="da-DK" sz="1000" b="0" i="0">
                            <a:solidFill>
                              <a:schemeClr val="dk1"/>
                            </a:solidFill>
                            <a:latin typeface="Cambria Math" panose="02040503050406030204" pitchFamily="18" charset="0"/>
                            <a:ea typeface="+mn-ea"/>
                            <a:cs typeface="+mn-cs"/>
                          </a:rPr>
                          <m:t> </m:t>
                        </m:r>
                        <m:f>
                          <m:fPr>
                            <m:ctrlPr>
                              <a:rPr lang="da-DK" sz="1000" b="0" i="1">
                                <a:solidFill>
                                  <a:schemeClr val="dk1"/>
                                </a:solidFill>
                                <a:latin typeface="Cambria Math" panose="02040503050406030204" pitchFamily="18" charset="0"/>
                                <a:ea typeface="+mn-ea"/>
                                <a:cs typeface="+mn-cs"/>
                              </a:rPr>
                            </m:ctrlPr>
                          </m:fPr>
                          <m:num>
                            <m:r>
                              <m:rPr>
                                <m:sty m:val="p"/>
                              </m:rPr>
                              <a:rPr lang="da-DK" sz="1000" b="0" i="0">
                                <a:solidFill>
                                  <a:schemeClr val="dk1"/>
                                </a:solidFill>
                                <a:latin typeface="Cambria Math" panose="02040503050406030204" pitchFamily="18" charset="0"/>
                                <a:ea typeface="+mn-ea"/>
                                <a:cs typeface="+mn-cs"/>
                              </a:rPr>
                              <m:t>TCO</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evalueringsperiode</m:t>
                            </m:r>
                          </m:num>
                          <m:den>
                            <m:r>
                              <m:rPr>
                                <m:sty m:val="p"/>
                              </m:rPr>
                              <a:rPr lang="da-DK" sz="1000" b="0" i="0">
                                <a:solidFill>
                                  <a:schemeClr val="dk1"/>
                                </a:solidFill>
                                <a:latin typeface="Cambria Math" panose="02040503050406030204" pitchFamily="18" charset="0"/>
                                <a:ea typeface="+mn-ea"/>
                                <a:cs typeface="+mn-cs"/>
                              </a:rPr>
                              <m:t>levetid</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for</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ladestandere</m:t>
                            </m:r>
                          </m:den>
                        </m:f>
                        <m:r>
                          <a:rPr lang="da-DK" sz="1000" b="0" i="0">
                            <a:solidFill>
                              <a:schemeClr val="dk1"/>
                            </a:solidFill>
                            <a:latin typeface="Cambria Math" panose="02040503050406030204" pitchFamily="18" charset="0"/>
                            <a:ea typeface="+mn-ea"/>
                            <a:cs typeface="+mn-cs"/>
                          </a:rPr>
                          <m:t>)</m:t>
                        </m:r>
                      </m:e>
                    </m:d>
                    <m:r>
                      <a:rPr lang="da-DK" sz="1000" b="0" i="0">
                        <a:solidFill>
                          <a:schemeClr val="dk1"/>
                        </a:solidFill>
                        <a:latin typeface="Cambria Math" panose="02040503050406030204" pitchFamily="18" charset="0"/>
                        <a:ea typeface="+mn-ea"/>
                        <a:cs typeface="+mn-cs"/>
                      </a:rPr>
                      <m:t>×</m:t>
                    </m:r>
                    <m:r>
                      <m:rPr>
                        <m:sty m:val="p"/>
                      </m:rPr>
                      <a:rPr lang="da-DK" sz="1000" b="0" i="0">
                        <a:solidFill>
                          <a:schemeClr val="dk1"/>
                        </a:solidFill>
                        <a:latin typeface="Cambria Math" panose="02040503050406030204" pitchFamily="18" charset="0"/>
                        <a:ea typeface="+mn-ea"/>
                        <a:cs typeface="+mn-cs"/>
                      </a:rPr>
                      <m:t>antal</m:t>
                    </m:r>
                    <m:r>
                      <a:rPr lang="da-DK" sz="1000" b="0" i="0">
                        <a:solidFill>
                          <a:schemeClr val="dk1"/>
                        </a:solidFill>
                        <a:latin typeface="Cambria Math" panose="02040503050406030204" pitchFamily="18" charset="0"/>
                        <a:ea typeface="+mn-ea"/>
                        <a:cs typeface="+mn-cs"/>
                      </a:rPr>
                      <m:t> </m:t>
                    </m:r>
                    <m:r>
                      <m:rPr>
                        <m:sty m:val="p"/>
                      </m:rPr>
                      <a:rPr lang="da-DK" sz="1000" b="0" i="0">
                        <a:solidFill>
                          <a:schemeClr val="dk1"/>
                        </a:solidFill>
                        <a:latin typeface="Cambria Math" panose="02040503050406030204" pitchFamily="18" charset="0"/>
                        <a:ea typeface="+mn-ea"/>
                        <a:cs typeface="+mn-cs"/>
                      </a:rPr>
                      <m:t>produkter</m:t>
                    </m:r>
                  </m:oMath>
                </m:oMathPara>
              </a14:m>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𝐊</m:t>
                    </m:r>
                    <m:r>
                      <a:rPr lang="da-DK" sz="1000" b="1" i="0">
                        <a:latin typeface="Cambria Math" panose="02040503050406030204" pitchFamily="18" charset="0"/>
                      </a:rPr>
                      <m:t>ø</m:t>
                    </m:r>
                    <m:r>
                      <a:rPr lang="da-DK" sz="1000" b="1" i="0">
                        <a:latin typeface="Cambria Math" panose="02040503050406030204" pitchFamily="18" charset="0"/>
                      </a:rPr>
                      <m:t>𝐫𝐞𝐭</m:t>
                    </m:r>
                    <m:r>
                      <a:rPr lang="da-DK" sz="1000" b="1" i="0">
                        <a:latin typeface="Cambria Math" panose="02040503050406030204" pitchFamily="18" charset="0"/>
                      </a:rPr>
                      <m:t>ø</m:t>
                    </m:r>
                    <m:r>
                      <a:rPr lang="da-DK" sz="1000" b="1" i="0">
                        <a:latin typeface="Cambria Math" panose="02040503050406030204" pitchFamily="18" charset="0"/>
                      </a:rPr>
                      <m:t>𝐣𝐞𝐭𝐬</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1" i="0">
                        <a:latin typeface="Cambria Math" panose="02040503050406030204" pitchFamily="18" charset="0"/>
                      </a:rPr>
                      <m:t> </m:t>
                    </m:r>
                    <m:r>
                      <a:rPr lang="da-DK" sz="1000" b="0" i="0">
                        <a:latin typeface="Cambria Math" panose="02040503050406030204" pitchFamily="18" charset="0"/>
                      </a:rPr>
                      <m:t>=</m:t>
                    </m:r>
                  </m:oMath>
                </m:oMathPara>
              </a14:m>
              <a:endParaRPr lang="da-DK" sz="1000" b="0" i="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d>
                      <m:dPr>
                        <m:ctrlPr>
                          <a:rPr lang="da-DK" sz="1000" b="0" i="1">
                            <a:solidFill>
                              <a:sysClr val="windowText" lastClr="000000"/>
                            </a:solidFill>
                            <a:latin typeface="Cambria Math" panose="02040503050406030204" pitchFamily="18" charset="0"/>
                          </a:rPr>
                        </m:ctrlPr>
                      </m:dPr>
                      <m:e>
                        <m:r>
                          <m:rPr>
                            <m:sty m:val="p"/>
                          </m:rPr>
                          <a:rPr lang="da-DK" sz="1000" b="0" i="0">
                            <a:solidFill>
                              <a:sysClr val="windowText" lastClr="000000"/>
                            </a:solidFill>
                            <a:latin typeface="Cambria Math" panose="02040503050406030204" pitchFamily="18" charset="0"/>
                          </a:rPr>
                          <m:t>K</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ret</m:t>
                        </m:r>
                        <m:r>
                          <a:rPr lang="da-DK" sz="1000" b="0" i="0">
                            <a:solidFill>
                              <a:sysClr val="windowText" lastClr="000000"/>
                            </a:solidFill>
                            <a:latin typeface="Cambria Math" panose="02040503050406030204" pitchFamily="18" charset="0"/>
                          </a:rPr>
                          <m:t>ø</m:t>
                        </m:r>
                        <m:r>
                          <m:rPr>
                            <m:sty m:val="p"/>
                          </m:rPr>
                          <a:rPr lang="da-DK" sz="1000" b="0" i="0">
                            <a:solidFill>
                              <a:sysClr val="windowText" lastClr="000000"/>
                            </a:solidFill>
                            <a:latin typeface="Cambria Math" panose="02040503050406030204" pitchFamily="18" charset="0"/>
                          </a:rPr>
                          <m:t>jets</m:t>
                        </m:r>
                        <m:r>
                          <a:rPr lang="da-DK" sz="1000" b="0" i="0">
                            <a:solidFill>
                              <a:sysClr val="windowText" lastClr="000000"/>
                            </a:solidFill>
                            <a:latin typeface="Cambria Math" panose="02040503050406030204" pitchFamily="18" charset="0"/>
                          </a:rPr>
                          <m:t> å</m:t>
                        </m:r>
                        <m:r>
                          <m:rPr>
                            <m:sty m:val="p"/>
                          </m:rPr>
                          <a:rPr lang="da-DK" sz="1000" b="0" i="0">
                            <a:solidFill>
                              <a:sysClr val="windowText" lastClr="000000"/>
                            </a:solidFill>
                            <a:latin typeface="Cambria Math" panose="02040503050406030204" pitchFamily="18" charset="0"/>
                          </a:rPr>
                          <m:t>rlige</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forbrug</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af</m:t>
                        </m:r>
                        <m:r>
                          <a:rPr lang="da-DK" sz="1000" b="0" i="0">
                            <a:solidFill>
                              <a:sysClr val="windowText" lastClr="000000"/>
                            </a:solidFill>
                            <a:latin typeface="Cambria Math" panose="02040503050406030204" pitchFamily="18" charset="0"/>
                          </a:rPr>
                          <m:t> </m:t>
                        </m:r>
                        <m:r>
                          <m:rPr>
                            <m:sty m:val="p"/>
                          </m:rPr>
                          <a:rPr lang="da-DK" sz="1000" b="0" i="0">
                            <a:solidFill>
                              <a:sysClr val="windowText" lastClr="000000"/>
                            </a:solidFill>
                            <a:latin typeface="Cambria Math" panose="02040503050406030204" pitchFamily="18" charset="0"/>
                          </a:rPr>
                          <m:t>drivmiddel</m:t>
                        </m:r>
                        <m:r>
                          <a:rPr lang="da-DK" sz="1000" b="0" i="0">
                            <a:solidFill>
                              <a:sysClr val="windowText" lastClr="000000"/>
                            </a:solidFill>
                            <a:latin typeface="Cambria Math" panose="02040503050406030204" pitchFamily="18" charset="0"/>
                          </a:rPr>
                          <m:t> </m:t>
                        </m:r>
                        <m:r>
                          <a:rPr lang="da-DK" sz="1000" b="0" i="1">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pris</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m:t>
                        </m:r>
                        <m:r>
                          <a:rPr lang="da-DK" sz="1000" b="0" i="0">
                            <a:solidFill>
                              <a:sysClr val="windowText" lastClr="000000"/>
                            </a:solidFill>
                            <a:latin typeface="Cambria Math" panose="02040503050406030204" pitchFamily="18" charset="0"/>
                            <a:ea typeface="Cambria Math" panose="02040503050406030204" pitchFamily="18" charset="0"/>
                          </a:rPr>
                          <m:t>å </m:t>
                        </m:r>
                        <m:r>
                          <m:rPr>
                            <m:sty m:val="p"/>
                          </m:rPr>
                          <a:rPr lang="da-DK" sz="1000" b="0" i="0">
                            <a:solidFill>
                              <a:sysClr val="windowText" lastClr="000000"/>
                            </a:solidFill>
                            <a:latin typeface="Cambria Math" panose="02040503050406030204" pitchFamily="18" charset="0"/>
                            <a:ea typeface="Cambria Math" panose="02040503050406030204" pitchFamily="18" charset="0"/>
                          </a:rPr>
                          <m:t>drivmidlet</m:t>
                        </m:r>
                      </m:e>
                    </m:d>
                    <m:r>
                      <a:rPr lang="da-DK" sz="1000" b="0" i="0">
                        <a:solidFill>
                          <a:sysClr val="windowText" lastClr="000000"/>
                        </a:solidFill>
                        <a:latin typeface="Cambria Math" panose="02040503050406030204" pitchFamily="18" charset="0"/>
                        <a:ea typeface="Cambria Math" panose="02040503050406030204" pitchFamily="18" charset="0"/>
                      </a:rPr>
                      <m:t>×</m:t>
                    </m:r>
                    <m:r>
                      <m:rPr>
                        <m:sty m:val="p"/>
                      </m:rPr>
                      <a:rPr lang="da-DK" sz="1000" b="0" i="0">
                        <a:solidFill>
                          <a:sysClr val="windowText" lastClr="000000"/>
                        </a:solidFill>
                        <a:latin typeface="Cambria Math" panose="02040503050406030204" pitchFamily="18" charset="0"/>
                        <a:ea typeface="Cambria Math" panose="02040503050406030204" pitchFamily="18" charset="0"/>
                      </a:rPr>
                      <m:t>antal</m:t>
                    </m:r>
                    <m:r>
                      <a:rPr lang="da-DK" sz="1000" b="0" i="0">
                        <a:solidFill>
                          <a:sysClr val="windowText" lastClr="000000"/>
                        </a:solidFill>
                        <a:latin typeface="Cambria Math" panose="02040503050406030204" pitchFamily="18" charset="0"/>
                        <a:ea typeface="Cambria Math" panose="02040503050406030204" pitchFamily="18" charset="0"/>
                      </a:rPr>
                      <m:t> </m:t>
                    </m:r>
                    <m:r>
                      <m:rPr>
                        <m:sty m:val="p"/>
                      </m:rPr>
                      <a:rPr lang="da-DK" sz="1000" b="0" i="0">
                        <a:solidFill>
                          <a:sysClr val="windowText" lastClr="000000"/>
                        </a:solidFill>
                        <a:latin typeface="Cambria Math" panose="02040503050406030204" pitchFamily="18" charset="0"/>
                        <a:ea typeface="Cambria Math" panose="02040503050406030204" pitchFamily="18" charset="0"/>
                      </a:rPr>
                      <m:t>produkter</m:t>
                    </m:r>
                  </m:oMath>
                </m:oMathPara>
              </a14:m>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mn-ea"/>
                        <a:cs typeface="+mn-cs"/>
                      </a:rPr>
                      <m:t>Å</m:t>
                    </m:r>
                    <m:r>
                      <a:rPr lang="da-DK" sz="1000" b="1" i="0">
                        <a:solidFill>
                          <a:schemeClr val="dk1"/>
                        </a:solidFill>
                        <a:effectLst/>
                        <a:latin typeface="Cambria Math" panose="02040503050406030204" pitchFamily="18" charset="0"/>
                        <a:ea typeface="+mn-ea"/>
                        <a:cs typeface="+mn-cs"/>
                      </a:rPr>
                      <m:t>𝐫𝐥𝐢𝐠𝐭</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𝐛𝐫</m:t>
                    </m:r>
                    <m:r>
                      <a:rPr lang="da-DK" sz="1000" b="1" i="0">
                        <a:solidFill>
                          <a:schemeClr val="dk1"/>
                        </a:solidFill>
                        <a:effectLst/>
                        <a:latin typeface="Cambria Math" panose="02040503050406030204" pitchFamily="18" charset="0"/>
                        <a:ea typeface="+mn-ea"/>
                        <a:cs typeface="+mn-cs"/>
                      </a:rPr>
                      <m:t>æ</m:t>
                    </m:r>
                    <m:r>
                      <a:rPr lang="da-DK" sz="1000" b="1" i="0">
                        <a:solidFill>
                          <a:schemeClr val="dk1"/>
                        </a:solidFill>
                        <a:effectLst/>
                        <a:latin typeface="Cambria Math" panose="02040503050406030204" pitchFamily="18" charset="0"/>
                        <a:ea typeface="+mn-ea"/>
                        <a:cs typeface="+mn-cs"/>
                      </a:rPr>
                      <m:t>𝐧𝐝𝐬𝐭𝐨𝐟𝐟𝐨𝐫𝐛𝐫𝐮𝐠</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𝐯𝐞𝐝</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𝐛𝐞𝐧𝐳𝐢𝐧</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𝐝𝐢𝐞𝐬𝐞𝐥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𝐞𝐥</m:t>
                    </m:r>
                    <m:r>
                      <a:rPr lang="da-DK" sz="1000" b="1" i="0">
                        <a:solidFill>
                          <a:schemeClr val="dk1"/>
                        </a:solidFill>
                        <a:effectLst/>
                        <a:latin typeface="Cambria Math" panose="02040503050406030204" pitchFamily="18" charset="0"/>
                        <a:ea typeface="+mn-ea"/>
                        <a:cs typeface="+mn-cs"/>
                      </a:rPr>
                      <m:t>. </m:t>
                    </m:r>
                    <m:r>
                      <a:rPr lang="da-DK" sz="1000" b="1" i="0">
                        <a:solidFill>
                          <a:schemeClr val="dk1"/>
                        </a:solidFill>
                        <a:effectLst/>
                        <a:latin typeface="Cambria Math" panose="02040503050406030204" pitchFamily="18" charset="0"/>
                        <a:ea typeface="+mn-ea"/>
                        <a:cs typeface="+mn-cs"/>
                      </a:rPr>
                      <m:t>𝐡𝐲𝐛𝐫𝐢𝐝</m:t>
                    </m:r>
                    <m:r>
                      <a:rPr lang="da-DK" sz="1000" b="1" i="0">
                        <a:solidFill>
                          <a:schemeClr val="dk1"/>
                        </a:solidFill>
                        <a:effectLst/>
                        <a:latin typeface="Cambria Math" panose="02040503050406030204" pitchFamily="18" charset="0"/>
                        <a:ea typeface="+mn-ea"/>
                        <a:cs typeface="+mn-cs"/>
                      </a:rPr>
                      <m:t>) </m:t>
                    </m:r>
                    <m:r>
                      <a:rPr lang="da-DK" sz="1000" b="0" i="0">
                        <a:solidFill>
                          <a:schemeClr val="dk1"/>
                        </a:solidFill>
                        <a:effectLst/>
                        <a:latin typeface="Cambria Math" panose="02040503050406030204" pitchFamily="18" charset="0"/>
                        <a:ea typeface="+mn-ea"/>
                        <a:cs typeface="+mn-cs"/>
                      </a:rPr>
                      <m:t>=</m:t>
                    </m:r>
                    <m:f>
                      <m:fPr>
                        <m:ctrlPr>
                          <a:rPr lang="da-DK" sz="1000" b="0" i="1">
                            <a:solidFill>
                              <a:schemeClr val="dk1"/>
                            </a:solidFill>
                            <a:effectLst/>
                            <a:latin typeface="Cambria Math" panose="02040503050406030204" pitchFamily="18" charset="0"/>
                            <a:ea typeface="+mn-ea"/>
                            <a:cs typeface="+mn-cs"/>
                          </a:rPr>
                        </m:ctrlPr>
                      </m:fPr>
                      <m:num>
                        <m:r>
                          <a:rPr lang="da-DK" sz="1000" b="0" i="0">
                            <a:solidFill>
                              <a:schemeClr val="dk1"/>
                            </a:solidFill>
                            <a:effectLst/>
                            <a:latin typeface="Cambria Math" panose="02040503050406030204" pitchFamily="18" charset="0"/>
                            <a:ea typeface="+mn-ea"/>
                            <a:cs typeface="+mn-cs"/>
                          </a:rPr>
                          <m:t>å</m:t>
                        </m:r>
                        <m:r>
                          <m:rPr>
                            <m:sty m:val="p"/>
                          </m:rPr>
                          <a:rPr lang="da-DK" sz="1000" b="0" i="0">
                            <a:solidFill>
                              <a:schemeClr val="dk1"/>
                            </a:solidFill>
                            <a:effectLst/>
                            <a:latin typeface="Cambria Math" panose="02040503050406030204" pitchFamily="18" charset="0"/>
                            <a:ea typeface="+mn-ea"/>
                            <a:cs typeface="+mn-cs"/>
                          </a:rPr>
                          <m:t>rligt</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rselsforbrug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km</m:t>
                        </m:r>
                        <m:r>
                          <a:rPr lang="da-DK" sz="1000" b="0" i="0">
                            <a:solidFill>
                              <a:schemeClr val="dk1"/>
                            </a:solidFill>
                            <a:effectLst/>
                            <a:latin typeface="Cambria Math" panose="02040503050406030204" pitchFamily="18" charset="0"/>
                            <a:ea typeface="+mn-ea"/>
                            <a:cs typeface="+mn-cs"/>
                          </a:rPr>
                          <m:t>)</m:t>
                        </m:r>
                      </m:num>
                      <m:den>
                        <m:r>
                          <m:rPr>
                            <m:sty m:val="p"/>
                          </m:rPr>
                          <a:rPr lang="da-DK" sz="1000" b="0" i="0">
                            <a:solidFill>
                              <a:schemeClr val="dk1"/>
                            </a:solidFill>
                            <a:effectLst/>
                            <a:latin typeface="Cambria Math" panose="02040503050406030204" pitchFamily="18" charset="0"/>
                            <a:ea typeface="+mn-ea"/>
                            <a:cs typeface="+mn-cs"/>
                          </a:rPr>
                          <m:t>br</m:t>
                        </m:r>
                        <m:r>
                          <a:rPr lang="da-DK" sz="1000" b="0" i="0">
                            <a:solidFill>
                              <a:schemeClr val="dk1"/>
                            </a:solidFill>
                            <a:effectLst/>
                            <a:latin typeface="Cambria Math" panose="02040503050406030204" pitchFamily="18" charset="0"/>
                            <a:ea typeface="+mn-ea"/>
                            <a:cs typeface="+mn-cs"/>
                          </a:rPr>
                          <m:t>æ</m:t>
                        </m:r>
                        <m:r>
                          <m:rPr>
                            <m:sty m:val="p"/>
                          </m:rPr>
                          <a:rPr lang="da-DK" sz="1000" b="0" i="0">
                            <a:solidFill>
                              <a:schemeClr val="dk1"/>
                            </a:solidFill>
                            <a:effectLst/>
                            <a:latin typeface="Cambria Math" panose="02040503050406030204" pitchFamily="18" charset="0"/>
                            <a:ea typeface="+mn-ea"/>
                            <a:cs typeface="+mn-cs"/>
                          </a:rPr>
                          <m:t>ndstofforbrug</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if</m:t>
                        </m:r>
                        <m:r>
                          <a:rPr lang="da-DK" sz="1000" b="0" i="0">
                            <a:solidFill>
                              <a:schemeClr val="dk1"/>
                            </a:solidFill>
                            <a:effectLst/>
                            <a:latin typeface="Cambria Math" panose="02040503050406030204" pitchFamily="18" charset="0"/>
                            <a:ea typeface="+mn-ea"/>
                            <a:cs typeface="+mn-cs"/>
                          </a:rPr>
                          <m:t>ø</m:t>
                        </m:r>
                        <m:r>
                          <m:rPr>
                            <m:sty m:val="p"/>
                          </m:rPr>
                          <a:rPr lang="da-DK" sz="1000" b="0" i="0">
                            <a:solidFill>
                              <a:schemeClr val="dk1"/>
                            </a:solidFill>
                            <a:effectLst/>
                            <a:latin typeface="Cambria Math" panose="02040503050406030204" pitchFamily="18" charset="0"/>
                            <a:ea typeface="+mn-ea"/>
                            <a:cs typeface="+mn-cs"/>
                          </a:rPr>
                          <m:t>lge</m:t>
                        </m:r>
                        <m:r>
                          <a:rPr lang="da-DK" sz="1000" b="0" i="0">
                            <a:solidFill>
                              <a:schemeClr val="dk1"/>
                            </a:solidFill>
                            <a:effectLst/>
                            <a:latin typeface="Cambria Math" panose="02040503050406030204" pitchFamily="18" charset="0"/>
                            <a:ea typeface="+mn-ea"/>
                            <a:cs typeface="+mn-cs"/>
                          </a:rPr>
                          <m:t> </m:t>
                        </m:r>
                        <m:r>
                          <m:rPr>
                            <m:sty m:val="p"/>
                          </m:rPr>
                          <a:rPr lang="da-DK" sz="1000" b="0" i="0">
                            <a:solidFill>
                              <a:schemeClr val="dk1"/>
                            </a:solidFill>
                            <a:effectLst/>
                            <a:latin typeface="Cambria Math" panose="02040503050406030204" pitchFamily="18" charset="0"/>
                            <a:ea typeface="+mn-ea"/>
                            <a:cs typeface="+mn-cs"/>
                          </a:rPr>
                          <m:t>WLTP</m:t>
                        </m:r>
                        <m:r>
                          <a:rPr lang="da-DK" sz="1000" b="0" i="0">
                            <a:solidFill>
                              <a:schemeClr val="dk1"/>
                            </a:solidFill>
                            <a:effectLst/>
                            <a:latin typeface="Cambria Math" panose="02040503050406030204" pitchFamily="18" charset="0"/>
                            <a:ea typeface="+mn-ea"/>
                            <a:cs typeface="+mn-cs"/>
                          </a:rPr>
                          <m:t> (</m:t>
                        </m:r>
                        <m:f>
                          <m:fPr>
                            <m:ctrlPr>
                              <a:rPr lang="da-DK" sz="1000" b="0" i="1">
                                <a:solidFill>
                                  <a:schemeClr val="dk1"/>
                                </a:solidFill>
                                <a:effectLst/>
                                <a:latin typeface="Cambria Math" panose="02040503050406030204" pitchFamily="18" charset="0"/>
                                <a:ea typeface="+mn-ea"/>
                                <a:cs typeface="+mn-cs"/>
                              </a:rPr>
                            </m:ctrlPr>
                          </m:fPr>
                          <m:num>
                            <m:r>
                              <m:rPr>
                                <m:sty m:val="p"/>
                              </m:rPr>
                              <a:rPr lang="da-DK" sz="1000" b="0" i="0">
                                <a:solidFill>
                                  <a:schemeClr val="dk1"/>
                                </a:solidFill>
                                <a:effectLst/>
                                <a:latin typeface="Cambria Math" panose="02040503050406030204" pitchFamily="18" charset="0"/>
                                <a:ea typeface="+mn-ea"/>
                                <a:cs typeface="+mn-cs"/>
                              </a:rPr>
                              <m:t>km</m:t>
                            </m:r>
                          </m:num>
                          <m:den>
                            <m:r>
                              <m:rPr>
                                <m:sty m:val="p"/>
                              </m:rPr>
                              <a:rPr lang="da-DK" sz="1000" b="0" i="0">
                                <a:solidFill>
                                  <a:schemeClr val="dk1"/>
                                </a:solidFill>
                                <a:effectLst/>
                                <a:latin typeface="Cambria Math" panose="02040503050406030204" pitchFamily="18" charset="0"/>
                                <a:ea typeface="+mn-ea"/>
                                <a:cs typeface="+mn-cs"/>
                              </a:rPr>
                              <m:t>liter</m:t>
                            </m:r>
                          </m:den>
                        </m:f>
                        <m:r>
                          <a:rPr lang="da-DK" sz="1000" b="0" i="0">
                            <a:solidFill>
                              <a:schemeClr val="dk1"/>
                            </a:solidFill>
                            <a:effectLst/>
                            <a:latin typeface="Cambria Math" panose="02040503050406030204" pitchFamily="18" charset="0"/>
                            <a:ea typeface="+mn-ea"/>
                            <a:cs typeface="+mn-cs"/>
                          </a:rPr>
                          <m:t>)</m:t>
                        </m:r>
                      </m:den>
                    </m:f>
                  </m:oMath>
                </m:oMathPara>
              </a14:m>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14:m>
                <m:oMath xmlns:m="http://schemas.openxmlformats.org/officeDocument/2006/math">
                  <m:r>
                    <a:rPr lang="da-DK" sz="1000" b="1" i="0">
                      <a:solidFill>
                        <a:sysClr val="windowText" lastClr="000000"/>
                      </a:solidFill>
                      <a:effectLst/>
                      <a:latin typeface="Cambria Math" panose="02040503050406030204" pitchFamily="18" charset="0"/>
                      <a:ea typeface="+mn-ea"/>
                      <a:cs typeface="+mn-cs"/>
                    </a:rPr>
                    <m:t>Å</m:t>
                  </m:r>
                  <m:r>
                    <a:rPr lang="da-DK" sz="1000" b="1" i="0">
                      <a:solidFill>
                        <a:sysClr val="windowText" lastClr="000000"/>
                      </a:solidFill>
                      <a:effectLst/>
                      <a:latin typeface="Cambria Math" panose="02040503050406030204" pitchFamily="18" charset="0"/>
                      <a:ea typeface="+mn-ea"/>
                      <a:cs typeface="+mn-cs"/>
                    </a:rPr>
                    <m:t>𝐫𝐥𝐢𝐠𝐭</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𝐟𝐨𝐫𝐛𝐫𝐮𝐠</m:t>
                  </m:r>
                  <m:r>
                    <a:rPr lang="da-DK" sz="1000" b="1" i="0">
                      <a:solidFill>
                        <a:sysClr val="windowText" lastClr="000000"/>
                      </a:solidFill>
                      <a:effectLst/>
                      <a:latin typeface="Cambria Math" panose="02040503050406030204" pitchFamily="18" charset="0"/>
                      <a:ea typeface="+mn-ea"/>
                      <a:cs typeface="+mn-cs"/>
                    </a:rPr>
                    <m:t> </m:t>
                  </m:r>
                  <m:d>
                    <m:dPr>
                      <m:ctrlPr>
                        <a:rPr lang="da-DK" sz="1000" b="1" i="1">
                          <a:solidFill>
                            <a:sysClr val="windowText" lastClr="000000"/>
                          </a:solidFill>
                          <a:effectLst/>
                          <a:latin typeface="Cambria Math" panose="02040503050406030204" pitchFamily="18" charset="0"/>
                          <a:ea typeface="+mn-ea"/>
                          <a:cs typeface="+mn-cs"/>
                        </a:rPr>
                      </m:ctrlPr>
                    </m:dPr>
                    <m:e>
                      <m:r>
                        <a:rPr lang="da-DK" sz="1000" b="1" i="0">
                          <a:solidFill>
                            <a:sysClr val="windowText" lastClr="000000"/>
                          </a:solidFill>
                          <a:effectLst/>
                          <a:latin typeface="Cambria Math" panose="02040503050406030204" pitchFamily="18" charset="0"/>
                          <a:ea typeface="+mn-ea"/>
                          <a:cs typeface="+mn-cs"/>
                        </a:rPr>
                        <m:t>𝐯𝐞𝐝</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𝐞𝐥</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𝐮𝐝𝐞𝐧</m:t>
                      </m:r>
                      <m:r>
                        <a:rPr lang="da-DK" sz="1000" b="1" i="0">
                          <a:solidFill>
                            <a:sysClr val="windowText" lastClr="000000"/>
                          </a:solidFill>
                          <a:effectLst/>
                          <a:latin typeface="Cambria Math" panose="02040503050406030204" pitchFamily="18" charset="0"/>
                          <a:ea typeface="+mn-ea"/>
                          <a:cs typeface="+mn-cs"/>
                        </a:rPr>
                        <m:t> </m:t>
                      </m:r>
                      <m:r>
                        <a:rPr lang="da-DK" sz="1000" b="1" i="0">
                          <a:solidFill>
                            <a:sysClr val="windowText" lastClr="000000"/>
                          </a:solidFill>
                          <a:effectLst/>
                          <a:latin typeface="Cambria Math" panose="02040503050406030204" pitchFamily="18" charset="0"/>
                          <a:ea typeface="+mn-ea"/>
                          <a:cs typeface="+mn-cs"/>
                        </a:rPr>
                        <m:t>𝐚𝐛𝐨𝐧𝐧𝐞𝐦𝐞𝐧𝐭</m:t>
                      </m:r>
                    </m:e>
                  </m:d>
                  <m:r>
                    <a:rPr lang="da-DK" sz="1000" b="1" i="0">
                      <a:solidFill>
                        <a:sysClr val="windowText" lastClr="000000"/>
                      </a:solidFill>
                      <a:effectLst/>
                      <a:latin typeface="Cambria Math" panose="02040503050406030204" pitchFamily="18" charset="0"/>
                      <a:ea typeface="+mn-ea"/>
                      <a:cs typeface="+mn-cs"/>
                    </a:rPr>
                    <m:t>=</m:t>
                  </m:r>
                </m:oMath>
              </a14:m>
              <a:r>
                <a:rPr lang="da-DK" sz="1000" b="1" i="0">
                  <a:solidFill>
                    <a:sysClr val="windowText" lastClr="000000"/>
                  </a:solidFill>
                  <a:effectLst/>
                  <a:latin typeface="Arial" panose="020B0604020202020204" pitchFamily="34" charset="0"/>
                  <a:ea typeface="+mn-ea"/>
                  <a:cs typeface="Arial" panose="020B0604020202020204" pitchFamily="34" charset="0"/>
                </a:rPr>
                <a:t> </a:t>
              </a:r>
              <a14:m>
                <m:oMath xmlns:m="http://schemas.openxmlformats.org/officeDocument/2006/math">
                  <m:r>
                    <a:rPr lang="da-DK" sz="1000" b="0" i="0">
                      <a:solidFill>
                        <a:sysClr val="windowText" lastClr="000000"/>
                      </a:solidFill>
                      <a:effectLst/>
                      <a:latin typeface="Cambria Math" panose="02040503050406030204" pitchFamily="18" charset="0"/>
                      <a:ea typeface="+mn-ea"/>
                      <a:cs typeface="+mn-cs"/>
                    </a:rPr>
                    <m:t>å</m:t>
                  </m:r>
                  <m:r>
                    <m:rPr>
                      <m:sty m:val="p"/>
                    </m:rPr>
                    <a:rPr lang="da-DK" sz="1000" b="0" i="0">
                      <a:solidFill>
                        <a:sysClr val="windowText" lastClr="000000"/>
                      </a:solidFill>
                      <a:effectLst/>
                      <a:latin typeface="Cambria Math" panose="02040503050406030204" pitchFamily="18" charset="0"/>
                      <a:ea typeface="+mn-ea"/>
                      <a:cs typeface="+mn-cs"/>
                    </a:rPr>
                    <m:t>rligt</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k</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rselsforbrug</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r>
                        <m:rPr>
                          <m:sty m:val="p"/>
                        </m:rPr>
                        <a:rPr lang="da-DK" sz="1000" b="0" i="0">
                          <a:solidFill>
                            <a:sysClr val="windowText" lastClr="000000"/>
                          </a:solidFill>
                          <a:effectLst/>
                          <a:latin typeface="Cambria Math" panose="02040503050406030204" pitchFamily="18" charset="0"/>
                          <a:ea typeface="+mn-ea"/>
                          <a:cs typeface="+mn-cs"/>
                        </a:rPr>
                        <m:t>km</m:t>
                      </m:r>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m:t>
                  </m:r>
                  <m:r>
                    <m:rPr>
                      <m:sty m:val="p"/>
                    </m:rPr>
                    <a:rPr lang="da-DK" sz="1000" b="0" i="0">
                      <a:solidFill>
                        <a:sysClr val="windowText" lastClr="000000"/>
                      </a:solidFill>
                      <a:effectLst/>
                      <a:latin typeface="Cambria Math" panose="02040503050406030204" pitchFamily="18" charset="0"/>
                      <a:ea typeface="+mn-ea"/>
                      <a:cs typeface="+mn-cs"/>
                    </a:rPr>
                    <m:t>elforbrug</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if</m:t>
                  </m:r>
                  <m:r>
                    <a:rPr lang="da-DK" sz="1000" b="0" i="0">
                      <a:solidFill>
                        <a:sysClr val="windowText" lastClr="000000"/>
                      </a:solidFill>
                      <a:effectLst/>
                      <a:latin typeface="Cambria Math" panose="02040503050406030204" pitchFamily="18" charset="0"/>
                      <a:ea typeface="+mn-ea"/>
                      <a:cs typeface="+mn-cs"/>
                    </a:rPr>
                    <m:t>ø</m:t>
                  </m:r>
                  <m:r>
                    <m:rPr>
                      <m:sty m:val="p"/>
                    </m:rPr>
                    <a:rPr lang="da-DK" sz="1000" b="0" i="0">
                      <a:solidFill>
                        <a:sysClr val="windowText" lastClr="000000"/>
                      </a:solidFill>
                      <a:effectLst/>
                      <a:latin typeface="Cambria Math" panose="02040503050406030204" pitchFamily="18" charset="0"/>
                      <a:ea typeface="+mn-ea"/>
                      <a:cs typeface="+mn-cs"/>
                    </a:rPr>
                    <m:t>lge</m:t>
                  </m:r>
                  <m:r>
                    <a:rPr lang="da-DK" sz="1000" b="0" i="0">
                      <a:solidFill>
                        <a:sysClr val="windowText" lastClr="000000"/>
                      </a:solidFill>
                      <a:effectLst/>
                      <a:latin typeface="Cambria Math" panose="02040503050406030204" pitchFamily="18" charset="0"/>
                      <a:ea typeface="+mn-ea"/>
                      <a:cs typeface="+mn-cs"/>
                    </a:rPr>
                    <m:t> </m:t>
                  </m:r>
                  <m:r>
                    <m:rPr>
                      <m:sty m:val="p"/>
                    </m:rPr>
                    <a:rPr lang="da-DK" sz="1000" b="0" i="0">
                      <a:solidFill>
                        <a:sysClr val="windowText" lastClr="000000"/>
                      </a:solidFill>
                      <a:effectLst/>
                      <a:latin typeface="Cambria Math" panose="02040503050406030204" pitchFamily="18" charset="0"/>
                      <a:ea typeface="+mn-ea"/>
                      <a:cs typeface="+mn-cs"/>
                    </a:rPr>
                    <m:t>WLTP</m:t>
                  </m:r>
                  <m:r>
                    <a:rPr lang="da-DK" sz="1000" b="0" i="0">
                      <a:solidFill>
                        <a:sysClr val="windowText" lastClr="000000"/>
                      </a:solidFill>
                      <a:effectLst/>
                      <a:latin typeface="Cambria Math" panose="02040503050406030204" pitchFamily="18" charset="0"/>
                      <a:ea typeface="+mn-ea"/>
                      <a:cs typeface="+mn-cs"/>
                    </a:rPr>
                    <m:t> </m:t>
                  </m:r>
                  <m:d>
                    <m:dPr>
                      <m:ctrlPr>
                        <a:rPr lang="da-DK" sz="1000" b="0" i="1">
                          <a:solidFill>
                            <a:sysClr val="windowText" lastClr="000000"/>
                          </a:solidFill>
                          <a:effectLst/>
                          <a:latin typeface="Cambria Math" panose="02040503050406030204" pitchFamily="18" charset="0"/>
                          <a:ea typeface="+mn-ea"/>
                          <a:cs typeface="+mn-cs"/>
                        </a:rPr>
                      </m:ctrlPr>
                    </m:dPr>
                    <m:e>
                      <m:f>
                        <m:fPr>
                          <m:ctrlPr>
                            <a:rPr lang="da-DK" sz="1000" b="0" i="1">
                              <a:solidFill>
                                <a:sysClr val="windowText" lastClr="000000"/>
                              </a:solidFill>
                              <a:effectLst/>
                              <a:latin typeface="Cambria Math" panose="02040503050406030204" pitchFamily="18" charset="0"/>
                              <a:ea typeface="+mn-ea"/>
                              <a:cs typeface="+mn-cs"/>
                            </a:rPr>
                          </m:ctrlPr>
                        </m:fPr>
                        <m:num>
                          <m:r>
                            <m:rPr>
                              <m:sty m:val="p"/>
                            </m:rPr>
                            <a:rPr lang="da-DK" sz="1000" b="0" i="0">
                              <a:solidFill>
                                <a:sysClr val="windowText" lastClr="000000"/>
                              </a:solidFill>
                              <a:effectLst/>
                              <a:latin typeface="Cambria Math" panose="02040503050406030204" pitchFamily="18" charset="0"/>
                              <a:ea typeface="+mn-ea"/>
                              <a:cs typeface="+mn-cs"/>
                            </a:rPr>
                            <m:t>Wh</m:t>
                          </m:r>
                        </m:num>
                        <m:den>
                          <m:r>
                            <m:rPr>
                              <m:sty m:val="p"/>
                            </m:rPr>
                            <a:rPr lang="da-DK" sz="1000" b="0" i="0">
                              <a:solidFill>
                                <a:sysClr val="windowText" lastClr="000000"/>
                              </a:solidFill>
                              <a:effectLst/>
                              <a:latin typeface="Cambria Math" panose="02040503050406030204" pitchFamily="18" charset="0"/>
                              <a:ea typeface="+mn-ea"/>
                              <a:cs typeface="+mn-cs"/>
                            </a:rPr>
                            <m:t>km</m:t>
                          </m:r>
                        </m:den>
                      </m:f>
                    </m:e>
                  </m:d>
                  <m:r>
                    <a:rPr lang="da-DK" sz="1000" b="0" i="1">
                      <a:solidFill>
                        <a:sysClr val="windowText" lastClr="000000"/>
                      </a:solidFill>
                      <a:effectLst/>
                      <a:latin typeface="Cambria Math" panose="02040503050406030204" pitchFamily="18" charset="0"/>
                      <a:ea typeface="Cambria Math" panose="02040503050406030204" pitchFamily="18" charset="0"/>
                      <a:cs typeface="+mn-cs"/>
                    </a:rPr>
                    <m:t> </m:t>
                  </m:r>
                </m:oMath>
              </a14:m>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𝐫𝐥𝐢𝐠𝐭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𝐟𝐨𝐫𝐛𝐫𝐮𝐠</m:t>
                    </m:r>
                    <m:r>
                      <a:rPr lang="da-DK" sz="1000" b="1" i="0">
                        <a:solidFill>
                          <a:schemeClr val="dk1"/>
                        </a:solidFill>
                        <a:effectLst/>
                        <a:latin typeface="Cambria Math" panose="02040503050406030204" pitchFamily="18" charset="0"/>
                        <a:ea typeface="Cambria Math" panose="02040503050406030204" pitchFamily="18" charset="0"/>
                        <a:cs typeface="+mn-cs"/>
                      </a:rPr>
                      <m:t> </m:t>
                    </m:r>
                    <m:d>
                      <m:dPr>
                        <m:ctrlPr>
                          <a:rPr lang="da-DK" sz="1000" b="1" i="1">
                            <a:solidFill>
                              <a:schemeClr val="dk1"/>
                            </a:solidFill>
                            <a:effectLst/>
                            <a:latin typeface="Cambria Math" panose="02040503050406030204" pitchFamily="18" charset="0"/>
                            <a:ea typeface="Cambria Math" panose="02040503050406030204" pitchFamily="18" charset="0"/>
                            <a:cs typeface="+mn-cs"/>
                          </a:rPr>
                        </m:ctrlPr>
                      </m:dPr>
                      <m:e>
                        <m:r>
                          <a:rPr lang="da-DK" sz="1000" b="1" i="0">
                            <a:solidFill>
                              <a:schemeClr val="dk1"/>
                            </a:solidFill>
                            <a:effectLst/>
                            <a:latin typeface="Cambria Math" panose="02040503050406030204" pitchFamily="18" charset="0"/>
                            <a:ea typeface="Cambria Math" panose="02040503050406030204" pitchFamily="18" charset="0"/>
                            <a:cs typeface="+mn-cs"/>
                          </a:rPr>
                          <m:t>𝐯𝐞𝐝</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𝐩𝐥𝐮𝐠𝐢𝐧</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𝐡𝐲𝐛𝐫𝐢𝐝</m:t>
                        </m:r>
                      </m:e>
                    </m:d>
                    <m:r>
                      <a:rPr lang="da-DK" sz="1000" b="1" i="0">
                        <a:solidFill>
                          <a:schemeClr val="dk1"/>
                        </a:solidFill>
                        <a:effectLst/>
                        <a:latin typeface="Cambria Math" panose="02040503050406030204" pitchFamily="18" charset="0"/>
                        <a:ea typeface="Cambria Math" panose="02040503050406030204" pitchFamily="18" charset="0"/>
                        <a:cs typeface="+mn-cs"/>
                      </a:rPr>
                      <m:t>=</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a:rPr lang="da-DK" sz="1000" b="0" i="0">
                            <a:solidFill>
                              <a:schemeClr val="dk1"/>
                            </a:solidFill>
                            <a:effectLst/>
                            <a:latin typeface="Cambria Math" panose="02040503050406030204" pitchFamily="18" charset="0"/>
                            <a:ea typeface="Cambria Math" panose="02040503050406030204" pitchFamily="18" charset="0"/>
                            <a:cs typeface="+mn-cs"/>
                          </a:rPr>
                          <m:t>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rligt</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t>
                        </m:r>
                        <m:r>
                          <a:rPr lang="da-DK" sz="1000" b="0"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rselsforbrug</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p</m:t>
                        </m:r>
                        <m:r>
                          <a:rPr lang="da-DK" sz="1000" b="0" i="0">
                            <a:solidFill>
                              <a:schemeClr val="dk1"/>
                            </a:solidFill>
                            <a:effectLst/>
                            <a:latin typeface="Cambria Math" panose="02040503050406030204" pitchFamily="18" charset="0"/>
                            <a:ea typeface="Cambria Math" panose="02040503050406030204" pitchFamily="18" charset="0"/>
                            <a:cs typeface="+mn-cs"/>
                          </a:rPr>
                          <m:t>å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m:t>
                        </m:r>
                        <m:r>
                          <a:rPr lang="da-DK" sz="1000" b="0" i="0">
                            <a:solidFill>
                              <a:schemeClr val="dk1"/>
                            </a:solidFill>
                            <a:effectLst/>
                            <a:latin typeface="Cambria Math" panose="02040503050406030204" pitchFamily="18" charset="0"/>
                            <a:ea typeface="Cambria Math" panose="02040503050406030204" pitchFamily="18" charset="0"/>
                            <a:cs typeface="+mn-cs"/>
                          </a:rPr>
                          <m:t> </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km</m:t>
                            </m:r>
                          </m:e>
                        </m:d>
                        <m:r>
                          <a:rPr lang="da-DK" sz="1000" b="0" i="0">
                            <a:solidFill>
                              <a:schemeClr val="dk1"/>
                            </a:solidFill>
                            <a:effectLst/>
                            <a:latin typeface="Cambria Math" panose="02040503050406030204" pitchFamily="18" charset="0"/>
                            <a:ea typeface="Cambria Math" panose="02040503050406030204" pitchFamily="18" charset="0"/>
                            <a:cs typeface="+mn-cs"/>
                          </a:rPr>
                          <m:t> </m:t>
                        </m:r>
                      </m:num>
                      <m:den>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br</m:t>
                        </m:r>
                        <m:r>
                          <a:rPr lang="da-DK" sz="1000" b="1"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ndstofforbrug</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if</m:t>
                        </m:r>
                        <m:r>
                          <a:rPr lang="da-DK" sz="1000" b="1" i="0">
                            <a:solidFill>
                              <a:schemeClr val="dk1"/>
                            </a:solidFill>
                            <a:effectLst/>
                            <a:latin typeface="Cambria Math" panose="02040503050406030204" pitchFamily="18" charset="0"/>
                            <a:ea typeface="Cambria Math" panose="02040503050406030204" pitchFamily="18" charset="0"/>
                            <a:cs typeface="+mn-cs"/>
                          </a:rPr>
                          <m:t>ø</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lge</m:t>
                        </m:r>
                        <m:r>
                          <a:rPr lang="da-DK" sz="1000" b="1"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WLTP</m:t>
                        </m:r>
                        <m:r>
                          <a:rPr lang="da-DK" sz="1000" b="1" i="0">
                            <a:solidFill>
                              <a:schemeClr val="dk1"/>
                            </a:solidFill>
                            <a:effectLst/>
                            <a:latin typeface="Cambria Math" panose="02040503050406030204" pitchFamily="18" charset="0"/>
                            <a:ea typeface="Cambria Math" panose="02040503050406030204" pitchFamily="18" charset="0"/>
                            <a:cs typeface="+mn-cs"/>
                          </a:rPr>
                          <m:t> (</m:t>
                        </m:r>
                        <m:f>
                          <m:fPr>
                            <m:ctrlPr>
                              <a:rPr lang="da-DK" sz="1000" b="1"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1" i="0">
                                <a:solidFill>
                                  <a:schemeClr val="dk1"/>
                                </a:solidFill>
                                <a:effectLst/>
                                <a:latin typeface="Cambria Math" panose="02040503050406030204" pitchFamily="18" charset="0"/>
                                <a:ea typeface="Cambria Math" panose="02040503050406030204" pitchFamily="18" charset="0"/>
                                <a:cs typeface="+mn-cs"/>
                              </a:rPr>
                              <m:t>km</m:t>
                            </m:r>
                          </m:num>
                          <m:den>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liter</m:t>
                            </m:r>
                          </m:den>
                        </m:f>
                        <m:r>
                          <a:rPr lang="da-DK" sz="1000" b="1" i="0">
                            <a:solidFill>
                              <a:schemeClr val="dk1"/>
                            </a:solidFill>
                            <a:effectLst/>
                            <a:latin typeface="Cambria Math" panose="02040503050406030204" pitchFamily="18" charset="0"/>
                            <a:ea typeface="Cambria Math" panose="02040503050406030204" pitchFamily="18" charset="0"/>
                            <a:cs typeface="+mn-cs"/>
                          </a:rPr>
                          <m:t>)</m:t>
                        </m:r>
                      </m:den>
                    </m:f>
                    <m:r>
                      <a:rPr lang="da-DK" sz="1000" b="1" i="1">
                        <a:solidFill>
                          <a:schemeClr val="dk1"/>
                        </a:solidFill>
                        <a:effectLst/>
                        <a:latin typeface="Cambria Math" panose="02040503050406030204" pitchFamily="18" charset="0"/>
                        <a:ea typeface="Cambria Math" panose="02040503050406030204" pitchFamily="18" charset="0"/>
                        <a:cs typeface="+mn-cs"/>
                      </a:rPr>
                      <m:t>+</m:t>
                    </m:r>
                    <m:r>
                      <m:rPr>
                        <m:nor/>
                      </m:rPr>
                      <a:rPr lang="da-DK" sz="1000" b="1"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rligt</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forbrug</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 </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p</m:t>
                    </m:r>
                    <m:r>
                      <m:rPr>
                        <m:nor/>
                      </m:rPr>
                      <a:rPr lang="da-DK" sz="1000" b="0" i="0">
                        <a:solidFill>
                          <a:schemeClr val="dk1"/>
                        </a:solidFill>
                        <a:effectLst/>
                        <a:latin typeface="Arial" panose="020B0604020202020204" pitchFamily="34" charset="0"/>
                        <a:ea typeface="Cambria Math" panose="02040503050406030204" pitchFamily="18" charset="0"/>
                        <a:cs typeface="Arial" panose="020B0604020202020204" pitchFamily="34" charset="0"/>
                      </a:rPr>
                      <m:t>å </m:t>
                    </m:r>
                    <m:r>
                      <m:rPr>
                        <m:nor/>
                      </m:rPr>
                      <a:rPr lang="da-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m:t>el</m:t>
                    </m:r>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effectLst/>
                        <a:latin typeface="Cambria Math" panose="02040503050406030204" pitchFamily="18" charset="0"/>
                        <a:ea typeface="Cambria Math" panose="02040503050406030204" pitchFamily="18" charset="0"/>
                        <a:cs typeface="+mn-cs"/>
                      </a:rPr>
                      <m:t>𝐁𝐫</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𝐧𝐝𝐬𝐭𝐨𝐟𝐩𝐫𝐢𝐬</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𝐢</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𝐝𝐞𝐭</m:t>
                    </m:r>
                    <m:r>
                      <a:rPr lang="da-DK" sz="1000" b="1" i="0">
                        <a:solidFill>
                          <a:schemeClr val="dk1"/>
                        </a:solidFill>
                        <a:effectLst/>
                        <a:latin typeface="Cambria Math" panose="02040503050406030204" pitchFamily="18" charset="0"/>
                        <a:ea typeface="Cambria Math" panose="02040503050406030204" pitchFamily="18" charset="0"/>
                        <a:cs typeface="+mn-cs"/>
                      </a:rPr>
                      <m:t> </m:t>
                    </m:r>
                    <m:r>
                      <a:rPr lang="da-DK" sz="1000" b="1" i="0">
                        <a:solidFill>
                          <a:schemeClr val="dk1"/>
                        </a:solidFill>
                        <a:effectLst/>
                        <a:latin typeface="Cambria Math" panose="02040503050406030204" pitchFamily="18" charset="0"/>
                        <a:ea typeface="Cambria Math" panose="02040503050406030204" pitchFamily="18" charset="0"/>
                        <a:cs typeface="+mn-cs"/>
                      </a:rPr>
                      <m:t>𝐩</m:t>
                    </m:r>
                    <m:r>
                      <a:rPr lang="da-DK" sz="1000" b="1" i="0">
                        <a:solidFill>
                          <a:schemeClr val="dk1"/>
                        </a:solidFill>
                        <a:effectLst/>
                        <a:latin typeface="Cambria Math" panose="02040503050406030204" pitchFamily="18" charset="0"/>
                        <a:ea typeface="Cambria Math" panose="02040503050406030204" pitchFamily="18" charset="0"/>
                        <a:cs typeface="+mn-cs"/>
                      </a:rPr>
                      <m:t>å</m:t>
                    </m:r>
                    <m:r>
                      <a:rPr lang="da-DK" sz="1000" b="1" i="0">
                        <a:solidFill>
                          <a:schemeClr val="dk1"/>
                        </a:solidFill>
                        <a:effectLst/>
                        <a:latin typeface="Cambria Math" panose="02040503050406030204" pitchFamily="18" charset="0"/>
                        <a:ea typeface="Cambria Math" panose="02040503050406030204" pitchFamily="18" charset="0"/>
                        <a:cs typeface="+mn-cs"/>
                      </a:rPr>
                      <m:t>𝐠</m:t>
                    </m:r>
                    <m:r>
                      <a:rPr lang="da-DK" sz="1000" b="1" i="0">
                        <a:solidFill>
                          <a:schemeClr val="dk1"/>
                        </a:solidFill>
                        <a:effectLst/>
                        <a:latin typeface="Cambria Math" panose="02040503050406030204" pitchFamily="18" charset="0"/>
                        <a:ea typeface="Cambria Math" panose="02040503050406030204" pitchFamily="18" charset="0"/>
                        <a:cs typeface="+mn-cs"/>
                      </a:rPr>
                      <m:t>æ</m:t>
                    </m:r>
                    <m:r>
                      <a:rPr lang="da-DK" sz="1000" b="1" i="0">
                        <a:solidFill>
                          <a:schemeClr val="dk1"/>
                        </a:solidFill>
                        <a:effectLst/>
                        <a:latin typeface="Cambria Math" panose="02040503050406030204" pitchFamily="18" charset="0"/>
                        <a:ea typeface="Cambria Math" panose="02040503050406030204" pitchFamily="18" charset="0"/>
                        <a:cs typeface="+mn-cs"/>
                      </a:rPr>
                      <m:t>𝐥𝐝𝐞𝐧𝐝𝐞</m:t>
                    </m:r>
                    <m:r>
                      <a:rPr lang="da-DK" sz="1000" b="1" i="0">
                        <a:solidFill>
                          <a:schemeClr val="dk1"/>
                        </a:solidFill>
                        <a:effectLst/>
                        <a:latin typeface="Cambria Math" panose="02040503050406030204" pitchFamily="18" charset="0"/>
                        <a:ea typeface="Cambria Math" panose="02040503050406030204" pitchFamily="18" charset="0"/>
                        <a:cs typeface="+mn-cs"/>
                      </a:rPr>
                      <m:t> å</m:t>
                    </m:r>
                    <m:r>
                      <a:rPr lang="da-DK" sz="1000" b="1" i="0">
                        <a:solidFill>
                          <a:schemeClr val="dk1"/>
                        </a:solidFill>
                        <a:effectLst/>
                        <a:latin typeface="Cambria Math" panose="02040503050406030204" pitchFamily="18" charset="0"/>
                        <a:ea typeface="Cambria Math" panose="02040503050406030204" pitchFamily="18" charset="0"/>
                        <a:cs typeface="+mn-cs"/>
                      </a:rPr>
                      <m:t>𝐫</m:t>
                    </m:r>
                    <m:r>
                      <a:rPr lang="da-DK" sz="1000" b="0" i="0">
                        <a:solidFill>
                          <a:schemeClr val="dk1"/>
                        </a:solidFill>
                        <a:effectLst/>
                        <a:latin typeface="Cambria Math" panose="02040503050406030204" pitchFamily="18" charset="0"/>
                        <a:ea typeface="Cambria Math" panose="02040503050406030204" pitchFamily="18" charset="0"/>
                        <a:cs typeface="+mn-cs"/>
                      </a:rPr>
                      <m:t>=</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m:t>
                    </m:r>
                    <m:r>
                      <a:rPr lang="da-DK" sz="1000" b="0" i="0">
                        <a:solidFill>
                          <a:schemeClr val="dk1"/>
                        </a:solidFill>
                        <a:effectLst/>
                        <a:latin typeface="Cambria Math" panose="02040503050406030204" pitchFamily="18" charset="0"/>
                        <a:ea typeface="Cambria Math" panose="02040503050406030204" pitchFamily="18" charset="0"/>
                        <a:cs typeface="+mn-cs"/>
                      </a:rPr>
                      <m:t> å</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r</m:t>
                    </m:r>
                    <m:r>
                      <a:rPr lang="da-DK" sz="1000" b="0" i="0">
                        <a:solidFill>
                          <a:schemeClr val="dk1"/>
                        </a:solidFill>
                        <a:effectLst/>
                        <a:latin typeface="Cambria Math" panose="02040503050406030204" pitchFamily="18" charset="0"/>
                        <a:ea typeface="Cambria Math" panose="02040503050406030204" pitchFamily="18" charset="0"/>
                        <a:cs typeface="+mn-cs"/>
                      </a:rPr>
                      <m:t> (</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x</m:t>
                    </m:r>
                    <m:r>
                      <a:rPr lang="da-DK" sz="1000" b="0" i="0">
                        <a:solidFill>
                          <a:schemeClr val="dk1"/>
                        </a:solidFill>
                        <a:effectLst/>
                        <a:latin typeface="Cambria Math" panose="02040503050406030204" pitchFamily="18" charset="0"/>
                        <a:ea typeface="Cambria Math" panose="02040503050406030204" pitchFamily="18" charset="0"/>
                        <a:cs typeface="+mn-cs"/>
                      </a:rPr>
                      <m:t>−1)×</m:t>
                    </m:r>
                    <m:d>
                      <m:dPr>
                        <m:ctrlPr>
                          <a:rPr lang="da-DK" sz="1000" b="0" i="1">
                            <a:solidFill>
                              <a:schemeClr val="dk1"/>
                            </a:solidFill>
                            <a:effectLst/>
                            <a:latin typeface="Cambria Math" panose="02040503050406030204" pitchFamily="18" charset="0"/>
                            <a:ea typeface="Cambria Math" panose="02040503050406030204" pitchFamily="18" charset="0"/>
                            <a:cs typeface="+mn-cs"/>
                          </a:rPr>
                        </m:ctrlPr>
                      </m:dPr>
                      <m:e>
                        <m:r>
                          <a:rPr lang="da-DK" sz="1000" b="0" i="0">
                            <a:solidFill>
                              <a:schemeClr val="dk1"/>
                            </a:solidFill>
                            <a:effectLst/>
                            <a:latin typeface="Cambria Math" panose="02040503050406030204" pitchFamily="18" charset="0"/>
                            <a:ea typeface="Cambria Math" panose="02040503050406030204" pitchFamily="18" charset="0"/>
                            <a:cs typeface="+mn-cs"/>
                          </a:rPr>
                          <m:t>1+</m:t>
                        </m:r>
                        <m:f>
                          <m:fPr>
                            <m:ctrlPr>
                              <a:rPr lang="da-DK" sz="1000" b="0" i="1">
                                <a:solidFill>
                                  <a:schemeClr val="dk1"/>
                                </a:solidFill>
                                <a:effectLst/>
                                <a:latin typeface="Cambria Math" panose="02040503050406030204" pitchFamily="18" charset="0"/>
                                <a:ea typeface="Cambria Math" panose="02040503050406030204" pitchFamily="18" charset="0"/>
                                <a:cs typeface="+mn-cs"/>
                              </a:rPr>
                            </m:ctrlPr>
                          </m:fPr>
                          <m:num>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Br</m:t>
                            </m:r>
                            <m:r>
                              <a:rPr lang="da-DK" sz="1000" b="0" i="0">
                                <a:solidFill>
                                  <a:schemeClr val="dk1"/>
                                </a:solidFill>
                                <a:effectLst/>
                                <a:latin typeface="Cambria Math" panose="02040503050406030204" pitchFamily="18" charset="0"/>
                                <a:ea typeface="Cambria Math" panose="02040503050406030204" pitchFamily="18" charset="0"/>
                                <a:cs typeface="+mn-cs"/>
                              </a:rPr>
                              <m:t>æ</m:t>
                            </m:r>
                            <m:r>
                              <m:rPr>
                                <m:sty m:val="p"/>
                              </m:rPr>
                              <a:rPr lang="da-DK" sz="1000" b="0" i="0">
                                <a:solidFill>
                                  <a:schemeClr val="dk1"/>
                                </a:solidFill>
                                <a:effectLst/>
                                <a:latin typeface="Cambria Math" panose="02040503050406030204" pitchFamily="18" charset="0"/>
                                <a:ea typeface="Cambria Math" panose="02040503050406030204" pitchFamily="18" charset="0"/>
                                <a:cs typeface="+mn-cs"/>
                              </a:rPr>
                              <m:t>ndstofprisstigning</m:t>
                            </m:r>
                            <m:r>
                              <a:rPr lang="da-DK" sz="1000" b="0" i="0">
                                <a:solidFill>
                                  <a:schemeClr val="dk1"/>
                                </a:solidFill>
                                <a:effectLst/>
                                <a:latin typeface="Cambria Math" panose="02040503050406030204" pitchFamily="18" charset="0"/>
                                <a:ea typeface="Cambria Math" panose="02040503050406030204" pitchFamily="18" charset="0"/>
                                <a:cs typeface="+mn-cs"/>
                              </a:rPr>
                              <m:t> %</m:t>
                            </m:r>
                          </m:num>
                          <m:den>
                            <m:r>
                              <a:rPr lang="da-DK" sz="1000" b="0" i="0">
                                <a:solidFill>
                                  <a:schemeClr val="dk1"/>
                                </a:solidFill>
                                <a:effectLst/>
                                <a:latin typeface="Cambria Math" panose="02040503050406030204" pitchFamily="18" charset="0"/>
                                <a:ea typeface="Cambria Math" panose="02040503050406030204" pitchFamily="18" charset="0"/>
                                <a:cs typeface="+mn-cs"/>
                              </a:rPr>
                              <m:t>100</m:t>
                            </m:r>
                          </m:den>
                        </m:f>
                      </m:e>
                    </m:d>
                  </m:oMath>
                </m:oMathPara>
              </a14:m>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𝐄𝐥𝐩𝐫𝐢𝐬</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Elpris</m:t>
                    </m:r>
                    <m:r>
                      <a:rPr lang="da-DK" sz="1000" b="0" i="0">
                        <a:latin typeface="Cambria Math" panose="02040503050406030204" pitchFamily="18" charset="0"/>
                      </a:rPr>
                      <m:t> å</m:t>
                    </m:r>
                    <m:r>
                      <m:rPr>
                        <m:sty m:val="p"/>
                      </m:rPr>
                      <a:rPr lang="da-DK" sz="1000" b="0" i="0">
                        <a:latin typeface="Cambria Math" panose="02040503050406030204" pitchFamily="18" charset="0"/>
                      </a:rPr>
                      <m:t>r</m:t>
                    </m:r>
                    <m:r>
                      <a:rPr lang="da-DK" sz="1000" b="0" i="0">
                        <a:latin typeface="Cambria Math" panose="02040503050406030204" pitchFamily="18" charset="0"/>
                      </a:rPr>
                      <m:t> (</m:t>
                    </m:r>
                    <m:r>
                      <m:rPr>
                        <m:sty m:val="p"/>
                      </m:rPr>
                      <a:rPr lang="da-DK" sz="1000" b="0" i="0">
                        <a:latin typeface="Cambria Math" panose="02040503050406030204" pitchFamily="18" charset="0"/>
                      </a:rPr>
                      <m:t>x</m:t>
                    </m:r>
                    <m:r>
                      <a:rPr lang="da-DK" sz="1000" b="0" i="0">
                        <a:latin typeface="Cambria Math" panose="02040503050406030204" pitchFamily="18" charset="0"/>
                      </a:rPr>
                      <m:t>−1)×</m:t>
                    </m:r>
                    <m:d>
                      <m:dPr>
                        <m:ctrlPr>
                          <a:rPr lang="da-DK" sz="1000" b="0" i="1">
                            <a:latin typeface="Cambria Math" panose="02040503050406030204" pitchFamily="18" charset="0"/>
                          </a:rPr>
                        </m:ctrlPr>
                      </m:dPr>
                      <m:e>
                        <m:r>
                          <a:rPr lang="da-DK" sz="1000" b="0" i="0">
                            <a:latin typeface="Cambria Math" panose="02040503050406030204" pitchFamily="18" charset="0"/>
                          </a:rPr>
                          <m:t>1+</m:t>
                        </m:r>
                        <m:f>
                          <m:fPr>
                            <m:ctrlPr>
                              <a:rPr lang="da-DK" sz="1000" b="0" i="1">
                                <a:latin typeface="Cambria Math" panose="02040503050406030204" pitchFamily="18" charset="0"/>
                              </a:rPr>
                            </m:ctrlPr>
                          </m:fPr>
                          <m:num>
                            <m:r>
                              <m:rPr>
                                <m:sty m:val="p"/>
                              </m:rPr>
                              <a:rPr lang="da-DK" sz="1000" b="0" i="0">
                                <a:latin typeface="Cambria Math" panose="02040503050406030204" pitchFamily="18" charset="0"/>
                              </a:rPr>
                              <m:t>Elprisstigning</m:t>
                            </m:r>
                            <m:r>
                              <a:rPr lang="da-DK" sz="1000" b="0" i="0">
                                <a:latin typeface="Cambria Math" panose="02040503050406030204" pitchFamily="18" charset="0"/>
                              </a:rPr>
                              <m:t> %</m:t>
                            </m:r>
                          </m:num>
                          <m:den>
                            <m:r>
                              <a:rPr lang="da-DK" sz="1000" b="0" i="0">
                                <a:latin typeface="Cambria Math" panose="02040503050406030204" pitchFamily="18" charset="0"/>
                              </a:rPr>
                              <m:t>100</m:t>
                            </m:r>
                          </m:den>
                        </m:f>
                      </m:e>
                    </m:d>
                  </m:oMath>
                </m:oMathPara>
              </a14:m>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𝐛𝐞𝐧𝐳𝐢𝐧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𝐝𝐢𝐞𝐬𝐞𝐥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𝐞𝐥</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r>
                    <a:rPr lang="da-DK"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oMath>
              </a14:m>
              <a:r>
                <a:rPr lang="da-DK">
                  <a:effectLst/>
                  <a:latin typeface="Arial" panose="020B0604020202020204" pitchFamily="34" charset="0"/>
                  <a:cs typeface="Arial" panose="020B0604020202020204" pitchFamily="34" charset="0"/>
                </a:rPr>
                <a:t> </a:t>
              </a:r>
              <a14:m>
                <m:oMath xmlns:m="http://schemas.openxmlformats.org/officeDocument/2006/math">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m:t>
                  </m:r>
                  <m:r>
                    <a:rPr lang="en-US"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𝐞𝐥</m:t>
                      </m:r>
                    </m:e>
                  </m:d>
                </m:oMath>
              </a14:m>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14:m>
                <m:oMath xmlns:m="http://schemas.openxmlformats.org/officeDocument/2006/math">
                  <m:r>
                    <a:rPr lang="da-DK" sz="1100" b="1" i="0">
                      <a:solidFill>
                        <a:schemeClr val="dk1"/>
                      </a:solidFill>
                      <a:effectLst/>
                      <a:latin typeface="Cambria Math" panose="02040503050406030204" pitchFamily="18" charset="0"/>
                      <a:ea typeface="+mn-ea"/>
                      <a:cs typeface="+mn-cs"/>
                    </a:rPr>
                    <m:t>Å</m:t>
                  </m:r>
                  <m:r>
                    <a:rPr lang="da-DK" sz="1100" b="1" i="0">
                      <a:solidFill>
                        <a:schemeClr val="dk1"/>
                      </a:solidFill>
                      <a:effectLst/>
                      <a:latin typeface="Cambria Math" panose="02040503050406030204" pitchFamily="18" charset="0"/>
                      <a:ea typeface="+mn-ea"/>
                      <a:cs typeface="+mn-cs"/>
                    </a:rPr>
                    <m:t>𝐫𝐥𝐢𝐠𝐭</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𝐟𝐨𝐫𝐛𝐫𝐮𝐠</m:t>
                  </m:r>
                  <m:r>
                    <a:rPr lang="da-DK" sz="1100" b="1" i="0">
                      <a:solidFill>
                        <a:schemeClr val="dk1"/>
                      </a:solidFill>
                      <a:effectLst/>
                      <a:latin typeface="Cambria Math" panose="02040503050406030204" pitchFamily="18" charset="0"/>
                      <a:ea typeface="+mn-ea"/>
                      <a:cs typeface="+mn-cs"/>
                    </a:rPr>
                    <m:t> </m:t>
                  </m:r>
                  <m:d>
                    <m:dPr>
                      <m:ctrlPr>
                        <a:rPr lang="da-DK" sz="1100" b="1" i="1">
                          <a:solidFill>
                            <a:schemeClr val="dk1"/>
                          </a:solidFill>
                          <a:effectLst/>
                          <a:latin typeface="Cambria Math" panose="02040503050406030204" pitchFamily="18" charset="0"/>
                          <a:ea typeface="+mn-ea"/>
                          <a:cs typeface="+mn-cs"/>
                        </a:rPr>
                      </m:ctrlPr>
                    </m:dPr>
                    <m:e>
                      <m:r>
                        <a:rPr lang="da-DK" sz="1100" b="1" i="0">
                          <a:solidFill>
                            <a:schemeClr val="dk1"/>
                          </a:solidFill>
                          <a:effectLst/>
                          <a:latin typeface="Cambria Math" panose="02040503050406030204" pitchFamily="18" charset="0"/>
                          <a:ea typeface="+mn-ea"/>
                          <a:cs typeface="+mn-cs"/>
                        </a:rPr>
                        <m:t>𝐯𝐞𝐝</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𝐩𝐥𝐮𝐠𝐢𝐧</m:t>
                      </m:r>
                      <m:r>
                        <a:rPr lang="da-DK" sz="1100" b="1" i="0">
                          <a:solidFill>
                            <a:schemeClr val="dk1"/>
                          </a:solidFill>
                          <a:effectLst/>
                          <a:latin typeface="Cambria Math" panose="02040503050406030204" pitchFamily="18" charset="0"/>
                          <a:ea typeface="+mn-ea"/>
                          <a:cs typeface="+mn-cs"/>
                        </a:rPr>
                        <m:t> </m:t>
                      </m:r>
                      <m:r>
                        <a:rPr lang="da-DK" sz="1100" b="1" i="0">
                          <a:solidFill>
                            <a:schemeClr val="dk1"/>
                          </a:solidFill>
                          <a:effectLst/>
                          <a:latin typeface="Cambria Math" panose="02040503050406030204" pitchFamily="18" charset="0"/>
                          <a:ea typeface="+mn-ea"/>
                          <a:cs typeface="+mn-cs"/>
                        </a:rPr>
                        <m:t>𝐡𝐲𝐛𝐫𝐢𝐝</m:t>
                      </m:r>
                    </m:e>
                  </m:d>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Produktets</m:t>
                  </m:r>
                  <m:r>
                    <a:rPr lang="en-US" sz="1100" b="0" i="0">
                      <a:solidFill>
                        <a:schemeClr val="dk1"/>
                      </a:solidFill>
                      <a:effectLst/>
                      <a:latin typeface="Cambria Math" panose="02040503050406030204" pitchFamily="18" charset="0"/>
                      <a:ea typeface="+mn-ea"/>
                      <a:cs typeface="+mn-cs"/>
                    </a:rPr>
                    <m:t> å</m:t>
                  </m:r>
                  <m:r>
                    <m:rPr>
                      <m:sty m:val="p"/>
                    </m:rPr>
                    <a:rPr lang="en-US" sz="1100" b="0" i="0">
                      <a:solidFill>
                        <a:schemeClr val="dk1"/>
                      </a:solidFill>
                      <a:effectLst/>
                      <a:latin typeface="Cambria Math" panose="02040503050406030204" pitchFamily="18" charset="0"/>
                      <a:ea typeface="+mn-ea"/>
                      <a:cs typeface="+mn-cs"/>
                    </a:rPr>
                    <m:t>rlige</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forbrug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m:t>
                  </m:r>
                  <m:r>
                    <a:rPr lang="en-US" sz="1100" b="0" i="0">
                      <a:solidFill>
                        <a:schemeClr val="dk1"/>
                      </a:solidFill>
                      <a:effectLst/>
                      <a:latin typeface="Cambria Math" panose="02040503050406030204" pitchFamily="18" charset="0"/>
                      <a:ea typeface="+mn-ea"/>
                      <a:cs typeface="+mn-cs"/>
                    </a:rPr>
                    <m:t>æ</m:t>
                  </m:r>
                  <m:r>
                    <m:rPr>
                      <m:sty m:val="p"/>
                    </m:rPr>
                    <a:rPr lang="en-US" sz="1100" b="0" i="0">
                      <a:solidFill>
                        <a:schemeClr val="dk1"/>
                      </a:solidFill>
                      <a:effectLst/>
                      <a:latin typeface="Cambria Math" panose="02040503050406030204" pitchFamily="18" charset="0"/>
                      <a:ea typeface="+mn-ea"/>
                      <a:cs typeface="+mn-cs"/>
                    </a:rPr>
                    <m:t>ndstof</m:t>
                  </m:r>
                  <m:r>
                    <m:rPr>
                      <m:nor/>
                    </m:rPr>
                    <a:rPr lang="en-US" sz="1100" b="0" i="0">
                      <a:solidFill>
                        <a:schemeClr val="dk1"/>
                      </a:solidFill>
                      <a:effectLst/>
                      <a:latin typeface="Arial" panose="020B0604020202020204" pitchFamily="34" charset="0"/>
                      <a:ea typeface="+mn-ea"/>
                      <a:cs typeface="Arial" panose="020B0604020202020204" pitchFamily="34" charset="0"/>
                    </a:rPr>
                    <m:t> (</m:t>
                  </m:r>
                  <m:r>
                    <m:rPr>
                      <m:nor/>
                    </m:rPr>
                    <a:rPr lang="en-US" sz="1100" b="0" i="0">
                      <a:solidFill>
                        <a:schemeClr val="dk1"/>
                      </a:solidFill>
                      <a:effectLst/>
                      <a:latin typeface="Arial" panose="020B0604020202020204" pitchFamily="34" charset="0"/>
                      <a:ea typeface="+mn-ea"/>
                      <a:cs typeface="Arial" panose="020B0604020202020204" pitchFamily="34" charset="0"/>
                    </a:rPr>
                    <m:t>liter</m:t>
                  </m:r>
                  <m:r>
                    <m:rPr>
                      <m:nor/>
                    </m:rPr>
                    <a:rPr lang="en-US" sz="1100" i="0">
                      <a:solidFill>
                        <a:schemeClr val="dk1"/>
                      </a:solidFill>
                      <a:effectLst/>
                      <a:latin typeface="Arial" panose="020B0604020202020204" pitchFamily="34" charset="0"/>
                      <a:ea typeface="+mn-ea"/>
                      <a:cs typeface="Arial" panose="020B0604020202020204" pitchFamily="34" charset="0"/>
                    </a:rPr>
                    <m:t>/å</m:t>
                  </m:r>
                  <m:r>
                    <m:rPr>
                      <m:nor/>
                    </m:rPr>
                    <a:rPr lang="en-US" sz="1100" i="0">
                      <a:solidFill>
                        <a:schemeClr val="dk1"/>
                      </a:solidFill>
                      <a:effectLst/>
                      <a:latin typeface="Arial" panose="020B0604020202020204" pitchFamily="34" charset="0"/>
                      <a:ea typeface="+mn-ea"/>
                      <a:cs typeface="Arial" panose="020B0604020202020204" pitchFamily="34" charset="0"/>
                    </a:rPr>
                    <m:t>r</m:t>
                  </m:r>
                  <m:r>
                    <m:rPr>
                      <m:nor/>
                    </m:rPr>
                    <a:rPr lang="en-US" sz="1100" i="0">
                      <a:solidFill>
                        <a:schemeClr val="dk1"/>
                      </a:solidFill>
                      <a:effectLst/>
                      <a:latin typeface="Arial" panose="020B0604020202020204" pitchFamily="34" charset="0"/>
                      <a:ea typeface="+mn-ea"/>
                      <a:cs typeface="Arial" panose="020B0604020202020204" pitchFamily="34" charset="0"/>
                    </a:rPr>
                    <m:t>/</m:t>
                  </m:r>
                  <m:r>
                    <m:rPr>
                      <m:nor/>
                    </m:rPr>
                    <a:rPr lang="en-US" sz="1100" i="0">
                      <a:solidFill>
                        <a:schemeClr val="dk1"/>
                      </a:solidFill>
                      <a:effectLst/>
                      <a:latin typeface="Arial" panose="020B0604020202020204" pitchFamily="34" charset="0"/>
                      <a:ea typeface="+mn-ea"/>
                      <a:cs typeface="Arial" panose="020B0604020202020204" pitchFamily="34" charset="0"/>
                    </a:rPr>
                    <m:t>produkt</m:t>
                  </m:r>
                  <m:r>
                    <m:rPr>
                      <m:nor/>
                    </m:rPr>
                    <a:rPr lang="en-US" sz="1100" i="0">
                      <a:solidFill>
                        <a:schemeClr val="dk1"/>
                      </a:solidFill>
                      <a:effectLst/>
                      <a:latin typeface="Arial" panose="020B0604020202020204" pitchFamily="34" charset="0"/>
                      <a:ea typeface="+mn-ea"/>
                      <a:cs typeface="Arial" panose="020B0604020202020204" pitchFamily="34" charset="0"/>
                    </a:rPr>
                    <m:t>) </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Antal</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produkter</m:t>
                  </m:r>
                  <m:r>
                    <a:rPr lang="da-DK" sz="1100" b="0" i="0">
                      <a:solidFill>
                        <a:schemeClr val="dk1"/>
                      </a:solidFill>
                      <a:effectLst/>
                      <a:latin typeface="Cambria Math" panose="02040503050406030204" pitchFamily="18" charset="0"/>
                      <a:ea typeface="+mn-ea"/>
                      <a:cs typeface="+mn-cs"/>
                    </a:rPr>
                    <m:t>×</m:t>
                  </m:r>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𝑙𝑖𝑡𝑒𝑟</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𝑏𝑒𝑛𝑧𝑖𝑛</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𝑒𝑙</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𝑑𝑖𝑒𝑠𝑒𝑙</m:t>
                              </m:r>
                              <m:r>
                                <a:rPr lang="en-US" sz="1100" b="0" i="1">
                                  <a:solidFill>
                                    <a:schemeClr val="dk1"/>
                                  </a:solidFill>
                                  <a:effectLst/>
                                  <a:latin typeface="Cambria Math" panose="02040503050406030204" pitchFamily="18" charset="0"/>
                                  <a:ea typeface="+mn-ea"/>
                                  <a:cs typeface="+mn-cs"/>
                                </a:rPr>
                                <m:t>)</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14:m>
                <m:oMath xmlns:m="http://schemas.openxmlformats.org/officeDocument/2006/math">
                  <m:r>
                    <a:rPr lang="en-US"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Emissionfaktor</m:t>
                  </m:r>
                  <m:f>
                    <m:fPr>
                      <m:ctrlPr>
                        <a:rPr lang="en-US" sz="1100" b="0" i="1">
                          <a:solidFill>
                            <a:schemeClr val="dk1"/>
                          </a:solidFill>
                          <a:effectLst/>
                          <a:latin typeface="Cambria Math" panose="02040503050406030204" pitchFamily="18" charset="0"/>
                          <a:ea typeface="+mn-ea"/>
                          <a:cs typeface="+mn-cs"/>
                        </a:rPr>
                      </m:ctrlPr>
                    </m:fPr>
                    <m:num>
                      <m:d>
                        <m:dPr>
                          <m:ctrlPr>
                            <a:rPr lang="en-US" sz="1100" b="0" i="1">
                              <a:solidFill>
                                <a:schemeClr val="dk1"/>
                              </a:solidFill>
                              <a:effectLst/>
                              <a:latin typeface="Cambria Math" panose="02040503050406030204" pitchFamily="18" charset="0"/>
                              <a:ea typeface="+mn-ea"/>
                              <a:cs typeface="+mn-cs"/>
                            </a:rPr>
                          </m:ctrlPr>
                        </m:dPr>
                        <m:e>
                          <m:r>
                            <a:rPr lang="en-US" sz="1100" b="0" i="0">
                              <a:solidFill>
                                <a:schemeClr val="dk1"/>
                              </a:solidFill>
                              <a:effectLst/>
                              <a:latin typeface="Cambria Math" panose="02040503050406030204" pitchFamily="18" charset="0"/>
                              <a:ea typeface="+mn-ea"/>
                              <a:cs typeface="+mn-cs"/>
                            </a:rPr>
                            <m:t> </m:t>
                          </m:r>
                          <m:f>
                            <m:fPr>
                              <m:ctrlPr>
                                <a:rPr lang="en-US" sz="1100" b="0" i="1">
                                  <a:solidFill>
                                    <a:schemeClr val="dk1"/>
                                  </a:solidFill>
                                  <a:effectLst/>
                                  <a:latin typeface="Cambria Math" panose="02040503050406030204" pitchFamily="18" charset="0"/>
                                  <a:ea typeface="+mn-ea"/>
                                  <a:cs typeface="+mn-cs"/>
                                </a:rPr>
                              </m:ctrlPr>
                            </m:fPr>
                            <m:num>
                              <m:r>
                                <m:rPr>
                                  <m:sty m:val="p"/>
                                </m:rPr>
                                <a:rPr lang="en-US" sz="1100" b="0" i="0">
                                  <a:solidFill>
                                    <a:schemeClr val="dk1"/>
                                  </a:solidFill>
                                  <a:effectLst/>
                                  <a:latin typeface="Cambria Math" panose="02040503050406030204" pitchFamily="18" charset="0"/>
                                  <a:ea typeface="+mn-ea"/>
                                  <a:cs typeface="+mn-cs"/>
                                </a:rPr>
                                <m:t>kg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num>
                            <m:den>
                              <m:r>
                                <a:rPr lang="en-US" sz="1100" b="0" i="1">
                                  <a:solidFill>
                                    <a:schemeClr val="dk1"/>
                                  </a:solidFill>
                                  <a:effectLst/>
                                  <a:latin typeface="Cambria Math" panose="02040503050406030204" pitchFamily="18" charset="0"/>
                                  <a:ea typeface="+mn-ea"/>
                                  <a:cs typeface="+mn-cs"/>
                                </a:rPr>
                                <m:t>𝑘𝑊h</m:t>
                              </m:r>
                            </m:den>
                          </m:f>
                        </m:e>
                      </m:d>
                    </m:num>
                    <m:den>
                      <m:r>
                        <a:rPr lang="en-US" sz="1100" b="0" i="0">
                          <a:solidFill>
                            <a:schemeClr val="dk1"/>
                          </a:solidFill>
                          <a:effectLst/>
                          <a:latin typeface="Cambria Math" panose="02040503050406030204" pitchFamily="18" charset="0"/>
                          <a:ea typeface="+mn-ea"/>
                          <a:cs typeface="+mn-cs"/>
                        </a:rPr>
                        <m:t>1000 </m:t>
                      </m:r>
                      <m:r>
                        <m:rPr>
                          <m:sty m:val="p"/>
                        </m:rPr>
                        <a:rPr lang="en-US" sz="1100" b="0" i="0">
                          <a:solidFill>
                            <a:schemeClr val="dk1"/>
                          </a:solidFill>
                          <a:effectLst/>
                          <a:latin typeface="Cambria Math" panose="02040503050406030204" pitchFamily="18" charset="0"/>
                          <a:ea typeface="+mn-ea"/>
                          <a:cs typeface="+mn-cs"/>
                        </a:rPr>
                        <m:t>kg</m:t>
                      </m:r>
                    </m:den>
                  </m:f>
                  <m:r>
                    <a:rPr lang="en-US" sz="1100" b="0" i="0">
                      <a:solidFill>
                        <a:schemeClr val="dk1"/>
                      </a:solidFill>
                      <a:effectLst/>
                      <a:latin typeface="Cambria Math" panose="02040503050406030204" pitchFamily="18" charset="0"/>
                      <a:ea typeface="+mn-ea"/>
                      <a:cs typeface="+mn-cs"/>
                    </a:rPr>
                    <m:t> </m:t>
                  </m:r>
                </m:oMath>
              </a14:m>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14:m>
                <m:oMath xmlns:m="http://schemas.openxmlformats.org/officeDocument/2006/math">
                  <m:r>
                    <a:rPr lang="en-US" sz="1100" b="1" i="0">
                      <a:solidFill>
                        <a:schemeClr val="dk1"/>
                      </a:solidFill>
                      <a:effectLst/>
                      <a:latin typeface="Cambria Math" panose="02040503050406030204" pitchFamily="18" charset="0"/>
                      <a:ea typeface="+mn-ea"/>
                      <a:cs typeface="+mn-cs"/>
                    </a:rPr>
                    <m:t>𝐒𝐚𝐦𝐟𝐮𝐧𝐝𝐬</m:t>
                  </m:r>
                  <m:r>
                    <a:rPr lang="en-US" sz="1100" b="1" i="0">
                      <a:solidFill>
                        <a:schemeClr val="dk1"/>
                      </a:solidFill>
                      <a:effectLst/>
                      <a:latin typeface="Cambria Math" panose="02040503050406030204" pitchFamily="18" charset="0"/>
                      <a:ea typeface="+mn-ea"/>
                      <a:cs typeface="+mn-cs"/>
                    </a:rPr>
                    <m:t>ø</m:t>
                  </m:r>
                  <m:r>
                    <a:rPr lang="en-US" sz="1100" b="1" i="0">
                      <a:solidFill>
                        <a:schemeClr val="dk1"/>
                      </a:solidFill>
                      <a:effectLst/>
                      <a:latin typeface="Cambria Math" panose="02040503050406030204" pitchFamily="18" charset="0"/>
                      <a:ea typeface="+mn-ea"/>
                      <a:cs typeface="+mn-cs"/>
                    </a:rPr>
                    <m:t>𝐤𝐨𝐧𝐨𝐦𝐢𝐬𝐤𝐞</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𝐨𝐦𝐤𝐨𝐬𝐭𝐧𝐢𝐧𝐠𝐞𝐫</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𝐟𝐨𝐫𝐛𝐮𝐧𝐝𝐞𝐭</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𝐦𝐞𝐝</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𝐛𝐫𝐮𝐠𝐬𝐟𝐚𝐬𝐞𝐧𝐬</m:t>
                  </m:r>
                  <m:r>
                    <a:rPr lang="en-US" sz="1100" b="1" i="0">
                      <a:solidFill>
                        <a:schemeClr val="dk1"/>
                      </a:solidFill>
                      <a:effectLst/>
                      <a:latin typeface="Cambria Math" panose="02040503050406030204" pitchFamily="18" charset="0"/>
                      <a:ea typeface="+mn-ea"/>
                      <a:cs typeface="+mn-cs"/>
                    </a:rPr>
                    <m:t> </m:t>
                  </m:r>
                  <m:r>
                    <a:rPr lang="en-US" sz="1100" b="1" i="0">
                      <a:solidFill>
                        <a:schemeClr val="dk1"/>
                      </a:solidFill>
                      <a:effectLst/>
                      <a:latin typeface="Cambria Math" panose="02040503050406030204" pitchFamily="18" charset="0"/>
                      <a:ea typeface="+mn-ea"/>
                      <a:cs typeface="+mn-cs"/>
                    </a:rPr>
                    <m:t>𝐮𝐝𝐥𝐞𝐝𝐧𝐢𝐧𝐠𝐞𝐫</m:t>
                  </m:r>
                  <m:r>
                    <a:rPr lang="en-US" sz="1100" b="1"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Samlet</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udledning</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af</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emissioner</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fra</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brugsfasen</m:t>
                  </m:r>
                  <m:r>
                    <a:rPr lang="en-US" sz="1100" b="0" i="0">
                      <a:solidFill>
                        <a:schemeClr val="dk1"/>
                      </a:solidFill>
                      <a:effectLst/>
                      <a:latin typeface="Cambria Math" panose="02040503050406030204" pitchFamily="18" charset="0"/>
                      <a:ea typeface="+mn-ea"/>
                      <a:cs typeface="+mn-cs"/>
                    </a:rPr>
                    <m:t> </m:t>
                  </m:r>
                  <m:d>
                    <m:dPr>
                      <m:ctrlPr>
                        <a:rPr lang="en-US" sz="1100" b="0" i="1">
                          <a:solidFill>
                            <a:schemeClr val="dk1"/>
                          </a:solidFill>
                          <a:effectLst/>
                          <a:latin typeface="Cambria Math" panose="02040503050406030204" pitchFamily="18" charset="0"/>
                          <a:ea typeface="+mn-ea"/>
                          <a:cs typeface="+mn-cs"/>
                        </a:rPr>
                      </m:ctrlPr>
                    </m:dPr>
                    <m:e>
                      <m:r>
                        <m:rPr>
                          <m:sty m:val="p"/>
                        </m:rPr>
                        <a:rPr lang="en-US" sz="1100" b="0" i="0">
                          <a:solidFill>
                            <a:schemeClr val="dk1"/>
                          </a:solidFill>
                          <a:effectLst/>
                          <a:latin typeface="Cambria Math" panose="02040503050406030204" pitchFamily="18" charset="0"/>
                          <a:ea typeface="+mn-ea"/>
                          <a:cs typeface="+mn-cs"/>
                        </a:rPr>
                        <m:t>tons</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m:t>
                      </m:r>
                      <m:r>
                        <a:rPr lang="en-US" sz="1100" b="0" i="0">
                          <a:solidFill>
                            <a:schemeClr val="dk1"/>
                          </a:solidFill>
                          <a:effectLst/>
                          <a:latin typeface="Cambria Math" panose="02040503050406030204" pitchFamily="18" charset="0"/>
                          <a:ea typeface="+mn-ea"/>
                          <a:cs typeface="+mn-cs"/>
                        </a:rPr>
                        <m:t>2</m:t>
                      </m:r>
                      <m:r>
                        <m:rPr>
                          <m:sty m:val="p"/>
                        </m:rPr>
                        <a:rPr lang="en-US" sz="1100" b="0" i="0">
                          <a:solidFill>
                            <a:schemeClr val="dk1"/>
                          </a:solidFill>
                          <a:effectLst/>
                          <a:latin typeface="Cambria Math" panose="02040503050406030204" pitchFamily="18" charset="0"/>
                          <a:ea typeface="+mn-ea"/>
                          <a:cs typeface="+mn-cs"/>
                        </a:rPr>
                        <m:t>e</m:t>
                      </m:r>
                    </m:e>
                  </m:d>
                  <m:r>
                    <a:rPr lang="en-US" sz="1100" b="0" i="0">
                      <a:solidFill>
                        <a:schemeClr val="dk1"/>
                      </a:solidFill>
                      <a:effectLst/>
                      <a:latin typeface="Cambria Math" panose="02040503050406030204" pitchFamily="18" charset="0"/>
                      <a:ea typeface="+mn-ea"/>
                      <a:cs typeface="+mn-cs"/>
                    </a:rPr>
                    <m:t> </m:t>
                  </m:r>
                  <m:r>
                    <a:rPr lang="da-DK" sz="1100" b="0" i="0">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omkostningsfaktor</m:t>
                  </m:r>
                  <m:r>
                    <a:rPr lang="en-US" sz="1100" b="0" i="0">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m:t>
                  </m:r>
                  <m:f>
                    <m:fPr>
                      <m:ctrlPr>
                        <a:rPr lang="en-US" sz="1100" b="0" i="1">
                          <a:solidFill>
                            <a:schemeClr val="dk1"/>
                          </a:solidFill>
                          <a:effectLst/>
                          <a:latin typeface="Cambria Math" panose="02040503050406030204" pitchFamily="18" charset="0"/>
                          <a:ea typeface="+mn-ea"/>
                          <a:cs typeface="+mn-cs"/>
                        </a:rPr>
                      </m:ctrlPr>
                    </m:fPr>
                    <m:num>
                      <m:r>
                        <a:rPr lang="en-US" sz="1100" b="0" i="1">
                          <a:solidFill>
                            <a:schemeClr val="dk1"/>
                          </a:solidFill>
                          <a:effectLst/>
                          <a:latin typeface="Cambria Math" panose="02040503050406030204" pitchFamily="18" charset="0"/>
                          <a:ea typeface="+mn-ea"/>
                          <a:cs typeface="+mn-cs"/>
                        </a:rPr>
                        <m:t>𝑘𝑟</m:t>
                      </m:r>
                      <m:r>
                        <a:rPr lang="en-US" sz="1100" b="0" i="1">
                          <a:solidFill>
                            <a:schemeClr val="dk1"/>
                          </a:solidFill>
                          <a:effectLst/>
                          <a:latin typeface="Cambria Math" panose="02040503050406030204" pitchFamily="18" charset="0"/>
                          <a:ea typeface="+mn-ea"/>
                          <a:cs typeface="+mn-cs"/>
                        </a:rPr>
                        <m:t>.</m:t>
                      </m:r>
                    </m:num>
                    <m:den>
                      <m:r>
                        <a:rPr lang="en-US" sz="1100" b="0" i="1">
                          <a:solidFill>
                            <a:schemeClr val="dk1"/>
                          </a:solidFill>
                          <a:effectLst/>
                          <a:latin typeface="Cambria Math" panose="02040503050406030204" pitchFamily="18" charset="0"/>
                          <a:ea typeface="+mn-ea"/>
                          <a:cs typeface="+mn-cs"/>
                        </a:rPr>
                        <m:t>𝑇𝑜𝑛𝑠</m:t>
                      </m:r>
                      <m:r>
                        <a:rPr lang="en-US" sz="1100" b="0" i="1">
                          <a:solidFill>
                            <a:schemeClr val="dk1"/>
                          </a:solidFill>
                          <a:effectLst/>
                          <a:latin typeface="Cambria Math" panose="02040503050406030204" pitchFamily="18" charset="0"/>
                          <a:ea typeface="+mn-ea"/>
                          <a:cs typeface="+mn-cs"/>
                        </a:rPr>
                        <m:t> </m:t>
                      </m:r>
                      <m:r>
                        <a:rPr lang="en-US" sz="1100" b="0" i="1">
                          <a:solidFill>
                            <a:schemeClr val="dk1"/>
                          </a:solidFill>
                          <a:effectLst/>
                          <a:latin typeface="Cambria Math" panose="02040503050406030204" pitchFamily="18" charset="0"/>
                          <a:ea typeface="+mn-ea"/>
                          <a:cs typeface="+mn-cs"/>
                        </a:rPr>
                        <m:t>𝐶𝑂</m:t>
                      </m:r>
                      <m:r>
                        <a:rPr lang="en-US" sz="1100" b="0" i="1">
                          <a:solidFill>
                            <a:schemeClr val="dk1"/>
                          </a:solidFill>
                          <a:effectLst/>
                          <a:latin typeface="Cambria Math" panose="02040503050406030204" pitchFamily="18" charset="0"/>
                          <a:ea typeface="+mn-ea"/>
                          <a:cs typeface="+mn-cs"/>
                        </a:rPr>
                        <m:t>2</m:t>
                      </m:r>
                      <m:r>
                        <a:rPr lang="en-US" sz="1100" b="0" i="1">
                          <a:solidFill>
                            <a:schemeClr val="dk1"/>
                          </a:solidFill>
                          <a:effectLst/>
                          <a:latin typeface="Cambria Math" panose="02040503050406030204" pitchFamily="18" charset="0"/>
                          <a:ea typeface="+mn-ea"/>
                          <a:cs typeface="+mn-cs"/>
                        </a:rPr>
                        <m:t>𝑒</m:t>
                      </m:r>
                      <m:r>
                        <a:rPr lang="en-US" sz="1100" b="0" i="0">
                          <a:solidFill>
                            <a:schemeClr val="dk1"/>
                          </a:solidFill>
                          <a:effectLst/>
                          <a:latin typeface="Cambria Math" panose="02040503050406030204" pitchFamily="18" charset="0"/>
                          <a:ea typeface="+mn-ea"/>
                          <a:cs typeface="+mn-cs"/>
                        </a:rPr>
                        <m:t> </m:t>
                      </m:r>
                    </m:den>
                  </m:f>
                </m:oMath>
              </a14:m>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latin typeface="Cambria Math" panose="02040503050406030204" pitchFamily="18" charset="0"/>
                      </a:rPr>
                      <m:t>𝐍𝐮𝐭𝐢𝐝𝐬𝐯</m:t>
                    </m:r>
                    <m:r>
                      <a:rPr lang="da-DK" sz="1000" b="1" i="0">
                        <a:latin typeface="Cambria Math" panose="02040503050406030204" pitchFamily="18" charset="0"/>
                      </a:rPr>
                      <m:t>æ</m:t>
                    </m:r>
                    <m:r>
                      <a:rPr lang="da-DK" sz="1000" b="1" i="0">
                        <a:latin typeface="Cambria Math" panose="02040503050406030204" pitchFamily="18" charset="0"/>
                      </a:rPr>
                      <m:t>𝐫𝐝𝐢𝐞𝐧</m:t>
                    </m:r>
                    <m:r>
                      <a:rPr lang="da-DK" sz="1000" b="1" i="0">
                        <a:latin typeface="Cambria Math" panose="02040503050406030204" pitchFamily="18" charset="0"/>
                      </a:rPr>
                      <m:t> </m:t>
                    </m:r>
                    <m:r>
                      <a:rPr lang="da-DK" sz="1000" b="1" i="0">
                        <a:latin typeface="Cambria Math" panose="02040503050406030204" pitchFamily="18" charset="0"/>
                      </a:rPr>
                      <m:t>𝐚𝐟</m:t>
                    </m:r>
                    <m:r>
                      <a:rPr lang="da-DK" sz="1000" b="1" i="0">
                        <a:latin typeface="Cambria Math" panose="02040503050406030204" pitchFamily="18" charset="0"/>
                      </a:rPr>
                      <m:t> </m:t>
                    </m:r>
                    <m:r>
                      <a:rPr lang="da-DK" sz="1000" b="1" i="0">
                        <a:latin typeface="Cambria Math" panose="02040503050406030204" pitchFamily="18" charset="0"/>
                      </a:rPr>
                      <m:t>𝐝𝐫𝐢𝐟𝐭𝐬𝐨𝐦𝐤𝐨𝐬𝐭𝐧𝐢𝐧𝐠𝐞𝐧</m:t>
                    </m:r>
                    <m:r>
                      <a:rPr lang="da-DK" sz="1000" b="1" i="0">
                        <a:latin typeface="Cambria Math" panose="02040503050406030204" pitchFamily="18" charset="0"/>
                      </a:rPr>
                      <m:t> </m:t>
                    </m:r>
                    <m:r>
                      <a:rPr lang="da-DK" sz="1000" b="1" i="0">
                        <a:latin typeface="Cambria Math" panose="02040503050406030204" pitchFamily="18" charset="0"/>
                      </a:rPr>
                      <m:t>𝐢</m:t>
                    </m:r>
                    <m:r>
                      <a:rPr lang="da-DK" sz="1000" b="1" i="0">
                        <a:latin typeface="Cambria Math" panose="02040503050406030204" pitchFamily="18" charset="0"/>
                      </a:rPr>
                      <m:t> </m:t>
                    </m:r>
                    <m:r>
                      <a:rPr lang="da-DK" sz="1000" b="1" i="0">
                        <a:latin typeface="Cambria Math" panose="02040503050406030204" pitchFamily="18" charset="0"/>
                      </a:rPr>
                      <m:t>𝐝𝐞𝐭</m:t>
                    </m:r>
                    <m:r>
                      <a:rPr lang="da-DK" sz="1000" b="1" i="0">
                        <a:latin typeface="Cambria Math" panose="02040503050406030204" pitchFamily="18" charset="0"/>
                      </a:rPr>
                      <m:t> </m:t>
                    </m:r>
                    <m:r>
                      <a:rPr lang="da-DK" sz="1000" b="1" i="0">
                        <a:latin typeface="Cambria Math" panose="02040503050406030204" pitchFamily="18" charset="0"/>
                      </a:rPr>
                      <m:t>𝐩</m:t>
                    </m:r>
                    <m:r>
                      <a:rPr lang="da-DK" sz="1000" b="1" i="0">
                        <a:latin typeface="Cambria Math" panose="02040503050406030204" pitchFamily="18" charset="0"/>
                      </a:rPr>
                      <m:t>å</m:t>
                    </m:r>
                    <m:r>
                      <a:rPr lang="da-DK" sz="1000" b="1" i="0">
                        <a:latin typeface="Cambria Math" panose="02040503050406030204" pitchFamily="18" charset="0"/>
                      </a:rPr>
                      <m:t>𝐠</m:t>
                    </m:r>
                    <m:r>
                      <a:rPr lang="da-DK" sz="1000" b="1" i="0">
                        <a:latin typeface="Cambria Math" panose="02040503050406030204" pitchFamily="18" charset="0"/>
                      </a:rPr>
                      <m:t>æ</m:t>
                    </m:r>
                    <m:r>
                      <a:rPr lang="da-DK" sz="1000" b="1" i="0">
                        <a:latin typeface="Cambria Math" panose="02040503050406030204" pitchFamily="18" charset="0"/>
                      </a:rPr>
                      <m:t>𝐥𝐝𝐞𝐧𝐝𝐞</m:t>
                    </m:r>
                    <m:r>
                      <a:rPr lang="da-DK" sz="1000" b="1" i="0">
                        <a:latin typeface="Cambria Math" panose="02040503050406030204" pitchFamily="18" charset="0"/>
                      </a:rPr>
                      <m:t> å</m:t>
                    </m:r>
                    <m:r>
                      <a:rPr lang="da-DK" sz="1000" b="1" i="0">
                        <a:latin typeface="Cambria Math" panose="02040503050406030204" pitchFamily="18" charset="0"/>
                      </a:rPr>
                      <m:t>𝐫</m:t>
                    </m:r>
                    <m:r>
                      <a:rPr lang="da-DK" sz="1000" b="0" i="0">
                        <a:latin typeface="Cambria Math" panose="02040503050406030204" pitchFamily="18" charset="0"/>
                      </a:rPr>
                      <m:t>=</m:t>
                    </m:r>
                    <m:r>
                      <m:rPr>
                        <m:sty m:val="p"/>
                      </m:rPr>
                      <a:rPr lang="da-DK" sz="1000" b="0" i="0">
                        <a:latin typeface="Cambria Math" panose="02040503050406030204" pitchFamily="18" charset="0"/>
                      </a:rPr>
                      <m:t>Driftsomkostning</m:t>
                    </m:r>
                    <m:r>
                      <a:rPr lang="da-DK" sz="1000" b="0" i="0">
                        <a:latin typeface="Cambria Math" panose="02040503050406030204" pitchFamily="18" charset="0"/>
                      </a:rPr>
                      <m:t> </m:t>
                    </m:r>
                    <m:r>
                      <m:rPr>
                        <m:sty m:val="p"/>
                      </m:rPr>
                      <a:rPr lang="da-DK" sz="1000" b="0" i="0">
                        <a:latin typeface="Cambria Math" panose="02040503050406030204" pitchFamily="18" charset="0"/>
                      </a:rPr>
                      <m:t>i</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Sup>
                      <m:sSupPr>
                        <m:ctrlPr>
                          <a:rPr lang="da-DK" sz="1000" b="0" i="1">
                            <a:latin typeface="Cambria Math" panose="02040503050406030204" pitchFamily="18" charset="0"/>
                          </a:rPr>
                        </m:ctrlPr>
                      </m:sSupPr>
                      <m:e>
                        <m:r>
                          <a:rPr lang="da-DK" sz="1000" b="0" i="0">
                            <a:latin typeface="Cambria Math" panose="02040503050406030204" pitchFamily="18" charset="0"/>
                            <a:ea typeface="Cambria Math" panose="02040503050406030204" pitchFamily="18" charset="0"/>
                          </a:rPr>
                          <m:t>×</m:t>
                        </m:r>
                        <m:r>
                          <a:rPr lang="da-DK" sz="1000" b="0" i="0">
                            <a:latin typeface="Cambria Math" panose="02040503050406030204" pitchFamily="18" charset="0"/>
                          </a:rPr>
                          <m:t>(1+</m:t>
                        </m:r>
                        <m:r>
                          <m:rPr>
                            <m:sty m:val="p"/>
                          </m:rPr>
                          <a:rPr lang="da-DK" sz="1000" b="0" i="0">
                            <a:latin typeface="Cambria Math" panose="02040503050406030204" pitchFamily="18" charset="0"/>
                          </a:rPr>
                          <m:t>diskonteringsrente</m:t>
                        </m:r>
                        <m:r>
                          <a:rPr lang="da-DK" sz="1000" b="0" i="0">
                            <a:latin typeface="Cambria Math" panose="02040503050406030204" pitchFamily="18" charset="0"/>
                          </a:rPr>
                          <m:t>)</m:t>
                        </m:r>
                      </m:e>
                      <m:sup>
                        <m:r>
                          <a:rPr lang="da-DK" sz="1000" b="0" i="0">
                            <a:latin typeface="Cambria Math" panose="02040503050406030204" pitchFamily="18" charset="0"/>
                          </a:rPr>
                          <m:t>−</m:t>
                        </m:r>
                        <m:func>
                          <m:funcPr>
                            <m:ctrlPr>
                              <a:rPr lang="da-DK" sz="1000" b="0" i="1">
                                <a:latin typeface="Cambria Math" panose="02040503050406030204" pitchFamily="18" charset="0"/>
                              </a:rPr>
                            </m:ctrlPr>
                          </m:funcPr>
                          <m:fName>
                            <m:r>
                              <m:rPr>
                                <m:sty m:val="p"/>
                              </m:rPr>
                              <a:rPr lang="da-DK" sz="1000" b="0" i="0">
                                <a:latin typeface="Cambria Math" panose="02040503050406030204" pitchFamily="18" charset="0"/>
                              </a:rPr>
                              <m:t>det</m:t>
                            </m:r>
                          </m:fName>
                          <m:e>
                            <m:r>
                              <m:rPr>
                                <m:sty m:val="p"/>
                              </m:rPr>
                              <a:rPr lang="da-DK" sz="1000" b="0" i="0">
                                <a:latin typeface="Cambria Math" panose="02040503050406030204" pitchFamily="18" charset="0"/>
                              </a:rPr>
                              <m:t>p</m:t>
                            </m:r>
                            <m:r>
                              <a:rPr lang="da-DK" sz="1000" b="0" i="0">
                                <a:latin typeface="Cambria Math" panose="02040503050406030204" pitchFamily="18" charset="0"/>
                              </a:rPr>
                              <m:t>å</m:t>
                            </m:r>
                            <m:r>
                              <m:rPr>
                                <m:sty m:val="p"/>
                              </m:rPr>
                              <a:rPr lang="da-DK" sz="1000" b="0" i="0">
                                <a:latin typeface="Cambria Math" panose="02040503050406030204" pitchFamily="18" charset="0"/>
                              </a:rPr>
                              <m:t>g</m:t>
                            </m:r>
                            <m:r>
                              <a:rPr lang="da-DK" sz="1000" b="0" i="0">
                                <a:latin typeface="Cambria Math" panose="02040503050406030204" pitchFamily="18" charset="0"/>
                              </a:rPr>
                              <m:t>æ</m:t>
                            </m:r>
                            <m:r>
                              <m:rPr>
                                <m:sty m:val="p"/>
                              </m:rPr>
                              <a:rPr lang="da-DK" sz="1000" b="0" i="0">
                                <a:latin typeface="Cambria Math" panose="02040503050406030204" pitchFamily="18" charset="0"/>
                              </a:rPr>
                              <m:t>ldende</m:t>
                            </m:r>
                            <m:r>
                              <a:rPr lang="da-DK" sz="1000" b="0" i="0">
                                <a:latin typeface="Cambria Math" panose="02040503050406030204" pitchFamily="18" charset="0"/>
                              </a:rPr>
                              <m:t> </m:t>
                            </m:r>
                          </m:e>
                        </m:func>
                        <m:r>
                          <a:rPr lang="da-DK" sz="1000" b="0" i="0">
                            <a:latin typeface="Cambria Math" panose="02040503050406030204" pitchFamily="18" charset="0"/>
                          </a:rPr>
                          <m:t>å</m:t>
                        </m:r>
                        <m:r>
                          <m:rPr>
                            <m:sty m:val="p"/>
                          </m:rPr>
                          <a:rPr lang="da-DK" sz="1000" b="0" i="0">
                            <a:latin typeface="Cambria Math" panose="02040503050406030204" pitchFamily="18" charset="0"/>
                          </a:rPr>
                          <m:t>r</m:t>
                        </m:r>
                        <m:r>
                          <a:rPr lang="da-DK" sz="1000" b="0" i="0">
                            <a:latin typeface="Cambria Math" panose="02040503050406030204" pitchFamily="18" charset="0"/>
                          </a:rPr>
                          <m:t> </m:t>
                        </m:r>
                      </m:sup>
                    </m:sSup>
                  </m:oMath>
                </m:oMathPara>
              </a14:m>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14:m>
                <m:oMathPara xmlns:m="http://schemas.openxmlformats.org/officeDocument/2006/math">
                  <m:oMathParaPr>
                    <m:jc m:val="centerGroup"/>
                  </m:oMathParaPr>
                  <m:oMath xmlns:m="http://schemas.openxmlformats.org/officeDocument/2006/math">
                    <m:r>
                      <a:rPr lang="da-DK" sz="1000" b="1" i="0">
                        <a:solidFill>
                          <a:schemeClr val="dk1"/>
                        </a:solidFill>
                        <a:latin typeface="Cambria Math" panose="02040503050406030204" pitchFamily="18" charset="0"/>
                        <a:ea typeface="+mn-ea"/>
                        <a:cs typeface="+mn-cs"/>
                      </a:rPr>
                      <m:t>𝐆𝐞𝐧𝐧𝐞𝐦𝐬𝐧𝐢𝐭𝐥𝐢𝐠𝐞</m:t>
                    </m:r>
                    <m:r>
                      <a:rPr lang="da-DK" sz="1000" b="1" i="0">
                        <a:solidFill>
                          <a:schemeClr val="dk1"/>
                        </a:solidFill>
                        <a:latin typeface="Cambria Math" panose="02040503050406030204" pitchFamily="18" charset="0"/>
                        <a:ea typeface="+mn-ea"/>
                        <a:cs typeface="+mn-cs"/>
                      </a:rPr>
                      <m:t> å</m:t>
                    </m:r>
                    <m:r>
                      <a:rPr lang="da-DK" sz="1000" b="1" i="0">
                        <a:solidFill>
                          <a:schemeClr val="dk1"/>
                        </a:solidFill>
                        <a:latin typeface="Cambria Math" panose="02040503050406030204" pitchFamily="18" charset="0"/>
                        <a:ea typeface="+mn-ea"/>
                        <a:cs typeface="+mn-cs"/>
                      </a:rPr>
                      <m:t>𝐫𝐥𝐢𝐠𝐞</m:t>
                    </m:r>
                    <m:r>
                      <a:rPr lang="da-DK" sz="1000" b="1" i="0">
                        <a:solidFill>
                          <a:schemeClr val="dk1"/>
                        </a:solidFill>
                        <a:latin typeface="Cambria Math" panose="02040503050406030204" pitchFamily="18" charset="0"/>
                        <a:ea typeface="+mn-ea"/>
                        <a:cs typeface="+mn-cs"/>
                      </a:rPr>
                      <m:t> </m:t>
                    </m:r>
                    <m:r>
                      <a:rPr lang="da-DK" sz="1000" b="1" i="0">
                        <a:solidFill>
                          <a:schemeClr val="dk1"/>
                        </a:solidFill>
                        <a:latin typeface="Cambria Math" panose="02040503050406030204" pitchFamily="18" charset="0"/>
                        <a:ea typeface="+mn-ea"/>
                        <a:cs typeface="+mn-cs"/>
                      </a:rPr>
                      <m:t>𝐨𝐦𝐤𝐨𝐬𝐭𝐧𝐢𝐧𝐠𝐞𝐫</m:t>
                    </m:r>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Nutidsv</m:t>
                    </m:r>
                    <m:r>
                      <a:rPr lang="da-DK" sz="1000" b="1" i="0">
                        <a:solidFill>
                          <a:schemeClr val="dk1"/>
                        </a:solidFill>
                        <a:latin typeface="Cambria Math" panose="02040503050406030204" pitchFamily="18" charset="0"/>
                        <a:ea typeface="+mn-ea"/>
                        <a:cs typeface="+mn-cs"/>
                      </a:rPr>
                      <m:t>æ</m:t>
                    </m:r>
                    <m:r>
                      <m:rPr>
                        <m:sty m:val="p"/>
                      </m:rPr>
                      <a:rPr lang="da-DK" sz="1000" b="1" i="0">
                        <a:solidFill>
                          <a:schemeClr val="dk1"/>
                        </a:solidFill>
                        <a:latin typeface="Cambria Math" panose="02040503050406030204" pitchFamily="18" charset="0"/>
                        <a:ea typeface="+mn-ea"/>
                        <a:cs typeface="+mn-cs"/>
                      </a:rPr>
                      <m:t>rdi</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af</m:t>
                    </m:r>
                    <m:r>
                      <a:rPr lang="da-DK" sz="1000" b="1" i="0">
                        <a:solidFill>
                          <a:schemeClr val="dk1"/>
                        </a:solidFill>
                        <a:latin typeface="Cambria Math" panose="02040503050406030204" pitchFamily="18" charset="0"/>
                        <a:ea typeface="+mn-ea"/>
                        <a:cs typeface="+mn-cs"/>
                      </a:rPr>
                      <m:t> </m:t>
                    </m:r>
                    <m:r>
                      <m:rPr>
                        <m:sty m:val="p"/>
                      </m:rPr>
                      <a:rPr lang="da-DK" sz="1000" b="1" i="0">
                        <a:solidFill>
                          <a:schemeClr val="dk1"/>
                        </a:solidFill>
                        <a:latin typeface="Cambria Math" panose="02040503050406030204" pitchFamily="18" charset="0"/>
                        <a:ea typeface="+mn-ea"/>
                        <a:cs typeface="+mn-cs"/>
                      </a:rPr>
                      <m:t>omkostninger</m:t>
                    </m:r>
                    <m:r>
                      <a:rPr lang="da-DK" sz="1000" b="1" i="0">
                        <a:solidFill>
                          <a:schemeClr val="dk1"/>
                        </a:solidFill>
                        <a:latin typeface="Cambria Math" panose="02040503050406030204" pitchFamily="18" charset="0"/>
                        <a:ea typeface="+mn-ea"/>
                        <a:cs typeface="+mn-cs"/>
                      </a:rPr>
                      <m:t> × </m:t>
                    </m:r>
                    <m:sSup>
                      <m:sSupPr>
                        <m:ctrlPr>
                          <a:rPr lang="da-DK" sz="1000" b="1" i="1">
                            <a:solidFill>
                              <a:schemeClr val="dk1"/>
                            </a:solidFill>
                            <a:latin typeface="Cambria Math" panose="02040503050406030204" pitchFamily="18" charset="0"/>
                            <a:ea typeface="+mn-ea"/>
                            <a:cs typeface="+mn-cs"/>
                          </a:rPr>
                        </m:ctrlPr>
                      </m:sSupPr>
                      <m:e>
                        <m:r>
                          <a:rPr lang="da-DK" sz="1000" b="1" i="0">
                            <a:solidFill>
                              <a:schemeClr val="dk1"/>
                            </a:solidFill>
                            <a:latin typeface="Cambria Math" panose="02040503050406030204" pitchFamily="18" charset="0"/>
                            <a:ea typeface="+mn-ea"/>
                            <a:cs typeface="+mn-cs"/>
                          </a:rPr>
                          <m:t>(</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/(1−(1+</m:t>
                        </m:r>
                        <m:r>
                          <m:rPr>
                            <m:sty m:val="p"/>
                          </m:rPr>
                          <a:rPr lang="da-DK" sz="1000" b="1" i="0">
                            <a:solidFill>
                              <a:schemeClr val="dk1"/>
                            </a:solidFill>
                            <a:latin typeface="Cambria Math" panose="02040503050406030204" pitchFamily="18" charset="0"/>
                            <a:ea typeface="+mn-ea"/>
                            <a:cs typeface="+mn-cs"/>
                          </a:rPr>
                          <m:t>diskonteringsrente</m:t>
                        </m:r>
                        <m:r>
                          <a:rPr lang="da-DK" sz="1000" b="1" i="0">
                            <a:solidFill>
                              <a:schemeClr val="dk1"/>
                            </a:solidFill>
                            <a:latin typeface="Cambria Math" panose="02040503050406030204" pitchFamily="18" charset="0"/>
                            <a:ea typeface="+mn-ea"/>
                            <a:cs typeface="+mn-cs"/>
                          </a:rPr>
                          <m:t>)</m:t>
                        </m:r>
                      </m:e>
                      <m:sup>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𝐓𝐂𝐎</m:t>
                        </m:r>
                        <m:r>
                          <a:rPr lang="da-DK" sz="1000" b="1" i="0">
                            <a:solidFill>
                              <a:schemeClr val="dk1"/>
                            </a:solidFill>
                            <a:latin typeface="Cambria Math" panose="02040503050406030204" pitchFamily="18" charset="0"/>
                            <a:ea typeface="+mn-ea"/>
                            <a:cs typeface="+mn-cs"/>
                          </a:rPr>
                          <m:t>−</m:t>
                        </m:r>
                        <m:r>
                          <a:rPr lang="da-DK" sz="1000" b="1" i="0">
                            <a:solidFill>
                              <a:schemeClr val="dk1"/>
                            </a:solidFill>
                            <a:latin typeface="Cambria Math" panose="02040503050406030204" pitchFamily="18" charset="0"/>
                            <a:ea typeface="+mn-ea"/>
                            <a:cs typeface="+mn-cs"/>
                          </a:rPr>
                          <m:t>𝐞𝐯𝐚𝐥𝐮𝐞𝐫𝐢𝐧𝐠𝐬𝐩𝐞𝐫𝐢𝐨𝐝𝐞</m:t>
                        </m:r>
                        <m:r>
                          <a:rPr lang="da-DK" sz="1000" b="1" i="0">
                            <a:solidFill>
                              <a:schemeClr val="dk1"/>
                            </a:solidFill>
                            <a:latin typeface="Cambria Math" panose="02040503050406030204" pitchFamily="18" charset="0"/>
                            <a:ea typeface="+mn-ea"/>
                            <a:cs typeface="+mn-cs"/>
                          </a:rPr>
                          <m:t> </m:t>
                        </m:r>
                      </m:sup>
                    </m:sSup>
                  </m:oMath>
                </m:oMathPara>
              </a14:m>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i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Choice>
      <mc:Fallback xmlns="">
        <xdr:sp macro="" textlink="">
          <xdr:nvSpPr>
            <xdr:cNvPr id="2" name="TextBox 1">
              <a:extLst>
                <a:ext uri="{FF2B5EF4-FFF2-40B4-BE49-F238E27FC236}">
                  <a16:creationId xmlns:a16="http://schemas.microsoft.com/office/drawing/2014/main" id="{5743C6BC-1897-4318-95B4-6654C74563EB}"/>
                </a:ext>
              </a:extLst>
            </xdr:cNvPr>
            <xdr:cNvSpPr txBox="1"/>
          </xdr:nvSpPr>
          <xdr:spPr>
            <a:xfrm>
              <a:off x="19048" y="19049"/>
              <a:ext cx="8462012" cy="14011276"/>
            </a:xfrm>
            <a:prstGeom prst="rect">
              <a:avLst/>
            </a:prstGeom>
            <a:solidFill>
              <a:srgbClr val="DEEBF7"/>
            </a:solidFill>
            <a:ln w="12700">
              <a:solidFill>
                <a:schemeClr val="tx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da-DK" sz="1400" b="1">
                  <a:latin typeface="Arial" panose="020B0604020202020204" pitchFamily="34" charset="0"/>
                  <a:cs typeface="Arial" panose="020B0604020202020204" pitchFamily="34" charset="0"/>
                </a:rPr>
                <a:t>Metode</a:t>
              </a:r>
              <a:r>
                <a:rPr lang="da-DK" sz="1400" b="1" baseline="0">
                  <a:latin typeface="Arial" panose="020B0604020202020204" pitchFamily="34" charset="0"/>
                  <a:cs typeface="Arial" panose="020B0604020202020204" pitchFamily="34" charset="0"/>
                </a:rPr>
                <a:t> for TCO-beregningerne for motorkøretøjer</a:t>
              </a:r>
            </a:p>
            <a:p>
              <a:endParaRPr lang="da-DK" sz="1100">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Totalomkostningen (TCO) </a:t>
              </a:r>
              <a:r>
                <a:rPr lang="da-DK" sz="1100">
                  <a:latin typeface="Arial" panose="020B0604020202020204" pitchFamily="34" charset="0"/>
                  <a:cs typeface="Arial" panose="020B0604020202020204" pitchFamily="34" charset="0"/>
                </a:rPr>
                <a:t>beregnes ud fra denne formel:</a:t>
              </a: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 	</a:t>
              </a:r>
              <a:r>
                <a:rPr lang="da-DK" sz="1000" b="1" i="0">
                  <a:latin typeface="Cambria Math" panose="02040503050406030204" pitchFamily="18" charset="0"/>
                </a:rPr>
                <a:t>𝐓𝐂𝐎</a:t>
              </a:r>
              <a:r>
                <a:rPr lang="da-DK" sz="1000" b="0" i="0">
                  <a:latin typeface="Cambria Math" panose="02040503050406030204" pitchFamily="18" charset="0"/>
                </a:rPr>
                <a:t>=Investeringsomkostning+summen af nutidsværdi af driftsomkostningerne i alle år</a:t>
              </a:r>
              <a:endParaRPr lang="da-DK" sz="1000" b="0" i="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I</a:t>
              </a:r>
              <a:r>
                <a:rPr lang="da-DK" sz="1100" b="0" u="sng">
                  <a:latin typeface="Arial" panose="020B0604020202020204" pitchFamily="34" charset="0"/>
                  <a:cs typeface="Arial" panose="020B0604020202020204" pitchFamily="34" charset="0"/>
                </a:rPr>
                <a:t>nvesteringsomkostningen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r>
                <a:rPr lang="da-DK" sz="1100" baseline="0">
                  <a:latin typeface="Arial" panose="020B0604020202020204" pitchFamily="34" charset="0"/>
                  <a:cs typeface="Arial" panose="020B0604020202020204" pitchFamily="34" charset="0"/>
                </a:rPr>
                <a:t>:</a:t>
              </a:r>
            </a:p>
            <a:p>
              <a:endParaRPr lang="da-DK" sz="1100" b="0" i="0" baseline="0">
                <a:latin typeface="Arial" panose="020B0604020202020204" pitchFamily="34" charset="0"/>
                <a:cs typeface="Arial" panose="020B0604020202020204" pitchFamily="34" charset="0"/>
              </a:endParaRPr>
            </a:p>
            <a:p>
              <a:pPr algn="ctr"/>
              <a:r>
                <a:rPr lang="da-DK" sz="1100" b="0">
                  <a:latin typeface="Arial" panose="020B0604020202020204" pitchFamily="34" charset="0"/>
                  <a:cs typeface="Arial" panose="020B0604020202020204" pitchFamily="34" charset="0"/>
                </a:rPr>
                <a:t>	</a:t>
              </a:r>
              <a:r>
                <a:rPr lang="da-DK" sz="1000" b="1" i="0">
                  <a:latin typeface="Cambria Math" panose="02040503050406030204" pitchFamily="18" charset="0"/>
                </a:rPr>
                <a:t>𝐈𝐧𝐯𝐞𝐬𝐭𝐞𝐫𝐢𝐧𝐠𝐬𝐨𝐦𝐤𝐨𝐬𝐭𝐧𝐢𝐧𝐠</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chemeClr val="dk1"/>
                  </a:solidFill>
                  <a:latin typeface="Cambria Math" panose="02040503050406030204" pitchFamily="18" charset="0"/>
                  <a:ea typeface="+mn-ea"/>
                  <a:cs typeface="+mn-cs"/>
                </a:rPr>
                <a:t>(indkøbspris køretøj+indkøbspris evt. ekstra garantiperiode+(evt. indkøbspris til ladestandere </a:t>
              </a:r>
              <a:r>
                <a:rPr lang="da-DK" sz="1000" b="0" i="0">
                  <a:solidFill>
                    <a:schemeClr val="dk1"/>
                  </a:solidFill>
                  <a:latin typeface="Cambria Math" panose="02040503050406030204" pitchFamily="18" charset="0"/>
                  <a:ea typeface="Cambria Math" panose="02040503050406030204" pitchFamily="18" charset="0"/>
                  <a:cs typeface="+mn-cs"/>
                </a:rPr>
                <a:t>×</a:t>
              </a:r>
              <a:r>
                <a:rPr lang="da-DK" sz="1000" b="0" i="0">
                  <a:solidFill>
                    <a:schemeClr val="dk1"/>
                  </a:solidFill>
                  <a:latin typeface="Cambria Math" panose="02040503050406030204" pitchFamily="18" charset="0"/>
                  <a:ea typeface="+mn-ea"/>
                  <a:cs typeface="+mn-cs"/>
                </a:rPr>
                <a:t> (TCO evalueringsperiode)/(levetid for ladestandere)))×antal produkter</a:t>
              </a:r>
              <a:endParaRPr lang="da-DK" sz="1000" b="0"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For eldrevne køretøjer gælder, at investeringsomkostningerne til ladestanderne</a:t>
              </a:r>
              <a:r>
                <a:rPr lang="da-DK" sz="1100" baseline="0">
                  <a:latin typeface="Arial" panose="020B0604020202020204" pitchFamily="34" charset="0"/>
                  <a:cs typeface="Arial" panose="020B0604020202020204" pitchFamily="34" charset="0"/>
                </a:rPr>
                <a:t> tilskrives med en brøkdel svarende til TCO-evalueringsperioden divideret med forventet levetid for ladestanderne.</a:t>
              </a:r>
              <a:endParaRPr lang="da-DK" sz="1100">
                <a:latin typeface="Arial" panose="020B0604020202020204" pitchFamily="34" charset="0"/>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u="sng">
                  <a:latin typeface="Arial" panose="020B0604020202020204" pitchFamily="34" charset="0"/>
                  <a:cs typeface="Arial" panose="020B0604020202020204" pitchFamily="34" charset="0"/>
                </a:rPr>
                <a:t>D</a:t>
              </a:r>
              <a:r>
                <a:rPr lang="da-DK" sz="1100" b="0" u="sng">
                  <a:latin typeface="Arial" panose="020B0604020202020204" pitchFamily="34" charset="0"/>
                  <a:cs typeface="Arial" panose="020B0604020202020204" pitchFamily="34" charset="0"/>
                </a:rPr>
                <a:t>e årlige driftsomkostninger</a:t>
              </a:r>
              <a:r>
                <a:rPr lang="da-DK" sz="1100" b="0" u="none">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endParaRPr lang="da-DK" sz="1100" b="0" i="1">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𝐊ø𝐫𝐞𝐭ø𝐣𝐞𝐭𝐬 𝐝𝐫𝐢𝐟𝐭𝐬𝐨𝐦𝐤𝐨𝐬𝐭𝐧𝐢𝐧𝐠 𝐢 𝐝𝐞𝐭 𝐩å𝐠æ𝐥𝐝𝐞𝐧𝐝𝐞 å𝐫 </a:t>
              </a:r>
              <a:r>
                <a:rPr lang="da-DK" sz="1000" b="0" i="0">
                  <a:latin typeface="Cambria Math" panose="02040503050406030204" pitchFamily="18" charset="0"/>
                </a:rPr>
                <a:t>=</a:t>
              </a:r>
              <a:endParaRPr lang="da-DK" sz="1000" b="0" i="0">
                <a:latin typeface="Arial" panose="020B0604020202020204" pitchFamily="34" charset="0"/>
                <a:cs typeface="Arial" panose="020B0604020202020204" pitchFamily="34" charset="0"/>
              </a:endParaRPr>
            </a:p>
            <a:p>
              <a:pPr/>
              <a:r>
                <a:rPr lang="da-DK" sz="1000" b="0" i="0">
                  <a:solidFill>
                    <a:sysClr val="windowText" lastClr="000000"/>
                  </a:solidFill>
                  <a:latin typeface="Cambria Math" panose="02040503050406030204" pitchFamily="18" charset="0"/>
                </a:rPr>
                <a:t>(Køretøjets årlige forbrug af drivmiddel </a:t>
              </a:r>
              <a:r>
                <a:rPr lang="da-DK" sz="1000" b="0" i="0">
                  <a:solidFill>
                    <a:sysClr val="windowText" lastClr="000000"/>
                  </a:solidFill>
                  <a:latin typeface="Cambria Math" panose="02040503050406030204" pitchFamily="18" charset="0"/>
                  <a:ea typeface="Cambria Math" panose="02040503050406030204" pitchFamily="18" charset="0"/>
                </a:rPr>
                <a:t>×pris på drivmidlet)×antal produkter</a:t>
              </a:r>
              <a:endParaRPr lang="da-DK" sz="1000" b="0" i="0">
                <a:solidFill>
                  <a:sysClr val="windowText" lastClr="000000"/>
                </a:solidFill>
                <a:latin typeface="Arial" panose="020B0604020202020204" pitchFamily="34" charset="0"/>
                <a:ea typeface="Cambria Math" panose="02040503050406030204" pitchFamily="18"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i="0">
                  <a:latin typeface="Arial" panose="020B0604020202020204" pitchFamily="34" charset="0"/>
                  <a:cs typeface="Arial" panose="020B0604020202020204" pitchFamily="34" charset="0"/>
                </a:rPr>
                <a:t>Hvis der til elforbruget er tegnet et månedligt opladeabonnement, anvendes denne udgift, som driftsomkostningen for el. </a:t>
              </a:r>
            </a:p>
            <a:p>
              <a:endParaRPr lang="da-DK" sz="1100" i="0">
                <a:latin typeface="Arial" panose="020B0604020202020204" pitchFamily="34" charset="0"/>
                <a:cs typeface="Arial" panose="020B0604020202020204" pitchFamily="34" charset="0"/>
              </a:endParaRPr>
            </a:p>
            <a:p>
              <a:r>
                <a:rPr lang="da-DK" sz="1100" i="0" u="sng">
                  <a:latin typeface="Arial" panose="020B0604020202020204" pitchFamily="34" charset="0"/>
                  <a:cs typeface="Arial" panose="020B0604020202020204" pitchFamily="34" charset="0"/>
                </a:rPr>
                <a:t>Køretøjets</a:t>
              </a:r>
              <a:r>
                <a:rPr lang="da-DK" sz="1100" b="0" i="0" u="sng">
                  <a:latin typeface="Arial" panose="020B0604020202020204" pitchFamily="34" charset="0"/>
                  <a:cs typeface="Arial" panose="020B0604020202020204" pitchFamily="34" charset="0"/>
                </a:rPr>
                <a:t> </a:t>
              </a:r>
              <a:r>
                <a:rPr lang="da-DK" sz="1100" b="0" i="0" u="sng">
                  <a:solidFill>
                    <a:sysClr val="windowText" lastClr="000000"/>
                  </a:solidFill>
                  <a:latin typeface="Arial" panose="020B0604020202020204" pitchFamily="34" charset="0"/>
                  <a:cs typeface="Arial" panose="020B0604020202020204" pitchFamily="34" charset="0"/>
                </a:rPr>
                <a:t>årlige forbrug af drivmiddel </a:t>
              </a:r>
              <a:r>
                <a:rPr lang="da-DK" sz="1100" i="0">
                  <a:solidFill>
                    <a:sysClr val="windowText" lastClr="000000"/>
                  </a:solidFill>
                  <a:latin typeface="Arial" panose="020B0604020202020204" pitchFamily="34" charset="0"/>
                  <a:cs typeface="Arial" panose="020B0604020202020204" pitchFamily="34" charset="0"/>
                </a:rPr>
                <a:t>beregnes </a:t>
              </a:r>
              <a:r>
                <a:rPr lang="da-DK" sz="1100" i="0">
                  <a:latin typeface="Arial" panose="020B0604020202020204" pitchFamily="34" charset="0"/>
                  <a:cs typeface="Arial" panose="020B0604020202020204" pitchFamily="34" charset="0"/>
                </a:rPr>
                <a:t>sådan:</a:t>
              </a:r>
            </a:p>
            <a:p>
              <a:endParaRPr lang="da-DK" sz="1100">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mn-ea"/>
                  <a:cs typeface="+mn-cs"/>
                </a:rPr>
                <a:t>Å𝐫𝐥𝐢𝐠𝐭 𝐛𝐫æ𝐧𝐝𝐬𝐭𝐨𝐟𝐟𝐨𝐫𝐛𝐫𝐮𝐠 (𝐯𝐞𝐝 𝐛𝐞𝐧𝐳𝐢𝐧 𝐞𝐥. 𝐝𝐢𝐞𝐬𝐞𝐥 𝐞𝐥. 𝐡𝐲𝐛𝐫𝐢𝐝) </a:t>
              </a:r>
              <a:r>
                <a:rPr lang="da-DK" sz="1000" b="0" i="0">
                  <a:solidFill>
                    <a:schemeClr val="dk1"/>
                  </a:solidFill>
                  <a:effectLst/>
                  <a:latin typeface="Cambria Math" panose="02040503050406030204" pitchFamily="18" charset="0"/>
                  <a:ea typeface="+mn-ea"/>
                  <a:cs typeface="+mn-cs"/>
                </a:rPr>
                <a:t>=(årligt kørselsforbrug (km))/(brændstofforbrug ifølge WLTP (km/liter))</a:t>
              </a:r>
              <a:endParaRPr lang="da-DK" sz="1000" i="0">
                <a:latin typeface="Arial" panose="020B0604020202020204" pitchFamily="34" charset="0"/>
                <a:cs typeface="Arial" panose="020B0604020202020204" pitchFamily="34" charset="0"/>
              </a:endParaRPr>
            </a:p>
            <a:p>
              <a:endParaRPr lang="da-DK" sz="1000">
                <a:latin typeface="Arial" panose="020B0604020202020204" pitchFamily="34" charset="0"/>
                <a:cs typeface="Arial" panose="020B0604020202020204" pitchFamily="34" charset="0"/>
              </a:endParaRPr>
            </a:p>
            <a:p>
              <a:pPr algn="ctr"/>
              <a:r>
                <a:rPr lang="da-DK" sz="1000" b="1" i="0">
                  <a:solidFill>
                    <a:sysClr val="windowText" lastClr="000000"/>
                  </a:solidFill>
                  <a:effectLst/>
                  <a:latin typeface="Cambria Math" panose="02040503050406030204" pitchFamily="18" charset="0"/>
                  <a:ea typeface="+mn-ea"/>
                  <a:cs typeface="+mn-cs"/>
                </a:rPr>
                <a:t>Å𝐫𝐥𝐢𝐠𝐭 𝐟𝐨𝐫𝐛𝐫𝐮𝐠 (𝐯𝐞𝐝 𝐞𝐥 𝐮𝐝𝐞𝐧 𝐚𝐛𝐨𝐧𝐧𝐞𝐦𝐞𝐧𝐭)=</a:t>
              </a:r>
              <a:r>
                <a:rPr lang="da-DK" sz="1000" b="1" i="0">
                  <a:solidFill>
                    <a:sysClr val="windowText" lastClr="000000"/>
                  </a:solidFill>
                  <a:effectLst/>
                  <a:latin typeface="Arial" panose="020B0604020202020204" pitchFamily="34" charset="0"/>
                  <a:ea typeface="+mn-ea"/>
                  <a:cs typeface="Arial" panose="020B0604020202020204" pitchFamily="34" charset="0"/>
                </a:rPr>
                <a:t> </a:t>
              </a:r>
              <a:r>
                <a:rPr lang="da-DK" sz="1000" b="0" i="0">
                  <a:solidFill>
                    <a:sysClr val="windowText" lastClr="000000"/>
                  </a:solidFill>
                  <a:effectLst/>
                  <a:latin typeface="Cambria Math" panose="02040503050406030204" pitchFamily="18" charset="0"/>
                  <a:ea typeface="+mn-ea"/>
                  <a:cs typeface="+mn-cs"/>
                </a:rPr>
                <a:t>årligt kørselsforbrug (km)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a:t>
              </a:r>
              <a:r>
                <a:rPr lang="da-DK" sz="1000" b="0" i="0">
                  <a:solidFill>
                    <a:sysClr val="windowText" lastClr="000000"/>
                  </a:solidFill>
                  <a:effectLst/>
                  <a:latin typeface="Cambria Math" panose="02040503050406030204" pitchFamily="18" charset="0"/>
                  <a:ea typeface="+mn-ea"/>
                  <a:cs typeface="+mn-cs"/>
                </a:rPr>
                <a:t>elforbrug ifølge WLTP (Wh/km)</a:t>
              </a:r>
              <a:r>
                <a:rPr lang="da-DK" sz="1000" b="0" i="0">
                  <a:solidFill>
                    <a:sysClr val="windowText" lastClr="000000"/>
                  </a:solidFill>
                  <a:effectLst/>
                  <a:latin typeface="Cambria Math" panose="02040503050406030204" pitchFamily="18" charset="0"/>
                  <a:ea typeface="Cambria Math" panose="02040503050406030204" pitchFamily="18" charset="0"/>
                  <a:cs typeface="+mn-cs"/>
                </a:rPr>
                <a:t>  </a:t>
              </a:r>
              <a:endParaRPr lang="da-DK" sz="1000" b="0" i="0">
                <a:solidFill>
                  <a:sysClr val="windowText" lastClr="000000"/>
                </a:solidFill>
                <a:effectLst/>
                <a:latin typeface="Arial" panose="020B0604020202020204" pitchFamily="34" charset="0"/>
                <a:ea typeface="+mn-ea"/>
                <a:cs typeface="Arial" panose="020B0604020202020204" pitchFamily="34" charset="0"/>
              </a:endParaRPr>
            </a:p>
            <a:p>
              <a:endParaRPr lang="da-DK" sz="1100" i="0">
                <a:solidFill>
                  <a:schemeClr val="dk1"/>
                </a:solidFill>
                <a:effectLst/>
                <a:latin typeface="Arial" panose="020B0604020202020204" pitchFamily="34" charset="0"/>
                <a:ea typeface="+mn-ea"/>
                <a:cs typeface="Arial" panose="020B0604020202020204" pitchFamily="34" charset="0"/>
              </a:endParaRPr>
            </a:p>
            <a:p>
              <a:r>
                <a:rPr lang="da-DK" sz="1100" i="0">
                  <a:solidFill>
                    <a:sysClr val="windowText" lastClr="000000"/>
                  </a:solidFill>
                  <a:effectLst/>
                  <a:latin typeface="Arial" panose="020B0604020202020204" pitchFamily="34" charset="0"/>
                  <a:ea typeface="+mn-ea"/>
                  <a:cs typeface="Arial" panose="020B0604020202020204" pitchFamily="34" charset="0"/>
                </a:rPr>
                <a:t>Hvis der indtastes en pris på el-abonnement</a:t>
              </a:r>
              <a:r>
                <a:rPr lang="da-DK" sz="1100" i="0" baseline="0">
                  <a:solidFill>
                    <a:sysClr val="windowText" lastClr="000000"/>
                  </a:solidFill>
                  <a:effectLst/>
                  <a:latin typeface="Arial" panose="020B0604020202020204" pitchFamily="34" charset="0"/>
                  <a:ea typeface="+mn-ea"/>
                  <a:cs typeface="Arial" panose="020B0604020202020204" pitchFamily="34" charset="0"/>
                </a:rPr>
                <a:t>, anvendes abonnementsprisen i stedet for ovenstående beregning.</a:t>
              </a:r>
              <a:endParaRPr lang="da-DK" sz="1100" i="0">
                <a:solidFill>
                  <a:sysClr val="windowText" lastClr="000000"/>
                </a:solidFill>
                <a:effectLst/>
                <a:latin typeface="Arial" panose="020B0604020202020204" pitchFamily="34" charset="0"/>
                <a:ea typeface="+mn-ea"/>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000" b="1" i="0">
                  <a:solidFill>
                    <a:schemeClr val="dk1"/>
                  </a:solidFill>
                  <a:effectLst/>
                  <a:latin typeface="Cambria Math" panose="02040503050406030204" pitchFamily="18" charset="0"/>
                  <a:ea typeface="Cambria Math" panose="02040503050406030204" pitchFamily="18" charset="0"/>
                  <a:cs typeface="+mn-cs"/>
                </a:rPr>
                <a:t>Å𝐫𝐥𝐢𝐠𝐭 𝐟𝐨𝐫𝐛𝐫𝐮𝐠 (𝐯𝐞𝐝 𝐩𝐥𝐮𝐠𝐢𝐧 𝐡𝐲𝐛𝐫𝐢𝐝)=(</a:t>
              </a:r>
              <a:r>
                <a:rPr lang="da-DK" sz="1000" b="0" i="0">
                  <a:solidFill>
                    <a:schemeClr val="dk1"/>
                  </a:solidFill>
                  <a:effectLst/>
                  <a:latin typeface="Cambria Math" panose="02040503050406030204" pitchFamily="18" charset="0"/>
                  <a:ea typeface="Cambria Math" panose="02040503050406030204" pitchFamily="18" charset="0"/>
                  <a:cs typeface="+mn-cs"/>
                </a:rPr>
                <a:t>årligt kørselsforbrug på brændstof (km)  </a:t>
              </a:r>
              <a:r>
                <a:rPr lang="da-DK" sz="1000" b="1" i="0">
                  <a:solidFill>
                    <a:schemeClr val="dk1"/>
                  </a:solidFill>
                  <a:effectLst/>
                  <a:latin typeface="Cambria Math" panose="02040503050406030204" pitchFamily="18" charset="0"/>
                  <a:ea typeface="Cambria Math" panose="02040503050406030204" pitchFamily="18" charset="0"/>
                  <a:cs typeface="+mn-cs"/>
                </a:rPr>
                <a:t>)/(brændstofforbrug ifølge WLTP (km/</a:t>
              </a:r>
              <a:r>
                <a:rPr lang="da-DK" sz="1000" b="0" i="0">
                  <a:solidFill>
                    <a:schemeClr val="dk1"/>
                  </a:solidFill>
                  <a:effectLst/>
                  <a:latin typeface="Cambria Math" panose="02040503050406030204" pitchFamily="18" charset="0"/>
                  <a:ea typeface="Cambria Math" panose="02040503050406030204" pitchFamily="18" charset="0"/>
                  <a:cs typeface="+mn-cs"/>
                </a:rPr>
                <a:t>liter</a:t>
              </a:r>
              <a:r>
                <a:rPr lang="da-DK" sz="1000" b="1" i="0">
                  <a:solidFill>
                    <a:schemeClr val="dk1"/>
                  </a:solidFill>
                  <a:effectLst/>
                  <a:latin typeface="Cambria Math" panose="02040503050406030204" pitchFamily="18" charset="0"/>
                  <a:ea typeface="Cambria Math" panose="02040503050406030204" pitchFamily="18" charset="0"/>
                  <a:cs typeface="+mn-cs"/>
                </a:rPr>
                <a:t>))+"</a:t>
              </a:r>
              <a:r>
                <a:rPr lang="da-DK" sz="1000" b="1"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 </a:t>
              </a:r>
              <a:r>
                <a:rPr lang="da-DK" sz="1000" b="0" i="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årligt forbrug på </a:t>
              </a:r>
              <a:r>
                <a:rPr lang="da-DK" sz="1000" b="0" i="0" baseline="0">
                  <a:solidFill>
                    <a:schemeClr val="dk1"/>
                  </a:solidFill>
                  <a:effectLst/>
                  <a:latin typeface="Cambria Math" panose="02040503050406030204" pitchFamily="18" charset="0"/>
                  <a:ea typeface="Cambria Math" panose="02040503050406030204" pitchFamily="18" charset="0"/>
                  <a:cs typeface="Arial" panose="020B0604020202020204" pitchFamily="34" charset="0"/>
                </a:rPr>
                <a:t>el</a:t>
              </a:r>
              <a:r>
                <a:rPr lang="da-DK" sz="1000" b="0" i="0" baseline="0">
                  <a:solidFill>
                    <a:schemeClr val="dk1"/>
                  </a:solidFill>
                  <a:effectLst/>
                  <a:latin typeface="Arial" panose="020B0604020202020204" pitchFamily="34" charset="0"/>
                  <a:ea typeface="Cambria Math" panose="02040503050406030204" pitchFamily="18" charset="0"/>
                  <a:cs typeface="Arial" panose="020B0604020202020204" pitchFamily="34" charset="0"/>
                </a:rPr>
                <a:t>"</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i="0">
                  <a:solidFill>
                    <a:schemeClr val="dk1"/>
                  </a:solidFill>
                  <a:effectLst/>
                  <a:latin typeface="Arial" panose="020B0604020202020204" pitchFamily="34" charset="0"/>
                  <a:ea typeface="+mn-ea"/>
                  <a:cs typeface="Arial" panose="020B0604020202020204" pitchFamily="34" charset="0"/>
                </a:rPr>
                <a:t>For plugin hybridbiler antages det, at køretøjet anvender brændstof, som angivet i de relevante standarder, der angiver et tal for blandet kørsel på el og brændstof. Hertil skal tillægges de årlige udgifter til el. Hvis der til elforbruget er tegnet et månedligt opladeabonnement anvendes denne udgift som driftsomkostningen for el. Hvis ikke beregnes udgiften via prisen på el, køretøjets rækkevidde på el </a:t>
              </a:r>
              <a:r>
                <a:rPr lang="da-DK" sz="1100" i="0" baseline="0">
                  <a:solidFill>
                    <a:schemeClr val="dk1"/>
                  </a:solidFill>
                  <a:effectLst/>
                  <a:latin typeface="Arial" panose="020B0604020202020204" pitchFamily="34" charset="0"/>
                  <a:ea typeface="+mn-ea"/>
                  <a:cs typeface="Arial" panose="020B0604020202020204" pitchFamily="34" charset="0"/>
                </a:rPr>
                <a:t>og batteristørrelsen. </a:t>
              </a:r>
              <a:r>
                <a:rPr lang="da-DK" sz="1100" i="0" baseline="0">
                  <a:solidFill>
                    <a:sysClr val="windowText" lastClr="000000"/>
                  </a:solidFill>
                  <a:effectLst/>
                  <a:latin typeface="Arial" panose="020B0604020202020204" pitchFamily="34" charset="0"/>
                  <a:ea typeface="+mn-ea"/>
                  <a:cs typeface="Arial" panose="020B0604020202020204" pitchFamily="34" charset="0"/>
                </a:rPr>
                <a:t>Bemærk, at tallene for el- og brændstofforbrug er baseret på nogle kørselsforhold, der ikke nødvendigvis svarer til de reelle forhold</a:t>
              </a:r>
              <a:r>
                <a:rPr lang="da-DK" sz="1100" i="0" baseline="0">
                  <a:solidFill>
                    <a:srgbClr val="FF0000"/>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lang="da-DK" sz="1100">
                <a:effectLst/>
                <a:latin typeface="Arial" panose="020B0604020202020204" pitchFamily="34" charset="0"/>
                <a:cs typeface="Arial" panose="020B0604020202020204" pitchFamily="34" charset="0"/>
              </a:endParaRPr>
            </a:p>
            <a:p>
              <a:endParaRPr lang="da-DK" sz="1000" b="1" i="0">
                <a:solidFill>
                  <a:schemeClr val="dk1"/>
                </a:solidFill>
                <a:effectLst/>
                <a:latin typeface="Arial" panose="020B0604020202020204" pitchFamily="34" charset="0"/>
                <a:ea typeface="+mn-ea"/>
                <a:cs typeface="Arial" panose="020B0604020202020204" pitchFamily="34" charset="0"/>
              </a:endParaRPr>
            </a:p>
            <a:p>
              <a:r>
                <a:rPr lang="da-DK" sz="1100" b="0" u="sng">
                  <a:solidFill>
                    <a:schemeClr val="dk1"/>
                  </a:solidFill>
                  <a:effectLst/>
                  <a:latin typeface="Arial" panose="020B0604020202020204" pitchFamily="34" charset="0"/>
                  <a:ea typeface="+mn-ea"/>
                  <a:cs typeface="Arial" panose="020B0604020202020204" pitchFamily="34" charset="0"/>
                </a:rPr>
                <a:t>Brændstofprisen</a:t>
              </a:r>
              <a:r>
                <a:rPr lang="da-DK" sz="1100" b="1">
                  <a:solidFill>
                    <a:schemeClr val="dk1"/>
                  </a:solidFill>
                  <a:effectLst/>
                  <a:latin typeface="Arial" panose="020B0604020202020204" pitchFamily="34" charset="0"/>
                  <a:ea typeface="+mn-ea"/>
                  <a:cs typeface="Arial" panose="020B0604020202020204" pitchFamily="34" charset="0"/>
                </a:rPr>
                <a:t> </a:t>
              </a:r>
              <a:r>
                <a:rPr lang="da-DK" sz="1100">
                  <a:solidFill>
                    <a:schemeClr val="dk1"/>
                  </a:solidFill>
                  <a:effectLst/>
                  <a:latin typeface="Arial" panose="020B0604020202020204" pitchFamily="34" charset="0"/>
                  <a:ea typeface="+mn-ea"/>
                  <a:cs typeface="Arial" panose="020B0604020202020204" pitchFamily="34" charset="0"/>
                </a:rPr>
                <a:t>beregnes sådan:</a:t>
              </a:r>
              <a:endParaRPr lang="da-DK">
                <a:effectLst/>
                <a:latin typeface="Arial" panose="020B0604020202020204" pitchFamily="34" charset="0"/>
                <a:cs typeface="Arial" panose="020B0604020202020204" pitchFamily="34" charset="0"/>
              </a:endParaRPr>
            </a:p>
            <a:p>
              <a:pPr/>
              <a:r>
                <a:rPr lang="da-DK" sz="1000" b="1" i="0">
                  <a:solidFill>
                    <a:schemeClr val="dk1"/>
                  </a:solidFill>
                  <a:effectLst/>
                  <a:latin typeface="Cambria Math" panose="02040503050406030204" pitchFamily="18" charset="0"/>
                  <a:ea typeface="Cambria Math" panose="02040503050406030204" pitchFamily="18" charset="0"/>
                  <a:cs typeface="+mn-cs"/>
                </a:rPr>
                <a:t>𝐁𝐫æ𝐧𝐝𝐬𝐭𝐨𝐟𝐩𝐫𝐢𝐬 𝐢 𝐝𝐞𝐭 𝐩å𝐠æ𝐥𝐝𝐞𝐧𝐝𝐞 å𝐫</a:t>
              </a:r>
              <a:r>
                <a:rPr lang="da-DK" sz="1000" b="0" i="0">
                  <a:solidFill>
                    <a:schemeClr val="dk1"/>
                  </a:solidFill>
                  <a:effectLst/>
                  <a:latin typeface="Cambria Math" panose="02040503050406030204" pitchFamily="18" charset="0"/>
                  <a:ea typeface="Cambria Math" panose="02040503050406030204" pitchFamily="18" charset="0"/>
                  <a:cs typeface="+mn-cs"/>
                </a:rPr>
                <a:t>=Brændstofpris år (x−1)×(1+(Brændstofprisstigning %)/100)</a:t>
              </a:r>
              <a:endParaRPr lang="da-DK" sz="1000">
                <a:effectLst/>
                <a:latin typeface="Arial" panose="020B0604020202020204" pitchFamily="34" charset="0"/>
                <a:ea typeface="Cambria Math" panose="02040503050406030204" pitchFamily="18" charset="0"/>
                <a:cs typeface="Arial" panose="020B0604020202020204" pitchFamily="34" charset="0"/>
              </a:endParaRPr>
            </a:p>
            <a:p>
              <a:endParaRPr lang="da-DK" sz="1100" b="0" u="sng">
                <a:latin typeface="Arial" panose="020B0604020202020204" pitchFamily="34" charset="0"/>
                <a:cs typeface="Arial" panose="020B0604020202020204" pitchFamily="34" charset="0"/>
              </a:endParaRPr>
            </a:p>
            <a:p>
              <a:r>
                <a:rPr lang="da-DK" sz="1100" b="0" u="sng">
                  <a:latin typeface="Arial" panose="020B0604020202020204" pitchFamily="34" charset="0"/>
                  <a:cs typeface="Arial" panose="020B0604020202020204" pitchFamily="34" charset="0"/>
                </a:rPr>
                <a:t>Elprisen</a:t>
              </a:r>
              <a:r>
                <a:rPr lang="da-DK" sz="1100" b="1">
                  <a:latin typeface="Arial" panose="020B0604020202020204" pitchFamily="34" charset="0"/>
                  <a:cs typeface="Arial" panose="020B0604020202020204" pitchFamily="34" charset="0"/>
                </a:rPr>
                <a:t> </a:t>
              </a:r>
              <a:r>
                <a:rPr lang="da-DK" sz="1100">
                  <a:latin typeface="Arial" panose="020B0604020202020204" pitchFamily="34" charset="0"/>
                  <a:cs typeface="Arial" panose="020B0604020202020204" pitchFamily="34" charset="0"/>
                </a:rPr>
                <a:t>beregnes sådan:</a:t>
              </a:r>
            </a:p>
            <a:p>
              <a:pPr/>
              <a:r>
                <a:rPr lang="da-DK" sz="1000" b="1" i="0">
                  <a:latin typeface="Cambria Math" panose="02040503050406030204" pitchFamily="18" charset="0"/>
                </a:rPr>
                <a:t>𝐄𝐥𝐩𝐫𝐢𝐬 𝐢 𝐝𝐞𝐭 𝐩å𝐠æ𝐥𝐝𝐞𝐧𝐝𝐞 å𝐫</a:t>
              </a:r>
              <a:r>
                <a:rPr lang="da-DK" sz="1000" b="0" i="0">
                  <a:latin typeface="Cambria Math" panose="02040503050406030204" pitchFamily="18" charset="0"/>
                </a:rPr>
                <a:t>=Elpris år (x−1)×(1+(Elprisstigning %)/100)</a:t>
              </a:r>
              <a:endParaRPr lang="da-DK" sz="1100" i="0">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none" baseline="0">
                  <a:solidFill>
                    <a:schemeClr val="dk1"/>
                  </a:solidFill>
                  <a:latin typeface="Arial" panose="020B0604020202020204" pitchFamily="34" charset="0"/>
                  <a:ea typeface="+mn-ea"/>
                  <a:cs typeface="Arial" panose="020B0604020202020204" pitchFamily="34" charset="0"/>
                </a:rPr>
                <a:t>Ved beregningerne anvendes den angivne elpris med mindre, der er angivet en årlig pris for et opladsningsabonnement.  </a:t>
              </a:r>
            </a:p>
            <a:p>
              <a:endParaRPr lang="da-DK" sz="1100" u="none" baseline="0">
                <a:solidFill>
                  <a:schemeClr val="dk1"/>
                </a:solidFill>
                <a:latin typeface="Arial" panose="020B0604020202020204" pitchFamily="34" charset="0"/>
                <a:ea typeface="+mn-ea"/>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baseline="0">
                  <a:solidFill>
                    <a:schemeClr val="dk1"/>
                  </a:solidFill>
                  <a:effectLst/>
                  <a:latin typeface="Arial" panose="020B0604020202020204" pitchFamily="34" charset="0"/>
                  <a:ea typeface="+mn-ea"/>
                  <a:cs typeface="Arial" panose="020B0604020202020204" pitchFamily="34" charset="0"/>
                </a:rPr>
                <a:t>Værdisætning af ekstern virkning på miljøet </a:t>
              </a:r>
              <a:r>
                <a:rPr lang="da-DK" sz="1100" baseline="0">
                  <a:solidFill>
                    <a:schemeClr val="dk1"/>
                  </a:solidFill>
                  <a:effectLst/>
                  <a:latin typeface="Arial" panose="020B0604020202020204" pitchFamily="34" charset="0"/>
                  <a:ea typeface="+mn-ea"/>
                  <a:cs typeface="Arial" panose="020B0604020202020204" pitchFamily="34" charset="0"/>
                </a:rPr>
                <a:t>beregnes såles:</a:t>
              </a:r>
            </a:p>
            <a:p>
              <a:endParaRPr lang="da-DK">
                <a:effectLst/>
                <a:latin typeface="Arial" panose="020B0604020202020204" pitchFamily="34" charset="0"/>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𝐛𝐞𝐧𝐳𝐢𝐧 𝐞𝐥. 𝐝𝐢𝐞𝐬𝐞𝐥 𝐞𝐥. 𝐡𝐲𝐛𝐫𝐢𝐝) </a:t>
              </a:r>
              <a:r>
                <a:rPr lang="da-DK" sz="1100" b="0" i="0">
                  <a:solidFill>
                    <a:schemeClr val="dk1"/>
                  </a:solidFill>
                  <a:effectLst/>
                  <a:latin typeface="Cambria Math" panose="02040503050406030204" pitchFamily="18" charset="0"/>
                  <a:ea typeface="+mn-ea"/>
                  <a:cs typeface="+mn-cs"/>
                </a:rPr>
                <a:t>=</a:t>
              </a:r>
              <a:r>
                <a:rPr lang="da-DK">
                  <a:effectLst/>
                  <a:latin typeface="Arial" panose="020B0604020202020204" pitchFamily="34" charset="0"/>
                  <a:cs typeface="Arial" panose="020B0604020202020204" pitchFamily="34" charset="0"/>
                </a:rPr>
                <a:t> </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da-DK" sz="1100" b="1" i="0">
                  <a:solidFill>
                    <a:schemeClr val="dk1"/>
                  </a:solidFill>
                  <a:effectLst/>
                  <a:latin typeface="Cambria Math" panose="02040503050406030204" pitchFamily="18" charset="0"/>
                  <a:ea typeface="+mn-ea"/>
                  <a:cs typeface="+mn-cs"/>
                </a:rPr>
                <a:t>Å𝐫𝐥𝐢𝐠𝐞</a:t>
              </a:r>
              <a:r>
                <a:rPr lang="en-US" sz="1100" b="1" i="0">
                  <a:solidFill>
                    <a:schemeClr val="dk1"/>
                  </a:solidFill>
                  <a:effectLst/>
                  <a:latin typeface="Cambria Math" panose="02040503050406030204" pitchFamily="18" charset="0"/>
                  <a:ea typeface="+mn-ea"/>
                  <a:cs typeface="+mn-cs"/>
                </a:rPr>
                <a:t> 𝐮𝐝𝐥𝐞𝐝𝐧𝐢𝐧𝐠 </a:t>
              </a:r>
              <a:r>
                <a:rPr lang="da-DK" sz="1100" b="1" i="0">
                  <a:solidFill>
                    <a:schemeClr val="dk1"/>
                  </a:solidFill>
                  <a:effectLst/>
                  <a:latin typeface="Cambria Math" panose="02040503050406030204" pitchFamily="18" charset="0"/>
                  <a:ea typeface="+mn-ea"/>
                  <a:cs typeface="+mn-cs"/>
                </a:rPr>
                <a:t>(𝐯𝐞𝐝 </a:t>
              </a:r>
              <a:r>
                <a:rPr lang="en-US" sz="1100" b="1" i="0">
                  <a:solidFill>
                    <a:schemeClr val="dk1"/>
                  </a:solidFill>
                  <a:effectLst/>
                  <a:latin typeface="Cambria Math" panose="02040503050406030204" pitchFamily="18" charset="0"/>
                  <a:ea typeface="+mn-ea"/>
                  <a:cs typeface="+mn-cs"/>
                </a:rPr>
                <a:t>𝐞𝐥)</a:t>
              </a:r>
              <a:r>
                <a:rPr lang="en-US" sz="1100" b="1" i="1">
                  <a:solidFill>
                    <a:schemeClr val="dk1"/>
                  </a:solidFill>
                  <a:effectLst/>
                  <a:latin typeface="Arial" panose="020B0604020202020204" pitchFamily="34" charset="0"/>
                  <a:ea typeface="+mn-ea"/>
                  <a:cs typeface="Arial" panose="020B0604020202020204" pitchFamily="34" charset="0"/>
                </a:rPr>
                <a:t> = </a:t>
              </a:r>
              <a:r>
                <a:rPr lang="en-US" sz="1100" i="0">
                  <a:solidFill>
                    <a:schemeClr val="dk1"/>
                  </a:solidFill>
                  <a:effectLst/>
                  <a:latin typeface="Arial" panose="020B0604020202020204" pitchFamily="34" charset="0"/>
                  <a:ea typeface="+mn-ea"/>
                  <a:cs typeface="Arial" panose="020B0604020202020204" pitchFamily="34" charset="0"/>
                </a:rPr>
                <a:t>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endParaRPr lang="en-US" sz="1100" b="1" i="1">
                <a:solidFill>
                  <a:schemeClr val="dk1"/>
                </a:solidFill>
                <a:effectLst/>
                <a:latin typeface="Arial" panose="020B0604020202020204" pitchFamily="34" charset="0"/>
                <a:ea typeface="+mn-ea"/>
                <a:cs typeface="Arial" panose="020B0604020202020204" pitchFamily="34" charset="0"/>
              </a:endParaRPr>
            </a:p>
            <a:p>
              <a:r>
                <a:rPr lang="da-DK" sz="1100" b="1" i="0">
                  <a:solidFill>
                    <a:schemeClr val="dk1"/>
                  </a:solidFill>
                  <a:effectLst/>
                  <a:latin typeface="Cambria Math" panose="02040503050406030204" pitchFamily="18" charset="0"/>
                  <a:ea typeface="+mn-ea"/>
                  <a:cs typeface="+mn-cs"/>
                </a:rPr>
                <a:t>Å𝐫𝐥𝐢𝐠𝐭 𝐟𝐨𝐫𝐛𝐫𝐮𝐠 (𝐯𝐞𝐝 𝐩𝐥𝐮𝐠𝐢𝐧 𝐡𝐲𝐛𝐫𝐢𝐝)</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Produktets årlige forbrug af brændstof"</a:t>
              </a:r>
              <a:r>
                <a:rPr lang="en-US" sz="1100" b="0" i="0">
                  <a:solidFill>
                    <a:schemeClr val="dk1"/>
                  </a:solidFill>
                  <a:effectLst/>
                  <a:latin typeface="Cambria Math" panose="02040503050406030204" pitchFamily="18" charset="0"/>
                  <a:ea typeface="+mn-ea"/>
                  <a:cs typeface="Arial" panose="020B0604020202020204" pitchFamily="34" charset="0"/>
                </a:rPr>
                <a:t> (liter</a:t>
              </a:r>
              <a:r>
                <a:rPr lang="en-US" sz="1100" i="0">
                  <a:solidFill>
                    <a:schemeClr val="dk1"/>
                  </a:solidFill>
                  <a:effectLst/>
                  <a:latin typeface="Cambria Math" panose="02040503050406030204" pitchFamily="18" charset="0"/>
                  <a:ea typeface="+mn-ea"/>
                  <a:cs typeface="Arial" panose="020B0604020202020204" pitchFamily="34" charset="0"/>
                </a:rPr>
                <a:t>/år/produkt) </a:t>
              </a:r>
              <a:r>
                <a:rPr lang="en-US" sz="1100" b="0" i="0">
                  <a:solidFill>
                    <a:schemeClr val="dk1"/>
                  </a:solidFill>
                  <a:effectLst/>
                  <a:latin typeface="Cambria Math" panose="02040503050406030204" pitchFamily="18" charset="0"/>
                  <a:ea typeface="+mn-ea"/>
                  <a:cs typeface="+mn-cs"/>
                </a:rPr>
                <a:t>"× Antal produkter</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(Emissionfaktor (( (kg CO2e)/(𝑙𝑖𝑡𝑒𝑟 (𝑏𝑒𝑛𝑧𝑖𝑛 𝑒𝑙. 𝑑𝑖𝑒𝑠𝑒𝑙))))/(1000 kg)  </a:t>
              </a:r>
              <a:r>
                <a:rPr lang="en-US" sz="1100" i="0">
                  <a:solidFill>
                    <a:schemeClr val="dk1"/>
                  </a:solidFill>
                  <a:effectLst/>
                  <a:latin typeface="Arial" panose="020B0604020202020204" pitchFamily="34" charset="0"/>
                  <a:ea typeface="+mn-ea"/>
                  <a:cs typeface="Arial" panose="020B0604020202020204" pitchFamily="34" charset="0"/>
                </a:rPr>
                <a:t>) + produktets årlige el forbrug (kWh/år/produkt) X antal produkter X </a:t>
              </a:r>
              <a:r>
                <a:rPr lang="en-US" sz="1100" b="0" i="0">
                  <a:solidFill>
                    <a:schemeClr val="dk1"/>
                  </a:solidFill>
                  <a:effectLst/>
                  <a:latin typeface="Cambria Math" panose="02040503050406030204" pitchFamily="18" charset="0"/>
                  <a:ea typeface="+mn-ea"/>
                  <a:cs typeface="+mn-cs"/>
                </a:rPr>
                <a:t>(Emissionfaktor (( (kg CO2e)/𝑘𝑊ℎ))/(1000 kg)  </a:t>
              </a:r>
              <a:r>
                <a:rPr lang="en-US" sz="1100" i="0">
                  <a:solidFill>
                    <a:schemeClr val="dk1"/>
                  </a:solidFill>
                  <a:effectLst/>
                  <a:latin typeface="Arial" panose="020B0604020202020204" pitchFamily="34" charset="0"/>
                  <a:ea typeface="+mn-ea"/>
                  <a:cs typeface="Arial" panose="020B0604020202020204" pitchFamily="34" charset="0"/>
                </a:rPr>
                <a:t>) </a:t>
              </a:r>
              <a:endParaRPr lang="da-DK">
                <a:effectLst/>
                <a:latin typeface="Arial" panose="020B0604020202020204" pitchFamily="34" charset="0"/>
                <a:cs typeface="Arial" panose="020B0604020202020204" pitchFamily="34" charset="0"/>
              </a:endParaRPr>
            </a:p>
            <a:p>
              <a:endParaRPr lang="en-US" sz="1100" i="0">
                <a:solidFill>
                  <a:schemeClr val="dk1"/>
                </a:solidFill>
                <a:effectLst/>
                <a:latin typeface="Arial" panose="020B0604020202020204" pitchFamily="34" charset="0"/>
                <a:ea typeface="+mn-ea"/>
                <a:cs typeface="Arial" panose="020B0604020202020204" pitchFamily="34" charset="0"/>
              </a:endParaRPr>
            </a:p>
            <a:p>
              <a:r>
                <a:rPr lang="en-US" sz="1100" i="0">
                  <a:solidFill>
                    <a:schemeClr val="dk1"/>
                  </a:solidFill>
                  <a:effectLst/>
                  <a:latin typeface="Arial" panose="020B0604020202020204" pitchFamily="34" charset="0"/>
                  <a:ea typeface="+mn-ea"/>
                  <a:cs typeface="Arial" panose="020B0604020202020204" pitchFamily="34" charset="0"/>
                </a:rPr>
                <a:t>Den samlede udledning af emisioner over evalueringsperioden er summen af årlige udledninger. </a:t>
              </a:r>
              <a:endParaRPr lang="da-DK">
                <a:effectLst/>
                <a:latin typeface="Arial" panose="020B0604020202020204" pitchFamily="34" charset="0"/>
                <a:cs typeface="Arial" panose="020B0604020202020204" pitchFamily="34" charset="0"/>
              </a:endParaRPr>
            </a:p>
            <a:p>
              <a:pPr eaLnBrk="1" fontAlgn="auto" latinLnBrk="0" hangingPunct="1"/>
              <a:endParaRPr lang="en-US" sz="1100" b="1" i="0">
                <a:solidFill>
                  <a:schemeClr val="dk1"/>
                </a:solidFill>
                <a:effectLst/>
                <a:latin typeface="Arial" panose="020B0604020202020204" pitchFamily="34" charset="0"/>
                <a:ea typeface="+mn-ea"/>
                <a:cs typeface="Arial" panose="020B0604020202020204" pitchFamily="34" charset="0"/>
              </a:endParaRPr>
            </a:p>
            <a:p>
              <a:pPr eaLnBrk="1" fontAlgn="auto" latinLnBrk="0" hangingPunct="1"/>
              <a:r>
                <a:rPr lang="en-US" sz="1100" b="1" i="0">
                  <a:solidFill>
                    <a:schemeClr val="dk1"/>
                  </a:solidFill>
                  <a:effectLst/>
                  <a:latin typeface="Cambria Math" panose="02040503050406030204" pitchFamily="18" charset="0"/>
                  <a:ea typeface="+mn-ea"/>
                  <a:cs typeface="+mn-cs"/>
                </a:rPr>
                <a:t>𝐒𝐚𝐦𝐟𝐮𝐧𝐝𝐬ø𝐤𝐨𝐧𝐨𝐦𝐢𝐬𝐤𝐞 𝐨𝐦𝐤𝐨𝐬𝐭𝐧𝐢𝐧𝐠𝐞𝐫 𝐟𝐨𝐫𝐛𝐮𝐧𝐝𝐞𝐭 𝐦𝐞𝐝 𝐛𝐫𝐮𝐠𝐬𝐟𝐚𝐬𝐞𝐧𝐬 𝐮𝐝𝐥𝐞𝐝𝐧𝐢𝐧𝐠𝐞𝐫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Samlet udledning af emissioner fra brugsfasen (tons CO2e)  </a:t>
              </a:r>
              <a:r>
                <a:rPr lang="da-DK" sz="1100" b="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omkostningsfaktor ((𝑘𝑟.)/(𝑇𝑜𝑛𝑠 𝐶𝑂2𝑒 )</a:t>
              </a:r>
              <a:r>
                <a:rPr lang="en-US" sz="1100">
                  <a:solidFill>
                    <a:schemeClr val="dk1"/>
                  </a:solidFill>
                  <a:effectLst/>
                  <a:latin typeface="Arial" panose="020B0604020202020204" pitchFamily="34" charset="0"/>
                  <a:ea typeface="+mn-ea"/>
                  <a:cs typeface="Arial" panose="020B0604020202020204" pitchFamily="34" charset="0"/>
                </a:rPr>
                <a:t>)</a:t>
              </a:r>
              <a:endParaRPr lang="da-DK">
                <a:effectLst/>
                <a:latin typeface="Arial" panose="020B0604020202020204" pitchFamily="34" charset="0"/>
                <a:cs typeface="Arial" panose="020B0604020202020204" pitchFamily="34" charset="0"/>
              </a:endParaRPr>
            </a:p>
            <a:p>
              <a:endParaRPr lang="da-DK" sz="1100" u="none" baseline="0">
                <a:solidFill>
                  <a:schemeClr val="dk1"/>
                </a:solidFill>
                <a:latin typeface="Arial" panose="020B0604020202020204" pitchFamily="34" charset="0"/>
                <a:ea typeface="+mn-ea"/>
                <a:cs typeface="Arial" panose="020B0604020202020204" pitchFamily="34" charset="0"/>
              </a:endParaRPr>
            </a:p>
            <a:p>
              <a:r>
                <a:rPr lang="da-DK" sz="1100" u="sng">
                  <a:latin typeface="Arial" panose="020B0604020202020204" pitchFamily="34" charset="0"/>
                  <a:cs typeface="Arial" panose="020B0604020202020204" pitchFamily="34" charset="0"/>
                </a:rPr>
                <a:t>N</a:t>
              </a:r>
              <a:r>
                <a:rPr lang="da-DK" sz="1100" b="0" u="sng" baseline="0">
                  <a:latin typeface="Arial" panose="020B0604020202020204" pitchFamily="34" charset="0"/>
                  <a:cs typeface="Arial" panose="020B0604020202020204" pitchFamily="34" charset="0"/>
                </a:rPr>
                <a:t>utidsværdien af de årlige driftsomkostninger</a:t>
              </a:r>
              <a:r>
                <a:rPr lang="da-DK" sz="1100" b="0" u="none" baseline="0">
                  <a:latin typeface="Arial" panose="020B0604020202020204" pitchFamily="34" charset="0"/>
                  <a:cs typeface="Arial" panose="020B0604020202020204" pitchFamily="34" charset="0"/>
                </a:rPr>
                <a:t> beregnes sådan</a:t>
              </a:r>
              <a:r>
                <a:rPr lang="da-DK" sz="1100" baseline="0">
                  <a:latin typeface="Arial" panose="020B0604020202020204" pitchFamily="34" charset="0"/>
                  <a:cs typeface="Arial" panose="020B0604020202020204" pitchFamily="34" charset="0"/>
                </a:rPr>
                <a:t>:</a:t>
              </a:r>
            </a:p>
            <a:p>
              <a:endParaRPr lang="da-DK" sz="1100" baseline="0">
                <a:latin typeface="Arial" panose="020B0604020202020204" pitchFamily="34" charset="0"/>
                <a:cs typeface="Arial" panose="020B0604020202020204" pitchFamily="34" charset="0"/>
              </a:endParaRPr>
            </a:p>
            <a:p>
              <a:pPr/>
              <a:r>
                <a:rPr lang="da-DK" sz="1000" b="1" i="0">
                  <a:latin typeface="Cambria Math" panose="02040503050406030204" pitchFamily="18" charset="0"/>
                </a:rPr>
                <a:t>𝐍𝐮𝐭𝐢𝐝𝐬𝐯æ𝐫𝐝𝐢𝐞𝐧 𝐚𝐟 𝐝𝐫𝐢𝐟𝐭𝐬𝐨𝐦𝐤𝐨𝐬𝐭𝐧𝐢𝐧𝐠𝐞𝐧 𝐢 𝐝𝐞𝐭 𝐩å𝐠æ𝐥𝐝𝐞𝐧𝐝𝐞 å𝐫</a:t>
              </a:r>
              <a:r>
                <a:rPr lang="da-DK" sz="1000" b="0" i="0">
                  <a:latin typeface="Cambria Math" panose="02040503050406030204" pitchFamily="18" charset="0"/>
                </a:rPr>
                <a:t>=Driftsomkostning i det⁡〖pågældende 〗 år 〖</a:t>
              </a:r>
              <a:r>
                <a:rPr lang="da-DK" sz="1000" b="0" i="0">
                  <a:latin typeface="Cambria Math" panose="02040503050406030204" pitchFamily="18" charset="0"/>
                  <a:ea typeface="Cambria Math" panose="02040503050406030204" pitchFamily="18" charset="0"/>
                </a:rPr>
                <a:t>×</a:t>
              </a:r>
              <a:r>
                <a:rPr lang="da-DK" sz="1000" b="0" i="0">
                  <a:latin typeface="Cambria Math" panose="02040503050406030204" pitchFamily="18" charset="0"/>
                </a:rPr>
                <a:t>(1+diskonteringsrente)〗^(−det⁡〖pågældende 〗 år )</a:t>
              </a:r>
              <a:endParaRPr lang="da-DK" sz="1100" i="0">
                <a:latin typeface="Arial" panose="020B0604020202020204" pitchFamily="34" charset="0"/>
                <a:cs typeface="Arial" panose="020B0604020202020204" pitchFamily="34" charset="0"/>
              </a:endParaRPr>
            </a:p>
            <a:p>
              <a:endParaRPr lang="da-DK" sz="1100" i="0">
                <a:latin typeface="Arial" panose="020B0604020202020204" pitchFamily="34" charset="0"/>
                <a:cs typeface="Arial" panose="020B0604020202020204" pitchFamily="34" charset="0"/>
              </a:endParaRPr>
            </a:p>
            <a:p>
              <a:r>
                <a:rPr lang="da-DK" sz="1100" b="0" u="sng" baseline="0">
                  <a:solidFill>
                    <a:schemeClr val="dk1"/>
                  </a:solidFill>
                  <a:latin typeface="Arial" panose="020B0604020202020204" pitchFamily="34" charset="0"/>
                  <a:ea typeface="+mn-ea"/>
                  <a:cs typeface="Arial" panose="020B0604020202020204" pitchFamily="34" charset="0"/>
                </a:rPr>
                <a:t>Gennemsnitlige årlige omkostninger </a:t>
              </a:r>
              <a:r>
                <a:rPr lang="da-DK" sz="1100" b="0" u="none" baseline="0">
                  <a:solidFill>
                    <a:schemeClr val="dk1"/>
                  </a:solidFill>
                  <a:latin typeface="Arial" panose="020B0604020202020204" pitchFamily="34" charset="0"/>
                  <a:ea typeface="+mn-ea"/>
                  <a:cs typeface="Arial" panose="020B0604020202020204" pitchFamily="34" charset="0"/>
                </a:rPr>
                <a:t>beregnes sådan:</a:t>
              </a:r>
            </a:p>
            <a:p>
              <a:endParaRPr lang="da-DK" sz="1000" b="1" i="0">
                <a:solidFill>
                  <a:schemeClr val="dk1"/>
                </a:solidFill>
                <a:latin typeface="Arial" panose="020B0604020202020204" pitchFamily="34" charset="0"/>
                <a:ea typeface="+mn-ea"/>
                <a:cs typeface="Arial" panose="020B0604020202020204" pitchFamily="34" charset="0"/>
              </a:endParaRPr>
            </a:p>
            <a:p>
              <a:pPr/>
              <a:r>
                <a:rPr lang="da-DK" sz="1000" b="1" i="0">
                  <a:solidFill>
                    <a:schemeClr val="dk1"/>
                  </a:solidFill>
                  <a:latin typeface="Cambria Math" panose="02040503050406030204" pitchFamily="18" charset="0"/>
                  <a:ea typeface="+mn-ea"/>
                  <a:cs typeface="+mn-cs"/>
                </a:rPr>
                <a:t>𝐆𝐞𝐧𝐧𝐞𝐦𝐬𝐧𝐢𝐭𝐥𝐢𝐠𝐞 å𝐫𝐥𝐢𝐠𝐞 𝐨𝐦𝐤𝐨𝐬𝐭𝐧𝐢𝐧𝐠𝐞𝐫=Nutidsværdi af omkostninger × 〖(diskonteringsrente/(1−(1+diskonteringsrente)〗^(−𝐓𝐂𝐎−𝐞𝐯𝐚𝐥𝐮𝐞𝐫𝐢𝐧𝐠𝐬𝐩𝐞𝐫𝐢𝐨𝐝𝐞 )</a:t>
              </a:r>
              <a:endParaRPr lang="da-DK" sz="1000" b="1" i="0">
                <a:solidFill>
                  <a:schemeClr val="dk1"/>
                </a:solidFill>
                <a:latin typeface="Arial" panose="020B0604020202020204" pitchFamily="34" charset="0"/>
                <a:ea typeface="+mn-ea"/>
                <a:cs typeface="Arial" panose="020B0604020202020204" pitchFamily="34" charset="0"/>
              </a:endParaRPr>
            </a:p>
            <a:p>
              <a:endParaRPr lang="da-DK" sz="1100">
                <a:latin typeface="Arial" panose="020B0604020202020204" pitchFamily="34" charset="0"/>
                <a:cs typeface="Arial" panose="020B0604020202020204" pitchFamily="34" charset="0"/>
              </a:endParaRPr>
            </a:p>
            <a:p>
              <a:r>
                <a:rPr lang="da-DK" sz="1100">
                  <a:latin typeface="Arial" panose="020B0604020202020204" pitchFamily="34" charset="0"/>
                  <a:cs typeface="Arial" panose="020B0604020202020204" pitchFamily="34" charset="0"/>
                </a:rPr>
                <a:t>Alle beregningsformler</a:t>
              </a:r>
              <a:r>
                <a:rPr lang="da-DK" sz="1100" baseline="0">
                  <a:latin typeface="Arial" panose="020B0604020202020204" pitchFamily="34" charset="0"/>
                  <a:cs typeface="Arial" panose="020B0604020202020204" pitchFamily="34" charset="0"/>
                </a:rPr>
                <a:t> ligger i to skjulte ark med interne beregninger. De kan vises ved at højreklikke på en fane, klikke på "Vis" og derefter på "OK". Skjul det igen ved at højreklikke på arket og klikke "Skjul". Det samme gælder fanen 'ENS udvikling i elpris'.</a:t>
              </a:r>
              <a:endParaRPr lang="da-DK" sz="1100">
                <a:latin typeface="Arial" panose="020B0604020202020204" pitchFamily="34" charset="0"/>
                <a:cs typeface="Arial" panose="020B0604020202020204" pitchFamily="34" charset="0"/>
              </a:endParaRP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6</xdr:col>
      <xdr:colOff>657225</xdr:colOff>
      <xdr:row>2</xdr:row>
      <xdr:rowOff>180975</xdr:rowOff>
    </xdr:from>
    <xdr:to>
      <xdr:col>11</xdr:col>
      <xdr:colOff>800100</xdr:colOff>
      <xdr:row>15</xdr:row>
      <xdr:rowOff>133350</xdr:rowOff>
    </xdr:to>
    <xdr:graphicFrame macro="">
      <xdr:nvGraphicFramePr>
        <xdr:cNvPr id="2" name="Diagram 3">
          <a:extLst>
            <a:ext uri="{FF2B5EF4-FFF2-40B4-BE49-F238E27FC236}">
              <a16:creationId xmlns:a16="http://schemas.microsoft.com/office/drawing/2014/main" id="{536C79B9-E389-4A2C-BFBD-3C55F4FED5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657225</xdr:colOff>
      <xdr:row>2</xdr:row>
      <xdr:rowOff>180974</xdr:rowOff>
    </xdr:from>
    <xdr:to>
      <xdr:col>15</xdr:col>
      <xdr:colOff>800100</xdr:colOff>
      <xdr:row>18</xdr:row>
      <xdr:rowOff>47624</xdr:rowOff>
    </xdr:to>
    <xdr:graphicFrame macro="">
      <xdr:nvGraphicFramePr>
        <xdr:cNvPr id="2" name="Diagram 3">
          <a:extLst>
            <a:ext uri="{FF2B5EF4-FFF2-40B4-BE49-F238E27FC236}">
              <a16:creationId xmlns:a16="http://schemas.microsoft.com/office/drawing/2014/main" id="{7AEB019F-9C9E-4BA2-BD5E-C3E599ADF1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KEO\Modelgruppen\Br&#230;ndselspriser\Br&#230;ndselspriser%202017\Back-up%20regneark%20for%20fossile%20br&#230;ndselspriser\Br&#230;ndselspriser%20BF2018%20-%20WEO17_endelige%20priser%20f&#248;r%20kvalitetssikr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nsfile02.ens.local/03%20Team%20Modeller%20og%20analyser/Br&#230;ndselspriser/Br&#230;ndselspriser%202011/Regneark/Br&#230;ndselspriser%202010%20El%20og%20fjernvarme%20V12%20-%20endelig-endeli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Fremskrivninger\RAMSES\Simuleringer\2012\BF2012\2012-08-30%20BASIS%20ENDELIG\ElDHPriceToEMMA_30-08-201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intelligentfleetmanagement/dashboard/sourcefiles/pogi_juni2021/miljoestyrelsen-tco-vaerktoej-motorkoeretoejer-koeb-og-finansiel-leasing-2020-07-02-fina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Fremskrivninger\RAMSES\Simuleringer\2012\BF2012\2012-10-08%20BASIS%20ENDELIG\ElDHPriceToEMMA_08-10-20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Info og Centrale forudsætninger"/>
      <sheetName val="Output til TIMES"/>
      <sheetName val="Output til RAMSES"/>
      <sheetName val="CO2-kvotepris"/>
      <sheetName val="Slutpriser - Centralt"/>
      <sheetName val="Slutpriser - Forward"/>
      <sheetName val="Slutpriser - IEA"/>
      <sheetName val="Tillæg an forbrugssted"/>
      <sheetName val="Naturgastariffer"/>
      <sheetName val="Historiske DK priser"/>
      <sheetName val="Historiske IEA priser"/>
      <sheetName val="Sammenligning - Råprisforløb"/>
      <sheetName val="Konvergenspriser (Centralt)"/>
      <sheetName val="Forwardpriser"/>
      <sheetName val="IEA-priser"/>
      <sheetName val="FM-priser"/>
      <sheetName val="EU-priser"/>
      <sheetName val="Omregningsfaktorer"/>
      <sheetName val="Deflator og Valutakurser"/>
    </sheetNames>
    <sheetDataSet>
      <sheetData sheetId="0"/>
      <sheetData sheetId="1">
        <row r="8">
          <cell r="B8">
            <v>2018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side"/>
      <sheetName val="Fossile priser (imp)"/>
      <sheetName val="Biomasse priser (imp)"/>
      <sheetName val="Koefficienter brændsler (imp)"/>
      <sheetName val="Fossile priser (omr)"/>
      <sheetName val="Biomasse priser (omr)"/>
      <sheetName val="Koefficienter brændsler (omr)"/>
      <sheetName val="RAMSES elpriser (imp)"/>
      <sheetName val="RAMSES el og varme (imp)"/>
      <sheetName val="Koefficienter el (imp)"/>
      <sheetName val="Koefficienter varme (imp)"/>
      <sheetName val="Emissionsfaktorer stationære an"/>
      <sheetName val="Emissionsfaktorer transport"/>
      <sheetName val="Emissionspriser etc (imp)"/>
      <sheetName val="Elpriser (omr)"/>
      <sheetName val="Fjernvarmepriser (omr)"/>
      <sheetName val="El-emissioner (omr)"/>
      <sheetName val="Fjernvarme-emissioner (omr)"/>
      <sheetName val="Emissionsfaktorer DMU (omr)"/>
      <sheetName val="Emissionspriser (omr)"/>
      <sheetName val="Figur 1 fossile priser"/>
      <sheetName val="Tabel 1"/>
      <sheetName val="Tabel 2"/>
      <sheetName val="Tabel 3"/>
      <sheetName val="Tabel 4"/>
      <sheetName val="Tabel 5"/>
      <sheetName val="Tabel 6"/>
      <sheetName val="Tabel 7"/>
      <sheetName val="Tabel 8"/>
      <sheetName val="tabel 9"/>
      <sheetName val="tabel pris SO2 og NOx"/>
    </sheetNames>
    <sheetDataSet>
      <sheetData sheetId="0" refreshError="1">
        <row r="3">
          <cell r="B3">
            <v>2000</v>
          </cell>
        </row>
      </sheetData>
      <sheetData sheetId="1" refreshError="1">
        <row r="3">
          <cell r="A3">
            <v>2000</v>
          </cell>
          <cell r="B3" t="e">
            <v>#N/A</v>
          </cell>
          <cell r="C3" t="e">
            <v>#N/A</v>
          </cell>
          <cell r="D3" t="e">
            <v>#N/A</v>
          </cell>
          <cell r="E3">
            <v>1</v>
          </cell>
          <cell r="F3">
            <v>5.95</v>
          </cell>
        </row>
        <row r="4">
          <cell r="A4">
            <v>2001</v>
          </cell>
          <cell r="B4" t="e">
            <v>#N/A</v>
          </cell>
          <cell r="C4" t="e">
            <v>#N/A</v>
          </cell>
          <cell r="D4" t="e">
            <v>#N/A</v>
          </cell>
          <cell r="E4">
            <v>1.02441</v>
          </cell>
          <cell r="F4">
            <v>5.95</v>
          </cell>
        </row>
        <row r="5">
          <cell r="A5">
            <v>2002</v>
          </cell>
          <cell r="B5" t="e">
            <v>#N/A</v>
          </cell>
          <cell r="C5" t="e">
            <v>#N/A</v>
          </cell>
          <cell r="D5" t="e">
            <v>#N/A</v>
          </cell>
          <cell r="E5">
            <v>1.04714</v>
          </cell>
          <cell r="F5">
            <v>5.95</v>
          </cell>
        </row>
        <row r="6">
          <cell r="A6">
            <v>2003</v>
          </cell>
          <cell r="B6" t="e">
            <v>#N/A</v>
          </cell>
          <cell r="C6" t="e">
            <v>#N/A</v>
          </cell>
          <cell r="D6" t="e">
            <v>#N/A</v>
          </cell>
          <cell r="E6">
            <v>1.06595</v>
          </cell>
          <cell r="F6">
            <v>5.95</v>
          </cell>
        </row>
        <row r="7">
          <cell r="A7">
            <v>2004</v>
          </cell>
          <cell r="B7" t="e">
            <v>#N/A</v>
          </cell>
          <cell r="C7" t="e">
            <v>#N/A</v>
          </cell>
          <cell r="D7" t="e">
            <v>#N/A</v>
          </cell>
          <cell r="E7">
            <v>1.0950800000000001</v>
          </cell>
          <cell r="F7">
            <v>5.95</v>
          </cell>
        </row>
        <row r="8">
          <cell r="A8">
            <v>2005</v>
          </cell>
          <cell r="B8" t="e">
            <v>#N/A</v>
          </cell>
          <cell r="C8" t="e">
            <v>#N/A</v>
          </cell>
          <cell r="D8" t="e">
            <v>#N/A</v>
          </cell>
          <cell r="E8">
            <v>1.1268400000000001</v>
          </cell>
          <cell r="F8">
            <v>5.95</v>
          </cell>
        </row>
        <row r="9">
          <cell r="A9">
            <v>2006</v>
          </cell>
          <cell r="B9" t="e">
            <v>#N/A</v>
          </cell>
          <cell r="C9" t="e">
            <v>#N/A</v>
          </cell>
          <cell r="D9" t="e">
            <v>#N/A</v>
          </cell>
          <cell r="E9">
            <v>1.1510899999999999</v>
          </cell>
          <cell r="F9">
            <v>5.95</v>
          </cell>
        </row>
        <row r="10">
          <cell r="A10">
            <v>2007</v>
          </cell>
          <cell r="B10">
            <v>67.391897953192839</v>
          </cell>
          <cell r="C10">
            <v>37.80337665932381</v>
          </cell>
          <cell r="D10">
            <v>16.441115571654571</v>
          </cell>
          <cell r="E10">
            <v>1.1722300000000001</v>
          </cell>
          <cell r="F10">
            <v>5.45</v>
          </cell>
        </row>
        <row r="11">
          <cell r="A11">
            <v>2008</v>
          </cell>
          <cell r="B11">
            <v>84.85219547945205</v>
          </cell>
          <cell r="C11">
            <v>49.843666331962936</v>
          </cell>
          <cell r="D11">
            <v>24.447117200795226</v>
          </cell>
          <cell r="E11">
            <v>1.2210000000000001</v>
          </cell>
          <cell r="F11">
            <v>5.0986399999999996</v>
          </cell>
        </row>
        <row r="12">
          <cell r="A12">
            <v>2009</v>
          </cell>
          <cell r="B12">
            <v>56.079073272356275</v>
          </cell>
          <cell r="C12">
            <v>32.887688526633134</v>
          </cell>
          <cell r="D12">
            <v>18.264807293858464</v>
          </cell>
          <cell r="E12">
            <v>1.2303299999999999</v>
          </cell>
          <cell r="F12">
            <v>5.3520000000000003</v>
          </cell>
        </row>
        <row r="13">
          <cell r="A13">
            <v>2010</v>
          </cell>
          <cell r="B13">
            <v>68.744351846057185</v>
          </cell>
          <cell r="C13">
            <v>41.199297981402147</v>
          </cell>
          <cell r="D13">
            <v>21.337313025623914</v>
          </cell>
          <cell r="E13">
            <v>1.25159</v>
          </cell>
          <cell r="F13">
            <v>5.0199999999999996</v>
          </cell>
        </row>
        <row r="14">
          <cell r="A14">
            <v>2011</v>
          </cell>
          <cell r="B14">
            <v>72.352425868187026</v>
          </cell>
          <cell r="C14">
            <v>44.312490869461399</v>
          </cell>
          <cell r="D14">
            <v>21.401501526010371</v>
          </cell>
          <cell r="E14">
            <v>1.27332</v>
          </cell>
          <cell r="F14">
            <v>5.0199999999999996</v>
          </cell>
        </row>
        <row r="15">
          <cell r="A15">
            <v>2012</v>
          </cell>
          <cell r="B15">
            <v>75.539762087183973</v>
          </cell>
          <cell r="C15">
            <v>47.279072762224672</v>
          </cell>
          <cell r="D15">
            <v>21.293899537672008</v>
          </cell>
          <cell r="E15">
            <v>1.30589</v>
          </cell>
          <cell r="F15">
            <v>5.0199999999999996</v>
          </cell>
        </row>
        <row r="16">
          <cell r="A16">
            <v>2013</v>
          </cell>
          <cell r="B16">
            <v>78.985643961473144</v>
          </cell>
          <cell r="C16">
            <v>50.519817488961138</v>
          </cell>
          <cell r="D16">
            <v>21.218573915769124</v>
          </cell>
          <cell r="E16">
            <v>1.3372900000000001</v>
          </cell>
          <cell r="F16">
            <v>5.2469999999999999</v>
          </cell>
        </row>
        <row r="17">
          <cell r="A17">
            <v>2014</v>
          </cell>
          <cell r="B17">
            <v>82.400682591266488</v>
          </cell>
          <cell r="C17">
            <v>53.8597943434633</v>
          </cell>
          <cell r="D17">
            <v>21.095376390209761</v>
          </cell>
          <cell r="E17">
            <v>1.3725700000000001</v>
          </cell>
          <cell r="F17">
            <v>5.4729999999999999</v>
          </cell>
        </row>
        <row r="18">
          <cell r="A18">
            <v>2015</v>
          </cell>
          <cell r="B18">
            <v>85.971963679725334</v>
          </cell>
          <cell r="C18">
            <v>57.426321735259528</v>
          </cell>
          <cell r="D18">
            <v>20.974989708500487</v>
          </cell>
          <cell r="E18">
            <v>1.4086399999999999</v>
          </cell>
          <cell r="F18">
            <v>5.7</v>
          </cell>
        </row>
        <row r="19">
          <cell r="A19">
            <v>2016</v>
          </cell>
          <cell r="B19">
            <v>87.841567549695782</v>
          </cell>
          <cell r="C19">
            <v>58.695755300234225</v>
          </cell>
          <cell r="D19">
            <v>21.39411617548712</v>
          </cell>
          <cell r="E19">
            <v>1.4513100000000001</v>
          </cell>
          <cell r="F19">
            <v>5.7</v>
          </cell>
        </row>
        <row r="20">
          <cell r="A20">
            <v>2017</v>
          </cell>
          <cell r="B20">
            <v>89.670423400982301</v>
          </cell>
          <cell r="C20">
            <v>59.938835850057657</v>
          </cell>
          <cell r="D20">
            <v>21.80182531818145</v>
          </cell>
          <cell r="E20">
            <v>1.4966299999999999</v>
          </cell>
          <cell r="F20">
            <v>5.7</v>
          </cell>
        </row>
        <row r="21">
          <cell r="A21">
            <v>2018</v>
          </cell>
          <cell r="B21">
            <v>92.356894071460403</v>
          </cell>
          <cell r="C21">
            <v>61.75624303490239</v>
          </cell>
          <cell r="D21">
            <v>22.416216748170736</v>
          </cell>
          <cell r="E21">
            <v>1.5296700000000001</v>
          </cell>
          <cell r="F21">
            <v>5.7</v>
          </cell>
        </row>
        <row r="22">
          <cell r="A22">
            <v>2019</v>
          </cell>
          <cell r="B22">
            <v>95.09340163743363</v>
          </cell>
          <cell r="C22">
            <v>63.608389001876525</v>
          </cell>
          <cell r="D22">
            <v>23.040544789667358</v>
          </cell>
          <cell r="E22">
            <v>1.5639400000000001</v>
          </cell>
          <cell r="F22">
            <v>5.7</v>
          </cell>
        </row>
        <row r="23">
          <cell r="A23">
            <v>2020</v>
          </cell>
          <cell r="B23">
            <v>97.920040352281617</v>
          </cell>
          <cell r="C23">
            <v>65.522138311352563</v>
          </cell>
          <cell r="D23">
            <v>23.684450168698785</v>
          </cell>
          <cell r="E23">
            <v>1.59883</v>
          </cell>
          <cell r="F23">
            <v>5.7</v>
          </cell>
        </row>
        <row r="24">
          <cell r="A24">
            <v>2021</v>
          </cell>
          <cell r="B24">
            <v>99.412766357449229</v>
          </cell>
          <cell r="C24">
            <v>66.611877593125953</v>
          </cell>
          <cell r="D24">
            <v>23.833210960533762</v>
          </cell>
          <cell r="E24">
            <v>1.63452</v>
          </cell>
          <cell r="F24">
            <v>5.7</v>
          </cell>
        </row>
        <row r="25">
          <cell r="A25">
            <v>2022</v>
          </cell>
          <cell r="B25">
            <v>100.86768491254816</v>
          </cell>
          <cell r="C25">
            <v>67.679105054407373</v>
          </cell>
          <cell r="D25">
            <v>23.968514913623302</v>
          </cell>
          <cell r="E25">
            <v>1.67201</v>
          </cell>
          <cell r="F25">
            <v>5.7</v>
          </cell>
        </row>
        <row r="26">
          <cell r="A26">
            <v>2023</v>
          </cell>
          <cell r="B26">
            <v>102.47210248628954</v>
          </cell>
          <cell r="C26">
            <v>68.849571068152216</v>
          </cell>
          <cell r="D26">
            <v>24.134782795921193</v>
          </cell>
          <cell r="E26">
            <v>1.7082200000000001</v>
          </cell>
          <cell r="F26">
            <v>5.7</v>
          </cell>
        </row>
        <row r="27">
          <cell r="A27">
            <v>2024</v>
          </cell>
          <cell r="B27">
            <v>104.17093285161619</v>
          </cell>
          <cell r="C27">
            <v>70.086630798548171</v>
          </cell>
          <cell r="D27">
            <v>24.318286784005348</v>
          </cell>
          <cell r="E27">
            <v>1.7440599999999999</v>
          </cell>
          <cell r="F27">
            <v>5.7</v>
          </cell>
        </row>
        <row r="28">
          <cell r="A28">
            <v>2025</v>
          </cell>
          <cell r="B28">
            <v>105.81722392053364</v>
          </cell>
          <cell r="C28">
            <v>71.291545784777469</v>
          </cell>
          <cell r="D28">
            <v>24.484512479446806</v>
          </cell>
          <cell r="E28">
            <v>1.7820100000000001</v>
          </cell>
          <cell r="F28">
            <v>5.7</v>
          </cell>
        </row>
        <row r="29">
          <cell r="A29">
            <v>2026</v>
          </cell>
          <cell r="B29">
            <v>107.42113538714111</v>
          </cell>
          <cell r="C29">
            <v>72.380611582854925</v>
          </cell>
          <cell r="D29">
            <v>24.626299330486681</v>
          </cell>
          <cell r="E29">
            <v>1.82016</v>
          </cell>
          <cell r="F29">
            <v>5.7</v>
          </cell>
        </row>
        <row r="30">
          <cell r="A30">
            <v>2027</v>
          </cell>
          <cell r="B30">
            <v>108.96418124004363</v>
          </cell>
          <cell r="C30">
            <v>73.428915216213369</v>
          </cell>
          <cell r="D30">
            <v>24.74956065615029</v>
          </cell>
          <cell r="E30">
            <v>1.8605799999999999</v>
          </cell>
          <cell r="F30">
            <v>5.7</v>
          </cell>
        </row>
        <row r="31">
          <cell r="A31">
            <v>2028</v>
          </cell>
          <cell r="B31">
            <v>110.60194439640382</v>
          </cell>
          <cell r="C31">
            <v>74.541299003919207</v>
          </cell>
          <cell r="D31">
            <v>24.889766043805704</v>
          </cell>
          <cell r="E31">
            <v>1.90065</v>
          </cell>
          <cell r="F31">
            <v>5.7</v>
          </cell>
        </row>
        <row r="32">
          <cell r="A32">
            <v>2029</v>
          </cell>
          <cell r="B32">
            <v>112.24657300730988</v>
          </cell>
          <cell r="C32">
            <v>75.658569835713664</v>
          </cell>
          <cell r="D32">
            <v>25.026807967059366</v>
          </cell>
          <cell r="E32">
            <v>1.9418899999999999</v>
          </cell>
          <cell r="F32">
            <v>5.7</v>
          </cell>
        </row>
        <row r="33">
          <cell r="A33">
            <v>2030</v>
          </cell>
          <cell r="B33">
            <v>113.79605892029734</v>
          </cell>
          <cell r="C33">
            <v>76.711963857695679</v>
          </cell>
          <cell r="D33">
            <v>25.138184572572218</v>
          </cell>
          <cell r="E33">
            <v>1.98611</v>
          </cell>
          <cell r="F33">
            <v>5.7</v>
          </cell>
        </row>
      </sheetData>
      <sheetData sheetId="2" refreshError="1"/>
      <sheetData sheetId="3" refreshError="1">
        <row r="2">
          <cell r="A2" t="str">
            <v>Råolie</v>
          </cell>
          <cell r="B2">
            <v>5.84</v>
          </cell>
          <cell r="C2" t="str">
            <v>GJ/tønde</v>
          </cell>
        </row>
        <row r="3">
          <cell r="A3" t="str">
            <v>Råolie (ton)</v>
          </cell>
          <cell r="B3">
            <v>43</v>
          </cell>
          <cell r="C3" t="str">
            <v>GJ/ton</v>
          </cell>
        </row>
        <row r="4">
          <cell r="A4" t="str">
            <v>Naturgas</v>
          </cell>
          <cell r="B4">
            <v>39.6</v>
          </cell>
          <cell r="C4" t="str">
            <v>GJ/1000Nm3</v>
          </cell>
        </row>
        <row r="5">
          <cell r="A5" t="str">
            <v>Kul</v>
          </cell>
          <cell r="B5">
            <v>25.15</v>
          </cell>
          <cell r="C5" t="str">
            <v>GJ/ton</v>
          </cell>
        </row>
        <row r="6">
          <cell r="A6" t="str">
            <v>Fuelolie</v>
          </cell>
          <cell r="B6">
            <v>40.65</v>
          </cell>
          <cell r="C6" t="str">
            <v>GJ/ton</v>
          </cell>
        </row>
        <row r="7">
          <cell r="A7" t="str">
            <v>Gasolie</v>
          </cell>
          <cell r="B7">
            <v>42.7</v>
          </cell>
          <cell r="C7" t="str">
            <v>GJ/ton</v>
          </cell>
        </row>
        <row r="8">
          <cell r="A8" t="str">
            <v>Benzin</v>
          </cell>
          <cell r="B8">
            <v>43.8</v>
          </cell>
          <cell r="C8" t="str">
            <v>GJ/ton</v>
          </cell>
        </row>
        <row r="9">
          <cell r="A9" t="str">
            <v>JP1</v>
          </cell>
          <cell r="B9">
            <v>43.5</v>
          </cell>
          <cell r="C9" t="str">
            <v>GJ/ton</v>
          </cell>
        </row>
        <row r="10">
          <cell r="A10" t="str">
            <v>Halm</v>
          </cell>
          <cell r="B10">
            <v>14.5</v>
          </cell>
          <cell r="C10" t="str">
            <v>GJ/ton</v>
          </cell>
        </row>
        <row r="11">
          <cell r="A11" t="str">
            <v>Halmpiller</v>
          </cell>
          <cell r="B11">
            <v>14.5</v>
          </cell>
          <cell r="C11" t="str">
            <v>GJ/ton</v>
          </cell>
        </row>
        <row r="12">
          <cell r="A12" t="str">
            <v>Træflis</v>
          </cell>
          <cell r="B12">
            <v>9.5</v>
          </cell>
          <cell r="C12" t="str">
            <v>GJ/ton</v>
          </cell>
        </row>
        <row r="13">
          <cell r="A13" t="str">
            <v>Træpiller</v>
          </cell>
          <cell r="B13">
            <v>17.5</v>
          </cell>
          <cell r="C13" t="str">
            <v>GJ/ton</v>
          </cell>
        </row>
        <row r="14">
          <cell r="A14" t="str">
            <v>Energiafgrøder, pil</v>
          </cell>
          <cell r="B14">
            <v>14.4</v>
          </cell>
          <cell r="C14" t="str">
            <v>GJ/ton</v>
          </cell>
        </row>
        <row r="15">
          <cell r="A15" t="str">
            <v>Energiafgrøder, triticale</v>
          </cell>
          <cell r="B15">
            <v>13.8</v>
          </cell>
          <cell r="C15" t="str">
            <v>GJ/ton</v>
          </cell>
        </row>
        <row r="16">
          <cell r="A16" t="str">
            <v>Affald</v>
          </cell>
          <cell r="B16">
            <v>10.5</v>
          </cell>
          <cell r="C16" t="str">
            <v>GJ/ton</v>
          </cell>
        </row>
      </sheetData>
      <sheetData sheetId="4" refreshError="1">
        <row r="4">
          <cell r="A4">
            <v>2000</v>
          </cell>
          <cell r="B4">
            <v>0.81900081900081889</v>
          </cell>
          <cell r="C4" t="e">
            <v>#N/A</v>
          </cell>
          <cell r="D4" t="e">
            <v>#N/A</v>
          </cell>
          <cell r="E4" t="e">
            <v>#N/A</v>
          </cell>
          <cell r="F4" t="e">
            <v>#N/A</v>
          </cell>
          <cell r="G4" t="e">
            <v>#N/A</v>
          </cell>
          <cell r="H4" t="e">
            <v>#N/A</v>
          </cell>
          <cell r="I4" t="e">
            <v>#N/A</v>
          </cell>
          <cell r="J4" t="e">
            <v>#N/A</v>
          </cell>
        </row>
        <row r="5">
          <cell r="A5">
            <v>2001</v>
          </cell>
          <cell r="B5">
            <v>0.83899262899262894</v>
          </cell>
          <cell r="C5" t="e">
            <v>#N/A</v>
          </cell>
          <cell r="D5" t="e">
            <v>#N/A</v>
          </cell>
          <cell r="E5" t="e">
            <v>#N/A</v>
          </cell>
          <cell r="F5" t="e">
            <v>#N/A</v>
          </cell>
          <cell r="G5" t="e">
            <v>#N/A</v>
          </cell>
          <cell r="H5" t="e">
            <v>#N/A</v>
          </cell>
          <cell r="I5" t="e">
            <v>#N/A</v>
          </cell>
          <cell r="J5" t="e">
            <v>#N/A</v>
          </cell>
        </row>
        <row r="6">
          <cell r="A6">
            <v>2002</v>
          </cell>
          <cell r="B6">
            <v>0.85760851760851753</v>
          </cell>
          <cell r="C6" t="e">
            <v>#N/A</v>
          </cell>
          <cell r="D6" t="e">
            <v>#N/A</v>
          </cell>
          <cell r="E6" t="e">
            <v>#N/A</v>
          </cell>
          <cell r="F6" t="e">
            <v>#N/A</v>
          </cell>
          <cell r="G6" t="e">
            <v>#N/A</v>
          </cell>
          <cell r="H6" t="e">
            <v>#N/A</v>
          </cell>
          <cell r="I6" t="e">
            <v>#N/A</v>
          </cell>
          <cell r="J6" t="e">
            <v>#N/A</v>
          </cell>
        </row>
        <row r="7">
          <cell r="A7">
            <v>2003</v>
          </cell>
          <cell r="B7">
            <v>0.87301392301392289</v>
          </cell>
          <cell r="C7" t="e">
            <v>#N/A</v>
          </cell>
          <cell r="D7" t="e">
            <v>#N/A</v>
          </cell>
          <cell r="E7" t="e">
            <v>#N/A</v>
          </cell>
          <cell r="F7" t="e">
            <v>#N/A</v>
          </cell>
          <cell r="G7" t="e">
            <v>#N/A</v>
          </cell>
          <cell r="H7" t="e">
            <v>#N/A</v>
          </cell>
          <cell r="I7" t="e">
            <v>#N/A</v>
          </cell>
          <cell r="J7" t="e">
            <v>#N/A</v>
          </cell>
        </row>
        <row r="8">
          <cell r="A8">
            <v>2004</v>
          </cell>
          <cell r="B8">
            <v>0.8968714168714168</v>
          </cell>
          <cell r="C8" t="e">
            <v>#N/A</v>
          </cell>
          <cell r="D8" t="e">
            <v>#N/A</v>
          </cell>
          <cell r="E8" t="e">
            <v>#N/A</v>
          </cell>
          <cell r="F8" t="e">
            <v>#N/A</v>
          </cell>
          <cell r="G8" t="e">
            <v>#N/A</v>
          </cell>
          <cell r="H8" t="e">
            <v>#N/A</v>
          </cell>
          <cell r="I8" t="e">
            <v>#N/A</v>
          </cell>
          <cell r="J8" t="e">
            <v>#N/A</v>
          </cell>
        </row>
        <row r="9">
          <cell r="A9">
            <v>2005</v>
          </cell>
          <cell r="B9">
            <v>0.92288288288288289</v>
          </cell>
          <cell r="C9" t="e">
            <v>#N/A</v>
          </cell>
          <cell r="D9" t="e">
            <v>#N/A</v>
          </cell>
          <cell r="E9" t="e">
            <v>#N/A</v>
          </cell>
          <cell r="F9" t="e">
            <v>#N/A</v>
          </cell>
          <cell r="G9" t="e">
            <v>#N/A</v>
          </cell>
          <cell r="H9" t="e">
            <v>#N/A</v>
          </cell>
          <cell r="I9" t="e">
            <v>#N/A</v>
          </cell>
          <cell r="J9" t="e">
            <v>#N/A</v>
          </cell>
        </row>
        <row r="10">
          <cell r="A10">
            <v>2006</v>
          </cell>
          <cell r="B10">
            <v>0.94274365274365268</v>
          </cell>
          <cell r="C10" t="e">
            <v>#N/A</v>
          </cell>
          <cell r="D10" t="e">
            <v>#N/A</v>
          </cell>
          <cell r="E10" t="e">
            <v>#N/A</v>
          </cell>
          <cell r="F10" t="e">
            <v>#N/A</v>
          </cell>
          <cell r="G10" t="e">
            <v>#N/A</v>
          </cell>
          <cell r="H10" t="e">
            <v>#N/A</v>
          </cell>
          <cell r="I10" t="e">
            <v>#N/A</v>
          </cell>
          <cell r="J10" t="e">
            <v>#N/A</v>
          </cell>
        </row>
        <row r="11">
          <cell r="A11">
            <v>2007</v>
          </cell>
          <cell r="B11">
            <v>0.96005733005733007</v>
          </cell>
          <cell r="C11">
            <v>67.391897953192839</v>
          </cell>
          <cell r="D11">
            <v>37.80337665932381</v>
          </cell>
          <cell r="E11">
            <v>16.441115571654571</v>
          </cell>
          <cell r="F11">
            <v>47.174328567234987</v>
          </cell>
          <cell r="G11">
            <v>84.239872441491045</v>
          </cell>
          <cell r="H11">
            <v>84.239872441491045</v>
          </cell>
          <cell r="I11">
            <v>89.631224277746483</v>
          </cell>
          <cell r="J11">
            <v>89.631224277746483</v>
          </cell>
        </row>
        <row r="12">
          <cell r="A12">
            <v>2008</v>
          </cell>
          <cell r="B12">
            <v>1</v>
          </cell>
          <cell r="C12">
            <v>84.85219547945205</v>
          </cell>
          <cell r="D12">
            <v>49.843666331962936</v>
          </cell>
          <cell r="E12">
            <v>24.447117200795226</v>
          </cell>
          <cell r="F12">
            <v>59.39653683561643</v>
          </cell>
          <cell r="G12">
            <v>106.06524434931507</v>
          </cell>
          <cell r="H12">
            <v>106.06524434931507</v>
          </cell>
          <cell r="I12">
            <v>112.85341998767123</v>
          </cell>
          <cell r="J12">
            <v>112.85341998767123</v>
          </cell>
        </row>
        <row r="13">
          <cell r="A13">
            <v>2009</v>
          </cell>
          <cell r="B13">
            <v>1.0076412776412775</v>
          </cell>
          <cell r="C13">
            <v>56.079073272356275</v>
          </cell>
          <cell r="D13">
            <v>32.887688526633134</v>
          </cell>
          <cell r="E13">
            <v>18.264807293858464</v>
          </cell>
          <cell r="F13">
            <v>39.255351290649394</v>
          </cell>
          <cell r="G13">
            <v>70.098841590445346</v>
          </cell>
          <cell r="H13">
            <v>70.098841590445346</v>
          </cell>
          <cell r="I13">
            <v>74.585167452233847</v>
          </cell>
          <cell r="J13">
            <v>74.585167452233847</v>
          </cell>
        </row>
        <row r="14">
          <cell r="A14">
            <v>2010</v>
          </cell>
          <cell r="B14">
            <v>1.0250532350532349</v>
          </cell>
          <cell r="C14">
            <v>68.744351846057185</v>
          </cell>
          <cell r="D14">
            <v>41.199297981402147</v>
          </cell>
          <cell r="E14">
            <v>21.337313025623914</v>
          </cell>
          <cell r="F14">
            <v>48.121046292240024</v>
          </cell>
          <cell r="G14">
            <v>85.930439807571474</v>
          </cell>
          <cell r="H14">
            <v>85.930439807571474</v>
          </cell>
          <cell r="I14">
            <v>91.429987955256067</v>
          </cell>
          <cell r="J14">
            <v>91.429987955256067</v>
          </cell>
        </row>
        <row r="15">
          <cell r="A15">
            <v>2011</v>
          </cell>
          <cell r="B15">
            <v>1.0428501228501228</v>
          </cell>
          <cell r="C15">
            <v>72.352425868187026</v>
          </cell>
          <cell r="D15">
            <v>44.312490869461399</v>
          </cell>
          <cell r="E15">
            <v>21.401501526010371</v>
          </cell>
          <cell r="F15">
            <v>50.646698107730913</v>
          </cell>
          <cell r="G15">
            <v>90.440532335233783</v>
          </cell>
          <cell r="H15">
            <v>90.440532335233783</v>
          </cell>
          <cell r="I15">
            <v>96.228726404688757</v>
          </cell>
          <cell r="J15">
            <v>96.228726404688757</v>
          </cell>
        </row>
        <row r="16">
          <cell r="A16">
            <v>2012</v>
          </cell>
          <cell r="B16">
            <v>1.0695249795249795</v>
          </cell>
          <cell r="C16">
            <v>75.539762087183973</v>
          </cell>
          <cell r="D16">
            <v>47.279072762224672</v>
          </cell>
          <cell r="E16">
            <v>21.293899537672008</v>
          </cell>
          <cell r="F16">
            <v>52.877833461028779</v>
          </cell>
          <cell r="G16">
            <v>94.42470260897997</v>
          </cell>
          <cell r="H16">
            <v>94.42470260897997</v>
          </cell>
          <cell r="I16">
            <v>100.46788357595469</v>
          </cell>
          <cell r="J16">
            <v>100.46788357595469</v>
          </cell>
        </row>
        <row r="17">
          <cell r="A17">
            <v>2013</v>
          </cell>
          <cell r="B17">
            <v>1.0952416052416052</v>
          </cell>
          <cell r="C17">
            <v>78.985643961473144</v>
          </cell>
          <cell r="D17">
            <v>50.519817488961138</v>
          </cell>
          <cell r="E17">
            <v>21.218573915769124</v>
          </cell>
          <cell r="F17">
            <v>55.289950773031201</v>
          </cell>
          <cell r="G17">
            <v>98.732054951841434</v>
          </cell>
          <cell r="H17">
            <v>98.732054951841434</v>
          </cell>
          <cell r="I17">
            <v>105.05090646875929</v>
          </cell>
          <cell r="J17">
            <v>105.05090646875929</v>
          </cell>
        </row>
        <row r="18">
          <cell r="A18">
            <v>2014</v>
          </cell>
          <cell r="B18">
            <v>1.1241359541359541</v>
          </cell>
          <cell r="C18">
            <v>82.400682591266488</v>
          </cell>
          <cell r="D18">
            <v>53.859794343463307</v>
          </cell>
          <cell r="E18">
            <v>21.095376390209761</v>
          </cell>
          <cell r="F18">
            <v>57.68047781388654</v>
          </cell>
          <cell r="G18">
            <v>103.00085323908311</v>
          </cell>
          <cell r="H18">
            <v>103.00085323908311</v>
          </cell>
          <cell r="I18">
            <v>109.59290784638443</v>
          </cell>
          <cell r="J18">
            <v>109.59290784638443</v>
          </cell>
        </row>
        <row r="19">
          <cell r="A19">
            <v>2015</v>
          </cell>
          <cell r="B19">
            <v>1.1536773136773135</v>
          </cell>
          <cell r="C19">
            <v>85.971963679725334</v>
          </cell>
          <cell r="D19">
            <v>57.426321735259521</v>
          </cell>
          <cell r="E19">
            <v>20.974989708500487</v>
          </cell>
          <cell r="F19">
            <v>60.180374575807733</v>
          </cell>
          <cell r="G19">
            <v>107.46495459965666</v>
          </cell>
          <cell r="H19">
            <v>107.46495459965666</v>
          </cell>
          <cell r="I19">
            <v>114.3427116940347</v>
          </cell>
          <cell r="J19">
            <v>114.3427116940347</v>
          </cell>
        </row>
        <row r="20">
          <cell r="A20">
            <v>2016</v>
          </cell>
          <cell r="B20">
            <v>1.1886240786240787</v>
          </cell>
          <cell r="C20">
            <v>87.841567549695782</v>
          </cell>
          <cell r="D20">
            <v>58.695755300234225</v>
          </cell>
          <cell r="E20">
            <v>21.39411617548712</v>
          </cell>
          <cell r="F20">
            <v>61.489097284787043</v>
          </cell>
          <cell r="G20">
            <v>109.80195943711973</v>
          </cell>
          <cell r="H20">
            <v>109.80195943711973</v>
          </cell>
          <cell r="I20">
            <v>116.8292848410954</v>
          </cell>
          <cell r="J20">
            <v>116.8292848410954</v>
          </cell>
        </row>
        <row r="21">
          <cell r="A21">
            <v>2017</v>
          </cell>
          <cell r="B21">
            <v>1.2257411957411957</v>
          </cell>
          <cell r="C21">
            <v>89.670423400982301</v>
          </cell>
          <cell r="D21">
            <v>59.938835850057657</v>
          </cell>
          <cell r="E21">
            <v>21.80182531818145</v>
          </cell>
          <cell r="F21">
            <v>62.769296380687607</v>
          </cell>
          <cell r="G21">
            <v>112.08802925122788</v>
          </cell>
          <cell r="H21">
            <v>112.08802925122788</v>
          </cell>
          <cell r="I21">
            <v>119.26166312330646</v>
          </cell>
          <cell r="J21">
            <v>119.26166312330646</v>
          </cell>
        </row>
        <row r="22">
          <cell r="A22">
            <v>2018</v>
          </cell>
          <cell r="B22">
            <v>1.2528009828009827</v>
          </cell>
          <cell r="C22">
            <v>92.356894071460403</v>
          </cell>
          <cell r="D22">
            <v>61.756243034902383</v>
          </cell>
          <cell r="E22">
            <v>22.416216748170736</v>
          </cell>
          <cell r="F22">
            <v>64.649825850022282</v>
          </cell>
          <cell r="G22">
            <v>115.4461175893255</v>
          </cell>
          <cell r="H22">
            <v>115.4461175893255</v>
          </cell>
          <cell r="I22">
            <v>122.83466911504235</v>
          </cell>
          <cell r="J22">
            <v>122.83466911504235</v>
          </cell>
        </row>
        <row r="23">
          <cell r="A23">
            <v>2019</v>
          </cell>
          <cell r="B23">
            <v>1.2808681408681408</v>
          </cell>
          <cell r="C23">
            <v>95.09340163743363</v>
          </cell>
          <cell r="D23">
            <v>63.608389001876525</v>
          </cell>
          <cell r="E23">
            <v>23.040544789667358</v>
          </cell>
          <cell r="F23">
            <v>66.565381146203535</v>
          </cell>
          <cell r="G23">
            <v>118.86675204679204</v>
          </cell>
          <cell r="H23">
            <v>118.86675204679204</v>
          </cell>
          <cell r="I23">
            <v>126.47422417778674</v>
          </cell>
          <cell r="J23">
            <v>126.47422417778674</v>
          </cell>
        </row>
        <row r="24">
          <cell r="A24">
            <v>2020</v>
          </cell>
          <cell r="B24">
            <v>1.3094430794430794</v>
          </cell>
          <cell r="C24">
            <v>97.920040352281617</v>
          </cell>
          <cell r="D24">
            <v>65.522138311352563</v>
          </cell>
          <cell r="E24">
            <v>23.684450168698785</v>
          </cell>
          <cell r="F24">
            <v>68.544028246597122</v>
          </cell>
          <cell r="G24">
            <v>122.40005044035202</v>
          </cell>
          <cell r="H24">
            <v>122.40005044035202</v>
          </cell>
          <cell r="I24">
            <v>130.23365366853457</v>
          </cell>
          <cell r="J24">
            <v>130.23365366853457</v>
          </cell>
        </row>
        <row r="25">
          <cell r="A25">
            <v>2021</v>
          </cell>
          <cell r="B25">
            <v>1.3386732186732186</v>
          </cell>
          <cell r="C25">
            <v>99.412766357449229</v>
          </cell>
          <cell r="D25">
            <v>66.611877593125953</v>
          </cell>
          <cell r="E25">
            <v>23.833210960533762</v>
          </cell>
          <cell r="F25">
            <v>69.588936450214462</v>
          </cell>
          <cell r="G25">
            <v>124.26595794681154</v>
          </cell>
          <cell r="H25">
            <v>124.26595794681154</v>
          </cell>
          <cell r="I25">
            <v>132.21897925540748</v>
          </cell>
          <cell r="J25">
            <v>132.21897925540748</v>
          </cell>
        </row>
        <row r="26">
          <cell r="A26">
            <v>2022</v>
          </cell>
          <cell r="B26">
            <v>1.3693775593775592</v>
          </cell>
          <cell r="C26">
            <v>100.86768491254816</v>
          </cell>
          <cell r="D26">
            <v>67.679105054407373</v>
          </cell>
          <cell r="E26">
            <v>23.968514913623302</v>
          </cell>
          <cell r="F26">
            <v>70.60737943878371</v>
          </cell>
          <cell r="G26">
            <v>126.0846061406852</v>
          </cell>
          <cell r="H26">
            <v>126.0846061406852</v>
          </cell>
          <cell r="I26">
            <v>134.15402093368905</v>
          </cell>
          <cell r="J26">
            <v>134.15402093368905</v>
          </cell>
        </row>
        <row r="27">
          <cell r="A27">
            <v>2023</v>
          </cell>
          <cell r="B27">
            <v>1.3990335790335791</v>
          </cell>
          <cell r="C27">
            <v>102.47210248628954</v>
          </cell>
          <cell r="D27">
            <v>68.849571068152216</v>
          </cell>
          <cell r="E27">
            <v>24.134782795921193</v>
          </cell>
          <cell r="F27">
            <v>71.730471740402677</v>
          </cell>
          <cell r="G27">
            <v>128.09012810786191</v>
          </cell>
          <cell r="H27">
            <v>128.09012810786191</v>
          </cell>
          <cell r="I27">
            <v>136.28789630676511</v>
          </cell>
          <cell r="J27">
            <v>136.28789630676511</v>
          </cell>
        </row>
        <row r="28">
          <cell r="A28">
            <v>2024</v>
          </cell>
          <cell r="B28">
            <v>1.4283865683865682</v>
          </cell>
          <cell r="C28">
            <v>104.17093285161619</v>
          </cell>
          <cell r="D28">
            <v>70.086630798548171</v>
          </cell>
          <cell r="E28">
            <v>24.318286784005348</v>
          </cell>
          <cell r="F28">
            <v>72.919652996131319</v>
          </cell>
          <cell r="G28">
            <v>130.21366606452023</v>
          </cell>
          <cell r="H28">
            <v>130.21366606452023</v>
          </cell>
          <cell r="I28">
            <v>138.54734069264953</v>
          </cell>
          <cell r="J28">
            <v>138.54734069264953</v>
          </cell>
        </row>
        <row r="29">
          <cell r="A29">
            <v>2025</v>
          </cell>
          <cell r="B29">
            <v>1.4594676494676495</v>
          </cell>
          <cell r="C29">
            <v>105.81722392053364</v>
          </cell>
          <cell r="D29">
            <v>71.291545784777469</v>
          </cell>
          <cell r="E29">
            <v>24.484512479446806</v>
          </cell>
          <cell r="F29">
            <v>74.07205674437354</v>
          </cell>
          <cell r="G29">
            <v>132.27152990066705</v>
          </cell>
          <cell r="H29">
            <v>132.27152990066705</v>
          </cell>
          <cell r="I29">
            <v>140.73690781430975</v>
          </cell>
          <cell r="J29">
            <v>140.73690781430975</v>
          </cell>
        </row>
        <row r="30">
          <cell r="A30">
            <v>2026</v>
          </cell>
          <cell r="B30">
            <v>1.4907125307125306</v>
          </cell>
          <cell r="C30">
            <v>107.42113538714111</v>
          </cell>
          <cell r="D30">
            <v>72.380611582854925</v>
          </cell>
          <cell r="E30">
            <v>24.626299330486681</v>
          </cell>
          <cell r="F30">
            <v>75.194794770998769</v>
          </cell>
          <cell r="G30">
            <v>134.27641923392639</v>
          </cell>
          <cell r="H30">
            <v>134.27641923392639</v>
          </cell>
          <cell r="I30">
            <v>142.87011006489769</v>
          </cell>
          <cell r="J30">
            <v>142.87011006489769</v>
          </cell>
        </row>
        <row r="31">
          <cell r="A31">
            <v>2027</v>
          </cell>
          <cell r="B31">
            <v>1.5238165438165436</v>
          </cell>
          <cell r="C31">
            <v>108.96418124004362</v>
          </cell>
          <cell r="D31">
            <v>73.428915216213369</v>
          </cell>
          <cell r="E31">
            <v>24.74956065615029</v>
          </cell>
          <cell r="F31">
            <v>76.274926868030519</v>
          </cell>
          <cell r="G31">
            <v>136.20522655005453</v>
          </cell>
          <cell r="H31">
            <v>136.20522655005453</v>
          </cell>
          <cell r="I31">
            <v>144.92236104925803</v>
          </cell>
          <cell r="J31">
            <v>144.92236104925803</v>
          </cell>
        </row>
        <row r="32">
          <cell r="A32">
            <v>2028</v>
          </cell>
          <cell r="B32">
            <v>1.5566339066339065</v>
          </cell>
          <cell r="C32">
            <v>110.60194439640382</v>
          </cell>
          <cell r="D32">
            <v>74.541299003919207</v>
          </cell>
          <cell r="E32">
            <v>24.889766043805704</v>
          </cell>
          <cell r="F32">
            <v>77.421361077482672</v>
          </cell>
          <cell r="G32">
            <v>138.25243049550477</v>
          </cell>
          <cell r="H32">
            <v>138.25243049550477</v>
          </cell>
          <cell r="I32">
            <v>147.10058604721709</v>
          </cell>
          <cell r="J32">
            <v>147.10058604721709</v>
          </cell>
        </row>
        <row r="33">
          <cell r="A33">
            <v>2029</v>
          </cell>
          <cell r="B33">
            <v>1.5904095004095002</v>
          </cell>
          <cell r="C33">
            <v>112.24657300730988</v>
          </cell>
          <cell r="D33">
            <v>75.658569835713664</v>
          </cell>
          <cell r="E33">
            <v>25.026807967059366</v>
          </cell>
          <cell r="F33">
            <v>78.572601105116902</v>
          </cell>
          <cell r="G33">
            <v>140.30821625913734</v>
          </cell>
          <cell r="H33">
            <v>140.30821625913734</v>
          </cell>
          <cell r="I33">
            <v>149.28794209972213</v>
          </cell>
          <cell r="J33">
            <v>149.28794209972213</v>
          </cell>
        </row>
        <row r="34">
          <cell r="A34">
            <v>2030</v>
          </cell>
          <cell r="B34">
            <v>1.6266257166257165</v>
          </cell>
          <cell r="C34">
            <v>113.79605892029733</v>
          </cell>
          <cell r="D34">
            <v>76.711963857695679</v>
          </cell>
          <cell r="E34">
            <v>25.138184572572218</v>
          </cell>
          <cell r="F34">
            <v>79.657241244208123</v>
          </cell>
          <cell r="G34">
            <v>142.24507365037167</v>
          </cell>
          <cell r="H34">
            <v>142.24507365037167</v>
          </cell>
          <cell r="I34">
            <v>151.34875836399544</v>
          </cell>
          <cell r="J34">
            <v>151.34875836399544</v>
          </cell>
        </row>
      </sheetData>
      <sheetData sheetId="5" refreshError="1">
        <row r="4">
          <cell r="A4">
            <v>2000</v>
          </cell>
          <cell r="B4" t="e">
            <v>#VALUE!</v>
          </cell>
          <cell r="C4" t="e">
            <v>#VALUE!</v>
          </cell>
          <cell r="D4" t="e">
            <v>#VALUE!</v>
          </cell>
          <cell r="E4" t="e">
            <v>#VALUE!</v>
          </cell>
          <cell r="F4" t="e">
            <v>#VALUE!</v>
          </cell>
        </row>
        <row r="5">
          <cell r="A5">
            <v>2001</v>
          </cell>
          <cell r="B5" t="e">
            <v>#VALUE!</v>
          </cell>
          <cell r="C5" t="e">
            <v>#VALUE!</v>
          </cell>
          <cell r="D5" t="e">
            <v>#VALUE!</v>
          </cell>
          <cell r="E5" t="e">
            <v>#VALUE!</v>
          </cell>
          <cell r="F5" t="e">
            <v>#VALUE!</v>
          </cell>
        </row>
        <row r="6">
          <cell r="A6">
            <v>2002</v>
          </cell>
          <cell r="B6" t="e">
            <v>#VALUE!</v>
          </cell>
          <cell r="C6" t="e">
            <v>#VALUE!</v>
          </cell>
          <cell r="D6" t="e">
            <v>#VALUE!</v>
          </cell>
          <cell r="E6" t="e">
            <v>#VALUE!</v>
          </cell>
          <cell r="F6" t="e">
            <v>#VALUE!</v>
          </cell>
        </row>
        <row r="7">
          <cell r="A7">
            <v>2003</v>
          </cell>
          <cell r="B7" t="e">
            <v>#VALUE!</v>
          </cell>
          <cell r="C7" t="e">
            <v>#VALUE!</v>
          </cell>
          <cell r="D7" t="e">
            <v>#VALUE!</v>
          </cell>
          <cell r="E7" t="e">
            <v>#VALUE!</v>
          </cell>
          <cell r="F7" t="e">
            <v>#VALUE!</v>
          </cell>
        </row>
        <row r="8">
          <cell r="A8">
            <v>2004</v>
          </cell>
          <cell r="B8" t="e">
            <v>#VALUE!</v>
          </cell>
          <cell r="C8" t="e">
            <v>#VALUE!</v>
          </cell>
          <cell r="D8" t="e">
            <v>#VALUE!</v>
          </cell>
          <cell r="E8" t="e">
            <v>#VALUE!</v>
          </cell>
          <cell r="F8" t="e">
            <v>#VALUE!</v>
          </cell>
        </row>
        <row r="9">
          <cell r="A9">
            <v>2005</v>
          </cell>
          <cell r="B9" t="e">
            <v>#VALUE!</v>
          </cell>
          <cell r="C9" t="e">
            <v>#VALUE!</v>
          </cell>
          <cell r="D9" t="e">
            <v>#VALUE!</v>
          </cell>
          <cell r="E9" t="e">
            <v>#VALUE!</v>
          </cell>
          <cell r="F9" t="e">
            <v>#VALUE!</v>
          </cell>
        </row>
        <row r="10">
          <cell r="A10">
            <v>2006</v>
          </cell>
          <cell r="B10">
            <v>23.956902655622191</v>
          </cell>
          <cell r="C10">
            <v>68.657783701760621</v>
          </cell>
          <cell r="D10">
            <v>28.123320508773872</v>
          </cell>
          <cell r="E10">
            <v>57.28824548083567</v>
          </cell>
          <cell r="F10">
            <v>49.81742663548912</v>
          </cell>
        </row>
        <row r="11">
          <cell r="A11">
            <v>2007</v>
          </cell>
          <cell r="B11">
            <v>24.998507118910112</v>
          </cell>
          <cell r="C11">
            <v>69.855628834541733</v>
          </cell>
          <cell r="D11">
            <v>31.24813389863764</v>
          </cell>
          <cell r="E11">
            <v>58.121529051466005</v>
          </cell>
          <cell r="F11">
            <v>52.496864949711231</v>
          </cell>
        </row>
        <row r="12">
          <cell r="A12">
            <v>2008</v>
          </cell>
          <cell r="B12">
            <v>26.040111582198033</v>
          </cell>
          <cell r="C12">
            <v>71.124301271499334</v>
          </cell>
          <cell r="D12">
            <v>33.331342825213483</v>
          </cell>
          <cell r="E12">
            <v>58.121529051466005</v>
          </cell>
          <cell r="F12">
            <v>56.246641017547745</v>
          </cell>
        </row>
        <row r="13">
          <cell r="A13">
            <v>2009</v>
          </cell>
          <cell r="B13">
            <v>29.164924972061797</v>
          </cell>
          <cell r="C13">
            <v>74.605786621054847</v>
          </cell>
          <cell r="D13">
            <v>34.639077228871464</v>
          </cell>
          <cell r="E13">
            <v>67.70429011371489</v>
          </cell>
          <cell r="F13">
            <v>56.134147735512649</v>
          </cell>
        </row>
        <row r="14">
          <cell r="A14">
            <v>2010</v>
          </cell>
          <cell r="B14">
            <v>29.164924972061797</v>
          </cell>
          <cell r="C14">
            <v>74.648323118140098</v>
          </cell>
          <cell r="D14">
            <v>33.684183863341659</v>
          </cell>
          <cell r="E14">
            <v>67.70429011371489</v>
          </cell>
          <cell r="F14">
            <v>56.021879440041623</v>
          </cell>
        </row>
        <row r="15">
          <cell r="A15">
            <v>2011</v>
          </cell>
          <cell r="B15">
            <v>28.123320508773872</v>
          </cell>
          <cell r="C15">
            <v>73.498119062667371</v>
          </cell>
          <cell r="D15">
            <v>34.643813047323547</v>
          </cell>
          <cell r="E15">
            <v>59.37145440741152</v>
          </cell>
          <cell r="F15">
            <v>55.909835681161532</v>
          </cell>
        </row>
        <row r="16">
          <cell r="A16">
            <v>2012</v>
          </cell>
          <cell r="B16">
            <v>29.448710108084587</v>
          </cell>
          <cell r="C16">
            <v>75.077198860756951</v>
          </cell>
          <cell r="D16">
            <v>35.679298704018834</v>
          </cell>
          <cell r="E16">
            <v>63.329968009690937</v>
          </cell>
          <cell r="F16">
            <v>55.79801600979922</v>
          </cell>
        </row>
        <row r="17">
          <cell r="A17">
            <v>2013</v>
          </cell>
          <cell r="B17">
            <v>30.933152708939371</v>
          </cell>
          <cell r="C17">
            <v>76.847473271259346</v>
          </cell>
          <cell r="D17">
            <v>36.818231413536253</v>
          </cell>
          <cell r="E17">
            <v>67.890112349965449</v>
          </cell>
          <cell r="F17">
            <v>55.686419977779614</v>
          </cell>
        </row>
        <row r="18">
          <cell r="A18">
            <v>2014</v>
          </cell>
          <cell r="B18">
            <v>32.643206836542312</v>
          </cell>
          <cell r="C18">
            <v>78.81330342692948</v>
          </cell>
          <cell r="D18">
            <v>38.074929349501119</v>
          </cell>
          <cell r="E18">
            <v>73.138548919580629</v>
          </cell>
          <cell r="F18">
            <v>55.575047137824065</v>
          </cell>
        </row>
        <row r="19">
          <cell r="A19">
            <v>2015</v>
          </cell>
          <cell r="B19">
            <v>34.61137055014801</v>
          </cell>
          <cell r="C19">
            <v>81.075904448956152</v>
          </cell>
          <cell r="D19">
            <v>38.551260243608851</v>
          </cell>
          <cell r="E19">
            <v>73.077719218924614</v>
          </cell>
          <cell r="F19">
            <v>55.463897043548414</v>
          </cell>
        </row>
        <row r="20">
          <cell r="A20">
            <v>2016</v>
          </cell>
          <cell r="B20">
            <v>34.588559412402006</v>
          </cell>
          <cell r="C20">
            <v>81.058722492515571</v>
          </cell>
          <cell r="D20">
            <v>38.869134041635355</v>
          </cell>
          <cell r="E20">
            <v>73.012306458630135</v>
          </cell>
          <cell r="F20">
            <v>55.352969249461303</v>
          </cell>
        </row>
        <row r="21">
          <cell r="A21">
            <v>2017</v>
          </cell>
          <cell r="B21">
            <v>34.564029627291575</v>
          </cell>
          <cell r="C21">
            <v>81.039539019993811</v>
          </cell>
          <cell r="D21">
            <v>39.312327444363341</v>
          </cell>
          <cell r="E21">
            <v>73.764344881124003</v>
          </cell>
          <cell r="F21">
            <v>55.242263310962379</v>
          </cell>
        </row>
        <row r="22">
          <cell r="A22">
            <v>2018</v>
          </cell>
          <cell r="B22">
            <v>34.846044035726777</v>
          </cell>
          <cell r="C22">
            <v>81.373061885656625</v>
          </cell>
          <cell r="D22">
            <v>39.758975509675516</v>
          </cell>
          <cell r="E22">
            <v>74.514300094691308</v>
          </cell>
          <cell r="F22">
            <v>55.131778784340455</v>
          </cell>
        </row>
        <row r="23">
          <cell r="A23">
            <v>2019</v>
          </cell>
          <cell r="B23">
            <v>35.127277240814514</v>
          </cell>
          <cell r="C23">
            <v>81.705811725530367</v>
          </cell>
          <cell r="D23">
            <v>40.211669949183559</v>
          </cell>
          <cell r="E23">
            <v>75.279254412529951</v>
          </cell>
          <cell r="F23">
            <v>55.02151522677179</v>
          </cell>
        </row>
        <row r="24">
          <cell r="A24">
            <v>2020</v>
          </cell>
          <cell r="B24">
            <v>35.414135110004004</v>
          </cell>
          <cell r="C24">
            <v>82.045305716854187</v>
          </cell>
          <cell r="D24">
            <v>40.669774698122353</v>
          </cell>
          <cell r="E24">
            <v>76.054624775001471</v>
          </cell>
          <cell r="F24">
            <v>55.02151522677179</v>
          </cell>
        </row>
        <row r="25">
          <cell r="A25">
            <v>2021</v>
          </cell>
          <cell r="B25">
            <v>35.704898995930826</v>
          </cell>
          <cell r="C25">
            <v>82.385716415540784</v>
          </cell>
          <cell r="D25">
            <v>41.135210632155967</v>
          </cell>
          <cell r="E25">
            <v>76.852910435665351</v>
          </cell>
          <cell r="F25">
            <v>55.02151522677179</v>
          </cell>
        </row>
        <row r="26">
          <cell r="A26">
            <v>2022</v>
          </cell>
          <cell r="B26">
            <v>36.00425611867977</v>
          </cell>
          <cell r="C26">
            <v>82.736169794890259</v>
          </cell>
          <cell r="D26">
            <v>41.56004293268942</v>
          </cell>
          <cell r="E26">
            <v>77.354130503399489</v>
          </cell>
          <cell r="F26">
            <v>55.02151522677179</v>
          </cell>
        </row>
        <row r="27">
          <cell r="A27">
            <v>2023</v>
          </cell>
          <cell r="B27">
            <v>36.192213644080077</v>
          </cell>
          <cell r="C27">
            <v>82.958523665933612</v>
          </cell>
          <cell r="D27">
            <v>41.990486188346914</v>
          </cell>
          <cell r="E27">
            <v>77.868683108263738</v>
          </cell>
          <cell r="F27">
            <v>55.02151522677179</v>
          </cell>
        </row>
        <row r="28">
          <cell r="A28">
            <v>2024</v>
          </cell>
          <cell r="B28">
            <v>36.385170870904176</v>
          </cell>
          <cell r="C28">
            <v>83.186672322516117</v>
          </cell>
          <cell r="D28">
            <v>42.424713204213091</v>
          </cell>
          <cell r="E28">
            <v>78.384068996698602</v>
          </cell>
          <cell r="F28">
            <v>55.02151522677179</v>
          </cell>
        </row>
        <row r="29">
          <cell r="A29">
            <v>2025</v>
          </cell>
          <cell r="B29">
            <v>36.578440579067248</v>
          </cell>
          <cell r="C29">
            <v>83.415385919857641</v>
          </cell>
          <cell r="D29">
            <v>42.863193616124313</v>
          </cell>
          <cell r="E29">
            <v>78.903204661201286</v>
          </cell>
          <cell r="F29">
            <v>55.02151522677179</v>
          </cell>
        </row>
        <row r="30">
          <cell r="A30">
            <v>2026</v>
          </cell>
          <cell r="B30">
            <v>36.77311645325576</v>
          </cell>
          <cell r="C30">
            <v>83.645440820395336</v>
          </cell>
          <cell r="D30">
            <v>43.307963458516454</v>
          </cell>
          <cell r="E30">
            <v>79.439422638901902</v>
          </cell>
          <cell r="F30">
            <v>55.02151522677179</v>
          </cell>
        </row>
        <row r="31">
          <cell r="A31">
            <v>2027</v>
          </cell>
          <cell r="B31">
            <v>36.974198194893489</v>
          </cell>
          <cell r="C31">
            <v>83.88284742553239</v>
          </cell>
          <cell r="D31">
            <v>43.753076549840088</v>
          </cell>
          <cell r="E31">
            <v>79.952725318410202</v>
          </cell>
          <cell r="F31">
            <v>55.02151522677179</v>
          </cell>
        </row>
        <row r="32">
          <cell r="A32">
            <v>2028</v>
          </cell>
          <cell r="B32">
            <v>37.166686699709096</v>
          </cell>
          <cell r="C32">
            <v>84.110532266641457</v>
          </cell>
          <cell r="D32">
            <v>44.201785613636581</v>
          </cell>
          <cell r="E32">
            <v>80.464778072562538</v>
          </cell>
          <cell r="F32">
            <v>55.02151522677179</v>
          </cell>
        </row>
        <row r="33">
          <cell r="A33">
            <v>2029</v>
          </cell>
          <cell r="B33">
            <v>37.358706482516233</v>
          </cell>
          <cell r="C33">
            <v>84.337773349566703</v>
          </cell>
          <cell r="D33">
            <v>44.656308585044847</v>
          </cell>
          <cell r="E33">
            <v>80.990163363844985</v>
          </cell>
          <cell r="F33">
            <v>55.02151522677179</v>
          </cell>
        </row>
        <row r="34">
          <cell r="A34">
            <v>2030</v>
          </cell>
          <cell r="B34">
            <v>37.55572596674714</v>
          </cell>
          <cell r="C34">
            <v>84.571009790927846</v>
          </cell>
          <cell r="D34">
            <v>45.115882430798244</v>
          </cell>
          <cell r="E34">
            <v>81.523464849048395</v>
          </cell>
          <cell r="F34">
            <v>55.02151522677179</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
          <cell r="A4">
            <v>2008</v>
          </cell>
          <cell r="B4" t="e">
            <v>#N/A</v>
          </cell>
          <cell r="C4" t="e">
            <v>#N/A</v>
          </cell>
          <cell r="D4">
            <v>79.949086830362603</v>
          </cell>
          <cell r="E4">
            <v>135.96108361171395</v>
          </cell>
          <cell r="F4">
            <v>17.8</v>
          </cell>
          <cell r="G4">
            <v>33.814962660198262</v>
          </cell>
          <cell r="H4" t="e">
            <v>#N/A</v>
          </cell>
          <cell r="I4" t="e">
            <v>#N/A</v>
          </cell>
        </row>
        <row r="5">
          <cell r="A5">
            <v>2009</v>
          </cell>
          <cell r="B5">
            <v>278.3204339730338</v>
          </cell>
          <cell r="C5">
            <v>285.49618904240413</v>
          </cell>
          <cell r="D5">
            <v>79.949086830362603</v>
          </cell>
          <cell r="E5">
            <v>135.96108361171395</v>
          </cell>
          <cell r="F5">
            <v>17.8</v>
          </cell>
          <cell r="G5">
            <v>33.814962660198262</v>
          </cell>
          <cell r="H5">
            <v>435.28339953567166</v>
          </cell>
          <cell r="I5">
            <v>501.30812214268599</v>
          </cell>
        </row>
        <row r="6">
          <cell r="A6">
            <v>2010</v>
          </cell>
          <cell r="B6">
            <v>295.30242205988179</v>
          </cell>
          <cell r="C6">
            <v>300.63239623786092</v>
          </cell>
          <cell r="D6">
            <v>79.949086830362603</v>
          </cell>
          <cell r="E6">
            <v>135.96108361171395</v>
          </cell>
          <cell r="F6">
            <v>17.8</v>
          </cell>
          <cell r="G6">
            <v>33.814962660198262</v>
          </cell>
          <cell r="H6">
            <v>451.38574761594487</v>
          </cell>
          <cell r="I6">
            <v>517.94131686296816</v>
          </cell>
        </row>
        <row r="7">
          <cell r="A7">
            <v>2011</v>
          </cell>
          <cell r="B7">
            <v>306.78726754496711</v>
          </cell>
          <cell r="C7">
            <v>316.4651938507418</v>
          </cell>
          <cell r="D7">
            <v>79.949086830362603</v>
          </cell>
          <cell r="E7">
            <v>135.96108361171395</v>
          </cell>
          <cell r="F7">
            <v>7</v>
          </cell>
          <cell r="G7">
            <v>33.814962660198262</v>
          </cell>
          <cell r="H7">
            <v>457.42914933177559</v>
          </cell>
          <cell r="I7">
            <v>524.53999555844166</v>
          </cell>
        </row>
        <row r="8">
          <cell r="A8">
            <v>2012</v>
          </cell>
          <cell r="B8">
            <v>322.27686962246719</v>
          </cell>
          <cell r="C8">
            <v>334.59845093437508</v>
          </cell>
          <cell r="D8">
            <v>79.949086830362603</v>
          </cell>
          <cell r="E8">
            <v>135.96108361171395</v>
          </cell>
          <cell r="F8">
            <v>7</v>
          </cell>
          <cell r="G8">
            <v>33.814962660198262</v>
          </cell>
          <cell r="H8">
            <v>476.71984835691734</v>
          </cell>
          <cell r="I8">
            <v>544.46665169430241</v>
          </cell>
        </row>
        <row r="9">
          <cell r="A9">
            <v>2013</v>
          </cell>
          <cell r="B9">
            <v>287.96735269756766</v>
          </cell>
          <cell r="C9">
            <v>305.82354660876445</v>
          </cell>
          <cell r="D9">
            <v>79.949086830362603</v>
          </cell>
          <cell r="E9">
            <v>135.96108361171395</v>
          </cell>
          <cell r="F9">
            <v>7</v>
          </cell>
          <cell r="G9">
            <v>33.814962660198262</v>
          </cell>
          <cell r="H9">
            <v>446.10824801052308</v>
          </cell>
          <cell r="I9">
            <v>512.84587771011491</v>
          </cell>
        </row>
        <row r="10">
          <cell r="A10">
            <v>2014</v>
          </cell>
          <cell r="B10">
            <v>295.439487779481</v>
          </cell>
          <cell r="C10">
            <v>314.6566676086187</v>
          </cell>
          <cell r="D10">
            <v>79.949086830362603</v>
          </cell>
          <cell r="E10">
            <v>135.96108361171395</v>
          </cell>
          <cell r="F10">
            <v>7</v>
          </cell>
          <cell r="G10">
            <v>33.814962660198262</v>
          </cell>
          <cell r="H10">
            <v>455.5051852444106</v>
          </cell>
          <cell r="I10">
            <v>522.55260408358117</v>
          </cell>
        </row>
        <row r="11">
          <cell r="A11">
            <v>2015</v>
          </cell>
          <cell r="B11">
            <v>310.00487391149335</v>
          </cell>
          <cell r="C11">
            <v>330.77920630760758</v>
          </cell>
          <cell r="D11">
            <v>79.949086830362603</v>
          </cell>
          <cell r="E11">
            <v>135.96108361171395</v>
          </cell>
          <cell r="F11">
            <v>7</v>
          </cell>
          <cell r="G11">
            <v>33.814962660198262</v>
          </cell>
          <cell r="H11">
            <v>472.65682215822852</v>
          </cell>
          <cell r="I11">
            <v>540.26967957697548</v>
          </cell>
        </row>
        <row r="12">
          <cell r="A12">
            <v>2016</v>
          </cell>
          <cell r="B12">
            <v>321.31444427541169</v>
          </cell>
          <cell r="C12">
            <v>344.83587617669167</v>
          </cell>
          <cell r="D12">
            <v>79.949086830362603</v>
          </cell>
          <cell r="E12">
            <v>135.96108361171395</v>
          </cell>
          <cell r="F12">
            <v>7</v>
          </cell>
          <cell r="G12">
            <v>33.814962660198262</v>
          </cell>
          <cell r="H12">
            <v>487.61072627427541</v>
          </cell>
          <cell r="I12">
            <v>555.71656954300192</v>
          </cell>
        </row>
        <row r="13">
          <cell r="A13">
            <v>2017</v>
          </cell>
          <cell r="B13">
            <v>341.49965634222264</v>
          </cell>
          <cell r="C13">
            <v>366.74061929100901</v>
          </cell>
          <cell r="D13">
            <v>79.949086830362603</v>
          </cell>
          <cell r="E13">
            <v>135.96108361171395</v>
          </cell>
          <cell r="F13">
            <v>7</v>
          </cell>
          <cell r="G13">
            <v>33.814962660198262</v>
          </cell>
          <cell r="H13">
            <v>510.91364448099603</v>
          </cell>
          <cell r="I13">
            <v>579.78771582247157</v>
          </cell>
        </row>
        <row r="14">
          <cell r="A14">
            <v>2018</v>
          </cell>
          <cell r="B14">
            <v>367.73094274164504</v>
          </cell>
          <cell r="C14">
            <v>396.19717615638461</v>
          </cell>
          <cell r="D14">
            <v>79.949086830362603</v>
          </cell>
          <cell r="E14">
            <v>135.96108361171395</v>
          </cell>
          <cell r="F14">
            <v>7</v>
          </cell>
          <cell r="G14">
            <v>33.814962660198262</v>
          </cell>
          <cell r="H14">
            <v>542.25040710373605</v>
          </cell>
          <cell r="I14">
            <v>612.15755853167548</v>
          </cell>
        </row>
        <row r="15">
          <cell r="A15">
            <v>2019</v>
          </cell>
          <cell r="B15">
            <v>389.11935232626661</v>
          </cell>
          <cell r="C15">
            <v>422.25100131333113</v>
          </cell>
          <cell r="D15">
            <v>79.949086830362603</v>
          </cell>
          <cell r="E15">
            <v>135.96108361171395</v>
          </cell>
          <cell r="F15">
            <v>7</v>
          </cell>
          <cell r="G15">
            <v>33.814962660198262</v>
          </cell>
          <cell r="H15">
            <v>569.96724237708338</v>
          </cell>
          <cell r="I15">
            <v>640.78813562722121</v>
          </cell>
        </row>
        <row r="16">
          <cell r="A16">
            <v>2020</v>
          </cell>
          <cell r="B16">
            <v>399.37225188045431</v>
          </cell>
          <cell r="C16">
            <v>434.00728579157317</v>
          </cell>
          <cell r="D16">
            <v>79.949086830362603</v>
          </cell>
          <cell r="E16">
            <v>135.96108361171395</v>
          </cell>
          <cell r="F16">
            <v>7</v>
          </cell>
          <cell r="G16">
            <v>33.814962660198262</v>
          </cell>
          <cell r="H16">
            <v>582.47392799223439</v>
          </cell>
          <cell r="I16">
            <v>653.70712955935528</v>
          </cell>
        </row>
        <row r="17">
          <cell r="A17">
            <v>2021</v>
          </cell>
          <cell r="B17">
            <v>414.55759020925359</v>
          </cell>
          <cell r="C17">
            <v>451.84060174280785</v>
          </cell>
          <cell r="D17">
            <v>79.949086830362603</v>
          </cell>
          <cell r="E17">
            <v>135.96108361171395</v>
          </cell>
          <cell r="F17">
            <v>7</v>
          </cell>
          <cell r="G17">
            <v>33.814962660198262</v>
          </cell>
          <cell r="H17">
            <v>601.44554070631398</v>
          </cell>
          <cell r="I17">
            <v>673.30418005521756</v>
          </cell>
        </row>
        <row r="18">
          <cell r="A18">
            <v>2022</v>
          </cell>
          <cell r="B18">
            <v>431.01326927712103</v>
          </cell>
          <cell r="C18">
            <v>471.4597519556072</v>
          </cell>
          <cell r="D18">
            <v>79.949086830362603</v>
          </cell>
          <cell r="E18">
            <v>135.96108361171395</v>
          </cell>
          <cell r="F18">
            <v>7</v>
          </cell>
          <cell r="G18">
            <v>33.814962660198262</v>
          </cell>
          <cell r="H18">
            <v>622.31697710290905</v>
          </cell>
          <cell r="I18">
            <v>694.86368578356837</v>
          </cell>
        </row>
        <row r="19">
          <cell r="A19">
            <v>2023</v>
          </cell>
          <cell r="B19">
            <v>424.68888534271827</v>
          </cell>
          <cell r="C19">
            <v>461.39447867257098</v>
          </cell>
          <cell r="D19">
            <v>79.949086830362603</v>
          </cell>
          <cell r="E19">
            <v>135.96108361171395</v>
          </cell>
          <cell r="F19">
            <v>7</v>
          </cell>
          <cell r="G19">
            <v>33.814962660198262</v>
          </cell>
          <cell r="H19">
            <v>611.60923956776401</v>
          </cell>
          <cell r="I19">
            <v>683.80294591210009</v>
          </cell>
        </row>
        <row r="20">
          <cell r="A20">
            <v>2024</v>
          </cell>
          <cell r="B20">
            <v>416.97628318909085</v>
          </cell>
          <cell r="C20">
            <v>453.12762523510912</v>
          </cell>
          <cell r="D20">
            <v>79.949086830362603</v>
          </cell>
          <cell r="E20">
            <v>135.96108361171395</v>
          </cell>
          <cell r="F20">
            <v>7</v>
          </cell>
          <cell r="G20">
            <v>33.814962660198262</v>
          </cell>
          <cell r="H20">
            <v>602.81471463429398</v>
          </cell>
          <cell r="I20">
            <v>674.718491585219</v>
          </cell>
        </row>
        <row r="21">
          <cell r="A21">
            <v>2025</v>
          </cell>
          <cell r="B21">
            <v>431.38388825285142</v>
          </cell>
          <cell r="C21">
            <v>470.21689492109959</v>
          </cell>
          <cell r="D21">
            <v>79.949086830362603</v>
          </cell>
          <cell r="E21">
            <v>135.96108361171395</v>
          </cell>
          <cell r="F21">
            <v>7</v>
          </cell>
          <cell r="G21">
            <v>33.814962660198262</v>
          </cell>
          <cell r="H21">
            <v>620.99478876832643</v>
          </cell>
          <cell r="I21">
            <v>693.49790882257116</v>
          </cell>
        </row>
        <row r="22">
          <cell r="A22">
            <v>2026</v>
          </cell>
          <cell r="B22">
            <v>430.01579869689022</v>
          </cell>
          <cell r="C22">
            <v>468.88343886676813</v>
          </cell>
          <cell r="D22">
            <v>79.949086830362603</v>
          </cell>
          <cell r="E22">
            <v>135.96108361171395</v>
          </cell>
          <cell r="F22">
            <v>7</v>
          </cell>
          <cell r="G22">
            <v>33.814962660198262</v>
          </cell>
          <cell r="H22">
            <v>619.57621849776103</v>
          </cell>
          <cell r="I22">
            <v>692.03257249912986</v>
          </cell>
        </row>
        <row r="23">
          <cell r="A23">
            <v>2027</v>
          </cell>
          <cell r="B23">
            <v>443.28510873958305</v>
          </cell>
          <cell r="C23">
            <v>482.90884910199338</v>
          </cell>
          <cell r="D23">
            <v>79.949086830362603</v>
          </cell>
          <cell r="E23">
            <v>135.96108361171395</v>
          </cell>
          <cell r="F23">
            <v>7</v>
          </cell>
          <cell r="G23">
            <v>33.814962660198262</v>
          </cell>
          <cell r="H23">
            <v>634.49686768417087</v>
          </cell>
          <cell r="I23">
            <v>707.44511121915775</v>
          </cell>
        </row>
        <row r="24">
          <cell r="A24">
            <v>2028</v>
          </cell>
          <cell r="B24">
            <v>439.56397280488534</v>
          </cell>
          <cell r="C24">
            <v>474.95431672955459</v>
          </cell>
          <cell r="D24">
            <v>79.949086830362603</v>
          </cell>
          <cell r="E24">
            <v>135.96108361171395</v>
          </cell>
          <cell r="F24">
            <v>7</v>
          </cell>
          <cell r="G24">
            <v>33.814962660198262</v>
          </cell>
          <cell r="H24">
            <v>626.03459920285309</v>
          </cell>
          <cell r="I24">
            <v>698.70386685384028</v>
          </cell>
        </row>
        <row r="25">
          <cell r="A25">
            <v>2029</v>
          </cell>
          <cell r="B25">
            <v>439.79780321215839</v>
          </cell>
          <cell r="C25">
            <v>474.76978110712827</v>
          </cell>
          <cell r="D25">
            <v>79.949086830362603</v>
          </cell>
          <cell r="E25">
            <v>135.96108361171395</v>
          </cell>
          <cell r="F25">
            <v>7</v>
          </cell>
          <cell r="G25">
            <v>33.814962660198262</v>
          </cell>
          <cell r="H25">
            <v>625.8382847109101</v>
          </cell>
          <cell r="I25">
            <v>698.50108045556954</v>
          </cell>
        </row>
        <row r="26">
          <cell r="A26">
            <v>2030</v>
          </cell>
          <cell r="B26">
            <v>454.18202118651232</v>
          </cell>
          <cell r="C26">
            <v>488.99988462751293</v>
          </cell>
          <cell r="D26">
            <v>79.949086830362603</v>
          </cell>
          <cell r="E26">
            <v>135.96108361171395</v>
          </cell>
          <cell r="F26">
            <v>7</v>
          </cell>
          <cell r="G26">
            <v>33.814962660198262</v>
          </cell>
          <cell r="H26">
            <v>640.97669271131929</v>
          </cell>
          <cell r="I26">
            <v>714.13855685159683</v>
          </cell>
        </row>
      </sheetData>
      <sheetData sheetId="15">
        <row r="29">
          <cell r="A29">
            <v>2008</v>
          </cell>
          <cell r="B29" t="e">
            <v>#N/A</v>
          </cell>
          <cell r="C29" t="e">
            <v>#N/A</v>
          </cell>
          <cell r="D29" t="e">
            <v>#N/A</v>
          </cell>
          <cell r="E29" t="e">
            <v>#N/A</v>
          </cell>
          <cell r="F29" t="e">
            <v>#N/A</v>
          </cell>
          <cell r="G29" t="e">
            <v>#N/A</v>
          </cell>
          <cell r="H29" t="e">
            <v>#N/A</v>
          </cell>
          <cell r="I29" t="e">
            <v>#N/A</v>
          </cell>
          <cell r="J29" t="e">
            <v>#N/A</v>
          </cell>
          <cell r="K29" t="e">
            <v>#N/A</v>
          </cell>
          <cell r="L29" t="e">
            <v>#N/A</v>
          </cell>
          <cell r="M29" t="e">
            <v>#N/A</v>
          </cell>
          <cell r="N29" t="e">
            <v>#N/A</v>
          </cell>
          <cell r="O29" t="e">
            <v>#N/A</v>
          </cell>
          <cell r="P29" t="e">
            <v>#N/A</v>
          </cell>
        </row>
        <row r="30">
          <cell r="A30">
            <v>2009</v>
          </cell>
          <cell r="B30">
            <v>3.6828349940045335</v>
          </cell>
          <cell r="C30">
            <v>0</v>
          </cell>
          <cell r="D30">
            <v>0.91067591549327875</v>
          </cell>
          <cell r="E30">
            <v>1.6465324539932824</v>
          </cell>
          <cell r="F30">
            <v>9.3793157641759457</v>
          </cell>
          <cell r="G30">
            <v>0</v>
          </cell>
          <cell r="H30">
            <v>2.6675968928253284</v>
          </cell>
          <cell r="I30">
            <v>6.6619936208153749</v>
          </cell>
          <cell r="J30">
            <v>0</v>
          </cell>
          <cell r="K30">
            <v>0</v>
          </cell>
          <cell r="L30">
            <v>0</v>
          </cell>
          <cell r="M30">
            <v>0</v>
          </cell>
          <cell r="N30">
            <v>24.948949641307742</v>
          </cell>
          <cell r="O30">
            <v>31.186187051634676</v>
          </cell>
          <cell r="P30">
            <v>69.082265894960301</v>
          </cell>
        </row>
        <row r="31">
          <cell r="A31">
            <v>2010</v>
          </cell>
          <cell r="B31">
            <v>3.9850348724362341</v>
          </cell>
          <cell r="C31">
            <v>0</v>
          </cell>
          <cell r="D31">
            <v>0.73844537189477399</v>
          </cell>
          <cell r="E31">
            <v>2.8361120243262938</v>
          </cell>
          <cell r="F31">
            <v>10.385323744384907</v>
          </cell>
          <cell r="G31">
            <v>0</v>
          </cell>
          <cell r="H31">
            <v>3.0001565529765513</v>
          </cell>
          <cell r="I31">
            <v>8.4143191286082324</v>
          </cell>
          <cell r="J31">
            <v>0</v>
          </cell>
          <cell r="K31">
            <v>0</v>
          </cell>
          <cell r="L31">
            <v>0</v>
          </cell>
          <cell r="M31">
            <v>0</v>
          </cell>
          <cell r="N31">
            <v>29.359391694626993</v>
          </cell>
          <cell r="O31">
            <v>36.699239618283741</v>
          </cell>
          <cell r="P31">
            <v>74.595318461609367</v>
          </cell>
        </row>
        <row r="32">
          <cell r="A32">
            <v>2011</v>
          </cell>
          <cell r="B32">
            <v>3.5746817885339026</v>
          </cell>
          <cell r="C32">
            <v>0</v>
          </cell>
          <cell r="D32">
            <v>0.84325407444267386</v>
          </cell>
          <cell r="E32">
            <v>5.1357176574648706</v>
          </cell>
          <cell r="F32">
            <v>10.558102404025595</v>
          </cell>
          <cell r="G32">
            <v>0</v>
          </cell>
          <cell r="H32">
            <v>2.5839416040399437</v>
          </cell>
          <cell r="I32">
            <v>9.1376054079132931</v>
          </cell>
          <cell r="J32">
            <v>0</v>
          </cell>
          <cell r="K32">
            <v>0</v>
          </cell>
          <cell r="L32">
            <v>0</v>
          </cell>
          <cell r="M32">
            <v>0</v>
          </cell>
          <cell r="N32">
            <v>31.833302936420274</v>
          </cell>
          <cell r="O32">
            <v>39.791628670525341</v>
          </cell>
          <cell r="P32">
            <v>77.687707513850967</v>
          </cell>
        </row>
        <row r="33">
          <cell r="A33">
            <v>2012</v>
          </cell>
          <cell r="B33">
            <v>3.7281729149436744</v>
          </cell>
          <cell r="C33">
            <v>0</v>
          </cell>
          <cell r="D33">
            <v>0.80692724368911017</v>
          </cell>
          <cell r="E33">
            <v>4.7091151254220431</v>
          </cell>
          <cell r="F33">
            <v>11.030878845667139</v>
          </cell>
          <cell r="G33">
            <v>0</v>
          </cell>
          <cell r="H33">
            <v>2.6661287706228083</v>
          </cell>
          <cell r="I33">
            <v>9.5959627003838204</v>
          </cell>
          <cell r="J33">
            <v>0</v>
          </cell>
          <cell r="K33">
            <v>0</v>
          </cell>
          <cell r="L33">
            <v>0</v>
          </cell>
          <cell r="M33">
            <v>0</v>
          </cell>
          <cell r="N33">
            <v>32.537185600728598</v>
          </cell>
          <cell r="O33">
            <v>40.671482000910743</v>
          </cell>
          <cell r="P33">
            <v>78.567560844236368</v>
          </cell>
        </row>
        <row r="34">
          <cell r="A34">
            <v>2013</v>
          </cell>
          <cell r="B34">
            <v>2.9095649404789468</v>
          </cell>
          <cell r="C34">
            <v>0</v>
          </cell>
          <cell r="D34">
            <v>0.98390529048260522</v>
          </cell>
          <cell r="E34">
            <v>4.6723665310542266</v>
          </cell>
          <cell r="F34">
            <v>10.007314072793315</v>
          </cell>
          <cell r="G34">
            <v>0</v>
          </cell>
          <cell r="H34">
            <v>2.9209728539683733</v>
          </cell>
          <cell r="I34">
            <v>13.749603824716765</v>
          </cell>
          <cell r="J34">
            <v>0</v>
          </cell>
          <cell r="K34">
            <v>0</v>
          </cell>
          <cell r="L34">
            <v>0</v>
          </cell>
          <cell r="M34">
            <v>0</v>
          </cell>
          <cell r="N34">
            <v>35.243727513494228</v>
          </cell>
          <cell r="O34">
            <v>44.05465939186778</v>
          </cell>
          <cell r="P34">
            <v>81.950738235193413</v>
          </cell>
        </row>
        <row r="35">
          <cell r="A35">
            <v>2014</v>
          </cell>
          <cell r="B35">
            <v>2.8922300654720638</v>
          </cell>
          <cell r="C35">
            <v>0</v>
          </cell>
          <cell r="D35">
            <v>1.1208972773453807</v>
          </cell>
          <cell r="E35">
            <v>5.4830114755276584</v>
          </cell>
          <cell r="F35">
            <v>10.630243102411669</v>
          </cell>
          <cell r="G35">
            <v>0</v>
          </cell>
          <cell r="H35">
            <v>3.0210802068633233</v>
          </cell>
          <cell r="I35">
            <v>14.184486990108114</v>
          </cell>
          <cell r="J35">
            <v>0</v>
          </cell>
          <cell r="K35">
            <v>0</v>
          </cell>
          <cell r="L35">
            <v>0</v>
          </cell>
          <cell r="M35">
            <v>0</v>
          </cell>
          <cell r="N35">
            <v>37.331949117728207</v>
          </cell>
          <cell r="O35">
            <v>46.664936397160254</v>
          </cell>
          <cell r="P35">
            <v>84.561015240485887</v>
          </cell>
        </row>
        <row r="36">
          <cell r="A36">
            <v>2015</v>
          </cell>
          <cell r="B36">
            <v>2.9356032214967063</v>
          </cell>
          <cell r="C36">
            <v>0</v>
          </cell>
          <cell r="D36">
            <v>1.6190259209239213</v>
          </cell>
          <cell r="E36">
            <v>5.1089203560147967</v>
          </cell>
          <cell r="F36">
            <v>10.343564816195855</v>
          </cell>
          <cell r="G36">
            <v>0</v>
          </cell>
          <cell r="H36">
            <v>3.1709631823280415</v>
          </cell>
          <cell r="I36">
            <v>14.092558445127107</v>
          </cell>
          <cell r="J36">
            <v>0</v>
          </cell>
          <cell r="K36">
            <v>0</v>
          </cell>
          <cell r="L36">
            <v>0</v>
          </cell>
          <cell r="M36">
            <v>0</v>
          </cell>
          <cell r="N36">
            <v>37.270635942086429</v>
          </cell>
          <cell r="O36">
            <v>46.588294927608032</v>
          </cell>
          <cell r="P36">
            <v>84.484373770933672</v>
          </cell>
        </row>
        <row r="37">
          <cell r="A37">
            <v>2016</v>
          </cell>
          <cell r="B37">
            <v>2.8628856673062142</v>
          </cell>
          <cell r="C37">
            <v>0</v>
          </cell>
          <cell r="D37">
            <v>1.6778705265095963</v>
          </cell>
          <cell r="E37">
            <v>4.1471196657900435</v>
          </cell>
          <cell r="F37">
            <v>10.514795008928981</v>
          </cell>
          <cell r="G37">
            <v>0</v>
          </cell>
          <cell r="H37">
            <v>3.1250448870650698</v>
          </cell>
          <cell r="I37">
            <v>13.9116363793711</v>
          </cell>
          <cell r="J37">
            <v>0</v>
          </cell>
          <cell r="K37">
            <v>0</v>
          </cell>
          <cell r="L37">
            <v>0</v>
          </cell>
          <cell r="M37">
            <v>0</v>
          </cell>
          <cell r="N37">
            <v>36.239352134971</v>
          </cell>
          <cell r="O37">
            <v>45.29919016871375</v>
          </cell>
          <cell r="P37">
            <v>83.195269012039375</v>
          </cell>
        </row>
        <row r="38">
          <cell r="A38">
            <v>2017</v>
          </cell>
          <cell r="B38">
            <v>2.9617559177180395</v>
          </cell>
          <cell r="C38">
            <v>0</v>
          </cell>
          <cell r="D38">
            <v>1.6132417147892957</v>
          </cell>
          <cell r="E38">
            <v>4.1209964660716274</v>
          </cell>
          <cell r="F38">
            <v>10.439868399285121</v>
          </cell>
          <cell r="G38">
            <v>0</v>
          </cell>
          <cell r="H38">
            <v>3.1046715545948116</v>
          </cell>
          <cell r="I38">
            <v>14.046871051725947</v>
          </cell>
          <cell r="J38">
            <v>0</v>
          </cell>
          <cell r="K38">
            <v>0</v>
          </cell>
          <cell r="L38">
            <v>0</v>
          </cell>
          <cell r="M38">
            <v>0</v>
          </cell>
          <cell r="N38">
            <v>36.287405104184842</v>
          </cell>
          <cell r="O38">
            <v>45.359256380231052</v>
          </cell>
          <cell r="P38">
            <v>83.255335223556685</v>
          </cell>
        </row>
        <row r="39">
          <cell r="A39">
            <v>2018</v>
          </cell>
          <cell r="B39">
            <v>3.0253409323002631</v>
          </cell>
          <cell r="C39">
            <v>0</v>
          </cell>
          <cell r="D39">
            <v>1.5552151220664674</v>
          </cell>
          <cell r="E39">
            <v>4.2230625345708752</v>
          </cell>
          <cell r="F39">
            <v>10.403270212377906</v>
          </cell>
          <cell r="G39">
            <v>0</v>
          </cell>
          <cell r="H39">
            <v>3.0731027092291878</v>
          </cell>
          <cell r="I39">
            <v>14.153478548812842</v>
          </cell>
          <cell r="J39">
            <v>0</v>
          </cell>
          <cell r="K39">
            <v>0</v>
          </cell>
          <cell r="L39">
            <v>0</v>
          </cell>
          <cell r="M39">
            <v>0</v>
          </cell>
          <cell r="N39">
            <v>36.433470059357546</v>
          </cell>
          <cell r="O39">
            <v>45.541837574196933</v>
          </cell>
          <cell r="P39">
            <v>83.437916417522558</v>
          </cell>
        </row>
        <row r="40">
          <cell r="A40">
            <v>2019</v>
          </cell>
          <cell r="B40">
            <v>3.0531837365416168</v>
          </cell>
          <cell r="C40">
            <v>0</v>
          </cell>
          <cell r="D40">
            <v>1.5883581961247695</v>
          </cell>
          <cell r="E40">
            <v>4.4256878020576158</v>
          </cell>
          <cell r="F40">
            <v>10.668701595779375</v>
          </cell>
          <cell r="G40">
            <v>0</v>
          </cell>
          <cell r="H40">
            <v>3.0301334722478055</v>
          </cell>
          <cell r="I40">
            <v>13.619782696979156</v>
          </cell>
          <cell r="J40">
            <v>0</v>
          </cell>
          <cell r="K40">
            <v>0</v>
          </cell>
          <cell r="L40">
            <v>0</v>
          </cell>
          <cell r="M40">
            <v>0</v>
          </cell>
          <cell r="N40">
            <v>36.385847499730339</v>
          </cell>
          <cell r="O40">
            <v>45.482309374662918</v>
          </cell>
          <cell r="P40">
            <v>83.378388217988544</v>
          </cell>
        </row>
        <row r="41">
          <cell r="A41">
            <v>2020</v>
          </cell>
          <cell r="B41">
            <v>3.1028182203317005</v>
          </cell>
          <cell r="C41">
            <v>0</v>
          </cell>
          <cell r="D41">
            <v>1.5932746272601344</v>
          </cell>
          <cell r="E41">
            <v>4.4688861175871901</v>
          </cell>
          <cell r="F41">
            <v>10.547979641996847</v>
          </cell>
          <cell r="G41">
            <v>0</v>
          </cell>
          <cell r="H41">
            <v>3.0358482181820472</v>
          </cell>
          <cell r="I41">
            <v>13.863714708799352</v>
          </cell>
          <cell r="J41">
            <v>0</v>
          </cell>
          <cell r="K41">
            <v>0</v>
          </cell>
          <cell r="L41">
            <v>0</v>
          </cell>
          <cell r="M41">
            <v>0</v>
          </cell>
          <cell r="N41">
            <v>36.612521534157267</v>
          </cell>
          <cell r="O41">
            <v>45.76565191769658</v>
          </cell>
          <cell r="P41">
            <v>83.661730761022213</v>
          </cell>
        </row>
        <row r="42">
          <cell r="A42">
            <v>2021</v>
          </cell>
          <cell r="B42">
            <v>3.1547776075483709</v>
          </cell>
          <cell r="C42">
            <v>0</v>
          </cell>
          <cell r="D42">
            <v>1.5653350598918141</v>
          </cell>
          <cell r="E42">
            <v>4.1703003269304517</v>
          </cell>
          <cell r="F42">
            <v>10.521887240140369</v>
          </cell>
          <cell r="G42">
            <v>0</v>
          </cell>
          <cell r="H42">
            <v>3.0629642080890243</v>
          </cell>
          <cell r="I42">
            <v>14.139712619788694</v>
          </cell>
          <cell r="J42">
            <v>0</v>
          </cell>
          <cell r="K42">
            <v>0</v>
          </cell>
          <cell r="L42">
            <v>0</v>
          </cell>
          <cell r="M42">
            <v>0</v>
          </cell>
          <cell r="N42">
            <v>36.614977062388725</v>
          </cell>
          <cell r="O42">
            <v>45.768721327985901</v>
          </cell>
          <cell r="P42">
            <v>83.664800171311526</v>
          </cell>
        </row>
        <row r="43">
          <cell r="A43">
            <v>2022</v>
          </cell>
          <cell r="B43">
            <v>3.1748396626389233</v>
          </cell>
          <cell r="C43">
            <v>0</v>
          </cell>
          <cell r="D43">
            <v>1.6086285420560036</v>
          </cell>
          <cell r="E43">
            <v>4.1905850359256629</v>
          </cell>
          <cell r="F43">
            <v>10.6771634959493</v>
          </cell>
          <cell r="G43">
            <v>0</v>
          </cell>
          <cell r="H43">
            <v>3.0801609862632637</v>
          </cell>
          <cell r="I43">
            <v>14.290570621635068</v>
          </cell>
          <cell r="J43">
            <v>0</v>
          </cell>
          <cell r="K43">
            <v>0</v>
          </cell>
          <cell r="L43">
            <v>0</v>
          </cell>
          <cell r="M43">
            <v>0</v>
          </cell>
          <cell r="N43">
            <v>37.021948344468221</v>
          </cell>
          <cell r="O43">
            <v>46.277435430585271</v>
          </cell>
          <cell r="P43">
            <v>84.173514273910911</v>
          </cell>
        </row>
        <row r="44">
          <cell r="A44">
            <v>2023</v>
          </cell>
          <cell r="B44">
            <v>3.1769657520478507</v>
          </cell>
          <cell r="C44">
            <v>0</v>
          </cell>
          <cell r="D44">
            <v>1.5514443947607204</v>
          </cell>
          <cell r="E44">
            <v>4.2019342077298107</v>
          </cell>
          <cell r="F44">
            <v>10.839819627183688</v>
          </cell>
          <cell r="G44">
            <v>0</v>
          </cell>
          <cell r="H44">
            <v>3.0831233064615859</v>
          </cell>
          <cell r="I44">
            <v>14.720498374232463</v>
          </cell>
          <cell r="J44">
            <v>0</v>
          </cell>
          <cell r="K44">
            <v>0</v>
          </cell>
          <cell r="L44">
            <v>0</v>
          </cell>
          <cell r="M44">
            <v>0</v>
          </cell>
          <cell r="N44">
            <v>37.573785662416121</v>
          </cell>
          <cell r="O44">
            <v>46.967232078020146</v>
          </cell>
          <cell r="P44">
            <v>84.863310921345771</v>
          </cell>
        </row>
        <row r="45">
          <cell r="A45">
            <v>2024</v>
          </cell>
          <cell r="B45">
            <v>2.7565482711330533</v>
          </cell>
          <cell r="C45">
            <v>0</v>
          </cell>
          <cell r="D45">
            <v>1.5487858231543052</v>
          </cell>
          <cell r="E45">
            <v>3.840457222264444</v>
          </cell>
          <cell r="F45">
            <v>10.695570836610106</v>
          </cell>
          <cell r="G45">
            <v>0</v>
          </cell>
          <cell r="H45">
            <v>2.9960482352589146</v>
          </cell>
          <cell r="I45">
            <v>16.611610193745872</v>
          </cell>
          <cell r="J45">
            <v>0</v>
          </cell>
          <cell r="K45">
            <v>0</v>
          </cell>
          <cell r="L45">
            <v>0</v>
          </cell>
          <cell r="M45">
            <v>0</v>
          </cell>
          <cell r="N45">
            <v>38.449020582166696</v>
          </cell>
          <cell r="O45">
            <v>48.06127572770837</v>
          </cell>
          <cell r="P45">
            <v>85.957354571034003</v>
          </cell>
        </row>
        <row r="46">
          <cell r="A46">
            <v>2025</v>
          </cell>
          <cell r="B46">
            <v>2.7050857348096011</v>
          </cell>
          <cell r="C46">
            <v>0</v>
          </cell>
          <cell r="D46">
            <v>1.5495531686526567</v>
          </cell>
          <cell r="E46">
            <v>3.9539417660769813</v>
          </cell>
          <cell r="F46">
            <v>10.89857797614642</v>
          </cell>
          <cell r="G46">
            <v>0</v>
          </cell>
          <cell r="H46">
            <v>3.0111302580015433</v>
          </cell>
          <cell r="I46">
            <v>16.789820132280816</v>
          </cell>
          <cell r="J46">
            <v>0</v>
          </cell>
          <cell r="K46">
            <v>0</v>
          </cell>
          <cell r="L46">
            <v>0</v>
          </cell>
          <cell r="M46">
            <v>0</v>
          </cell>
          <cell r="N46">
            <v>38.908109035968018</v>
          </cell>
          <cell r="O46">
            <v>48.63513629496002</v>
          </cell>
          <cell r="P46">
            <v>86.53121513828566</v>
          </cell>
        </row>
        <row r="47">
          <cell r="A47">
            <v>2026</v>
          </cell>
          <cell r="B47">
            <v>2.2770927929926223</v>
          </cell>
          <cell r="C47">
            <v>0</v>
          </cell>
          <cell r="D47">
            <v>1.3493374507911324</v>
          </cell>
          <cell r="E47">
            <v>3.6703389012837886</v>
          </cell>
          <cell r="F47">
            <v>10.786761149896609</v>
          </cell>
          <cell r="G47">
            <v>0</v>
          </cell>
          <cell r="H47">
            <v>2.995168664214416</v>
          </cell>
          <cell r="I47">
            <v>18.387321500358546</v>
          </cell>
          <cell r="J47">
            <v>0</v>
          </cell>
          <cell r="K47">
            <v>0</v>
          </cell>
          <cell r="L47">
            <v>0</v>
          </cell>
          <cell r="M47">
            <v>0</v>
          </cell>
          <cell r="N47">
            <v>39.466020459537113</v>
          </cell>
          <cell r="O47">
            <v>49.332525574421389</v>
          </cell>
          <cell r="P47">
            <v>87.228604417747022</v>
          </cell>
        </row>
        <row r="48">
          <cell r="A48">
            <v>2027</v>
          </cell>
          <cell r="B48">
            <v>2.2934775068006057</v>
          </cell>
          <cell r="C48">
            <v>0</v>
          </cell>
          <cell r="D48">
            <v>1.3610542974483271</v>
          </cell>
          <cell r="E48">
            <v>3.6470735134565087</v>
          </cell>
          <cell r="F48">
            <v>10.931578734212474</v>
          </cell>
          <cell r="G48">
            <v>0</v>
          </cell>
          <cell r="H48">
            <v>3.0072833111626971</v>
          </cell>
          <cell r="I48">
            <v>18.570583578644936</v>
          </cell>
          <cell r="J48">
            <v>0</v>
          </cell>
          <cell r="K48">
            <v>0</v>
          </cell>
          <cell r="L48">
            <v>0</v>
          </cell>
          <cell r="M48">
            <v>0</v>
          </cell>
          <cell r="N48">
            <v>39.811050941725554</v>
          </cell>
          <cell r="O48">
            <v>49.763813677156939</v>
          </cell>
          <cell r="P48">
            <v>87.659892520482572</v>
          </cell>
        </row>
        <row r="49">
          <cell r="A49">
            <v>2028</v>
          </cell>
          <cell r="B49">
            <v>2.3185083815035061</v>
          </cell>
          <cell r="C49">
            <v>0</v>
          </cell>
          <cell r="D49">
            <v>1.3557101899153667</v>
          </cell>
          <cell r="E49">
            <v>3.6131664678281892</v>
          </cell>
          <cell r="F49">
            <v>11.021805558491755</v>
          </cell>
          <cell r="G49">
            <v>0</v>
          </cell>
          <cell r="H49">
            <v>3.0181256118627378</v>
          </cell>
          <cell r="I49">
            <v>18.783816517295982</v>
          </cell>
          <cell r="J49">
            <v>0</v>
          </cell>
          <cell r="K49">
            <v>0</v>
          </cell>
          <cell r="L49">
            <v>0</v>
          </cell>
          <cell r="M49">
            <v>0</v>
          </cell>
          <cell r="N49">
            <v>40.111132726897537</v>
          </cell>
          <cell r="O49">
            <v>50.138915908621918</v>
          </cell>
          <cell r="P49">
            <v>88.034994751947551</v>
          </cell>
        </row>
        <row r="50">
          <cell r="A50">
            <v>2029</v>
          </cell>
          <cell r="B50">
            <v>2.3207603435800137</v>
          </cell>
          <cell r="C50">
            <v>0</v>
          </cell>
          <cell r="D50">
            <v>1.4184337370314732</v>
          </cell>
          <cell r="E50">
            <v>3.7199755090822855</v>
          </cell>
          <cell r="F50">
            <v>11.204790880141443</v>
          </cell>
          <cell r="G50">
            <v>0</v>
          </cell>
          <cell r="H50">
            <v>3.0316705978173473</v>
          </cell>
          <cell r="I50">
            <v>18.925239188639477</v>
          </cell>
          <cell r="J50">
            <v>0</v>
          </cell>
          <cell r="K50">
            <v>0</v>
          </cell>
          <cell r="L50">
            <v>0</v>
          </cell>
          <cell r="M50">
            <v>0</v>
          </cell>
          <cell r="N50">
            <v>40.620870256292037</v>
          </cell>
          <cell r="O50">
            <v>50.776087820365042</v>
          </cell>
          <cell r="P50">
            <v>88.672166663690675</v>
          </cell>
        </row>
        <row r="51">
          <cell r="A51">
            <v>2030</v>
          </cell>
          <cell r="B51">
            <v>2.3510432555118941</v>
          </cell>
          <cell r="C51">
            <v>0</v>
          </cell>
          <cell r="D51">
            <v>1.421996478559501</v>
          </cell>
          <cell r="E51">
            <v>3.7184886034592588</v>
          </cell>
          <cell r="F51">
            <v>11.326248772750105</v>
          </cell>
          <cell r="G51">
            <v>0</v>
          </cell>
          <cell r="H51">
            <v>3.0393509191823478</v>
          </cell>
          <cell r="I51">
            <v>19.101683543713118</v>
          </cell>
          <cell r="J51">
            <v>0</v>
          </cell>
          <cell r="K51">
            <v>0</v>
          </cell>
          <cell r="L51">
            <v>0</v>
          </cell>
          <cell r="M51">
            <v>0</v>
          </cell>
          <cell r="N51">
            <v>40.95881157317622</v>
          </cell>
          <cell r="O51">
            <v>51.198514466470272</v>
          </cell>
          <cell r="P51">
            <v>89.094593309795897</v>
          </cell>
        </row>
      </sheetData>
      <sheetData sheetId="16">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821.65671161788032</v>
          </cell>
          <cell r="C14">
            <v>13.802327498163498</v>
          </cell>
          <cell r="D14">
            <v>7.1226258063235734</v>
          </cell>
          <cell r="E14">
            <v>231.13749812392524</v>
          </cell>
          <cell r="F14">
            <v>602.90529002075914</v>
          </cell>
          <cell r="G14">
            <v>883.50184044933371</v>
          </cell>
          <cell r="H14">
            <v>14.841212363616666</v>
          </cell>
          <cell r="I14">
            <v>7.6587374261543806</v>
          </cell>
          <cell r="J14">
            <v>248.53494421927448</v>
          </cell>
          <cell r="K14">
            <v>648.28525808683787</v>
          </cell>
        </row>
        <row r="15">
          <cell r="A15">
            <v>2010</v>
          </cell>
          <cell r="B15">
            <v>801.78087792574581</v>
          </cell>
          <cell r="C15">
            <v>16.677624436627646</v>
          </cell>
          <cell r="D15">
            <v>7.1083839186785882</v>
          </cell>
          <cell r="E15">
            <v>533.0158616586782</v>
          </cell>
          <cell r="F15">
            <v>678.32712659212359</v>
          </cell>
          <cell r="G15">
            <v>862.12997626424283</v>
          </cell>
          <cell r="H15">
            <v>17.932929501750159</v>
          </cell>
          <cell r="I15">
            <v>7.6434235684716008</v>
          </cell>
          <cell r="J15">
            <v>573.1353351168583</v>
          </cell>
          <cell r="K15">
            <v>729.384007088305</v>
          </cell>
        </row>
        <row r="16">
          <cell r="A16">
            <v>2011</v>
          </cell>
          <cell r="B16">
            <v>791.10594578615678</v>
          </cell>
          <cell r="C16">
            <v>17.207623076705552</v>
          </cell>
          <cell r="D16">
            <v>7.0759204962594184</v>
          </cell>
          <cell r="E16">
            <v>179.67561966805536</v>
          </cell>
          <cell r="F16">
            <v>557.85986647359186</v>
          </cell>
          <cell r="G16">
            <v>850.65155460877077</v>
          </cell>
          <cell r="H16">
            <v>18.502820512586617</v>
          </cell>
          <cell r="I16">
            <v>7.6085166626445364</v>
          </cell>
          <cell r="J16">
            <v>193.19959104091976</v>
          </cell>
          <cell r="K16">
            <v>599.84931878880855</v>
          </cell>
        </row>
        <row r="17">
          <cell r="A17">
            <v>2012</v>
          </cell>
          <cell r="B17">
            <v>788.91391806985189</v>
          </cell>
          <cell r="C17">
            <v>17.934877097194757</v>
          </cell>
          <cell r="D17">
            <v>7.1083846150626782</v>
          </cell>
          <cell r="E17">
            <v>196.91384875650243</v>
          </cell>
          <cell r="F17">
            <v>559.74436374245818</v>
          </cell>
          <cell r="G17">
            <v>848.29453555898056</v>
          </cell>
          <cell r="H17">
            <v>19.284814083005116</v>
          </cell>
          <cell r="I17">
            <v>7.6434243172716974</v>
          </cell>
          <cell r="J17">
            <v>211.73532124355103</v>
          </cell>
          <cell r="K17">
            <v>601.87565993812711</v>
          </cell>
        </row>
        <row r="18">
          <cell r="A18">
            <v>2013</v>
          </cell>
          <cell r="B18">
            <v>792.18037992692894</v>
          </cell>
          <cell r="C18">
            <v>17.118632769214344</v>
          </cell>
          <cell r="D18">
            <v>7.0636013955072343</v>
          </cell>
          <cell r="E18">
            <v>193.79899315440929</v>
          </cell>
          <cell r="F18">
            <v>559.05269630277132</v>
          </cell>
          <cell r="G18">
            <v>851.80686013648278</v>
          </cell>
          <cell r="H18">
            <v>18.407132009907897</v>
          </cell>
          <cell r="I18">
            <v>7.5952703177497147</v>
          </cell>
          <cell r="J18">
            <v>208.38601414452614</v>
          </cell>
          <cell r="K18">
            <v>601.13193150835627</v>
          </cell>
        </row>
        <row r="19">
          <cell r="A19">
            <v>2014</v>
          </cell>
          <cell r="B19">
            <v>796.26613719011709</v>
          </cell>
          <cell r="C19">
            <v>15.272551134687829</v>
          </cell>
          <cell r="D19">
            <v>6.9962504139657042</v>
          </cell>
          <cell r="E19">
            <v>203.81511475245162</v>
          </cell>
          <cell r="F19">
            <v>563.93262042301899</v>
          </cell>
          <cell r="G19">
            <v>856.20014751625502</v>
          </cell>
          <cell r="H19">
            <v>16.422097994287988</v>
          </cell>
          <cell r="I19">
            <v>7.5228499074900048</v>
          </cell>
          <cell r="J19">
            <v>219.15603736822757</v>
          </cell>
          <cell r="K19">
            <v>606.3791617451817</v>
          </cell>
        </row>
        <row r="20">
          <cell r="A20">
            <v>2015</v>
          </cell>
          <cell r="B20">
            <v>806.35451070861882</v>
          </cell>
          <cell r="C20">
            <v>15.616307826119098</v>
          </cell>
          <cell r="D20">
            <v>7.077146188686922</v>
          </cell>
          <cell r="E20">
            <v>221.04256192376977</v>
          </cell>
          <cell r="F20">
            <v>576.99427119822144</v>
          </cell>
          <cell r="G20">
            <v>867.04786097700958</v>
          </cell>
          <cell r="H20">
            <v>16.791728845289352</v>
          </cell>
          <cell r="I20">
            <v>7.6098346114913147</v>
          </cell>
          <cell r="J20">
            <v>237.68017411158041</v>
          </cell>
          <cell r="K20">
            <v>620.42394752496932</v>
          </cell>
        </row>
        <row r="21">
          <cell r="A21">
            <v>2016</v>
          </cell>
          <cell r="B21">
            <v>800.03404546858383</v>
          </cell>
          <cell r="C21">
            <v>15.536117491082232</v>
          </cell>
          <cell r="D21">
            <v>6.9996428076703214</v>
          </cell>
          <cell r="E21">
            <v>179.44062680911301</v>
          </cell>
          <cell r="F21">
            <v>563.06286728577925</v>
          </cell>
          <cell r="G21">
            <v>860.25166179417624</v>
          </cell>
          <cell r="H21">
            <v>16.705502678583045</v>
          </cell>
          <cell r="I21">
            <v>7.5264976426562598</v>
          </cell>
          <cell r="J21">
            <v>192.94691054743336</v>
          </cell>
          <cell r="K21">
            <v>605.44394331804222</v>
          </cell>
        </row>
        <row r="22">
          <cell r="A22">
            <v>2017</v>
          </cell>
          <cell r="B22">
            <v>795.60123915564429</v>
          </cell>
          <cell r="C22">
            <v>15.961450565390489</v>
          </cell>
          <cell r="D22">
            <v>7.0357667432640882</v>
          </cell>
          <cell r="E22">
            <v>181.88261789358364</v>
          </cell>
          <cell r="F22">
            <v>565.70235771614409</v>
          </cell>
          <cell r="G22">
            <v>855.48520339316599</v>
          </cell>
          <cell r="H22">
            <v>17.162850070312356</v>
          </cell>
          <cell r="I22">
            <v>7.5653405841549342</v>
          </cell>
          <cell r="J22">
            <v>195.57270741245554</v>
          </cell>
          <cell r="K22">
            <v>608.28210507112271</v>
          </cell>
        </row>
        <row r="23">
          <cell r="A23">
            <v>2018</v>
          </cell>
          <cell r="B23">
            <v>791.63479440745743</v>
          </cell>
          <cell r="C23">
            <v>16.443921922918012</v>
          </cell>
          <cell r="D23">
            <v>7.0686866716471322</v>
          </cell>
          <cell r="E23">
            <v>186.05582043992285</v>
          </cell>
          <cell r="F23">
            <v>563.55147360230262</v>
          </cell>
          <cell r="G23">
            <v>851.22020904027681</v>
          </cell>
          <cell r="H23">
            <v>17.681636476255928</v>
          </cell>
          <cell r="I23">
            <v>7.6007383566098197</v>
          </cell>
          <cell r="J23">
            <v>200.0600219784117</v>
          </cell>
          <cell r="K23">
            <v>605.9693264540889</v>
          </cell>
        </row>
        <row r="24">
          <cell r="A24">
            <v>2019</v>
          </cell>
          <cell r="B24">
            <v>783.42247398938912</v>
          </cell>
          <cell r="C24">
            <v>16.604811317093436</v>
          </cell>
          <cell r="D24">
            <v>7.0887037544589111</v>
          </cell>
          <cell r="E24">
            <v>191.86882275685065</v>
          </cell>
          <cell r="F24">
            <v>568.57941525961689</v>
          </cell>
          <cell r="G24">
            <v>842.38975697783781</v>
          </cell>
          <cell r="H24">
            <v>17.854635824831654</v>
          </cell>
          <cell r="I24">
            <v>7.6222621015687224</v>
          </cell>
          <cell r="J24">
            <v>206.3105621041405</v>
          </cell>
          <cell r="K24">
            <v>611.37571533292146</v>
          </cell>
        </row>
        <row r="25">
          <cell r="A25">
            <v>2020</v>
          </cell>
          <cell r="B25">
            <v>784.32557140488882</v>
          </cell>
          <cell r="C25">
            <v>16.546420078836938</v>
          </cell>
          <cell r="D25">
            <v>7.0973375696747505</v>
          </cell>
          <cell r="E25">
            <v>195.95923538679531</v>
          </cell>
          <cell r="F25">
            <v>571.34712050212443</v>
          </cell>
          <cell r="G25">
            <v>843.36082946762247</v>
          </cell>
          <cell r="H25">
            <v>17.791849547136493</v>
          </cell>
          <cell r="I25">
            <v>7.6315457738438184</v>
          </cell>
          <cell r="J25">
            <v>210.70885525461864</v>
          </cell>
          <cell r="K25">
            <v>614.3517424754026</v>
          </cell>
        </row>
        <row r="26">
          <cell r="A26">
            <v>2021</v>
          </cell>
          <cell r="B26">
            <v>782.16701358896717</v>
          </cell>
          <cell r="C26">
            <v>16.568145000630771</v>
          </cell>
          <cell r="D26">
            <v>7.1466327805534275</v>
          </cell>
          <cell r="E26">
            <v>210.60497878435521</v>
          </cell>
          <cell r="F26">
            <v>576.67782682629741</v>
          </cell>
          <cell r="G26">
            <v>841.03979955802924</v>
          </cell>
          <cell r="H26">
            <v>17.815209678097606</v>
          </cell>
          <cell r="I26">
            <v>7.6845513769391696</v>
          </cell>
          <cell r="J26">
            <v>226.45696643479056</v>
          </cell>
          <cell r="K26">
            <v>620.08368475945963</v>
          </cell>
        </row>
        <row r="27">
          <cell r="A27">
            <v>2022</v>
          </cell>
          <cell r="B27">
            <v>783.5480416532879</v>
          </cell>
          <cell r="C27">
            <v>16.515056751765105</v>
          </cell>
          <cell r="D27">
            <v>7.186112118027542</v>
          </cell>
          <cell r="E27">
            <v>222.4542435929003</v>
          </cell>
          <cell r="F27">
            <v>583.68364622907802</v>
          </cell>
          <cell r="G27">
            <v>842.52477597127734</v>
          </cell>
          <cell r="H27">
            <v>17.758125539532372</v>
          </cell>
          <cell r="I27">
            <v>7.7270022774489702</v>
          </cell>
          <cell r="J27">
            <v>239.19811139021539</v>
          </cell>
          <cell r="K27">
            <v>627.6168239022345</v>
          </cell>
        </row>
        <row r="28">
          <cell r="A28">
            <v>2023</v>
          </cell>
          <cell r="B28">
            <v>778.09832705357087</v>
          </cell>
          <cell r="C28">
            <v>16.612259527899528</v>
          </cell>
          <cell r="D28">
            <v>7.0393976984351605</v>
          </cell>
          <cell r="E28">
            <v>195.5201251690236</v>
          </cell>
          <cell r="F28">
            <v>515.76322020476107</v>
          </cell>
          <cell r="G28">
            <v>836.66486779953857</v>
          </cell>
          <cell r="H28">
            <v>17.862644653655408</v>
          </cell>
          <cell r="I28">
            <v>7.5692448370270551</v>
          </cell>
          <cell r="J28">
            <v>210.23669373013291</v>
          </cell>
          <cell r="K28">
            <v>554.58410774705499</v>
          </cell>
        </row>
        <row r="29">
          <cell r="A29">
            <v>2024</v>
          </cell>
          <cell r="B29">
            <v>773.01944008368923</v>
          </cell>
          <cell r="C29">
            <v>17.864946400539019</v>
          </cell>
          <cell r="D29">
            <v>7.0594027179704044</v>
          </cell>
          <cell r="E29">
            <v>192.47926966205128</v>
          </cell>
          <cell r="F29">
            <v>510.5463233253621</v>
          </cell>
          <cell r="G29">
            <v>831.20369901471963</v>
          </cell>
          <cell r="H29">
            <v>19.209619785525827</v>
          </cell>
          <cell r="I29">
            <v>7.5907556107208656</v>
          </cell>
          <cell r="J29">
            <v>206.9669566258616</v>
          </cell>
          <cell r="K29">
            <v>548.97454121006683</v>
          </cell>
        </row>
        <row r="30">
          <cell r="A30">
            <v>2025</v>
          </cell>
          <cell r="B30">
            <v>770.04964271535846</v>
          </cell>
          <cell r="C30">
            <v>18.220346318018809</v>
          </cell>
          <cell r="D30">
            <v>7.1116795986696086</v>
          </cell>
          <cell r="E30">
            <v>200.44587419254214</v>
          </cell>
          <cell r="F30">
            <v>512.68284085295659</v>
          </cell>
          <cell r="G30">
            <v>828.01036851113815</v>
          </cell>
          <cell r="H30">
            <v>19.591770234428829</v>
          </cell>
          <cell r="I30">
            <v>7.6469673103974287</v>
          </cell>
          <cell r="J30">
            <v>215.53319805649693</v>
          </cell>
          <cell r="K30">
            <v>551.27187188489961</v>
          </cell>
        </row>
        <row r="31">
          <cell r="A31">
            <v>2026</v>
          </cell>
          <cell r="B31">
            <v>767.79378248924593</v>
          </cell>
          <cell r="C31">
            <v>18.46435957379628</v>
          </cell>
          <cell r="D31">
            <v>7.0956859386944684</v>
          </cell>
          <cell r="E31">
            <v>202.40213440450327</v>
          </cell>
          <cell r="F31">
            <v>502.98431128286313</v>
          </cell>
          <cell r="G31">
            <v>825.58471235402794</v>
          </cell>
          <cell r="H31">
            <v>19.854150079350841</v>
          </cell>
          <cell r="I31">
            <v>7.6297698265531926</v>
          </cell>
          <cell r="J31">
            <v>217.63670366075621</v>
          </cell>
          <cell r="K31">
            <v>540.84334546544426</v>
          </cell>
        </row>
        <row r="32">
          <cell r="A32">
            <v>2027</v>
          </cell>
          <cell r="B32">
            <v>766.7062772580615</v>
          </cell>
          <cell r="C32">
            <v>18.50030959112545</v>
          </cell>
          <cell r="D32">
            <v>7.1098937247113643</v>
          </cell>
          <cell r="E32">
            <v>208.08555431009927</v>
          </cell>
          <cell r="F32">
            <v>504.06273595179272</v>
          </cell>
          <cell r="G32">
            <v>824.41535189038882</v>
          </cell>
          <cell r="H32">
            <v>19.89280601196285</v>
          </cell>
          <cell r="I32">
            <v>7.6450470158186716</v>
          </cell>
          <cell r="J32">
            <v>223.74790786032182</v>
          </cell>
          <cell r="K32">
            <v>542.00294188364808</v>
          </cell>
        </row>
        <row r="33">
          <cell r="A33">
            <v>2028</v>
          </cell>
          <cell r="B33">
            <v>769.34814769619402</v>
          </cell>
          <cell r="C33">
            <v>18.347162960301475</v>
          </cell>
          <cell r="D33">
            <v>7.0442326464645095</v>
          </cell>
          <cell r="E33">
            <v>192.9727202692477</v>
          </cell>
          <cell r="F33">
            <v>494.91766884625378</v>
          </cell>
          <cell r="G33">
            <v>827.25607279160647</v>
          </cell>
          <cell r="H33">
            <v>19.728132215377933</v>
          </cell>
          <cell r="I33">
            <v>7.5744437058758169</v>
          </cell>
          <cell r="J33">
            <v>207.49754867661045</v>
          </cell>
          <cell r="K33">
            <v>532.16953639382132</v>
          </cell>
        </row>
        <row r="34">
          <cell r="A34">
            <v>2029</v>
          </cell>
          <cell r="B34">
            <v>770.9108162717082</v>
          </cell>
          <cell r="C34">
            <v>18.117627212357675</v>
          </cell>
          <cell r="D34">
            <v>7.0453938713549302</v>
          </cell>
          <cell r="E34">
            <v>194.56923830838966</v>
          </cell>
          <cell r="F34">
            <v>498.1892174279659</v>
          </cell>
          <cell r="G34">
            <v>828.93636158248194</v>
          </cell>
          <cell r="H34">
            <v>19.481319583180298</v>
          </cell>
          <cell r="I34">
            <v>7.5756923347902481</v>
          </cell>
          <cell r="J34">
            <v>209.21423474020395</v>
          </cell>
          <cell r="K34">
            <v>535.68733056770532</v>
          </cell>
        </row>
        <row r="35">
          <cell r="A35">
            <v>2030</v>
          </cell>
          <cell r="B35">
            <v>770.60089243498533</v>
          </cell>
          <cell r="C35">
            <v>18.039971236928373</v>
          </cell>
          <cell r="D35">
            <v>7.0434332068092518</v>
          </cell>
          <cell r="E35">
            <v>194.92448901929177</v>
          </cell>
          <cell r="F35">
            <v>498.43985763348695</v>
          </cell>
          <cell r="G35">
            <v>828.60311014514559</v>
          </cell>
          <cell r="H35">
            <v>19.397818534331584</v>
          </cell>
          <cell r="I35">
            <v>7.5735840933432819</v>
          </cell>
          <cell r="J35">
            <v>209.59622475192666</v>
          </cell>
          <cell r="K35">
            <v>535.95683616503982</v>
          </cell>
        </row>
      </sheetData>
      <sheetData sheetId="17">
        <row r="5">
          <cell r="A5">
            <v>2000</v>
          </cell>
          <cell r="B5" t="e">
            <v>#N/A</v>
          </cell>
          <cell r="C5" t="e">
            <v>#N/A</v>
          </cell>
          <cell r="D5" t="e">
            <v>#N/A</v>
          </cell>
          <cell r="E5" t="e">
            <v>#N/A</v>
          </cell>
          <cell r="F5" t="e">
            <v>#N/A</v>
          </cell>
          <cell r="G5" t="e">
            <v>#N/A</v>
          </cell>
          <cell r="H5" t="e">
            <v>#N/A</v>
          </cell>
          <cell r="I5" t="e">
            <v>#N/A</v>
          </cell>
          <cell r="J5" t="e">
            <v>#N/A</v>
          </cell>
          <cell r="K5" t="e">
            <v>#N/A</v>
          </cell>
        </row>
        <row r="6">
          <cell r="A6">
            <v>2001</v>
          </cell>
          <cell r="B6" t="e">
            <v>#N/A</v>
          </cell>
          <cell r="C6" t="e">
            <v>#N/A</v>
          </cell>
          <cell r="D6" t="e">
            <v>#N/A</v>
          </cell>
          <cell r="E6" t="e">
            <v>#N/A</v>
          </cell>
          <cell r="F6" t="e">
            <v>#N/A</v>
          </cell>
          <cell r="G6" t="e">
            <v>#N/A</v>
          </cell>
          <cell r="H6" t="e">
            <v>#N/A</v>
          </cell>
          <cell r="I6" t="e">
            <v>#N/A</v>
          </cell>
          <cell r="J6" t="e">
            <v>#N/A</v>
          </cell>
          <cell r="K6" t="e">
            <v>#N/A</v>
          </cell>
        </row>
        <row r="7">
          <cell r="A7">
            <v>2002</v>
          </cell>
          <cell r="B7" t="e">
            <v>#N/A</v>
          </cell>
          <cell r="C7" t="e">
            <v>#N/A</v>
          </cell>
          <cell r="D7" t="e">
            <v>#N/A</v>
          </cell>
          <cell r="E7" t="e">
            <v>#N/A</v>
          </cell>
          <cell r="F7" t="e">
            <v>#N/A</v>
          </cell>
          <cell r="G7" t="e">
            <v>#N/A</v>
          </cell>
          <cell r="H7" t="e">
            <v>#N/A</v>
          </cell>
          <cell r="I7" t="e">
            <v>#N/A</v>
          </cell>
          <cell r="J7" t="e">
            <v>#N/A</v>
          </cell>
          <cell r="K7" t="e">
            <v>#N/A</v>
          </cell>
        </row>
        <row r="8">
          <cell r="A8">
            <v>2003</v>
          </cell>
          <cell r="B8" t="e">
            <v>#N/A</v>
          </cell>
          <cell r="C8" t="e">
            <v>#N/A</v>
          </cell>
          <cell r="D8" t="e">
            <v>#N/A</v>
          </cell>
          <cell r="E8" t="e">
            <v>#N/A</v>
          </cell>
          <cell r="F8" t="e">
            <v>#N/A</v>
          </cell>
          <cell r="G8" t="e">
            <v>#N/A</v>
          </cell>
          <cell r="H8" t="e">
            <v>#N/A</v>
          </cell>
          <cell r="I8" t="e">
            <v>#N/A</v>
          </cell>
          <cell r="J8" t="e">
            <v>#N/A</v>
          </cell>
          <cell r="K8" t="e">
            <v>#N/A</v>
          </cell>
        </row>
        <row r="9">
          <cell r="A9">
            <v>2004</v>
          </cell>
          <cell r="B9" t="e">
            <v>#N/A</v>
          </cell>
          <cell r="C9" t="e">
            <v>#N/A</v>
          </cell>
          <cell r="D9" t="e">
            <v>#N/A</v>
          </cell>
          <cell r="E9" t="e">
            <v>#N/A</v>
          </cell>
          <cell r="F9" t="e">
            <v>#N/A</v>
          </cell>
          <cell r="G9" t="e">
            <v>#N/A</v>
          </cell>
          <cell r="H9" t="e">
            <v>#N/A</v>
          </cell>
          <cell r="I9" t="e">
            <v>#N/A</v>
          </cell>
          <cell r="J9" t="e">
            <v>#N/A</v>
          </cell>
          <cell r="K9" t="e">
            <v>#N/A</v>
          </cell>
        </row>
        <row r="10">
          <cell r="A10">
            <v>2005</v>
          </cell>
          <cell r="B10" t="e">
            <v>#N/A</v>
          </cell>
          <cell r="C10" t="e">
            <v>#N/A</v>
          </cell>
          <cell r="D10" t="e">
            <v>#N/A</v>
          </cell>
          <cell r="E10" t="e">
            <v>#N/A</v>
          </cell>
          <cell r="F10" t="e">
            <v>#N/A</v>
          </cell>
          <cell r="G10" t="e">
            <v>#N/A</v>
          </cell>
          <cell r="H10" t="e">
            <v>#N/A</v>
          </cell>
          <cell r="I10" t="e">
            <v>#N/A</v>
          </cell>
          <cell r="J10" t="e">
            <v>#N/A</v>
          </cell>
          <cell r="K10" t="e">
            <v>#N/A</v>
          </cell>
        </row>
        <row r="11">
          <cell r="A11">
            <v>2006</v>
          </cell>
          <cell r="B11" t="e">
            <v>#N/A</v>
          </cell>
          <cell r="C11" t="e">
            <v>#N/A</v>
          </cell>
          <cell r="D11" t="e">
            <v>#N/A</v>
          </cell>
          <cell r="E11" t="e">
            <v>#N/A</v>
          </cell>
          <cell r="F11" t="e">
            <v>#N/A</v>
          </cell>
          <cell r="G11" t="e">
            <v>#N/A</v>
          </cell>
          <cell r="H11" t="e">
            <v>#N/A</v>
          </cell>
          <cell r="I11" t="e">
            <v>#N/A</v>
          </cell>
          <cell r="J11" t="e">
            <v>#N/A</v>
          </cell>
          <cell r="K11" t="e">
            <v>#N/A</v>
          </cell>
        </row>
        <row r="12">
          <cell r="A12">
            <v>2007</v>
          </cell>
          <cell r="B12" t="e">
            <v>#N/A</v>
          </cell>
          <cell r="C12" t="e">
            <v>#N/A</v>
          </cell>
          <cell r="D12" t="e">
            <v>#N/A</v>
          </cell>
          <cell r="E12" t="e">
            <v>#N/A</v>
          </cell>
          <cell r="F12" t="e">
            <v>#N/A</v>
          </cell>
          <cell r="G12" t="e">
            <v>#N/A</v>
          </cell>
          <cell r="H12" t="e">
            <v>#N/A</v>
          </cell>
          <cell r="I12" t="e">
            <v>#N/A</v>
          </cell>
          <cell r="J12" t="e">
            <v>#N/A</v>
          </cell>
          <cell r="K12" t="e">
            <v>#N/A</v>
          </cell>
        </row>
        <row r="13">
          <cell r="A13">
            <v>2008</v>
          </cell>
          <cell r="B13" t="e">
            <v>#N/A</v>
          </cell>
          <cell r="C13" t="e">
            <v>#N/A</v>
          </cell>
          <cell r="D13" t="e">
            <v>#N/A</v>
          </cell>
          <cell r="E13" t="e">
            <v>#N/A</v>
          </cell>
          <cell r="F13" t="e">
            <v>#N/A</v>
          </cell>
          <cell r="G13" t="e">
            <v>#N/A</v>
          </cell>
          <cell r="H13" t="e">
            <v>#N/A</v>
          </cell>
          <cell r="I13" t="e">
            <v>#N/A</v>
          </cell>
          <cell r="J13" t="e">
            <v>#N/A</v>
          </cell>
          <cell r="K13" t="e">
            <v>#N/A</v>
          </cell>
        </row>
        <row r="14">
          <cell r="A14">
            <v>2009</v>
          </cell>
          <cell r="B14">
            <v>41.4870646105297</v>
          </cell>
          <cell r="C14">
            <v>49.842777326998657</v>
          </cell>
          <cell r="D14">
            <v>1.3137190151747815</v>
          </cell>
          <cell r="E14">
            <v>60.719851679521319</v>
          </cell>
          <cell r="F14">
            <v>81.206669515113504</v>
          </cell>
          <cell r="G14">
            <v>51.858830763162125</v>
          </cell>
          <cell r="H14">
            <v>62.303471658748322</v>
          </cell>
          <cell r="I14">
            <v>1.6421487689684768</v>
          </cell>
          <cell r="J14">
            <v>75.899814599401651</v>
          </cell>
          <cell r="K14">
            <v>101.50833689389188</v>
          </cell>
        </row>
        <row r="15">
          <cell r="A15">
            <v>2010</v>
          </cell>
          <cell r="B15">
            <v>39.303033287584924</v>
          </cell>
          <cell r="C15">
            <v>41.04390914824053</v>
          </cell>
          <cell r="D15">
            <v>1.3689660411741162</v>
          </cell>
          <cell r="E15">
            <v>73.359743295359493</v>
          </cell>
          <cell r="F15">
            <v>83.429628029136367</v>
          </cell>
          <cell r="G15">
            <v>49.128791609481155</v>
          </cell>
          <cell r="H15">
            <v>51.304886435300659</v>
          </cell>
          <cell r="I15">
            <v>1.7112075514676452</v>
          </cell>
          <cell r="J15">
            <v>91.699679119199359</v>
          </cell>
          <cell r="K15">
            <v>104.28703503642045</v>
          </cell>
        </row>
        <row r="16">
          <cell r="A16">
            <v>2011</v>
          </cell>
          <cell r="B16">
            <v>38.676029625361238</v>
          </cell>
          <cell r="C16">
            <v>30.131119720094222</v>
          </cell>
          <cell r="D16">
            <v>1.4528682620216231</v>
          </cell>
          <cell r="E16">
            <v>71.994231778480625</v>
          </cell>
          <cell r="F16">
            <v>79.743902965570015</v>
          </cell>
          <cell r="G16">
            <v>48.345037031701544</v>
          </cell>
          <cell r="H16">
            <v>37.663899650117777</v>
          </cell>
          <cell r="I16">
            <v>1.8160853275270288</v>
          </cell>
          <cell r="J16">
            <v>89.992789723100771</v>
          </cell>
          <cell r="K16">
            <v>99.679878706962512</v>
          </cell>
        </row>
        <row r="17">
          <cell r="A17">
            <v>2012</v>
          </cell>
          <cell r="B17">
            <v>38.59066279801899</v>
          </cell>
          <cell r="C17">
            <v>29.186006755136368</v>
          </cell>
          <cell r="D17">
            <v>1.419109931490012</v>
          </cell>
          <cell r="E17">
            <v>68.069135621738639</v>
          </cell>
          <cell r="F17">
            <v>79.527293714166262</v>
          </cell>
          <cell r="G17">
            <v>48.238328497523732</v>
          </cell>
          <cell r="H17">
            <v>36.482508443920459</v>
          </cell>
          <cell r="I17">
            <v>1.773887414362515</v>
          </cell>
          <cell r="J17">
            <v>85.086419527173291</v>
          </cell>
          <cell r="K17">
            <v>99.409117142707828</v>
          </cell>
        </row>
        <row r="18">
          <cell r="A18">
            <v>2013</v>
          </cell>
          <cell r="B18">
            <v>33.612018676339652</v>
          </cell>
          <cell r="C18">
            <v>24.202611524352019</v>
          </cell>
          <cell r="D18">
            <v>1.41276580167717</v>
          </cell>
          <cell r="E18">
            <v>71.349360036617114</v>
          </cell>
          <cell r="F18">
            <v>80.677761954444478</v>
          </cell>
          <cell r="G18">
            <v>42.015023345424559</v>
          </cell>
          <cell r="H18">
            <v>30.253264405440021</v>
          </cell>
          <cell r="I18">
            <v>1.7659572520964624</v>
          </cell>
          <cell r="J18">
            <v>89.186700045771389</v>
          </cell>
          <cell r="K18">
            <v>100.84720244305559</v>
          </cell>
        </row>
        <row r="19">
          <cell r="A19">
            <v>2014</v>
          </cell>
          <cell r="B19">
            <v>34.177002714728161</v>
          </cell>
          <cell r="C19">
            <v>24.18589434504204</v>
          </cell>
          <cell r="D19">
            <v>1.4211204928210102</v>
          </cell>
          <cell r="E19">
            <v>73.004352594025221</v>
          </cell>
          <cell r="F19">
            <v>82.090936042505433</v>
          </cell>
          <cell r="G19">
            <v>42.721253393410201</v>
          </cell>
          <cell r="H19">
            <v>30.232367931302548</v>
          </cell>
          <cell r="I19">
            <v>1.7764006160262626</v>
          </cell>
          <cell r="J19">
            <v>91.255440742531519</v>
          </cell>
          <cell r="K19">
            <v>102.61367005313178</v>
          </cell>
        </row>
        <row r="20">
          <cell r="A20">
            <v>2015</v>
          </cell>
          <cell r="B20">
            <v>33.919440749675289</v>
          </cell>
          <cell r="C20">
            <v>23.802103311533163</v>
          </cell>
          <cell r="D20">
            <v>1.4108729269527294</v>
          </cell>
          <cell r="E20">
            <v>75.971606272632741</v>
          </cell>
          <cell r="F20">
            <v>83.305285103361399</v>
          </cell>
          <cell r="G20">
            <v>42.399300937094111</v>
          </cell>
          <cell r="H20">
            <v>29.752629139416452</v>
          </cell>
          <cell r="I20">
            <v>1.7635911586909117</v>
          </cell>
          <cell r="J20">
            <v>94.964507840790915</v>
          </cell>
          <cell r="K20">
            <v>104.13160637920174</v>
          </cell>
        </row>
        <row r="21">
          <cell r="A21">
            <v>2016</v>
          </cell>
          <cell r="B21">
            <v>32.969278927048187</v>
          </cell>
          <cell r="C21">
            <v>25.865640829181839</v>
          </cell>
          <cell r="D21">
            <v>1.3987040691570389</v>
          </cell>
          <cell r="E21">
            <v>72.960531597686028</v>
          </cell>
          <cell r="F21">
            <v>85.69418839534363</v>
          </cell>
          <cell r="G21">
            <v>41.211598658810232</v>
          </cell>
          <cell r="H21">
            <v>32.332051036477296</v>
          </cell>
          <cell r="I21">
            <v>1.7483800864462986</v>
          </cell>
          <cell r="J21">
            <v>91.200664497107525</v>
          </cell>
          <cell r="K21">
            <v>107.11773549417953</v>
          </cell>
        </row>
        <row r="22">
          <cell r="A22">
            <v>2017</v>
          </cell>
          <cell r="B22">
            <v>32.607554066724084</v>
          </cell>
          <cell r="C22">
            <v>28.835554000067415</v>
          </cell>
          <cell r="D22">
            <v>1.385953022491164</v>
          </cell>
          <cell r="E22">
            <v>70.9417443134693</v>
          </cell>
          <cell r="F22">
            <v>87.254156594806332</v>
          </cell>
          <cell r="G22">
            <v>40.759442583405104</v>
          </cell>
          <cell r="H22">
            <v>36.044442500084266</v>
          </cell>
          <cell r="I22">
            <v>1.7324412781139549</v>
          </cell>
          <cell r="J22">
            <v>88.677180391836615</v>
          </cell>
          <cell r="K22">
            <v>109.06769574350791</v>
          </cell>
        </row>
        <row r="23">
          <cell r="A23">
            <v>2018</v>
          </cell>
          <cell r="B23">
            <v>32.168623558123727</v>
          </cell>
          <cell r="C23">
            <v>30.482994845850701</v>
          </cell>
          <cell r="D23">
            <v>1.3769077862147379</v>
          </cell>
          <cell r="E23">
            <v>67.334350204048008</v>
          </cell>
          <cell r="F23">
            <v>87.431832256163446</v>
          </cell>
          <cell r="G23">
            <v>40.210779447654659</v>
          </cell>
          <cell r="H23">
            <v>38.103743557313372</v>
          </cell>
          <cell r="I23">
            <v>1.7211347327684223</v>
          </cell>
          <cell r="J23">
            <v>84.167937755060009</v>
          </cell>
          <cell r="K23">
            <v>109.2897903202043</v>
          </cell>
        </row>
        <row r="24">
          <cell r="A24">
            <v>2019</v>
          </cell>
          <cell r="B24">
            <v>32.275362246199727</v>
          </cell>
          <cell r="C24">
            <v>31.22579290738603</v>
          </cell>
          <cell r="D24">
            <v>1.3708161235291212</v>
          </cell>
          <cell r="E24">
            <v>66.766449593660141</v>
          </cell>
          <cell r="F24">
            <v>88.575708706759059</v>
          </cell>
          <cell r="G24">
            <v>40.344202807749653</v>
          </cell>
          <cell r="H24">
            <v>39.032241134232535</v>
          </cell>
          <cell r="I24">
            <v>1.7135201544114014</v>
          </cell>
          <cell r="J24">
            <v>83.458061992075173</v>
          </cell>
          <cell r="K24">
            <v>110.71963588344882</v>
          </cell>
        </row>
        <row r="25">
          <cell r="A25">
            <v>2020</v>
          </cell>
          <cell r="B25">
            <v>31.764322730536556</v>
          </cell>
          <cell r="C25">
            <v>31.912590183619571</v>
          </cell>
          <cell r="D25">
            <v>1.3632269373869477</v>
          </cell>
          <cell r="E25">
            <v>65.51748888602944</v>
          </cell>
          <cell r="F25">
            <v>89.528219408070854</v>
          </cell>
          <cell r="G25">
            <v>39.705403413170693</v>
          </cell>
          <cell r="H25">
            <v>39.89073772952446</v>
          </cell>
          <cell r="I25">
            <v>1.7040336717336846</v>
          </cell>
          <cell r="J25">
            <v>81.896861107536793</v>
          </cell>
          <cell r="K25">
            <v>111.91027426008856</v>
          </cell>
        </row>
        <row r="26">
          <cell r="A26">
            <v>2021</v>
          </cell>
          <cell r="B26">
            <v>31.511585634275058</v>
          </cell>
          <cell r="C26">
            <v>30.759040807245434</v>
          </cell>
          <cell r="D26">
            <v>1.3528978242542997</v>
          </cell>
          <cell r="E26">
            <v>63.949114991765768</v>
          </cell>
          <cell r="F26">
            <v>88.881614255254135</v>
          </cell>
          <cell r="G26">
            <v>39.389482042843817</v>
          </cell>
          <cell r="H26">
            <v>38.448801009056787</v>
          </cell>
          <cell r="I26">
            <v>1.6911222803178745</v>
          </cell>
          <cell r="J26">
            <v>79.936393739707199</v>
          </cell>
          <cell r="K26">
            <v>111.10201781906767</v>
          </cell>
        </row>
        <row r="27">
          <cell r="A27">
            <v>2022</v>
          </cell>
          <cell r="B27">
            <v>31.505899009780741</v>
          </cell>
          <cell r="C27">
            <v>30.757418433091956</v>
          </cell>
          <cell r="D27">
            <v>1.3531848456171685</v>
          </cell>
          <cell r="E27">
            <v>63.994250797695926</v>
          </cell>
          <cell r="F27">
            <v>88.855461048054309</v>
          </cell>
          <cell r="G27">
            <v>39.382373762225924</v>
          </cell>
          <cell r="H27">
            <v>38.446773041364942</v>
          </cell>
          <cell r="I27">
            <v>1.6914810570214605</v>
          </cell>
          <cell r="J27">
            <v>79.992813497119897</v>
          </cell>
          <cell r="K27">
            <v>111.06932631006788</v>
          </cell>
        </row>
        <row r="28">
          <cell r="A28">
            <v>2023</v>
          </cell>
          <cell r="B28">
            <v>31.268776798009586</v>
          </cell>
          <cell r="C28">
            <v>30.347501468116857</v>
          </cell>
          <cell r="D28">
            <v>1.353501656495435</v>
          </cell>
          <cell r="E28">
            <v>63.355898942816808</v>
          </cell>
          <cell r="F28">
            <v>87.516109938843172</v>
          </cell>
          <cell r="G28">
            <v>39.085970997511978</v>
          </cell>
          <cell r="H28">
            <v>37.934376835146068</v>
          </cell>
          <cell r="I28">
            <v>1.6918770706192936</v>
          </cell>
          <cell r="J28">
            <v>79.194873678521006</v>
          </cell>
          <cell r="K28">
            <v>109.39513742355396</v>
          </cell>
        </row>
        <row r="29">
          <cell r="A29">
            <v>2024</v>
          </cell>
          <cell r="B29">
            <v>29.11879138695036</v>
          </cell>
          <cell r="C29">
            <v>29.989357753007045</v>
          </cell>
          <cell r="D29">
            <v>1.3376869869711983</v>
          </cell>
          <cell r="E29">
            <v>59.737949050491395</v>
          </cell>
          <cell r="F29">
            <v>84.721491562319002</v>
          </cell>
          <cell r="G29">
            <v>36.398489233687947</v>
          </cell>
          <cell r="H29">
            <v>37.486697191258806</v>
          </cell>
          <cell r="I29">
            <v>1.6721087337139977</v>
          </cell>
          <cell r="J29">
            <v>74.672436313114233</v>
          </cell>
          <cell r="K29">
            <v>105.90186445289875</v>
          </cell>
        </row>
        <row r="30">
          <cell r="A30">
            <v>2025</v>
          </cell>
          <cell r="B30">
            <v>28.915364719520834</v>
          </cell>
          <cell r="C30">
            <v>30.937950586574711</v>
          </cell>
          <cell r="D30">
            <v>1.3387590507981035</v>
          </cell>
          <cell r="E30">
            <v>56.906903527870377</v>
          </cell>
          <cell r="F30">
            <v>83.894426991253937</v>
          </cell>
          <cell r="G30">
            <v>36.144205899401044</v>
          </cell>
          <cell r="H30">
            <v>38.672438233218386</v>
          </cell>
          <cell r="I30">
            <v>1.6734488134976293</v>
          </cell>
          <cell r="J30">
            <v>71.133629409837965</v>
          </cell>
          <cell r="K30">
            <v>104.86803373906741</v>
          </cell>
        </row>
        <row r="31">
          <cell r="A31">
            <v>2026</v>
          </cell>
          <cell r="B31">
            <v>26.792056850296536</v>
          </cell>
          <cell r="C31">
            <v>30.243844622984199</v>
          </cell>
          <cell r="D31">
            <v>1.3270068436382685</v>
          </cell>
          <cell r="E31">
            <v>54.755678348656964</v>
          </cell>
          <cell r="F31">
            <v>81.51277318057862</v>
          </cell>
          <cell r="G31">
            <v>33.490071062870669</v>
          </cell>
          <cell r="H31">
            <v>37.804805778730248</v>
          </cell>
          <cell r="I31">
            <v>1.6587585545478356</v>
          </cell>
          <cell r="J31">
            <v>68.444597935821207</v>
          </cell>
          <cell r="K31">
            <v>101.89096647572327</v>
          </cell>
        </row>
        <row r="32">
          <cell r="A32">
            <v>2027</v>
          </cell>
          <cell r="B32">
            <v>26.747248673179346</v>
          </cell>
          <cell r="C32">
            <v>30.139554153874911</v>
          </cell>
          <cell r="D32">
            <v>1.3254160622191002</v>
          </cell>
          <cell r="E32">
            <v>54.596427744981781</v>
          </cell>
          <cell r="F32">
            <v>81.415765874657836</v>
          </cell>
          <cell r="G32">
            <v>33.434060841474178</v>
          </cell>
          <cell r="H32">
            <v>37.674442692343639</v>
          </cell>
          <cell r="I32">
            <v>1.6567700777738752</v>
          </cell>
          <cell r="J32">
            <v>68.245534681227227</v>
          </cell>
          <cell r="K32">
            <v>101.7697073433223</v>
          </cell>
        </row>
        <row r="33">
          <cell r="A33">
            <v>2028</v>
          </cell>
          <cell r="B33">
            <v>26.661911968564851</v>
          </cell>
          <cell r="C33">
            <v>30.416552439638028</v>
          </cell>
          <cell r="D33">
            <v>1.3243101999125089</v>
          </cell>
          <cell r="E33">
            <v>54.315821867593868</v>
          </cell>
          <cell r="F33">
            <v>81.477169356254748</v>
          </cell>
          <cell r="G33">
            <v>33.327389960706064</v>
          </cell>
          <cell r="H33">
            <v>38.020690549547531</v>
          </cell>
          <cell r="I33">
            <v>1.655387749890636</v>
          </cell>
          <cell r="J33">
            <v>67.894777334492332</v>
          </cell>
          <cell r="K33">
            <v>101.84646169531842</v>
          </cell>
        </row>
        <row r="34">
          <cell r="A34">
            <v>2029</v>
          </cell>
          <cell r="B34">
            <v>26.708286639115801</v>
          </cell>
          <cell r="C34">
            <v>29.955921488384824</v>
          </cell>
          <cell r="D34">
            <v>1.3259384843530841</v>
          </cell>
          <cell r="E34">
            <v>54.652393769966409</v>
          </cell>
          <cell r="F34">
            <v>81.399744107265448</v>
          </cell>
          <cell r="G34">
            <v>33.385358298894751</v>
          </cell>
          <cell r="H34">
            <v>37.444901860481025</v>
          </cell>
          <cell r="I34">
            <v>1.6574231054413551</v>
          </cell>
          <cell r="J34">
            <v>68.315492212458011</v>
          </cell>
          <cell r="K34">
            <v>101.7496801340818</v>
          </cell>
        </row>
        <row r="35">
          <cell r="A35">
            <v>2030</v>
          </cell>
          <cell r="B35">
            <v>26.705890070774437</v>
          </cell>
          <cell r="C35">
            <v>30.014127491448264</v>
          </cell>
          <cell r="D35">
            <v>1.3244440924035503</v>
          </cell>
          <cell r="E35">
            <v>54.447369211731186</v>
          </cell>
          <cell r="F35">
            <v>81.367559728706354</v>
          </cell>
          <cell r="G35">
            <v>33.382362588468041</v>
          </cell>
          <cell r="H35">
            <v>37.517659364310326</v>
          </cell>
          <cell r="I35">
            <v>1.6555551155044379</v>
          </cell>
          <cell r="J35">
            <v>68.059211514663971</v>
          </cell>
          <cell r="K35">
            <v>101.70944966088294</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sheetData sheetId="1"/>
      <sheetData sheetId="2"/>
      <sheetData sheetId="3"/>
      <sheetData sheetId="4"/>
      <sheetData sheetId="5"/>
      <sheetData sheetId="6"/>
      <sheetData sheetId="7">
        <row r="5">
          <cell r="A5">
            <v>1980</v>
          </cell>
          <cell r="B5">
            <v>0.37506131712544738</v>
          </cell>
        </row>
        <row r="6">
          <cell r="A6">
            <v>1981</v>
          </cell>
          <cell r="B6">
            <v>0.41168372038305384</v>
          </cell>
        </row>
        <row r="7">
          <cell r="A7">
            <v>1982</v>
          </cell>
          <cell r="B7">
            <v>0.45562101729787652</v>
          </cell>
        </row>
        <row r="8">
          <cell r="A8">
            <v>1983</v>
          </cell>
          <cell r="B8">
            <v>0.48810953461292733</v>
          </cell>
        </row>
        <row r="9">
          <cell r="A9">
            <v>1984</v>
          </cell>
          <cell r="B9">
            <v>0.51623253725088791</v>
          </cell>
        </row>
        <row r="10">
          <cell r="A10">
            <v>1985</v>
          </cell>
          <cell r="B10">
            <v>0.53732466149608082</v>
          </cell>
        </row>
        <row r="11">
          <cell r="A11">
            <v>1986</v>
          </cell>
          <cell r="B11">
            <v>0.55133272736952743</v>
          </cell>
        </row>
        <row r="12">
          <cell r="A12">
            <v>1987</v>
          </cell>
          <cell r="B12">
            <v>0.57910435744365141</v>
          </cell>
        </row>
        <row r="13">
          <cell r="A13">
            <v>1988</v>
          </cell>
          <cell r="B13">
            <v>0.59470544835024419</v>
          </cell>
        </row>
        <row r="14">
          <cell r="A14">
            <v>1989</v>
          </cell>
          <cell r="B14">
            <v>0.62521046494054278</v>
          </cell>
        </row>
        <row r="15">
          <cell r="A15">
            <v>1990</v>
          </cell>
          <cell r="B15">
            <v>0.6438158030322807</v>
          </cell>
        </row>
        <row r="16">
          <cell r="A16">
            <v>1991</v>
          </cell>
          <cell r="B16">
            <v>0.66395832589117032</v>
          </cell>
        </row>
        <row r="17">
          <cell r="A17">
            <v>1992</v>
          </cell>
          <cell r="B17">
            <v>0.67788577854183973</v>
          </cell>
        </row>
        <row r="18">
          <cell r="A18">
            <v>1993</v>
          </cell>
          <cell r="B18">
            <v>0.68113237804584836</v>
          </cell>
        </row>
        <row r="19">
          <cell r="A19">
            <v>1994</v>
          </cell>
          <cell r="B19">
            <v>0.691149948133849</v>
          </cell>
        </row>
        <row r="20">
          <cell r="A20">
            <v>1995</v>
          </cell>
          <cell r="B20">
            <v>0.69790566629112361</v>
          </cell>
        </row>
        <row r="21">
          <cell r="A21">
            <v>1996</v>
          </cell>
          <cell r="B21">
            <v>0.71015784226507372</v>
          </cell>
        </row>
        <row r="22">
          <cell r="A22">
            <v>1997</v>
          </cell>
          <cell r="B22">
            <v>0.7234342957194968</v>
          </cell>
        </row>
        <row r="23">
          <cell r="A23">
            <v>1998</v>
          </cell>
          <cell r="B23">
            <v>0.72851013107366369</v>
          </cell>
        </row>
        <row r="24">
          <cell r="A24">
            <v>1999</v>
          </cell>
          <cell r="B24">
            <v>0.73927692059326633</v>
          </cell>
        </row>
        <row r="25">
          <cell r="A25">
            <v>2000</v>
          </cell>
          <cell r="B25">
            <v>0.76205348310400023</v>
          </cell>
        </row>
        <row r="26">
          <cell r="A26">
            <v>2001</v>
          </cell>
          <cell r="B26">
            <v>0.78065677402845424</v>
          </cell>
        </row>
        <row r="27">
          <cell r="A27">
            <v>2002</v>
          </cell>
          <cell r="B27">
            <v>0.79797378097370975</v>
          </cell>
        </row>
        <row r="28">
          <cell r="A28">
            <v>2003</v>
          </cell>
          <cell r="B28">
            <v>0.81230900976869758</v>
          </cell>
        </row>
        <row r="29">
          <cell r="A29">
            <v>2004</v>
          </cell>
          <cell r="B29">
            <v>0.83450858367624536</v>
          </cell>
        </row>
        <row r="30">
          <cell r="A30">
            <v>2005</v>
          </cell>
          <cell r="B30">
            <v>0.85871110897387459</v>
          </cell>
        </row>
        <row r="31">
          <cell r="A31">
            <v>2006</v>
          </cell>
          <cell r="B31">
            <v>0.87719662595231063</v>
          </cell>
        </row>
        <row r="32">
          <cell r="A32">
            <v>2007</v>
          </cell>
          <cell r="B32">
            <v>0.89864892970247368</v>
          </cell>
        </row>
        <row r="33">
          <cell r="A33">
            <v>2008</v>
          </cell>
          <cell r="B33">
            <v>0.94185407750382988</v>
          </cell>
        </row>
        <row r="34">
          <cell r="A34">
            <v>2009</v>
          </cell>
          <cell r="B34">
            <v>0.95393698434397911</v>
          </cell>
        </row>
        <row r="35">
          <cell r="A35">
            <v>2010</v>
          </cell>
          <cell r="B35">
            <v>0.99475761161526988</v>
          </cell>
        </row>
        <row r="36">
          <cell r="A36">
            <v>2011</v>
          </cell>
          <cell r="B36">
            <v>1</v>
          </cell>
        </row>
        <row r="37">
          <cell r="A37">
            <v>2012</v>
          </cell>
          <cell r="B37">
            <v>1.0196773049523586</v>
          </cell>
        </row>
        <row r="38">
          <cell r="A38">
            <v>2013</v>
          </cell>
          <cell r="B38">
            <v>1.0327160946505731</v>
          </cell>
        </row>
        <row r="39">
          <cell r="A39">
            <v>2014</v>
          </cell>
          <cell r="B39">
            <v>1.0588816060645614</v>
          </cell>
        </row>
        <row r="40">
          <cell r="A40">
            <v>2015</v>
          </cell>
          <cell r="B40">
            <v>1.0830033936263026</v>
          </cell>
        </row>
        <row r="41">
          <cell r="A41">
            <v>2016</v>
          </cell>
          <cell r="B41">
            <v>1.1042331538054642</v>
          </cell>
        </row>
        <row r="42">
          <cell r="A42">
            <v>2017</v>
          </cell>
          <cell r="B42">
            <v>1.1258522364272121</v>
          </cell>
        </row>
        <row r="43">
          <cell r="A43">
            <v>2018</v>
          </cell>
          <cell r="B43">
            <v>1.1476804495524398</v>
          </cell>
        </row>
        <row r="44">
          <cell r="A44">
            <v>2019</v>
          </cell>
          <cell r="B44">
            <v>1.171076514594654</v>
          </cell>
        </row>
        <row r="45">
          <cell r="A45">
            <v>2020</v>
          </cell>
          <cell r="B45">
            <v>1.1945470298900163</v>
          </cell>
        </row>
        <row r="46">
          <cell r="A46">
            <v>2021</v>
          </cell>
          <cell r="B46">
            <v>1.219585173837477</v>
          </cell>
        </row>
        <row r="47">
          <cell r="A47">
            <v>2022</v>
          </cell>
          <cell r="B47">
            <v>1.2445174043567566</v>
          </cell>
        </row>
        <row r="48">
          <cell r="A48">
            <v>2023</v>
          </cell>
          <cell r="B48">
            <v>1.272198970233638</v>
          </cell>
        </row>
        <row r="49">
          <cell r="A49">
            <v>2024</v>
          </cell>
          <cell r="B49">
            <v>1.29926873879382</v>
          </cell>
        </row>
        <row r="50">
          <cell r="A50">
            <v>2025</v>
          </cell>
          <cell r="B50">
            <v>1.3267766646973558</v>
          </cell>
        </row>
        <row r="51">
          <cell r="A51">
            <v>2026</v>
          </cell>
          <cell r="B51">
            <v>1.3548485491217102</v>
          </cell>
        </row>
        <row r="52">
          <cell r="A52">
            <v>2027</v>
          </cell>
          <cell r="B52">
            <v>1.3834877668015415</v>
          </cell>
        </row>
        <row r="53">
          <cell r="A53">
            <v>2028</v>
          </cell>
          <cell r="B53">
            <v>1.4126545078898376</v>
          </cell>
        </row>
        <row r="54">
          <cell r="A54">
            <v>2029</v>
          </cell>
          <cell r="B54">
            <v>1.4426508326062912</v>
          </cell>
        </row>
        <row r="55">
          <cell r="A55">
            <v>2030</v>
          </cell>
          <cell r="B55">
            <v>1.4732006309809229</v>
          </cell>
        </row>
      </sheetData>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ktion"/>
      <sheetName val="Benzin - diesel - hybrid"/>
      <sheetName val="El og plugin hybrid"/>
      <sheetName val="Interne beregninger - E&amp;PH"/>
      <sheetName val="Sammenligning på tværs"/>
      <sheetName val="Beregningsmetode"/>
      <sheetName val="Interne beregninger - B&amp;D&amp;H"/>
      <sheetName val="ENS udvikling i elpris"/>
      <sheetName val="ENS udvikling i brændstofspris"/>
    </sheetNames>
    <sheetDataSet>
      <sheetData sheetId="0"/>
      <sheetData sheetId="1">
        <row r="132">
          <cell r="E132" t="str">
            <v>PRODUKT 1</v>
          </cell>
        </row>
      </sheetData>
      <sheetData sheetId="2">
        <row r="151">
          <cell r="E151" t="str">
            <v>PRODUKT 1 EL</v>
          </cell>
        </row>
      </sheetData>
      <sheetData sheetId="3">
        <row r="7">
          <cell r="C7">
            <v>1</v>
          </cell>
        </row>
      </sheetData>
      <sheetData sheetId="4">
        <row r="10">
          <cell r="E10" t="str">
            <v>PRODUKT 1</v>
          </cell>
        </row>
      </sheetData>
      <sheetData sheetId="5"/>
      <sheetData sheetId="6"/>
      <sheetData sheetId="7">
        <row r="4">
          <cell r="A4" t="str">
            <v>2019-priser kr./MWh</v>
          </cell>
        </row>
      </sheetData>
      <sheetData sheetId="8">
        <row r="4">
          <cell r="A4" t="str">
            <v>2019-priser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pris"/>
      <sheetName val="FVpris"/>
      <sheetName val="Elprisfigur"/>
      <sheetName val="Bkg1367"/>
      <sheetName val="PSO"/>
      <sheetName val="Transmissionstarif"/>
      <sheetName val="Distributionstarif"/>
      <sheetName val="Deflator"/>
      <sheetName val="OutputBeregningsforudsætninger"/>
    </sheetNames>
    <sheetDataSet>
      <sheetData sheetId="0">
        <row r="3">
          <cell r="I3">
            <v>2011</v>
          </cell>
        </row>
      </sheetData>
      <sheetData sheetId="1"/>
      <sheetData sheetId="2" refreshError="1"/>
      <sheetData sheetId="3" refreshError="1"/>
      <sheetData sheetId="4" refreshError="1"/>
      <sheetData sheetId="5" refreshError="1"/>
      <sheetData sheetId="6"/>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hyperlink" Target="https://www.drivkraftdanmark.dk/priser/benzin-95-oktan/" TargetMode="External"/><Relationship Id="rId2" Type="http://schemas.openxmlformats.org/officeDocument/2006/relationships/hyperlink" Target="https://www.drivkraftdanmark.dk/priser/benzin-95-oktan/" TargetMode="External"/><Relationship Id="rId1" Type="http://schemas.openxmlformats.org/officeDocument/2006/relationships/hyperlink" Target="https://ens.dk/sites/ens.dk/files/Analyser/samfundsoekonomiske_beregningsforudsaetninger_for_energipriser_og_emissioner_2019.pdf" TargetMode="Externa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L46"/>
  <sheetViews>
    <sheetView showGridLines="0" showRowColHeaders="0" workbookViewId="0">
      <selection activeCell="A42" sqref="A42:XFD1048576"/>
    </sheetView>
  </sheetViews>
  <sheetFormatPr defaultColWidth="0" defaultRowHeight="15" zeroHeight="1"/>
  <cols>
    <col min="1" max="11" width="9.140625" customWidth="1"/>
    <col min="12" max="12" width="5.140625" customWidth="1"/>
    <col min="13" max="16384" width="9.140625" hidden="1"/>
  </cols>
  <sheetData>
    <row r="1"/>
    <row r="2"/>
    <row r="3"/>
    <row r="4"/>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sheetData>
  <sheetProtection sheet="1" objects="1" scenarios="1" selectLockedCells="1" selectUnlockedCell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A1:BX491"/>
  <sheetViews>
    <sheetView showGridLines="0" tabSelected="1" zoomScaleNormal="100" zoomScalePageLayoutView="125" workbookViewId="0">
      <selection activeCell="E9" sqref="E9"/>
    </sheetView>
  </sheetViews>
  <sheetFormatPr defaultColWidth="0" defaultRowHeight="14.25" zeroHeight="1" outlineLevelCol="1"/>
  <cols>
    <col min="1" max="2" width="4.140625" style="14" customWidth="1"/>
    <col min="3" max="3" width="80.140625" style="14" customWidth="1"/>
    <col min="4" max="4" width="21.85546875" style="87" customWidth="1"/>
    <col min="5" max="5" width="20.7109375" style="88" customWidth="1"/>
    <col min="6" max="6" width="4.42578125" style="88" customWidth="1"/>
    <col min="7" max="7" width="20.7109375" style="88" hidden="1" customWidth="1" outlineLevel="1"/>
    <col min="8" max="8" width="3.42578125" style="88" customWidth="1" collapsed="1"/>
    <col min="9" max="9" width="20.7109375" style="88" hidden="1" customWidth="1" outlineLevel="1"/>
    <col min="10" max="10" width="3.140625" style="88" customWidth="1" collapsed="1"/>
    <col min="11" max="11" width="20.7109375" style="88" hidden="1" customWidth="1" outlineLevel="1"/>
    <col min="12" max="12" width="2.42578125" style="88" customWidth="1" collapsed="1"/>
    <col min="13" max="13" width="20.7109375" style="88" hidden="1" customWidth="1" outlineLevel="1"/>
    <col min="14" max="14" width="3.140625" style="88" customWidth="1" collapsed="1"/>
    <col min="15" max="15" width="20.7109375" style="88" hidden="1" customWidth="1" outlineLevel="1"/>
    <col min="16" max="16" width="4.28515625" style="88" customWidth="1" collapsed="1"/>
    <col min="17" max="17" width="20.7109375" style="88" hidden="1" customWidth="1" outlineLevel="1"/>
    <col min="18" max="18" width="3.7109375" style="88" customWidth="1" collapsed="1"/>
    <col min="19" max="19" width="20.7109375" style="88" hidden="1" customWidth="1" outlineLevel="1"/>
    <col min="20" max="20" width="4.140625" style="88" customWidth="1" collapsed="1"/>
    <col min="21" max="21" width="20.7109375" style="88" hidden="1" customWidth="1" outlineLevel="1"/>
    <col min="22" max="22" width="4.42578125" style="88" customWidth="1" collapsed="1"/>
    <col min="23" max="23" width="20.7109375" style="88" hidden="1" customWidth="1" outlineLevel="1"/>
    <col min="24" max="24" width="5.140625" style="88" customWidth="1" collapsed="1"/>
    <col min="25" max="25" width="7.140625" style="11" customWidth="1"/>
    <col min="26" max="26" width="2.85546875" style="11" customWidth="1"/>
    <col min="27" max="27" width="8.85546875" style="11" customWidth="1"/>
    <col min="28" max="28" width="58.140625" style="11" customWidth="1"/>
    <col min="29" max="32" width="31" style="11" customWidth="1"/>
    <col min="33" max="46" width="0" style="11" hidden="1" customWidth="1"/>
    <col min="47" max="76" width="0" style="14" hidden="1" customWidth="1"/>
    <col min="77" max="16384" width="8.855468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c r="AD1" s="10"/>
      <c r="AE1" s="10"/>
      <c r="AF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D2" s="10"/>
      <c r="AE2" s="10"/>
      <c r="AF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58.5" customHeight="1">
      <c r="A3" s="15"/>
      <c r="B3" s="540" t="s">
        <v>211</v>
      </c>
      <c r="C3" s="540"/>
      <c r="D3" s="123"/>
      <c r="E3" s="16"/>
      <c r="F3" s="17"/>
      <c r="G3" s="17"/>
      <c r="H3" s="17"/>
      <c r="I3" s="16"/>
      <c r="J3" s="17"/>
      <c r="K3" s="17"/>
      <c r="L3" s="17"/>
      <c r="M3" s="16"/>
      <c r="N3" s="17"/>
      <c r="O3" s="17"/>
      <c r="P3" s="17"/>
      <c r="Q3" s="16"/>
      <c r="R3" s="17"/>
      <c r="S3" s="17"/>
      <c r="T3" s="17"/>
      <c r="U3" s="17"/>
      <c r="V3" s="17"/>
      <c r="W3" s="17"/>
      <c r="X3" s="17"/>
      <c r="Y3" s="17"/>
      <c r="Z3" s="17"/>
      <c r="AA3" s="17"/>
      <c r="AB3" s="17"/>
      <c r="AC3" s="17"/>
      <c r="AD3" s="17"/>
      <c r="AE3" s="17"/>
      <c r="AF3" s="17"/>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D4" s="10"/>
      <c r="AE4" s="10"/>
      <c r="AF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D5" s="10"/>
      <c r="AE5" s="10"/>
      <c r="AF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2" t="s">
        <v>2</v>
      </c>
      <c r="C6" s="543"/>
      <c r="D6" s="543"/>
      <c r="E6" s="543"/>
      <c r="F6" s="92"/>
      <c r="G6" s="92"/>
      <c r="H6" s="92"/>
      <c r="I6" s="93"/>
      <c r="J6" s="92"/>
      <c r="K6" s="93"/>
      <c r="L6" s="93"/>
      <c r="M6" s="93"/>
      <c r="N6" s="93"/>
      <c r="O6" s="93"/>
      <c r="P6" s="93"/>
      <c r="Q6" s="93"/>
      <c r="R6" s="93"/>
      <c r="S6" s="93"/>
      <c r="T6" s="93"/>
      <c r="U6" s="93"/>
      <c r="V6" s="93"/>
      <c r="W6" s="93"/>
      <c r="X6" s="94"/>
      <c r="Y6" s="10"/>
      <c r="Z6" s="10"/>
      <c r="AA6" s="10"/>
      <c r="AB6" s="10"/>
      <c r="AC6" s="10"/>
      <c r="AD6" s="10"/>
      <c r="AE6" s="10"/>
      <c r="AF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5.15" customHeight="1">
      <c r="A7" s="15"/>
      <c r="B7" s="90" t="s">
        <v>217</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7"/>
      <c r="AE7" s="17"/>
      <c r="AF7" s="17"/>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35</v>
      </c>
      <c r="E8" s="7" t="s">
        <v>6</v>
      </c>
      <c r="F8" s="99"/>
      <c r="G8" s="7" t="s">
        <v>7</v>
      </c>
      <c r="H8" s="97"/>
      <c r="I8" s="7" t="s">
        <v>8</v>
      </c>
      <c r="J8" s="99"/>
      <c r="K8" s="7" t="s">
        <v>13</v>
      </c>
      <c r="L8" s="97"/>
      <c r="M8" s="7" t="s">
        <v>12</v>
      </c>
      <c r="N8" s="99"/>
      <c r="O8" s="7" t="s">
        <v>11</v>
      </c>
      <c r="P8" s="97"/>
      <c r="Q8" s="7" t="s">
        <v>9</v>
      </c>
      <c r="R8" s="99"/>
      <c r="S8" s="7" t="s">
        <v>10</v>
      </c>
      <c r="T8" s="117"/>
      <c r="U8" s="7" t="s">
        <v>127</v>
      </c>
      <c r="V8" s="117"/>
      <c r="W8" s="7" t="s">
        <v>126</v>
      </c>
      <c r="X8" s="100"/>
      <c r="Y8" s="17"/>
      <c r="Z8" s="17"/>
      <c r="AA8" s="17"/>
      <c r="AB8" s="17"/>
      <c r="AC8" s="17"/>
      <c r="AD8" s="17"/>
      <c r="AE8" s="17"/>
      <c r="AF8" s="17"/>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33</v>
      </c>
      <c r="D9" s="98" t="s">
        <v>35</v>
      </c>
      <c r="E9" s="290"/>
      <c r="F9" s="107"/>
      <c r="G9" s="290"/>
      <c r="H9" s="127"/>
      <c r="I9" s="290"/>
      <c r="J9" s="107"/>
      <c r="K9" s="290"/>
      <c r="L9" s="127"/>
      <c r="M9" s="290"/>
      <c r="N9" s="107"/>
      <c r="O9" s="290"/>
      <c r="P9" s="127"/>
      <c r="Q9" s="290"/>
      <c r="R9" s="107"/>
      <c r="S9" s="290"/>
      <c r="T9" s="117"/>
      <c r="U9" s="290"/>
      <c r="V9" s="117"/>
      <c r="W9" s="290"/>
      <c r="X9" s="100"/>
      <c r="Y9" s="17"/>
      <c r="Z9" s="17"/>
      <c r="AA9" s="17"/>
      <c r="AB9" s="17"/>
      <c r="AC9" s="17"/>
      <c r="AD9" s="17"/>
      <c r="AE9" s="17"/>
      <c r="AF9" s="17"/>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34</v>
      </c>
      <c r="D10" s="98" t="s">
        <v>35</v>
      </c>
      <c r="E10" s="290"/>
      <c r="F10" s="107"/>
      <c r="G10" s="290"/>
      <c r="H10" s="127"/>
      <c r="I10" s="290"/>
      <c r="J10" s="107"/>
      <c r="K10" s="290"/>
      <c r="L10" s="127"/>
      <c r="M10" s="290"/>
      <c r="N10" s="107"/>
      <c r="O10" s="290"/>
      <c r="P10" s="127"/>
      <c r="Q10" s="290"/>
      <c r="R10" s="107"/>
      <c r="S10" s="290"/>
      <c r="T10" s="117"/>
      <c r="U10" s="290"/>
      <c r="V10" s="117"/>
      <c r="W10" s="290"/>
      <c r="X10" s="100"/>
      <c r="Y10" s="17"/>
      <c r="Z10" s="17"/>
      <c r="AA10" s="17"/>
      <c r="AB10" s="17"/>
      <c r="AC10" s="17"/>
      <c r="AD10" s="17"/>
      <c r="AE10" s="17"/>
      <c r="AF10" s="17"/>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D11" s="10"/>
      <c r="AE11" s="10"/>
      <c r="AF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46" t="s">
        <v>209</v>
      </c>
      <c r="D12" s="447" t="s">
        <v>128</v>
      </c>
      <c r="E12" s="207"/>
      <c r="F12" s="267"/>
      <c r="G12" s="207"/>
      <c r="H12" s="267"/>
      <c r="I12" s="207"/>
      <c r="J12" s="267"/>
      <c r="K12" s="207"/>
      <c r="L12" s="267"/>
      <c r="M12" s="207"/>
      <c r="N12" s="267"/>
      <c r="O12" s="207"/>
      <c r="P12" s="267"/>
      <c r="Q12" s="207"/>
      <c r="R12" s="267"/>
      <c r="S12" s="207"/>
      <c r="T12" s="117"/>
      <c r="U12" s="207"/>
      <c r="V12" s="117"/>
      <c r="W12" s="207"/>
      <c r="X12" s="108"/>
      <c r="Y12" s="10"/>
      <c r="Z12" s="10"/>
      <c r="AA12" s="10"/>
      <c r="AB12" s="10"/>
      <c r="AC12" s="10"/>
      <c r="AD12" s="10"/>
      <c r="AE12" s="10"/>
      <c r="AF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98"/>
      <c r="D13" s="98"/>
      <c r="E13" s="125"/>
      <c r="F13" s="107"/>
      <c r="G13" s="125"/>
      <c r="H13" s="168"/>
      <c r="I13" s="125"/>
      <c r="J13" s="107"/>
      <c r="K13" s="125"/>
      <c r="L13" s="107"/>
      <c r="M13" s="125"/>
      <c r="N13" s="107"/>
      <c r="O13" s="125"/>
      <c r="P13" s="107"/>
      <c r="Q13" s="125"/>
      <c r="R13" s="107"/>
      <c r="S13" s="125"/>
      <c r="T13" s="117"/>
      <c r="U13" s="125"/>
      <c r="V13" s="117"/>
      <c r="W13" s="125"/>
      <c r="X13" s="108"/>
      <c r="Y13" s="10"/>
      <c r="Z13" s="10"/>
      <c r="AA13" s="10"/>
      <c r="AB13" s="10"/>
      <c r="AC13" s="10"/>
      <c r="AD13" s="10"/>
      <c r="AE13" s="10"/>
      <c r="AF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9"/>
      <c r="C14" s="110" t="s">
        <v>19</v>
      </c>
      <c r="D14" s="110"/>
      <c r="E14" s="110"/>
      <c r="F14" s="110"/>
      <c r="G14" s="110"/>
      <c r="H14" s="168"/>
      <c r="I14" s="110"/>
      <c r="J14" s="110"/>
      <c r="K14" s="110"/>
      <c r="L14" s="107"/>
      <c r="M14" s="110"/>
      <c r="N14" s="110"/>
      <c r="O14" s="110"/>
      <c r="P14" s="107"/>
      <c r="Q14" s="110"/>
      <c r="R14" s="110"/>
      <c r="S14" s="110"/>
      <c r="T14" s="117"/>
      <c r="U14" s="110"/>
      <c r="V14" s="117"/>
      <c r="W14" s="110"/>
      <c r="X14" s="108"/>
      <c r="Y14" s="10"/>
      <c r="Z14" s="10"/>
      <c r="AA14" s="10"/>
      <c r="AB14" s="10"/>
      <c r="AC14" s="10"/>
      <c r="AD14" s="10"/>
      <c r="AE14" s="10"/>
      <c r="AF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6"/>
      <c r="C15" s="448" t="s">
        <v>130</v>
      </c>
      <c r="D15" s="447" t="s">
        <v>131</v>
      </c>
      <c r="E15" s="89"/>
      <c r="F15" s="107"/>
      <c r="G15" s="89"/>
      <c r="H15" s="107"/>
      <c r="I15" s="89"/>
      <c r="J15" s="107"/>
      <c r="K15" s="89"/>
      <c r="L15" s="107"/>
      <c r="M15" s="89"/>
      <c r="N15" s="107"/>
      <c r="O15" s="89"/>
      <c r="P15" s="107"/>
      <c r="Q15" s="89"/>
      <c r="R15" s="107"/>
      <c r="S15" s="89"/>
      <c r="T15" s="117"/>
      <c r="U15" s="89"/>
      <c r="V15" s="117"/>
      <c r="W15" s="89"/>
      <c r="X15" s="108"/>
      <c r="Y15" s="10"/>
      <c r="Z15" s="10"/>
      <c r="AA15" s="10"/>
      <c r="AB15" s="10"/>
      <c r="AC15" s="10"/>
      <c r="AD15" s="10"/>
      <c r="AE15" s="10"/>
      <c r="AF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98"/>
      <c r="D16" s="98"/>
      <c r="E16" s="125"/>
      <c r="F16" s="107"/>
      <c r="G16" s="125"/>
      <c r="H16" s="107"/>
      <c r="I16" s="125"/>
      <c r="J16" s="107"/>
      <c r="K16" s="125"/>
      <c r="L16" s="107"/>
      <c r="M16" s="125"/>
      <c r="N16" s="107"/>
      <c r="O16" s="125"/>
      <c r="P16" s="107"/>
      <c r="Q16" s="125"/>
      <c r="R16" s="107"/>
      <c r="S16" s="125"/>
      <c r="T16" s="117"/>
      <c r="U16" s="125"/>
      <c r="V16" s="117"/>
      <c r="W16" s="125"/>
      <c r="X16" s="108"/>
      <c r="Y16" s="10"/>
      <c r="Z16" s="10"/>
      <c r="AA16" s="10"/>
      <c r="AB16" s="10"/>
      <c r="AC16" s="10"/>
      <c r="AD16" s="10"/>
      <c r="AE16" s="10"/>
      <c r="AF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7" t="s">
        <v>24</v>
      </c>
      <c r="D17" s="126"/>
      <c r="E17" s="125"/>
      <c r="F17" s="107"/>
      <c r="G17" s="125"/>
      <c r="H17" s="127"/>
      <c r="I17" s="125"/>
      <c r="J17" s="107"/>
      <c r="K17" s="125"/>
      <c r="L17" s="127"/>
      <c r="M17" s="125"/>
      <c r="N17" s="107"/>
      <c r="O17" s="125"/>
      <c r="P17" s="127"/>
      <c r="Q17" s="125"/>
      <c r="R17" s="107"/>
      <c r="S17" s="125"/>
      <c r="T17" s="117"/>
      <c r="U17" s="125"/>
      <c r="V17" s="117"/>
      <c r="W17" s="125"/>
      <c r="X17" s="108"/>
      <c r="Y17" s="10"/>
      <c r="Z17" s="10"/>
      <c r="AA17" s="10"/>
      <c r="AB17" s="10"/>
      <c r="AC17" s="10"/>
      <c r="AD17" s="10"/>
      <c r="AE17" s="10"/>
      <c r="AF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304" t="s">
        <v>233</v>
      </c>
      <c r="D18" s="447" t="s">
        <v>150</v>
      </c>
      <c r="E18" s="207"/>
      <c r="F18" s="267"/>
      <c r="G18" s="207"/>
      <c r="H18" s="275"/>
      <c r="I18" s="207"/>
      <c r="J18" s="267"/>
      <c r="K18" s="207"/>
      <c r="L18" s="275"/>
      <c r="M18" s="207"/>
      <c r="N18" s="267"/>
      <c r="O18" s="207"/>
      <c r="P18" s="275"/>
      <c r="Q18" s="207"/>
      <c r="R18" s="267"/>
      <c r="S18" s="207"/>
      <c r="T18" s="117"/>
      <c r="U18" s="207"/>
      <c r="V18" s="117"/>
      <c r="W18" s="207"/>
      <c r="X18" s="108"/>
      <c r="Y18" s="10"/>
      <c r="Z18" s="10"/>
      <c r="AA18" s="10"/>
      <c r="AB18" s="10"/>
      <c r="AC18" s="10"/>
      <c r="AD18" s="10"/>
      <c r="AE18" s="10"/>
      <c r="AF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304" t="s">
        <v>129</v>
      </c>
      <c r="D19" s="447" t="s">
        <v>150</v>
      </c>
      <c r="E19" s="207"/>
      <c r="F19" s="267"/>
      <c r="G19" s="207"/>
      <c r="H19" s="275"/>
      <c r="I19" s="207"/>
      <c r="J19" s="267"/>
      <c r="K19" s="207"/>
      <c r="L19" s="275"/>
      <c r="M19" s="207"/>
      <c r="N19" s="267"/>
      <c r="O19" s="207"/>
      <c r="P19" s="275"/>
      <c r="Q19" s="207"/>
      <c r="R19" s="267"/>
      <c r="S19" s="207"/>
      <c r="T19" s="117"/>
      <c r="U19" s="207"/>
      <c r="V19" s="117"/>
      <c r="W19" s="207"/>
      <c r="X19" s="108"/>
      <c r="Y19" s="10"/>
      <c r="Z19" s="10"/>
      <c r="AA19" s="10"/>
      <c r="AB19" s="10"/>
      <c r="AC19" s="10"/>
      <c r="AD19" s="10"/>
      <c r="AE19" s="10"/>
      <c r="AF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11"/>
      <c r="C20" s="112"/>
      <c r="D20" s="120"/>
      <c r="E20" s="113"/>
      <c r="F20" s="114"/>
      <c r="G20" s="113"/>
      <c r="H20" s="114"/>
      <c r="I20" s="113"/>
      <c r="J20" s="114"/>
      <c r="K20" s="113"/>
      <c r="L20" s="114"/>
      <c r="M20" s="113"/>
      <c r="N20" s="114"/>
      <c r="O20" s="113"/>
      <c r="P20" s="114"/>
      <c r="Q20" s="113"/>
      <c r="R20" s="114"/>
      <c r="S20" s="113"/>
      <c r="T20" s="113"/>
      <c r="U20" s="113"/>
      <c r="V20" s="113"/>
      <c r="W20" s="113"/>
      <c r="X20" s="115"/>
      <c r="Y20" s="10"/>
      <c r="Z20" s="10"/>
      <c r="AA20" s="10"/>
      <c r="AB20" s="10"/>
      <c r="AC20" s="10"/>
      <c r="AD20" s="10"/>
      <c r="AE20" s="10"/>
      <c r="AF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15" customHeight="1">
      <c r="A21" s="12"/>
      <c r="B21" s="20"/>
      <c r="C21" s="21"/>
      <c r="D21" s="20"/>
      <c r="E21" s="12"/>
      <c r="F21" s="12"/>
      <c r="G21" s="12"/>
      <c r="H21" s="12"/>
      <c r="I21" s="12"/>
      <c r="J21" s="12"/>
      <c r="K21" s="12"/>
      <c r="L21" s="12"/>
      <c r="M21" s="12"/>
      <c r="N21" s="12"/>
      <c r="O21" s="12"/>
      <c r="P21" s="12"/>
      <c r="Q21" s="12"/>
      <c r="R21" s="12"/>
      <c r="S21" s="12"/>
      <c r="T21" s="12"/>
      <c r="U21" s="12"/>
      <c r="V21" s="12"/>
      <c r="W21" s="12"/>
      <c r="X21" s="12"/>
      <c r="Y21" s="10"/>
      <c r="Z21" s="10"/>
      <c r="AA21" s="10"/>
      <c r="AB21" s="10"/>
      <c r="AC21" s="10"/>
      <c r="AD21" s="10"/>
      <c r="AE21" s="10"/>
      <c r="AF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169"/>
      <c r="C22" s="170"/>
      <c r="D22" s="171"/>
      <c r="E22" s="172"/>
      <c r="F22" s="172"/>
      <c r="G22" s="172"/>
      <c r="H22" s="172"/>
      <c r="I22" s="172"/>
      <c r="J22" s="173"/>
      <c r="K22" s="172"/>
      <c r="L22" s="170"/>
      <c r="M22" s="172"/>
      <c r="N22" s="173"/>
      <c r="O22" s="172"/>
      <c r="P22" s="170"/>
      <c r="Q22" s="172"/>
      <c r="R22" s="173"/>
      <c r="S22" s="172"/>
      <c r="T22" s="172"/>
      <c r="U22" s="172"/>
      <c r="V22" s="172"/>
      <c r="W22" s="172"/>
      <c r="X22" s="174"/>
      <c r="Y22" s="10"/>
      <c r="Z22" s="10"/>
      <c r="AA22" s="10"/>
      <c r="AB22" s="10"/>
      <c r="AC22" s="10"/>
      <c r="AD22" s="10"/>
      <c r="AE22" s="10"/>
      <c r="AF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25.15" customHeight="1">
      <c r="A23" s="12"/>
      <c r="B23" s="175" t="s">
        <v>221</v>
      </c>
      <c r="C23" s="176"/>
      <c r="D23" s="176"/>
      <c r="E23" s="177"/>
      <c r="F23" s="177"/>
      <c r="G23" s="177"/>
      <c r="H23" s="177"/>
      <c r="I23" s="177"/>
      <c r="J23" s="178"/>
      <c r="K23" s="177"/>
      <c r="L23" s="179"/>
      <c r="M23" s="177"/>
      <c r="N23" s="178"/>
      <c r="O23" s="177"/>
      <c r="P23" s="179"/>
      <c r="Q23" s="177"/>
      <c r="R23" s="178"/>
      <c r="S23" s="177"/>
      <c r="T23" s="177"/>
      <c r="U23" s="177"/>
      <c r="V23" s="177"/>
      <c r="W23" s="177"/>
      <c r="X23" s="180"/>
      <c r="Y23" s="10"/>
      <c r="Z23" s="10"/>
      <c r="AA23" s="10"/>
      <c r="AB23" s="10"/>
      <c r="AC23" s="10"/>
      <c r="AD23" s="10"/>
      <c r="AE23" s="10"/>
      <c r="AF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175"/>
      <c r="C24" s="181" t="s">
        <v>36</v>
      </c>
      <c r="D24" s="176"/>
      <c r="E24" s="182" t="s">
        <v>37</v>
      </c>
      <c r="F24" s="177"/>
      <c r="G24" s="183" t="str">
        <f>$E$24</f>
        <v>Ja</v>
      </c>
      <c r="H24" s="177"/>
      <c r="I24" s="183" t="str">
        <f>$E$24</f>
        <v>Ja</v>
      </c>
      <c r="J24" s="178"/>
      <c r="K24" s="183" t="str">
        <f>$E$24</f>
        <v>Ja</v>
      </c>
      <c r="L24" s="179"/>
      <c r="M24" s="183" t="str">
        <f>$E$24</f>
        <v>Ja</v>
      </c>
      <c r="N24" s="178"/>
      <c r="O24" s="183" t="str">
        <f>$E$24</f>
        <v>Ja</v>
      </c>
      <c r="P24" s="179"/>
      <c r="Q24" s="183" t="str">
        <f>$E$24</f>
        <v>Ja</v>
      </c>
      <c r="R24" s="178"/>
      <c r="S24" s="183" t="str">
        <f>$E$24</f>
        <v>Ja</v>
      </c>
      <c r="T24" s="177"/>
      <c r="U24" s="183" t="str">
        <f>$E$24</f>
        <v>Ja</v>
      </c>
      <c r="V24" s="177"/>
      <c r="W24" s="183" t="str">
        <f>$E$24</f>
        <v>Ja</v>
      </c>
      <c r="X24" s="180"/>
      <c r="Y24" s="10"/>
      <c r="Z24" s="10"/>
      <c r="AA24" s="10"/>
      <c r="AB24" s="10"/>
      <c r="AC24" s="10"/>
      <c r="AD24" s="10"/>
      <c r="AE24" s="10"/>
      <c r="AF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75"/>
      <c r="C25" s="184"/>
      <c r="D25" s="176"/>
      <c r="E25" s="177"/>
      <c r="F25" s="177"/>
      <c r="G25" s="177"/>
      <c r="H25" s="177"/>
      <c r="I25" s="177"/>
      <c r="J25" s="178"/>
      <c r="K25" s="177"/>
      <c r="L25" s="179"/>
      <c r="M25" s="177"/>
      <c r="N25" s="178"/>
      <c r="O25" s="177"/>
      <c r="P25" s="179"/>
      <c r="Q25" s="177"/>
      <c r="R25" s="178"/>
      <c r="S25" s="177"/>
      <c r="T25" s="177"/>
      <c r="U25" s="177"/>
      <c r="V25" s="177"/>
      <c r="W25" s="177"/>
      <c r="X25" s="180"/>
      <c r="Y25" s="10"/>
      <c r="Z25" s="10"/>
      <c r="AA25" s="10"/>
      <c r="AB25" s="10"/>
      <c r="AC25" s="10"/>
      <c r="AD25" s="10"/>
      <c r="AE25" s="10"/>
      <c r="AF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15" customHeight="1">
      <c r="A26" s="12"/>
      <c r="B26" s="187"/>
      <c r="C26" s="185" t="s">
        <v>144</v>
      </c>
      <c r="D26" s="186" t="s">
        <v>38</v>
      </c>
      <c r="E26" s="182" t="s">
        <v>37</v>
      </c>
      <c r="F26" s="189"/>
      <c r="G26" s="183" t="str">
        <f>$E$26</f>
        <v>Ja</v>
      </c>
      <c r="H26" s="176"/>
      <c r="I26" s="183" t="str">
        <f>$E$26</f>
        <v>Ja</v>
      </c>
      <c r="J26" s="190"/>
      <c r="K26" s="183" t="str">
        <f>$E$26</f>
        <v>Ja</v>
      </c>
      <c r="L26" s="191"/>
      <c r="M26" s="183" t="str">
        <f>$E$26</f>
        <v>Ja</v>
      </c>
      <c r="N26" s="190"/>
      <c r="O26" s="183" t="str">
        <f>$E$26</f>
        <v>Ja</v>
      </c>
      <c r="P26" s="191"/>
      <c r="Q26" s="183" t="str">
        <f>$E$26</f>
        <v>Ja</v>
      </c>
      <c r="R26" s="190"/>
      <c r="S26" s="183" t="str">
        <f>$E$26</f>
        <v>Ja</v>
      </c>
      <c r="T26" s="177"/>
      <c r="U26" s="183" t="str">
        <f>$E$26</f>
        <v>Ja</v>
      </c>
      <c r="V26" s="177"/>
      <c r="W26" s="183" t="str">
        <f>$E$26</f>
        <v>Ja</v>
      </c>
      <c r="X26" s="180"/>
      <c r="Y26" s="10"/>
      <c r="Z26" s="10"/>
      <c r="AA26" s="10"/>
      <c r="AB26" s="10"/>
      <c r="AC26" s="10"/>
      <c r="AD26" s="10"/>
      <c r="AE26" s="10"/>
      <c r="AF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187"/>
      <c r="C27" s="188" t="s">
        <v>145</v>
      </c>
      <c r="D27" s="186" t="s">
        <v>147</v>
      </c>
      <c r="E27" s="456">
        <f>VLOOKUP($E$45,Fremskrivninger!$A$48:$H$77,8)</f>
        <v>2.52</v>
      </c>
      <c r="F27" s="451"/>
      <c r="G27" s="183">
        <f>$E$27</f>
        <v>2.52</v>
      </c>
      <c r="H27" s="453"/>
      <c r="I27" s="183">
        <f>$E$27</f>
        <v>2.52</v>
      </c>
      <c r="J27" s="454"/>
      <c r="K27" s="183">
        <f>$E$27</f>
        <v>2.52</v>
      </c>
      <c r="L27" s="455"/>
      <c r="M27" s="183">
        <f>$E$27</f>
        <v>2.52</v>
      </c>
      <c r="N27" s="454"/>
      <c r="O27" s="183">
        <f>$E$27</f>
        <v>2.52</v>
      </c>
      <c r="P27" s="455"/>
      <c r="Q27" s="183">
        <f>$E$27</f>
        <v>2.52</v>
      </c>
      <c r="R27" s="454"/>
      <c r="S27" s="183">
        <f>$E$27</f>
        <v>2.52</v>
      </c>
      <c r="T27" s="451"/>
      <c r="U27" s="183">
        <f>$E$27</f>
        <v>2.52</v>
      </c>
      <c r="V27" s="451"/>
      <c r="W27" s="183">
        <f>$E$27</f>
        <v>2.52</v>
      </c>
      <c r="X27" s="180"/>
      <c r="Y27" s="10"/>
      <c r="Z27" s="10"/>
      <c r="AA27" s="10"/>
      <c r="AB27" s="10"/>
      <c r="AC27" s="10"/>
      <c r="AD27" s="10"/>
      <c r="AE27" s="10"/>
      <c r="AF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15" customHeight="1">
      <c r="A28" s="12"/>
      <c r="B28" s="187"/>
      <c r="C28" s="188" t="s">
        <v>146</v>
      </c>
      <c r="D28" s="186" t="s">
        <v>147</v>
      </c>
      <c r="E28" s="456">
        <f>VLOOKUP($E$45,Fremskrivninger!$A$92:$H$121,8)</f>
        <v>2.98</v>
      </c>
      <c r="F28" s="451"/>
      <c r="G28" s="183">
        <f>$E$28</f>
        <v>2.98</v>
      </c>
      <c r="H28" s="453"/>
      <c r="I28" s="183">
        <f>$E$28</f>
        <v>2.98</v>
      </c>
      <c r="J28" s="454"/>
      <c r="K28" s="183">
        <f>$E$28</f>
        <v>2.98</v>
      </c>
      <c r="L28" s="455"/>
      <c r="M28" s="183">
        <f>$E$28</f>
        <v>2.98</v>
      </c>
      <c r="N28" s="454"/>
      <c r="O28" s="183">
        <f>$E$28</f>
        <v>2.98</v>
      </c>
      <c r="P28" s="455"/>
      <c r="Q28" s="183">
        <f>$E$28</f>
        <v>2.98</v>
      </c>
      <c r="R28" s="454"/>
      <c r="S28" s="183">
        <f>$E$28</f>
        <v>2.98</v>
      </c>
      <c r="T28" s="451"/>
      <c r="U28" s="183">
        <f>$E$28</f>
        <v>2.98</v>
      </c>
      <c r="V28" s="451"/>
      <c r="W28" s="183">
        <f>$E$28</f>
        <v>2.98</v>
      </c>
      <c r="X28" s="180"/>
      <c r="Y28" s="10"/>
      <c r="Z28" s="10"/>
      <c r="AA28" s="10"/>
      <c r="AB28" s="10"/>
      <c r="AC28" s="10"/>
      <c r="AD28" s="10"/>
      <c r="AE28" s="10"/>
      <c r="AF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187"/>
      <c r="C29" s="188" t="s">
        <v>143</v>
      </c>
      <c r="D29" s="186" t="s">
        <v>147</v>
      </c>
      <c r="E29" s="450">
        <v>0</v>
      </c>
      <c r="F29" s="451"/>
      <c r="G29" s="452">
        <f>$E$29</f>
        <v>0</v>
      </c>
      <c r="H29" s="453"/>
      <c r="I29" s="452">
        <f>$E$29</f>
        <v>0</v>
      </c>
      <c r="J29" s="454"/>
      <c r="K29" s="452">
        <f>$E$29</f>
        <v>0</v>
      </c>
      <c r="L29" s="455"/>
      <c r="M29" s="452">
        <f>$E$29</f>
        <v>0</v>
      </c>
      <c r="N29" s="454"/>
      <c r="O29" s="452">
        <f>$E$29</f>
        <v>0</v>
      </c>
      <c r="P29" s="455"/>
      <c r="Q29" s="452">
        <f>$E$29</f>
        <v>0</v>
      </c>
      <c r="R29" s="454"/>
      <c r="S29" s="452">
        <f>$E$29</f>
        <v>0</v>
      </c>
      <c r="T29" s="451"/>
      <c r="U29" s="452">
        <f>$E$29</f>
        <v>0</v>
      </c>
      <c r="V29" s="451"/>
      <c r="W29" s="452">
        <f>$E$29</f>
        <v>0</v>
      </c>
      <c r="X29" s="180"/>
      <c r="Y29" s="10"/>
      <c r="Z29" s="10"/>
      <c r="AA29" s="10"/>
      <c r="AB29" s="10"/>
      <c r="AC29" s="10"/>
      <c r="AD29" s="10"/>
      <c r="AE29" s="10"/>
      <c r="AF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87"/>
      <c r="C30" s="188" t="s">
        <v>142</v>
      </c>
      <c r="D30" s="186" t="s">
        <v>147</v>
      </c>
      <c r="E30" s="450">
        <v>0</v>
      </c>
      <c r="F30" s="451"/>
      <c r="G30" s="452">
        <f>$E$29</f>
        <v>0</v>
      </c>
      <c r="H30" s="453"/>
      <c r="I30" s="452">
        <f>$E$29</f>
        <v>0</v>
      </c>
      <c r="J30" s="454"/>
      <c r="K30" s="452">
        <f>$E$29</f>
        <v>0</v>
      </c>
      <c r="L30" s="455"/>
      <c r="M30" s="452">
        <f>$E$29</f>
        <v>0</v>
      </c>
      <c r="N30" s="454"/>
      <c r="O30" s="452">
        <f>$E$29</f>
        <v>0</v>
      </c>
      <c r="P30" s="455"/>
      <c r="Q30" s="452">
        <f>$E$29</f>
        <v>0</v>
      </c>
      <c r="R30" s="454"/>
      <c r="S30" s="452">
        <f>$E$29</f>
        <v>0</v>
      </c>
      <c r="T30" s="451"/>
      <c r="U30" s="452">
        <f>$E$29</f>
        <v>0</v>
      </c>
      <c r="V30" s="451"/>
      <c r="W30" s="452">
        <f>$E$29</f>
        <v>0</v>
      </c>
      <c r="X30" s="180"/>
      <c r="Y30" s="10"/>
      <c r="Z30" s="10"/>
      <c r="AA30" s="10"/>
      <c r="AB30" s="10"/>
      <c r="AC30" s="10"/>
      <c r="AD30" s="10"/>
      <c r="AE30" s="10"/>
      <c r="AF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187"/>
      <c r="C31" s="186"/>
      <c r="D31" s="186"/>
      <c r="E31" s="176"/>
      <c r="F31" s="192"/>
      <c r="G31" s="176"/>
      <c r="H31" s="176"/>
      <c r="I31" s="193"/>
      <c r="J31" s="193"/>
      <c r="K31" s="193"/>
      <c r="L31" s="193"/>
      <c r="M31" s="193"/>
      <c r="N31" s="193"/>
      <c r="O31" s="193"/>
      <c r="P31" s="193"/>
      <c r="Q31" s="193"/>
      <c r="R31" s="193"/>
      <c r="S31" s="193"/>
      <c r="T31" s="177"/>
      <c r="U31" s="193"/>
      <c r="V31" s="177"/>
      <c r="W31" s="193"/>
      <c r="X31" s="180"/>
      <c r="Y31" s="10"/>
      <c r="Z31" s="10"/>
      <c r="AA31" s="10"/>
      <c r="AB31" s="10"/>
      <c r="AC31" s="10"/>
      <c r="AD31" s="10"/>
      <c r="AE31" s="10"/>
      <c r="AF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87"/>
      <c r="C32" s="194" t="s">
        <v>74</v>
      </c>
      <c r="D32" s="176"/>
      <c r="E32" s="182" t="s">
        <v>37</v>
      </c>
      <c r="F32" s="177"/>
      <c r="G32" s="183" t="str">
        <f>$E$32</f>
        <v>Ja</v>
      </c>
      <c r="H32" s="177"/>
      <c r="I32" s="183" t="str">
        <f>$E$32</f>
        <v>Ja</v>
      </c>
      <c r="J32" s="178"/>
      <c r="K32" s="183" t="str">
        <f>$E$32</f>
        <v>Ja</v>
      </c>
      <c r="L32" s="179"/>
      <c r="M32" s="183" t="str">
        <f>$E$32</f>
        <v>Ja</v>
      </c>
      <c r="N32" s="178"/>
      <c r="O32" s="183" t="str">
        <f>$E$32</f>
        <v>Ja</v>
      </c>
      <c r="P32" s="179"/>
      <c r="Q32" s="183" t="str">
        <f>$E$32</f>
        <v>Ja</v>
      </c>
      <c r="R32" s="178"/>
      <c r="S32" s="183" t="str">
        <f>$E$32</f>
        <v>Ja</v>
      </c>
      <c r="T32" s="177"/>
      <c r="U32" s="183" t="str">
        <f>$E$32</f>
        <v>Ja</v>
      </c>
      <c r="V32" s="177"/>
      <c r="W32" s="183" t="str">
        <f>$E$32</f>
        <v>Ja</v>
      </c>
      <c r="X32" s="180"/>
      <c r="Y32" s="10"/>
      <c r="Z32" s="10"/>
      <c r="AA32" s="10"/>
      <c r="AB32" s="10"/>
      <c r="AC32" s="10"/>
      <c r="AD32" s="10"/>
      <c r="AE32" s="10"/>
      <c r="AF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15" customHeight="1">
      <c r="A33" s="12"/>
      <c r="B33" s="187"/>
      <c r="C33" s="186" t="s">
        <v>219</v>
      </c>
      <c r="D33" s="186" t="s">
        <v>40</v>
      </c>
      <c r="E33" s="195">
        <v>1500</v>
      </c>
      <c r="F33" s="196"/>
      <c r="G33" s="197">
        <f>$E$33</f>
        <v>1500</v>
      </c>
      <c r="H33" s="196"/>
      <c r="I33" s="197">
        <f>$E$33</f>
        <v>1500</v>
      </c>
      <c r="J33" s="198"/>
      <c r="K33" s="197">
        <f>$E$33</f>
        <v>1500</v>
      </c>
      <c r="L33" s="199"/>
      <c r="M33" s="197">
        <f>$E$33</f>
        <v>1500</v>
      </c>
      <c r="N33" s="198"/>
      <c r="O33" s="197">
        <f>$E$33</f>
        <v>1500</v>
      </c>
      <c r="P33" s="199"/>
      <c r="Q33" s="197">
        <f>$E$33</f>
        <v>1500</v>
      </c>
      <c r="R33" s="198"/>
      <c r="S33" s="197">
        <f>$E$33</f>
        <v>1500</v>
      </c>
      <c r="T33" s="177"/>
      <c r="U33" s="197">
        <f>$E$33</f>
        <v>1500</v>
      </c>
      <c r="V33" s="177"/>
      <c r="W33" s="197">
        <f>$E$33</f>
        <v>1500</v>
      </c>
      <c r="X33" s="180"/>
      <c r="Y33" s="10"/>
      <c r="Z33" s="10"/>
      <c r="AA33" s="10"/>
      <c r="AB33" s="10"/>
      <c r="AC33" s="10"/>
      <c r="AD33" s="10"/>
      <c r="AE33" s="10"/>
      <c r="AF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87"/>
      <c r="C34" s="186" t="s">
        <v>220</v>
      </c>
      <c r="D34" s="186" t="s">
        <v>40</v>
      </c>
      <c r="E34" s="195">
        <v>0</v>
      </c>
      <c r="F34" s="196"/>
      <c r="G34" s="197">
        <f>$E$34</f>
        <v>0</v>
      </c>
      <c r="H34" s="196"/>
      <c r="I34" s="197">
        <f>$E$34</f>
        <v>0</v>
      </c>
      <c r="J34" s="198"/>
      <c r="K34" s="197">
        <f>$E$34</f>
        <v>0</v>
      </c>
      <c r="L34" s="199"/>
      <c r="M34" s="197">
        <f>$E$34</f>
        <v>0</v>
      </c>
      <c r="N34" s="198"/>
      <c r="O34" s="197">
        <f>$E$34</f>
        <v>0</v>
      </c>
      <c r="P34" s="199"/>
      <c r="Q34" s="197">
        <f>$E$34</f>
        <v>0</v>
      </c>
      <c r="R34" s="198"/>
      <c r="S34" s="197">
        <f>$E$34</f>
        <v>0</v>
      </c>
      <c r="T34" s="177"/>
      <c r="U34" s="197">
        <f>$E$34</f>
        <v>0</v>
      </c>
      <c r="V34" s="177"/>
      <c r="W34" s="197">
        <f>$E$34</f>
        <v>0</v>
      </c>
      <c r="X34" s="180"/>
      <c r="Y34" s="10"/>
      <c r="Z34" s="10"/>
      <c r="AA34" s="10"/>
      <c r="AB34" s="10"/>
      <c r="AC34" s="10"/>
      <c r="AD34" s="10"/>
      <c r="AE34" s="10"/>
      <c r="AF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200"/>
      <c r="C35" s="201"/>
      <c r="D35" s="202"/>
      <c r="E35" s="203"/>
      <c r="F35" s="203"/>
      <c r="G35" s="203"/>
      <c r="H35" s="203"/>
      <c r="I35" s="203"/>
      <c r="J35" s="204"/>
      <c r="K35" s="203"/>
      <c r="L35" s="205"/>
      <c r="M35" s="203"/>
      <c r="N35" s="204"/>
      <c r="O35" s="203"/>
      <c r="P35" s="205"/>
      <c r="Q35" s="203"/>
      <c r="R35" s="204"/>
      <c r="S35" s="203"/>
      <c r="T35" s="203"/>
      <c r="U35" s="203"/>
      <c r="V35" s="203"/>
      <c r="W35" s="203"/>
      <c r="X35" s="206"/>
      <c r="Y35" s="10"/>
      <c r="Z35" s="10"/>
      <c r="AA35" s="10"/>
      <c r="AB35" s="10"/>
      <c r="AC35" s="10"/>
      <c r="AD35" s="10"/>
      <c r="AE35" s="10"/>
      <c r="AF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20"/>
      <c r="C36" s="21"/>
      <c r="D36" s="20"/>
      <c r="E36" s="12"/>
      <c r="F36" s="12"/>
      <c r="G36" s="12"/>
      <c r="H36" s="12"/>
      <c r="I36" s="12"/>
      <c r="J36" s="12"/>
      <c r="K36" s="12"/>
      <c r="L36" s="12"/>
      <c r="M36" s="12"/>
      <c r="N36" s="12"/>
      <c r="O36" s="12"/>
      <c r="P36" s="12"/>
      <c r="Q36" s="12"/>
      <c r="R36" s="12"/>
      <c r="S36" s="12"/>
      <c r="T36" s="12"/>
      <c r="U36" s="12"/>
      <c r="V36" s="12"/>
      <c r="W36" s="12"/>
      <c r="X36" s="12"/>
      <c r="Y36" s="10"/>
      <c r="Z36" s="10"/>
      <c r="AA36" s="10"/>
      <c r="AB36" s="10"/>
      <c r="AC36" s="10"/>
      <c r="AD36" s="10"/>
      <c r="AE36" s="10"/>
      <c r="AF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544" t="s">
        <v>3</v>
      </c>
      <c r="C37" s="545"/>
      <c r="D37" s="545"/>
      <c r="E37" s="22"/>
      <c r="F37" s="22"/>
      <c r="G37" s="22"/>
      <c r="H37" s="22"/>
      <c r="I37" s="22"/>
      <c r="J37" s="22"/>
      <c r="K37" s="22"/>
      <c r="L37" s="22"/>
      <c r="M37" s="22"/>
      <c r="N37" s="22"/>
      <c r="O37" s="22"/>
      <c r="P37" s="22"/>
      <c r="Q37" s="22"/>
      <c r="R37" s="22"/>
      <c r="S37" s="22"/>
      <c r="T37" s="22"/>
      <c r="U37" s="22"/>
      <c r="V37" s="22"/>
      <c r="W37" s="22"/>
      <c r="X37" s="23"/>
      <c r="Y37" s="10"/>
      <c r="Z37" s="10"/>
      <c r="AA37" s="10"/>
      <c r="AB37" s="10"/>
      <c r="AC37" s="10"/>
      <c r="AD37" s="10"/>
      <c r="AE37" s="10"/>
      <c r="AF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25.15" customHeight="1">
      <c r="A38" s="12"/>
      <c r="B38" s="91" t="s">
        <v>22</v>
      </c>
      <c r="C38" s="119"/>
      <c r="D38" s="25"/>
      <c r="E38" s="26"/>
      <c r="F38" s="26"/>
      <c r="G38" s="26"/>
      <c r="H38" s="26"/>
      <c r="I38" s="26"/>
      <c r="J38" s="26"/>
      <c r="K38" s="26"/>
      <c r="L38" s="26"/>
      <c r="M38" s="26"/>
      <c r="N38" s="26"/>
      <c r="O38" s="26"/>
      <c r="P38" s="26"/>
      <c r="Q38" s="26"/>
      <c r="R38" s="26"/>
      <c r="S38" s="26"/>
      <c r="T38" s="26"/>
      <c r="U38" s="26"/>
      <c r="V38" s="26"/>
      <c r="W38" s="26"/>
      <c r="X38" s="27"/>
      <c r="Y38" s="10"/>
      <c r="Z38" s="10"/>
      <c r="AA38" s="10"/>
      <c r="AB38" s="10"/>
      <c r="AC38" s="10"/>
      <c r="AD38" s="10"/>
      <c r="AE38" s="10"/>
      <c r="AF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24"/>
      <c r="C39" s="28" t="s">
        <v>75</v>
      </c>
      <c r="D39" s="28" t="s">
        <v>15</v>
      </c>
      <c r="E39" s="89"/>
      <c r="F39" s="29"/>
      <c r="G39" s="289">
        <f>$E$39</f>
        <v>0</v>
      </c>
      <c r="H39" s="29"/>
      <c r="I39" s="289">
        <f>$E$39</f>
        <v>0</v>
      </c>
      <c r="J39" s="29"/>
      <c r="K39" s="289">
        <f>$E$39</f>
        <v>0</v>
      </c>
      <c r="L39" s="29"/>
      <c r="M39" s="289">
        <f>$E$39</f>
        <v>0</v>
      </c>
      <c r="N39" s="29"/>
      <c r="O39" s="289">
        <f>$E$39</f>
        <v>0</v>
      </c>
      <c r="P39" s="29"/>
      <c r="Q39" s="289">
        <f>$E$39</f>
        <v>0</v>
      </c>
      <c r="R39" s="29"/>
      <c r="S39" s="289">
        <f>$E$39</f>
        <v>0</v>
      </c>
      <c r="T39" s="26"/>
      <c r="U39" s="289">
        <f>$E$39</f>
        <v>0</v>
      </c>
      <c r="V39" s="26"/>
      <c r="W39" s="289">
        <f>$E$39</f>
        <v>0</v>
      </c>
      <c r="X39" s="27"/>
      <c r="Y39" s="10"/>
      <c r="Z39" s="10"/>
      <c r="AA39" s="10"/>
      <c r="AB39" s="10"/>
      <c r="AC39" s="10"/>
      <c r="AD39" s="10"/>
      <c r="AE39" s="10"/>
      <c r="AF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24"/>
      <c r="C40" s="28" t="s">
        <v>132</v>
      </c>
      <c r="D40" s="28" t="s">
        <v>133</v>
      </c>
      <c r="E40" s="89"/>
      <c r="F40" s="29"/>
      <c r="G40" s="289">
        <f>$E$40</f>
        <v>0</v>
      </c>
      <c r="H40" s="29"/>
      <c r="I40" s="289">
        <f>$E$40</f>
        <v>0</v>
      </c>
      <c r="J40" s="29"/>
      <c r="K40" s="289">
        <f>$E$40</f>
        <v>0</v>
      </c>
      <c r="L40" s="29"/>
      <c r="M40" s="289">
        <f>$E$40</f>
        <v>0</v>
      </c>
      <c r="N40" s="29"/>
      <c r="O40" s="289">
        <f>$E$40</f>
        <v>0</v>
      </c>
      <c r="P40" s="29"/>
      <c r="Q40" s="289">
        <f>$E$40</f>
        <v>0</v>
      </c>
      <c r="R40" s="29"/>
      <c r="S40" s="289">
        <f>$E$40</f>
        <v>0</v>
      </c>
      <c r="T40" s="26"/>
      <c r="U40" s="289">
        <f>$E$40</f>
        <v>0</v>
      </c>
      <c r="V40" s="26"/>
      <c r="W40" s="289">
        <f>$E$40</f>
        <v>0</v>
      </c>
      <c r="X40" s="27"/>
      <c r="Y40" s="10"/>
      <c r="Z40" s="10"/>
      <c r="AA40" s="10"/>
      <c r="AB40" s="10"/>
      <c r="AC40" s="10"/>
      <c r="AD40" s="10"/>
      <c r="AE40" s="10"/>
      <c r="AF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30"/>
      <c r="C41" s="31"/>
      <c r="D41" s="32"/>
      <c r="E41" s="33"/>
      <c r="F41" s="34"/>
      <c r="G41" s="33"/>
      <c r="H41" s="34"/>
      <c r="I41" s="33"/>
      <c r="J41" s="34"/>
      <c r="K41" s="33"/>
      <c r="L41" s="34"/>
      <c r="M41" s="33"/>
      <c r="N41" s="34"/>
      <c r="O41" s="33"/>
      <c r="P41" s="34"/>
      <c r="Q41" s="33"/>
      <c r="R41" s="34"/>
      <c r="S41" s="33"/>
      <c r="T41" s="33"/>
      <c r="U41" s="33"/>
      <c r="V41" s="33"/>
      <c r="W41" s="33"/>
      <c r="X41" s="35"/>
      <c r="Y41" s="10"/>
      <c r="Z41" s="10"/>
      <c r="AA41" s="10"/>
      <c r="AB41" s="10"/>
      <c r="AC41" s="10"/>
      <c r="AD41" s="10"/>
      <c r="AE41" s="10"/>
      <c r="AF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20"/>
      <c r="C42" s="21"/>
      <c r="D42" s="20"/>
      <c r="E42" s="12"/>
      <c r="F42" s="12"/>
      <c r="G42" s="12"/>
      <c r="H42" s="12"/>
      <c r="I42" s="12"/>
      <c r="J42" s="12"/>
      <c r="K42" s="12"/>
      <c r="L42" s="12"/>
      <c r="M42" s="12"/>
      <c r="N42" s="12"/>
      <c r="O42" s="12"/>
      <c r="P42" s="12"/>
      <c r="Q42" s="12"/>
      <c r="R42" s="12"/>
      <c r="S42" s="12"/>
      <c r="T42" s="12"/>
      <c r="U42" s="12"/>
      <c r="V42" s="12"/>
      <c r="W42" s="12"/>
      <c r="X42" s="12"/>
      <c r="Y42" s="10"/>
      <c r="Z42" s="10"/>
      <c r="AA42" s="10"/>
      <c r="AB42" s="10"/>
      <c r="AC42" s="10"/>
      <c r="AD42" s="10"/>
      <c r="AE42" s="10"/>
      <c r="AF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15" customHeight="1">
      <c r="A43" s="12"/>
      <c r="B43" s="546" t="s">
        <v>3</v>
      </c>
      <c r="C43" s="547"/>
      <c r="D43" s="547"/>
      <c r="E43" s="36"/>
      <c r="F43" s="36"/>
      <c r="G43" s="36"/>
      <c r="H43" s="36"/>
      <c r="I43" s="36"/>
      <c r="J43" s="36"/>
      <c r="K43" s="36"/>
      <c r="L43" s="36"/>
      <c r="M43" s="36"/>
      <c r="N43" s="36"/>
      <c r="O43" s="36"/>
      <c r="P43" s="36"/>
      <c r="Q43" s="36"/>
      <c r="R43" s="36"/>
      <c r="S43" s="36"/>
      <c r="T43" s="36"/>
      <c r="U43" s="36"/>
      <c r="V43" s="36"/>
      <c r="W43" s="36"/>
      <c r="X43" s="37"/>
      <c r="Y43" s="10"/>
      <c r="Z43" s="10"/>
      <c r="AA43" s="10"/>
      <c r="AB43" s="10"/>
      <c r="AC43" s="10"/>
      <c r="AD43" s="10"/>
      <c r="AE43" s="10"/>
      <c r="AF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25.15" customHeight="1">
      <c r="A44" s="12"/>
      <c r="B44" s="548" t="s">
        <v>23</v>
      </c>
      <c r="C44" s="549"/>
      <c r="D44" s="549"/>
      <c r="E44" s="39"/>
      <c r="F44" s="39"/>
      <c r="G44" s="39"/>
      <c r="H44" s="39"/>
      <c r="I44" s="39"/>
      <c r="J44" s="39"/>
      <c r="K44" s="39"/>
      <c r="L44" s="39"/>
      <c r="M44" s="39"/>
      <c r="N44" s="39"/>
      <c r="O44" s="39"/>
      <c r="P44" s="39"/>
      <c r="Q44" s="39"/>
      <c r="R44" s="39"/>
      <c r="S44" s="39"/>
      <c r="T44" s="39"/>
      <c r="U44" s="39"/>
      <c r="V44" s="39"/>
      <c r="W44" s="39"/>
      <c r="X44" s="40"/>
      <c r="Y44" s="10"/>
      <c r="Z44" s="10"/>
      <c r="AA44" s="10"/>
      <c r="AB44" s="10"/>
      <c r="AC44" s="10"/>
      <c r="AD44" s="10"/>
      <c r="AE44" s="10"/>
      <c r="AF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167"/>
      <c r="C45" s="209" t="s">
        <v>42</v>
      </c>
      <c r="D45" s="209" t="s">
        <v>43</v>
      </c>
      <c r="E45" s="210">
        <v>2021</v>
      </c>
      <c r="F45" s="208"/>
      <c r="G45" s="211">
        <v>2021</v>
      </c>
      <c r="H45" s="209"/>
      <c r="I45" s="211">
        <v>2021</v>
      </c>
      <c r="J45" s="208"/>
      <c r="K45" s="211">
        <v>2021</v>
      </c>
      <c r="L45" s="209"/>
      <c r="M45" s="211">
        <v>2021</v>
      </c>
      <c r="N45" s="208"/>
      <c r="O45" s="211">
        <v>2021</v>
      </c>
      <c r="P45" s="209"/>
      <c r="Q45" s="211">
        <v>2021</v>
      </c>
      <c r="R45" s="208"/>
      <c r="S45" s="211">
        <v>2021</v>
      </c>
      <c r="T45" s="39"/>
      <c r="U45" s="211">
        <v>2021</v>
      </c>
      <c r="V45" s="39"/>
      <c r="W45" s="211">
        <v>2021</v>
      </c>
      <c r="X45" s="40"/>
      <c r="Y45" s="10"/>
      <c r="Z45" s="10"/>
      <c r="AA45" s="10"/>
      <c r="AB45" s="10"/>
      <c r="AC45" s="10"/>
      <c r="AD45" s="10"/>
      <c r="AE45" s="10"/>
      <c r="AF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38"/>
      <c r="C46" s="41" t="s">
        <v>21</v>
      </c>
      <c r="D46" s="41" t="s">
        <v>0</v>
      </c>
      <c r="E46" s="266">
        <v>4</v>
      </c>
      <c r="F46" s="42"/>
      <c r="G46" s="165">
        <f>$E$46</f>
        <v>4</v>
      </c>
      <c r="H46" s="42"/>
      <c r="I46" s="165">
        <f>$E$46</f>
        <v>4</v>
      </c>
      <c r="J46" s="42"/>
      <c r="K46" s="165">
        <f>$E$46</f>
        <v>4</v>
      </c>
      <c r="L46" s="42"/>
      <c r="M46" s="165">
        <f>$E$46</f>
        <v>4</v>
      </c>
      <c r="N46" s="42"/>
      <c r="O46" s="165">
        <f>$E$46</f>
        <v>4</v>
      </c>
      <c r="P46" s="42"/>
      <c r="Q46" s="165">
        <f>$E$46</f>
        <v>4</v>
      </c>
      <c r="R46" s="42"/>
      <c r="S46" s="165">
        <f>$E$46</f>
        <v>4</v>
      </c>
      <c r="T46" s="39"/>
      <c r="U46" s="165">
        <f>$E$46</f>
        <v>4</v>
      </c>
      <c r="V46" s="39"/>
      <c r="W46" s="165">
        <f>$E$46</f>
        <v>4</v>
      </c>
      <c r="X46" s="40"/>
      <c r="Y46" s="10"/>
      <c r="Z46" s="10"/>
      <c r="AA46" s="10"/>
      <c r="AB46" s="10"/>
      <c r="AC46" s="10"/>
      <c r="AD46" s="10"/>
      <c r="AE46" s="10"/>
      <c r="AF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15" customHeight="1">
      <c r="A47" s="12"/>
      <c r="B47" s="38"/>
      <c r="C47" s="41" t="s">
        <v>4</v>
      </c>
      <c r="D47" s="41" t="s">
        <v>73</v>
      </c>
      <c r="E47" s="534">
        <v>3.5000000000000003E-2</v>
      </c>
      <c r="F47" s="535"/>
      <c r="G47" s="534">
        <f>$E$47</f>
        <v>3.5000000000000003E-2</v>
      </c>
      <c r="H47" s="536"/>
      <c r="I47" s="534">
        <f>$E$47</f>
        <v>3.5000000000000003E-2</v>
      </c>
      <c r="J47" s="536"/>
      <c r="K47" s="534">
        <f>$E$47</f>
        <v>3.5000000000000003E-2</v>
      </c>
      <c r="L47" s="535"/>
      <c r="M47" s="534">
        <f>$E$47</f>
        <v>3.5000000000000003E-2</v>
      </c>
      <c r="N47" s="535"/>
      <c r="O47" s="534">
        <f>$E$47</f>
        <v>3.5000000000000003E-2</v>
      </c>
      <c r="P47" s="535"/>
      <c r="Q47" s="534">
        <f>$E$47</f>
        <v>3.5000000000000003E-2</v>
      </c>
      <c r="R47" s="535"/>
      <c r="S47" s="534">
        <f>$E$47</f>
        <v>3.5000000000000003E-2</v>
      </c>
      <c r="T47" s="537"/>
      <c r="U47" s="534">
        <f>$E$47</f>
        <v>3.5000000000000003E-2</v>
      </c>
      <c r="V47" s="537"/>
      <c r="W47" s="534">
        <f>$E$47</f>
        <v>3.5000000000000003E-2</v>
      </c>
      <c r="X47" s="40"/>
      <c r="Y47" s="10"/>
      <c r="Z47" s="10"/>
      <c r="AA47" s="10"/>
      <c r="AB47" s="10"/>
      <c r="AC47" s="10"/>
      <c r="AD47" s="10"/>
      <c r="AE47" s="10"/>
      <c r="AF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38"/>
      <c r="C48" s="41"/>
      <c r="D48" s="41"/>
      <c r="E48" s="41"/>
      <c r="F48" s="41"/>
      <c r="G48" s="41"/>
      <c r="H48" s="41"/>
      <c r="I48" s="41"/>
      <c r="J48" s="41"/>
      <c r="K48" s="41"/>
      <c r="L48" s="41"/>
      <c r="M48" s="41"/>
      <c r="N48" s="41"/>
      <c r="O48" s="41"/>
      <c r="P48" s="41"/>
      <c r="Q48" s="41"/>
      <c r="R48" s="41"/>
      <c r="S48" s="41"/>
      <c r="T48" s="41"/>
      <c r="U48" s="41"/>
      <c r="V48" s="41"/>
      <c r="W48" s="41"/>
      <c r="X48" s="40"/>
      <c r="Y48" s="10"/>
      <c r="Z48" s="10"/>
      <c r="AA48" s="10"/>
      <c r="AB48" s="10"/>
      <c r="AC48" s="10"/>
      <c r="AD48" s="10"/>
      <c r="AE48" s="10"/>
      <c r="AF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15" customHeight="1">
      <c r="A49" s="12"/>
      <c r="B49" s="38"/>
      <c r="C49" s="213" t="s">
        <v>174</v>
      </c>
      <c r="D49" s="214" t="s">
        <v>151</v>
      </c>
      <c r="E49" s="215" t="s">
        <v>125</v>
      </c>
      <c r="F49" s="212"/>
      <c r="G49" s="215" t="str">
        <f>$E$49</f>
        <v>Klik for valg</v>
      </c>
      <c r="H49" s="212"/>
      <c r="I49" s="215" t="str">
        <f>$E$49</f>
        <v>Klik for valg</v>
      </c>
      <c r="J49" s="212"/>
      <c r="K49" s="215" t="str">
        <f>$E$49</f>
        <v>Klik for valg</v>
      </c>
      <c r="L49" s="212"/>
      <c r="M49" s="215" t="str">
        <f>$E$49</f>
        <v>Klik for valg</v>
      </c>
      <c r="N49" s="212"/>
      <c r="O49" s="215" t="str">
        <f>$E$49</f>
        <v>Klik for valg</v>
      </c>
      <c r="P49" s="212"/>
      <c r="Q49" s="215" t="str">
        <f>$E$49</f>
        <v>Klik for valg</v>
      </c>
      <c r="R49" s="212"/>
      <c r="S49" s="215" t="str">
        <f>$E$49</f>
        <v>Klik for valg</v>
      </c>
      <c r="T49" s="39"/>
      <c r="U49" s="215" t="str">
        <f>$E$49</f>
        <v>Klik for valg</v>
      </c>
      <c r="V49" s="39"/>
      <c r="W49" s="215" t="str">
        <f>$E$49</f>
        <v>Klik for valg</v>
      </c>
      <c r="X49" s="40"/>
      <c r="Y49" s="10"/>
      <c r="Z49" s="10"/>
      <c r="AA49" s="10"/>
      <c r="AB49" s="10"/>
      <c r="AC49" s="10"/>
      <c r="AD49" s="10"/>
      <c r="AE49" s="10"/>
      <c r="AF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38"/>
      <c r="C50" s="41"/>
      <c r="D50" s="41"/>
      <c r="E50" s="41"/>
      <c r="F50" s="41"/>
      <c r="G50" s="41"/>
      <c r="H50" s="41"/>
      <c r="I50" s="41"/>
      <c r="J50" s="41"/>
      <c r="K50" s="41"/>
      <c r="L50" s="41"/>
      <c r="M50" s="41"/>
      <c r="N50" s="41"/>
      <c r="O50" s="41"/>
      <c r="P50" s="41"/>
      <c r="Q50" s="41"/>
      <c r="R50" s="41"/>
      <c r="S50" s="41"/>
      <c r="T50" s="39"/>
      <c r="U50" s="41"/>
      <c r="V50" s="39"/>
      <c r="W50" s="41"/>
      <c r="X50" s="40"/>
      <c r="Y50" s="10"/>
      <c r="Z50" s="10"/>
      <c r="AA50" s="10"/>
      <c r="AB50" s="10"/>
      <c r="AC50" s="10"/>
      <c r="AD50" s="10"/>
      <c r="AE50" s="10"/>
      <c r="AF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38"/>
      <c r="C51" s="213" t="s">
        <v>152</v>
      </c>
      <c r="D51" s="214" t="s">
        <v>38</v>
      </c>
      <c r="E51" s="215" t="s">
        <v>37</v>
      </c>
      <c r="F51" s="41"/>
      <c r="G51" s="215" t="s">
        <v>37</v>
      </c>
      <c r="H51" s="41"/>
      <c r="I51" s="215" t="s">
        <v>37</v>
      </c>
      <c r="J51" s="41"/>
      <c r="K51" s="215" t="s">
        <v>37</v>
      </c>
      <c r="L51" s="41"/>
      <c r="M51" s="215" t="s">
        <v>37</v>
      </c>
      <c r="N51" s="41"/>
      <c r="O51" s="215" t="s">
        <v>37</v>
      </c>
      <c r="P51" s="41"/>
      <c r="Q51" s="215" t="s">
        <v>37</v>
      </c>
      <c r="R51" s="41"/>
      <c r="S51" s="215" t="s">
        <v>37</v>
      </c>
      <c r="T51" s="39"/>
      <c r="U51" s="215" t="s">
        <v>37</v>
      </c>
      <c r="V51" s="39"/>
      <c r="W51" s="215" t="s">
        <v>37</v>
      </c>
      <c r="X51" s="40"/>
      <c r="Y51" s="10"/>
      <c r="Z51" s="10"/>
      <c r="AA51" s="10"/>
      <c r="AB51" s="10"/>
      <c r="AC51" s="10"/>
      <c r="AD51" s="10"/>
      <c r="AE51" s="10"/>
      <c r="AF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15" customHeight="1">
      <c r="A52" s="12"/>
      <c r="B52" s="38"/>
      <c r="C52" s="217" t="s">
        <v>134</v>
      </c>
      <c r="D52" s="214" t="s">
        <v>135</v>
      </c>
      <c r="E52" s="218">
        <f>VLOOKUP(E45,Fremskrivninger!$A$47:$C$77,3)</f>
        <v>8.7367999999999988</v>
      </c>
      <c r="F52" s="41"/>
      <c r="G52" s="218">
        <f>VLOOKUP(G45,Fremskrivninger!$A$47:$C$77,3)</f>
        <v>8.7367999999999988</v>
      </c>
      <c r="H52" s="41"/>
      <c r="I52" s="218">
        <f>VLOOKUP(I45,Fremskrivninger!$A$47:$C$77,3)</f>
        <v>8.7367999999999988</v>
      </c>
      <c r="J52" s="41"/>
      <c r="K52" s="218">
        <f>VLOOKUP(K45,Fremskrivninger!$A$47:$C$77,3)</f>
        <v>8.7367999999999988</v>
      </c>
      <c r="L52" s="41"/>
      <c r="M52" s="218">
        <f>VLOOKUP(M45,Fremskrivninger!$A$47:$C$77,3)</f>
        <v>8.7367999999999988</v>
      </c>
      <c r="N52" s="41"/>
      <c r="O52" s="218">
        <f>VLOOKUP(O45,Fremskrivninger!$A$47:$C$77,3)</f>
        <v>8.7367999999999988</v>
      </c>
      <c r="P52" s="41"/>
      <c r="Q52" s="218">
        <f>VLOOKUP(Q45,Fremskrivninger!$A$47:$C$77,3)</f>
        <v>8.7367999999999988</v>
      </c>
      <c r="R52" s="41"/>
      <c r="S52" s="218">
        <f>VLOOKUP(S45,Fremskrivninger!$A$47:$C$77,3)</f>
        <v>8.7367999999999988</v>
      </c>
      <c r="T52" s="39"/>
      <c r="U52" s="218">
        <f>VLOOKUP(U45,Fremskrivninger!$A$47:$C$77,3)</f>
        <v>8.7367999999999988</v>
      </c>
      <c r="V52" s="39"/>
      <c r="W52" s="218">
        <f>VLOOKUP(W45,Fremskrivninger!$A$47:$C$77,3)</f>
        <v>8.7367999999999988</v>
      </c>
      <c r="X52" s="40"/>
      <c r="Y52" s="10"/>
      <c r="Z52" s="10"/>
      <c r="AA52" s="10"/>
      <c r="AB52" s="10"/>
      <c r="AC52" s="10"/>
      <c r="AD52" s="10"/>
      <c r="AE52" s="10"/>
      <c r="AF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15" customHeight="1">
      <c r="A53" s="12"/>
      <c r="B53" s="38"/>
      <c r="C53" s="217" t="s">
        <v>137</v>
      </c>
      <c r="D53" s="223" t="s">
        <v>73</v>
      </c>
      <c r="E53" s="449">
        <v>1.3899999999999999E-2</v>
      </c>
      <c r="F53" s="463"/>
      <c r="G53" s="449">
        <v>1.3899999999999999E-2</v>
      </c>
      <c r="H53" s="463"/>
      <c r="I53" s="449">
        <v>1.3899999999999999E-2</v>
      </c>
      <c r="J53" s="463"/>
      <c r="K53" s="449">
        <v>1.3899999999999999E-2</v>
      </c>
      <c r="L53" s="463"/>
      <c r="M53" s="449">
        <v>1.3899999999999999E-2</v>
      </c>
      <c r="N53" s="463"/>
      <c r="O53" s="449">
        <v>1.3899999999999999E-2</v>
      </c>
      <c r="P53" s="463"/>
      <c r="Q53" s="449">
        <v>1.3899999999999999E-2</v>
      </c>
      <c r="R53" s="463"/>
      <c r="S53" s="449">
        <v>1.3899999999999999E-2</v>
      </c>
      <c r="T53" s="464"/>
      <c r="U53" s="449">
        <v>1.3899999999999999E-2</v>
      </c>
      <c r="V53" s="464"/>
      <c r="W53" s="449">
        <v>1.3899999999999999E-2</v>
      </c>
      <c r="X53" s="40"/>
      <c r="Y53" s="10"/>
      <c r="Z53" s="10"/>
      <c r="AA53" s="10"/>
      <c r="AB53" s="10"/>
      <c r="AC53" s="10"/>
      <c r="AD53" s="10"/>
      <c r="AE53" s="10"/>
      <c r="AF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38"/>
      <c r="C54" s="217" t="s">
        <v>139</v>
      </c>
      <c r="D54" s="214" t="s">
        <v>135</v>
      </c>
      <c r="E54" s="467">
        <v>0</v>
      </c>
      <c r="F54" s="466"/>
      <c r="G54" s="467">
        <v>0</v>
      </c>
      <c r="H54" s="466"/>
      <c r="I54" s="467">
        <v>0</v>
      </c>
      <c r="J54" s="466"/>
      <c r="K54" s="467">
        <v>0</v>
      </c>
      <c r="L54" s="466"/>
      <c r="M54" s="467">
        <v>0</v>
      </c>
      <c r="N54" s="466"/>
      <c r="O54" s="467">
        <v>0</v>
      </c>
      <c r="P54" s="466"/>
      <c r="Q54" s="467">
        <v>0</v>
      </c>
      <c r="R54" s="466"/>
      <c r="S54" s="467">
        <v>0</v>
      </c>
      <c r="T54" s="460"/>
      <c r="U54" s="467">
        <v>0</v>
      </c>
      <c r="V54" s="460"/>
      <c r="W54" s="467">
        <v>0</v>
      </c>
      <c r="X54" s="40"/>
      <c r="Y54" s="10"/>
      <c r="Z54" s="10"/>
      <c r="AA54" s="10"/>
      <c r="AB54" s="10"/>
      <c r="AC54" s="10"/>
      <c r="AD54" s="10"/>
      <c r="AE54" s="10"/>
      <c r="AF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8"/>
      <c r="C55" s="217" t="s">
        <v>140</v>
      </c>
      <c r="D55" s="223" t="s">
        <v>73</v>
      </c>
      <c r="E55" s="224">
        <v>0</v>
      </c>
      <c r="F55" s="41"/>
      <c r="G55" s="224">
        <v>0</v>
      </c>
      <c r="H55" s="41"/>
      <c r="I55" s="224">
        <v>0</v>
      </c>
      <c r="J55" s="41"/>
      <c r="K55" s="224">
        <v>0</v>
      </c>
      <c r="L55" s="41"/>
      <c r="M55" s="224">
        <v>0</v>
      </c>
      <c r="N55" s="41"/>
      <c r="O55" s="224">
        <v>0</v>
      </c>
      <c r="P55" s="41"/>
      <c r="Q55" s="224">
        <v>0</v>
      </c>
      <c r="R55" s="41"/>
      <c r="S55" s="224">
        <v>0</v>
      </c>
      <c r="T55" s="39"/>
      <c r="U55" s="224">
        <v>0</v>
      </c>
      <c r="V55" s="39"/>
      <c r="W55" s="224">
        <v>0</v>
      </c>
      <c r="X55" s="40"/>
      <c r="Y55" s="10"/>
      <c r="Z55" s="10"/>
      <c r="AA55" s="10"/>
      <c r="AB55" s="10"/>
      <c r="AC55" s="10"/>
      <c r="AD55" s="10"/>
      <c r="AE55" s="10"/>
      <c r="AF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38"/>
      <c r="C56" s="217"/>
      <c r="D56" s="223"/>
      <c r="E56" s="223"/>
      <c r="F56" s="223"/>
      <c r="G56" s="223"/>
      <c r="H56" s="223"/>
      <c r="I56" s="223"/>
      <c r="J56" s="223"/>
      <c r="K56" s="223"/>
      <c r="L56" s="223"/>
      <c r="M56" s="223"/>
      <c r="N56" s="223"/>
      <c r="O56" s="223"/>
      <c r="P56" s="223"/>
      <c r="Q56" s="223"/>
      <c r="R56" s="223"/>
      <c r="S56" s="223"/>
      <c r="T56" s="223"/>
      <c r="U56" s="223"/>
      <c r="V56" s="223"/>
      <c r="W56" s="223"/>
      <c r="X56" s="40"/>
      <c r="Y56" s="10"/>
      <c r="Z56" s="10"/>
      <c r="AA56" s="10"/>
      <c r="AB56" s="10"/>
      <c r="AC56" s="10"/>
      <c r="AD56" s="10"/>
      <c r="AE56" s="10"/>
      <c r="AF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38"/>
      <c r="C57" s="213" t="s">
        <v>153</v>
      </c>
      <c r="D57" s="214" t="s">
        <v>38</v>
      </c>
      <c r="E57" s="215" t="s">
        <v>37</v>
      </c>
      <c r="F57" s="41"/>
      <c r="G57" s="215" t="s">
        <v>37</v>
      </c>
      <c r="H57" s="41"/>
      <c r="I57" s="215" t="s">
        <v>37</v>
      </c>
      <c r="J57" s="41"/>
      <c r="K57" s="215" t="s">
        <v>37</v>
      </c>
      <c r="L57" s="41"/>
      <c r="M57" s="215" t="s">
        <v>37</v>
      </c>
      <c r="N57" s="41"/>
      <c r="O57" s="215" t="s">
        <v>37</v>
      </c>
      <c r="P57" s="41"/>
      <c r="Q57" s="215" t="s">
        <v>37</v>
      </c>
      <c r="R57" s="41"/>
      <c r="S57" s="215" t="s">
        <v>37</v>
      </c>
      <c r="T57" s="39"/>
      <c r="U57" s="215" t="s">
        <v>37</v>
      </c>
      <c r="V57" s="39"/>
      <c r="W57" s="215" t="s">
        <v>37</v>
      </c>
      <c r="X57" s="40"/>
      <c r="Y57" s="10"/>
      <c r="Z57" s="10"/>
      <c r="AA57" s="10"/>
      <c r="AB57" s="10"/>
      <c r="AC57" s="10"/>
      <c r="AD57" s="10"/>
      <c r="AE57" s="10"/>
      <c r="AF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15" customHeight="1">
      <c r="A58" s="12"/>
      <c r="B58" s="38"/>
      <c r="C58" s="217" t="s">
        <v>136</v>
      </c>
      <c r="D58" s="214" t="s">
        <v>135</v>
      </c>
      <c r="E58" s="195">
        <f>VLOOKUP(E45,Fremskrivninger!$A$91:$C$121,3)</f>
        <v>7.6283999999999992</v>
      </c>
      <c r="F58" s="41"/>
      <c r="G58" s="195">
        <f>VLOOKUP(G45,Fremskrivninger!$A$91:$C$121,3)</f>
        <v>7.6283999999999992</v>
      </c>
      <c r="H58" s="41"/>
      <c r="I58" s="195">
        <f>VLOOKUP(I45,Fremskrivninger!$A$91:$C$121,3)</f>
        <v>7.6283999999999992</v>
      </c>
      <c r="J58" s="41"/>
      <c r="K58" s="195">
        <f>VLOOKUP(K45,Fremskrivninger!$A$91:$C$121,3)</f>
        <v>7.6283999999999992</v>
      </c>
      <c r="L58" s="41"/>
      <c r="M58" s="195">
        <f>VLOOKUP(M45,Fremskrivninger!$A$91:$C$121,3)</f>
        <v>7.6283999999999992</v>
      </c>
      <c r="N58" s="41"/>
      <c r="O58" s="195">
        <f>VLOOKUP(O45,Fremskrivninger!$A$91:$C$121,3)</f>
        <v>7.6283999999999992</v>
      </c>
      <c r="P58" s="41"/>
      <c r="Q58" s="195">
        <f>VLOOKUP(Q45,Fremskrivninger!$A$91:$C$121,3)</f>
        <v>7.6283999999999992</v>
      </c>
      <c r="R58" s="41"/>
      <c r="S58" s="195">
        <f>VLOOKUP(S45,Fremskrivninger!$A$91:$C$121,3)</f>
        <v>7.6283999999999992</v>
      </c>
      <c r="T58" s="39"/>
      <c r="U58" s="195">
        <f>VLOOKUP(U45,Fremskrivninger!$A$91:$C$121,3)</f>
        <v>7.6283999999999992</v>
      </c>
      <c r="V58" s="39"/>
      <c r="W58" s="195">
        <f>VLOOKUP(W45,Fremskrivninger!$A$91:$C$121,3)</f>
        <v>7.6283999999999992</v>
      </c>
      <c r="X58" s="40"/>
      <c r="Y58" s="10"/>
      <c r="Z58" s="10"/>
      <c r="AA58" s="10"/>
      <c r="AB58" s="10"/>
      <c r="AC58" s="10"/>
      <c r="AD58" s="10"/>
      <c r="AE58" s="10"/>
      <c r="AF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8"/>
      <c r="C59" s="217" t="s">
        <v>138</v>
      </c>
      <c r="D59" s="223" t="s">
        <v>73</v>
      </c>
      <c r="E59" s="462">
        <v>1.4500000000000001E-2</v>
      </c>
      <c r="F59" s="463"/>
      <c r="G59" s="462">
        <v>1.4500000000000001E-2</v>
      </c>
      <c r="H59" s="463"/>
      <c r="I59" s="462">
        <v>1.4500000000000001E-2</v>
      </c>
      <c r="J59" s="463"/>
      <c r="K59" s="462">
        <v>1.4500000000000001E-2</v>
      </c>
      <c r="L59" s="463"/>
      <c r="M59" s="462">
        <v>1.4500000000000001E-2</v>
      </c>
      <c r="N59" s="463"/>
      <c r="O59" s="462">
        <v>1.4500000000000001E-2</v>
      </c>
      <c r="P59" s="463"/>
      <c r="Q59" s="462">
        <v>1.4500000000000001E-2</v>
      </c>
      <c r="R59" s="463"/>
      <c r="S59" s="462">
        <v>1.4500000000000001E-2</v>
      </c>
      <c r="T59" s="464"/>
      <c r="U59" s="462">
        <v>1.4500000000000001E-2</v>
      </c>
      <c r="V59" s="464"/>
      <c r="W59" s="462">
        <v>1.4500000000000001E-2</v>
      </c>
      <c r="X59" s="40"/>
      <c r="Y59" s="10"/>
      <c r="Z59" s="10"/>
      <c r="AA59" s="10"/>
      <c r="AB59" s="10"/>
      <c r="AC59" s="10"/>
      <c r="AD59" s="10"/>
      <c r="AE59" s="10"/>
      <c r="AF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217" t="s">
        <v>225</v>
      </c>
      <c r="D60" s="214" t="s">
        <v>135</v>
      </c>
      <c r="E60" s="465">
        <v>0</v>
      </c>
      <c r="F60" s="466"/>
      <c r="G60" s="465">
        <v>0</v>
      </c>
      <c r="H60" s="466"/>
      <c r="I60" s="465">
        <v>0</v>
      </c>
      <c r="J60" s="466"/>
      <c r="K60" s="465">
        <v>0</v>
      </c>
      <c r="L60" s="466"/>
      <c r="M60" s="465">
        <v>0</v>
      </c>
      <c r="N60" s="466"/>
      <c r="O60" s="465">
        <v>0</v>
      </c>
      <c r="P60" s="466"/>
      <c r="Q60" s="465">
        <v>0</v>
      </c>
      <c r="R60" s="466"/>
      <c r="S60" s="465">
        <v>0</v>
      </c>
      <c r="T60" s="460"/>
      <c r="U60" s="465">
        <v>0</v>
      </c>
      <c r="V60" s="460"/>
      <c r="W60" s="465">
        <v>0</v>
      </c>
      <c r="X60" s="40"/>
      <c r="Y60" s="10"/>
      <c r="Z60" s="10"/>
      <c r="AA60" s="10"/>
      <c r="AB60" s="10"/>
      <c r="AC60" s="10"/>
      <c r="AD60" s="10"/>
      <c r="AE60" s="10"/>
      <c r="AF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217" t="s">
        <v>141</v>
      </c>
      <c r="D61" s="223" t="s">
        <v>73</v>
      </c>
      <c r="E61" s="224">
        <v>0</v>
      </c>
      <c r="F61" s="41"/>
      <c r="G61" s="224">
        <v>0</v>
      </c>
      <c r="H61" s="41"/>
      <c r="I61" s="224">
        <v>0</v>
      </c>
      <c r="J61" s="41"/>
      <c r="K61" s="224">
        <v>0</v>
      </c>
      <c r="L61" s="41"/>
      <c r="M61" s="224">
        <v>0</v>
      </c>
      <c r="N61" s="41"/>
      <c r="O61" s="224">
        <v>0</v>
      </c>
      <c r="P61" s="41"/>
      <c r="Q61" s="224">
        <v>0</v>
      </c>
      <c r="R61" s="41"/>
      <c r="S61" s="224">
        <v>0</v>
      </c>
      <c r="T61" s="39"/>
      <c r="U61" s="224">
        <v>0</v>
      </c>
      <c r="V61" s="39"/>
      <c r="W61" s="224">
        <v>0</v>
      </c>
      <c r="X61" s="40"/>
      <c r="Y61" s="10"/>
      <c r="Z61" s="10"/>
      <c r="AA61" s="10"/>
      <c r="AB61" s="10"/>
      <c r="AC61" s="10"/>
      <c r="AD61" s="10"/>
      <c r="AE61" s="10"/>
      <c r="AF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41"/>
      <c r="D62" s="41"/>
      <c r="E62" s="41"/>
      <c r="F62" s="41"/>
      <c r="G62" s="41"/>
      <c r="H62" s="41"/>
      <c r="I62" s="41"/>
      <c r="J62" s="41"/>
      <c r="K62" s="41"/>
      <c r="L62" s="41"/>
      <c r="M62" s="41"/>
      <c r="N62" s="41"/>
      <c r="O62" s="41"/>
      <c r="P62" s="41"/>
      <c r="Q62" s="41"/>
      <c r="R62" s="41"/>
      <c r="S62" s="41"/>
      <c r="T62" s="39"/>
      <c r="U62" s="41"/>
      <c r="V62" s="39"/>
      <c r="W62" s="41"/>
      <c r="X62" s="40"/>
      <c r="Y62" s="10"/>
      <c r="Z62" s="10"/>
      <c r="AA62" s="10"/>
      <c r="AB62" s="10"/>
      <c r="AC62" s="10"/>
      <c r="AD62" s="10"/>
      <c r="AE62" s="10"/>
      <c r="AF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376" t="s">
        <v>24</v>
      </c>
      <c r="D63" s="128"/>
      <c r="E63" s="129"/>
      <c r="F63" s="130"/>
      <c r="G63" s="129"/>
      <c r="H63" s="131"/>
      <c r="I63" s="129"/>
      <c r="J63" s="131"/>
      <c r="K63" s="129"/>
      <c r="L63" s="131"/>
      <c r="M63" s="129"/>
      <c r="N63" s="131"/>
      <c r="O63" s="129"/>
      <c r="P63" s="131"/>
      <c r="Q63" s="129"/>
      <c r="R63" s="131"/>
      <c r="S63" s="129"/>
      <c r="T63" s="39"/>
      <c r="U63" s="129"/>
      <c r="V63" s="39"/>
      <c r="W63" s="129"/>
      <c r="X63" s="40"/>
      <c r="Y63" s="10"/>
      <c r="Z63" s="10"/>
      <c r="AA63" s="10"/>
      <c r="AB63" s="10"/>
      <c r="AC63" s="10"/>
      <c r="AD63" s="10"/>
      <c r="AE63" s="10"/>
      <c r="AF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384" t="s">
        <v>148</v>
      </c>
      <c r="D64" s="384" t="s">
        <v>226</v>
      </c>
      <c r="E64" s="457"/>
      <c r="F64" s="458"/>
      <c r="G64" s="457"/>
      <c r="H64" s="459"/>
      <c r="I64" s="457"/>
      <c r="J64" s="459"/>
      <c r="K64" s="457"/>
      <c r="L64" s="459"/>
      <c r="M64" s="457"/>
      <c r="N64" s="459"/>
      <c r="O64" s="457"/>
      <c r="P64" s="459"/>
      <c r="Q64" s="457"/>
      <c r="R64" s="459"/>
      <c r="S64" s="457"/>
      <c r="T64" s="460"/>
      <c r="U64" s="457"/>
      <c r="V64" s="460"/>
      <c r="W64" s="457"/>
      <c r="X64" s="40"/>
      <c r="Y64" s="10"/>
      <c r="Z64" s="10"/>
      <c r="AA64" s="10"/>
      <c r="AB64" s="10"/>
      <c r="AC64" s="10"/>
      <c r="AD64" s="10"/>
      <c r="AE64" s="10"/>
      <c r="AF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15" customHeight="1">
      <c r="A65" s="12"/>
      <c r="B65" s="38"/>
      <c r="C65" s="384" t="s">
        <v>149</v>
      </c>
      <c r="D65" s="384" t="s">
        <v>226</v>
      </c>
      <c r="E65" s="461"/>
      <c r="F65" s="458"/>
      <c r="G65" s="461"/>
      <c r="H65" s="459"/>
      <c r="I65" s="461"/>
      <c r="J65" s="459"/>
      <c r="K65" s="461"/>
      <c r="L65" s="459"/>
      <c r="M65" s="461"/>
      <c r="N65" s="459"/>
      <c r="O65" s="461"/>
      <c r="P65" s="459"/>
      <c r="Q65" s="461"/>
      <c r="R65" s="459"/>
      <c r="S65" s="461"/>
      <c r="T65" s="460"/>
      <c r="U65" s="461"/>
      <c r="V65" s="460"/>
      <c r="W65" s="461"/>
      <c r="X65" s="40"/>
      <c r="Y65" s="10"/>
      <c r="Z65" s="10"/>
      <c r="AA65" s="10"/>
      <c r="AB65" s="10"/>
      <c r="AC65" s="10"/>
      <c r="AD65" s="10"/>
      <c r="AE65" s="10"/>
      <c r="AF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43"/>
      <c r="C66" s="44"/>
      <c r="D66" s="44"/>
      <c r="E66" s="44"/>
      <c r="F66" s="44"/>
      <c r="G66" s="44"/>
      <c r="H66" s="44"/>
      <c r="I66" s="44"/>
      <c r="J66" s="44"/>
      <c r="K66" s="44"/>
      <c r="L66" s="44"/>
      <c r="M66" s="44"/>
      <c r="N66" s="44"/>
      <c r="O66" s="44"/>
      <c r="P66" s="44"/>
      <c r="Q66" s="44"/>
      <c r="R66" s="44"/>
      <c r="S66" s="44"/>
      <c r="T66" s="44"/>
      <c r="U66" s="44"/>
      <c r="V66" s="44"/>
      <c r="W66" s="44"/>
      <c r="X66" s="45"/>
      <c r="Y66" s="10"/>
      <c r="Z66" s="10"/>
      <c r="AA66" s="10"/>
      <c r="AB66" s="10"/>
      <c r="AC66" s="10"/>
      <c r="AD66" s="10"/>
      <c r="AE66" s="10"/>
      <c r="AF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12"/>
      <c r="C67" s="541"/>
      <c r="D67" s="541"/>
      <c r="E67" s="541"/>
      <c r="F67" s="541"/>
      <c r="G67" s="541"/>
      <c r="H67" s="541"/>
      <c r="I67" s="46"/>
      <c r="J67" s="47"/>
      <c r="K67" s="541"/>
      <c r="L67" s="541"/>
      <c r="M67" s="541"/>
      <c r="N67" s="541"/>
      <c r="O67" s="541"/>
      <c r="P67" s="541"/>
      <c r="Q67" s="541"/>
      <c r="R67" s="541"/>
      <c r="S67" s="541"/>
      <c r="T67" s="541"/>
      <c r="U67" s="541"/>
      <c r="V67" s="541"/>
      <c r="W67" s="541"/>
      <c r="X67" s="541"/>
      <c r="Y67" s="10"/>
      <c r="Z67" s="10"/>
      <c r="AA67" s="10"/>
      <c r="AB67" s="10"/>
      <c r="AC67" s="10"/>
      <c r="AD67" s="10"/>
      <c r="AE67" s="10"/>
      <c r="AF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48"/>
      <c r="C68" s="49"/>
      <c r="D68" s="50"/>
      <c r="E68" s="51"/>
      <c r="F68" s="51"/>
      <c r="G68" s="51"/>
      <c r="H68" s="51"/>
      <c r="I68" s="51"/>
      <c r="J68" s="51"/>
      <c r="K68" s="51"/>
      <c r="L68" s="51"/>
      <c r="M68" s="51"/>
      <c r="N68" s="51"/>
      <c r="O68" s="51"/>
      <c r="P68" s="51"/>
      <c r="Q68" s="51"/>
      <c r="R68" s="51"/>
      <c r="S68" s="51"/>
      <c r="T68" s="51"/>
      <c r="U68" s="51"/>
      <c r="V68" s="51"/>
      <c r="W68" s="51"/>
      <c r="X68" s="52"/>
      <c r="Y68" s="10"/>
      <c r="Z68" s="10"/>
      <c r="AA68" s="10"/>
      <c r="AB68" s="10"/>
      <c r="AC68" s="10"/>
      <c r="AD68" s="10"/>
      <c r="AE68" s="10"/>
      <c r="AF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25.15" customHeight="1">
      <c r="A69" s="12"/>
      <c r="B69" s="538" t="s">
        <v>218</v>
      </c>
      <c r="C69" s="539"/>
      <c r="D69" s="539"/>
      <c r="E69" s="54"/>
      <c r="F69" s="54"/>
      <c r="G69" s="54"/>
      <c r="H69" s="54"/>
      <c r="I69" s="54"/>
      <c r="J69" s="54"/>
      <c r="K69" s="54"/>
      <c r="L69" s="54"/>
      <c r="M69" s="54"/>
      <c r="N69" s="54"/>
      <c r="O69" s="54"/>
      <c r="P69" s="54"/>
      <c r="Q69" s="54"/>
      <c r="R69" s="54"/>
      <c r="S69" s="54"/>
      <c r="T69" s="54"/>
      <c r="U69" s="54"/>
      <c r="V69" s="54"/>
      <c r="W69" s="54"/>
      <c r="X69" s="55"/>
      <c r="Y69" s="10"/>
      <c r="Z69" s="10"/>
      <c r="AA69" s="10"/>
      <c r="AB69" s="10"/>
      <c r="AC69" s="10"/>
      <c r="AD69" s="10"/>
      <c r="AE69" s="10"/>
      <c r="AF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15" customHeight="1">
      <c r="A70" s="12"/>
      <c r="B70" s="56"/>
      <c r="C70" s="57"/>
      <c r="D70" s="58"/>
      <c r="E70" s="54"/>
      <c r="F70" s="54"/>
      <c r="G70" s="54"/>
      <c r="H70" s="54"/>
      <c r="I70" s="54"/>
      <c r="J70" s="54"/>
      <c r="K70" s="54"/>
      <c r="L70" s="54"/>
      <c r="M70" s="54"/>
      <c r="N70" s="54"/>
      <c r="O70" s="54"/>
      <c r="P70" s="54"/>
      <c r="Q70" s="54"/>
      <c r="R70" s="54"/>
      <c r="S70" s="54"/>
      <c r="T70" s="54"/>
      <c r="U70" s="54"/>
      <c r="V70" s="54"/>
      <c r="W70" s="54"/>
      <c r="X70" s="55"/>
      <c r="Y70" s="10"/>
      <c r="Z70" s="10"/>
      <c r="AA70" s="10"/>
      <c r="AB70" s="10"/>
      <c r="AC70" s="10"/>
      <c r="AD70" s="10"/>
      <c r="AE70" s="10"/>
      <c r="AF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56"/>
      <c r="C71" s="229" t="s">
        <v>210</v>
      </c>
      <c r="D71" s="229" t="s">
        <v>14</v>
      </c>
      <c r="E71" s="528">
        <f>E12*E39</f>
        <v>0</v>
      </c>
      <c r="F71" s="528"/>
      <c r="G71" s="528">
        <f>G12*G39</f>
        <v>0</v>
      </c>
      <c r="H71" s="528"/>
      <c r="I71" s="528">
        <f>I12*I39</f>
        <v>0</v>
      </c>
      <c r="J71" s="528"/>
      <c r="K71" s="528">
        <f>K12*K39</f>
        <v>0</v>
      </c>
      <c r="L71" s="528"/>
      <c r="M71" s="528">
        <f>M12*M39</f>
        <v>0</v>
      </c>
      <c r="N71" s="528"/>
      <c r="O71" s="528">
        <f>O12*O39</f>
        <v>0</v>
      </c>
      <c r="P71" s="528"/>
      <c r="Q71" s="528">
        <f>Q12*Q39</f>
        <v>0</v>
      </c>
      <c r="R71" s="528"/>
      <c r="S71" s="528">
        <f>S12*S39</f>
        <v>0</v>
      </c>
      <c r="T71" s="528"/>
      <c r="U71" s="528">
        <f>U12*U39</f>
        <v>0</v>
      </c>
      <c r="V71" s="528"/>
      <c r="W71" s="528">
        <f>W12*W39</f>
        <v>0</v>
      </c>
      <c r="X71" s="55"/>
      <c r="Y71" s="10"/>
      <c r="Z71" s="10"/>
      <c r="AA71" s="10"/>
      <c r="AB71" s="10"/>
      <c r="AC71" s="10"/>
      <c r="AD71" s="10"/>
      <c r="AE71" s="10"/>
      <c r="AF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56"/>
      <c r="C72" s="229" t="s">
        <v>17</v>
      </c>
      <c r="D72" s="229" t="s">
        <v>14</v>
      </c>
      <c r="E72" s="530">
        <f>SUMIFS('IB - B&amp;D&amp;H'!E$4:E$23,'IB - B&amp;D&amp;H'!$A4:$A23,"&lt;="&amp;G46)</f>
        <v>0</v>
      </c>
      <c r="F72" s="530"/>
      <c r="G72" s="530">
        <f>SUMIFS('IB - B&amp;D&amp;H'!G$4:G$23,'IB - B&amp;D&amp;H'!$A4:$A23,"&lt;="&amp;I46)</f>
        <v>0</v>
      </c>
      <c r="H72" s="530"/>
      <c r="I72" s="530">
        <f>SUMIFS('IB - B&amp;D&amp;H'!I$4:I$23,'IB - B&amp;D&amp;H'!$A4:$A23,"&lt;="&amp;K46)</f>
        <v>0</v>
      </c>
      <c r="J72" s="530"/>
      <c r="K72" s="530">
        <f>SUMIFS('IB - B&amp;D&amp;H'!K$4:K$23,'IB - B&amp;D&amp;H'!$A4:$A23,"&lt;="&amp;M46)</f>
        <v>0</v>
      </c>
      <c r="L72" s="530"/>
      <c r="M72" s="530">
        <f>SUMIFS('IB - B&amp;D&amp;H'!M$4:M$23,'IB - B&amp;D&amp;H'!$A4:$A23,"&lt;="&amp;O46)</f>
        <v>0</v>
      </c>
      <c r="N72" s="530"/>
      <c r="O72" s="530">
        <f>SUMIFS('IB - B&amp;D&amp;H'!O$4:O$23,'IB - B&amp;D&amp;H'!$A4:$A23,"&lt;="&amp;Q46)</f>
        <v>0</v>
      </c>
      <c r="P72" s="530"/>
      <c r="Q72" s="530">
        <f>SUMIFS('IB - B&amp;D&amp;H'!Q$4:Q$23,'IB - B&amp;D&amp;H'!$A4:$A23,"&lt;="&amp;S46)</f>
        <v>0</v>
      </c>
      <c r="R72" s="530"/>
      <c r="S72" s="530">
        <f>SUMIFS('IB - B&amp;D&amp;H'!S$4:S$23,'IB - B&amp;D&amp;H'!$A4:$A23,"&lt;="&amp;U46)</f>
        <v>0</v>
      </c>
      <c r="T72" s="530"/>
      <c r="U72" s="530">
        <f>SUMIFS('IB - B&amp;D&amp;H'!U$4:U$23,'IB - B&amp;D&amp;H'!$A4:$A23,"&lt;="&amp;W46)</f>
        <v>0</v>
      </c>
      <c r="V72" s="530"/>
      <c r="W72" s="530">
        <f>SUMIFS('IB - B&amp;D&amp;H'!W$4:W$23,'IB - B&amp;D&amp;H'!$A4:$A23,"&lt;="&amp;Y46)</f>
        <v>0</v>
      </c>
      <c r="X72" s="55"/>
      <c r="Y72" s="10"/>
      <c r="Z72" s="10"/>
      <c r="AA72" s="10"/>
      <c r="AB72" s="10"/>
      <c r="AC72" s="10"/>
      <c r="AD72" s="10"/>
      <c r="AE72" s="10"/>
      <c r="AF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56"/>
      <c r="C73" s="229" t="s">
        <v>25</v>
      </c>
      <c r="D73" s="229" t="s">
        <v>14</v>
      </c>
      <c r="E73" s="530">
        <f>SUMIFS('IB - B&amp;D&amp;H'!E49:E68,'IB - B&amp;D&amp;H'!$B$49:$B$68,"&lt;="&amp;E46)</f>
        <v>0</v>
      </c>
      <c r="F73" s="530"/>
      <c r="G73" s="530">
        <f>SUMIFS('IB - B&amp;D&amp;H'!G49:G68,'IB - B&amp;D&amp;H'!$B$49:$B$68,"&lt;="&amp;G46)</f>
        <v>0</v>
      </c>
      <c r="H73" s="530"/>
      <c r="I73" s="530">
        <f>SUMIFS('IB - B&amp;D&amp;H'!I49:I68,'IB - B&amp;D&amp;H'!$B$49:$B$68,"&lt;="&amp;I46)</f>
        <v>0</v>
      </c>
      <c r="J73" s="530"/>
      <c r="K73" s="530">
        <f>SUMIFS('IB - B&amp;D&amp;H'!K49:K68,'IB - B&amp;D&amp;H'!$B$49:$B$68,"&lt;="&amp;K46)</f>
        <v>0</v>
      </c>
      <c r="L73" s="530"/>
      <c r="M73" s="530">
        <f>SUMIFS('IB - B&amp;D&amp;H'!M49:M68,'IB - B&amp;D&amp;H'!$B$49:$B$68,"&lt;="&amp;M46)</f>
        <v>0</v>
      </c>
      <c r="N73" s="530"/>
      <c r="O73" s="530">
        <f>SUMIFS('IB - B&amp;D&amp;H'!O49:O68,'IB - B&amp;D&amp;H'!$B$49:$B$68,"&lt;="&amp;O46)</f>
        <v>0</v>
      </c>
      <c r="P73" s="530"/>
      <c r="Q73" s="530">
        <f>SUMIFS('IB - B&amp;D&amp;H'!Q49:Q68,'IB - B&amp;D&amp;H'!$B$49:$B$68,"&lt;="&amp;Q46)</f>
        <v>0</v>
      </c>
      <c r="R73" s="530"/>
      <c r="S73" s="530">
        <f>SUMIFS('IB - B&amp;D&amp;H'!S49:S68,'IB - B&amp;D&amp;H'!$B$49:$B$68,"&lt;="&amp;S46)</f>
        <v>0</v>
      </c>
      <c r="T73" s="530"/>
      <c r="U73" s="530">
        <f>SUMIFS('IB - B&amp;D&amp;H'!U49:U68,'IB - B&amp;D&amp;H'!$B$49:$B$68,"&lt;="&amp;U46)</f>
        <v>0</v>
      </c>
      <c r="V73" s="530"/>
      <c r="W73" s="530">
        <f>SUMIFS('IB - B&amp;D&amp;H'!W49:W68,'IB - B&amp;D&amp;H'!$B$49:$B$68,"&lt;="&amp;W46)</f>
        <v>0</v>
      </c>
      <c r="X73" s="133"/>
      <c r="Y73" s="10"/>
      <c r="Z73" s="10"/>
      <c r="AA73" s="10"/>
      <c r="AB73" s="10"/>
      <c r="AC73" s="10"/>
      <c r="AD73" s="10"/>
      <c r="AE73" s="10"/>
      <c r="AF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15" customHeight="1">
      <c r="A74" s="12"/>
      <c r="B74" s="56"/>
      <c r="C74" s="229" t="str">
        <f>IF(E24="nej","","Samfundsøkonomiske omkostninger af eksterne virkninger på miljøet")</f>
        <v>Samfundsøkonomiske omkostninger af eksterne virkninger på miljøet</v>
      </c>
      <c r="D74" s="229" t="str">
        <f>IF(C74="","","kr.")</f>
        <v>kr.</v>
      </c>
      <c r="E74" s="530">
        <f>IF($D$74="","",SUMIFS('IB - B&amp;D&amp;H'!E$187:E$206,'IB - B&amp;D&amp;H'!$C$187:$C$206,"&lt;="&amp;E46))</f>
        <v>0</v>
      </c>
      <c r="F74" s="530"/>
      <c r="G74" s="530">
        <f>IF($D$74="","",SUMIFS('IB - B&amp;D&amp;H'!G$187:G$206,'IB - B&amp;D&amp;H'!$C$187:$C$206,"&lt;="&amp;G46))</f>
        <v>0</v>
      </c>
      <c r="H74" s="530"/>
      <c r="I74" s="530">
        <f>IF($D$74="","",SUMIFS('IB - B&amp;D&amp;H'!I$187:I$206,'IB - B&amp;D&amp;H'!$C$187:$C$206,"&lt;="&amp;I46))</f>
        <v>0</v>
      </c>
      <c r="J74" s="530"/>
      <c r="K74" s="530">
        <f>IF($D$74="","",SUMIFS('IB - B&amp;D&amp;H'!K$187:K$206,'IB - B&amp;D&amp;H'!$C$187:$C$206,"&lt;="&amp;K46))</f>
        <v>0</v>
      </c>
      <c r="L74" s="530"/>
      <c r="M74" s="530">
        <f>IF($D$74="","",SUMIFS('IB - B&amp;D&amp;H'!M$187:M$206,'IB - B&amp;D&amp;H'!$C$187:$C$206,"&lt;="&amp;M46))</f>
        <v>0</v>
      </c>
      <c r="N74" s="530"/>
      <c r="O74" s="530">
        <f>IF($D$74="","",SUMIFS('IB - B&amp;D&amp;H'!O$187:O$206,'IB - B&amp;D&amp;H'!$C$187:$C$206,"&lt;="&amp;O46))</f>
        <v>0</v>
      </c>
      <c r="P74" s="530"/>
      <c r="Q74" s="530">
        <f>IF($D$74="","",SUMIFS('IB - B&amp;D&amp;H'!Q$187:Q$206,'IB - B&amp;D&amp;H'!$C$187:$C$206,"&lt;="&amp;Q46))</f>
        <v>0</v>
      </c>
      <c r="R74" s="530"/>
      <c r="S74" s="530">
        <f>IF($D$74="","",SUMIFS('IB - B&amp;D&amp;H'!S$187:S$206,'IB - B&amp;D&amp;H'!$C$187:$C$206,"&lt;="&amp;S46))</f>
        <v>0</v>
      </c>
      <c r="T74" s="530"/>
      <c r="U74" s="530">
        <f>IF($D$74="","",SUMIFS('IB - B&amp;D&amp;H'!U$187:U$206,'IB - B&amp;D&amp;H'!$C$187:$C$206,"&lt;="&amp;U46))</f>
        <v>0</v>
      </c>
      <c r="V74" s="530"/>
      <c r="W74" s="530">
        <f>IF($D$74="","",SUMIFS('IB - B&amp;D&amp;H'!W$187:W$206,'IB - B&amp;D&amp;H'!$C$187:$C$206,"&lt;="&amp;W46))</f>
        <v>0</v>
      </c>
      <c r="X74" s="55"/>
      <c r="Y74" s="10"/>
      <c r="Z74" s="10"/>
      <c r="AA74" s="10"/>
      <c r="AB74" s="10"/>
      <c r="AC74" s="10"/>
      <c r="AD74" s="10"/>
      <c r="AE74" s="10"/>
      <c r="AF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59"/>
      <c r="C75" s="229"/>
      <c r="D75" s="229"/>
      <c r="E75" s="530"/>
      <c r="F75" s="530"/>
      <c r="G75" s="530"/>
      <c r="H75" s="530"/>
      <c r="I75" s="530"/>
      <c r="J75" s="530"/>
      <c r="K75" s="530"/>
      <c r="L75" s="530"/>
      <c r="M75" s="530"/>
      <c r="N75" s="530"/>
      <c r="O75" s="530"/>
      <c r="P75" s="530"/>
      <c r="Q75" s="530"/>
      <c r="R75" s="530"/>
      <c r="S75" s="530"/>
      <c r="T75" s="530"/>
      <c r="U75" s="530"/>
      <c r="V75" s="530"/>
      <c r="W75" s="530"/>
      <c r="X75" s="60"/>
      <c r="Y75" s="10"/>
      <c r="Z75" s="10"/>
      <c r="AA75" s="10"/>
      <c r="AB75" s="10"/>
      <c r="AC75" s="10"/>
      <c r="AD75" s="10"/>
      <c r="AE75" s="10"/>
      <c r="AF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56"/>
      <c r="C76" s="229" t="s">
        <v>49</v>
      </c>
      <c r="D76" s="229" t="s">
        <v>14</v>
      </c>
      <c r="E76" s="530">
        <f>SUM(E71:E74)</f>
        <v>0</v>
      </c>
      <c r="F76" s="530"/>
      <c r="G76" s="530">
        <f>SUM(G71:G74)</f>
        <v>0</v>
      </c>
      <c r="H76" s="530"/>
      <c r="I76" s="530">
        <f>SUM(I71:I74)</f>
        <v>0</v>
      </c>
      <c r="J76" s="530"/>
      <c r="K76" s="530">
        <f>SUM(K71:K74)</f>
        <v>0</v>
      </c>
      <c r="L76" s="530"/>
      <c r="M76" s="530">
        <f>SUM(M71:M74)</f>
        <v>0</v>
      </c>
      <c r="N76" s="530"/>
      <c r="O76" s="530">
        <f>SUM(O71:O74)</f>
        <v>0</v>
      </c>
      <c r="P76" s="530"/>
      <c r="Q76" s="530">
        <f>SUM(Q71:Q74)</f>
        <v>0</v>
      </c>
      <c r="R76" s="530"/>
      <c r="S76" s="530">
        <f>SUM(S71:S74)</f>
        <v>0</v>
      </c>
      <c r="T76" s="530"/>
      <c r="U76" s="530">
        <f>SUM(U71:U74)</f>
        <v>0</v>
      </c>
      <c r="V76" s="530"/>
      <c r="W76" s="530">
        <f>SUM(W71:W74)</f>
        <v>0</v>
      </c>
      <c r="X76" s="61"/>
      <c r="Y76" s="10"/>
      <c r="Z76" s="10"/>
      <c r="AA76" s="10"/>
      <c r="AB76" s="10"/>
      <c r="AC76" s="10"/>
      <c r="AD76" s="10"/>
      <c r="AE76" s="10"/>
      <c r="AF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56"/>
      <c r="C77" s="229" t="s">
        <v>28</v>
      </c>
      <c r="D77" s="229" t="s">
        <v>29</v>
      </c>
      <c r="E77" s="530">
        <f>PMT(E47,E46,-(E76))</f>
        <v>0</v>
      </c>
      <c r="F77" s="530"/>
      <c r="G77" s="530">
        <f>PMT(G47,G46,-(G76))</f>
        <v>0</v>
      </c>
      <c r="H77" s="530"/>
      <c r="I77" s="530">
        <f>PMT(I47,I46,-(I76))</f>
        <v>0</v>
      </c>
      <c r="J77" s="530"/>
      <c r="K77" s="530">
        <f>PMT(K47,K46,-(K76))</f>
        <v>0</v>
      </c>
      <c r="L77" s="530"/>
      <c r="M77" s="530">
        <f>PMT(M47,M46,-(M76))</f>
        <v>0</v>
      </c>
      <c r="N77" s="530"/>
      <c r="O77" s="530">
        <f>PMT(O47,O46,-(O76))</f>
        <v>0</v>
      </c>
      <c r="P77" s="530"/>
      <c r="Q77" s="530">
        <f>PMT(Q47,Q46,-(Q76))</f>
        <v>0</v>
      </c>
      <c r="R77" s="530"/>
      <c r="S77" s="530">
        <f>PMT(S47,S46,-(S76))</f>
        <v>0</v>
      </c>
      <c r="T77" s="530"/>
      <c r="U77" s="530">
        <f>PMT(U47,U46,-(U76))</f>
        <v>0</v>
      </c>
      <c r="V77" s="530"/>
      <c r="W77" s="530">
        <f>PMT(W47,W46,-(W76))</f>
        <v>0</v>
      </c>
      <c r="X77" s="61"/>
      <c r="Y77" s="10"/>
      <c r="Z77" s="10"/>
      <c r="AA77" s="10"/>
      <c r="AB77" s="10"/>
      <c r="AC77" s="10"/>
      <c r="AD77" s="10"/>
      <c r="AE77" s="10"/>
      <c r="AF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56"/>
      <c r="C78" s="229"/>
      <c r="D78" s="229"/>
      <c r="E78" s="132"/>
      <c r="F78" s="132"/>
      <c r="G78" s="132"/>
      <c r="H78" s="132"/>
      <c r="I78" s="132"/>
      <c r="J78" s="132"/>
      <c r="K78" s="132"/>
      <c r="L78" s="132"/>
      <c r="M78" s="132"/>
      <c r="N78" s="132"/>
      <c r="O78" s="132"/>
      <c r="P78" s="132"/>
      <c r="Q78" s="132"/>
      <c r="R78" s="132"/>
      <c r="S78" s="132"/>
      <c r="T78" s="132"/>
      <c r="U78" s="132"/>
      <c r="V78" s="132"/>
      <c r="W78" s="132"/>
      <c r="X78" s="61"/>
      <c r="Y78" s="10"/>
      <c r="Z78" s="10"/>
      <c r="AA78" s="10"/>
      <c r="AB78" s="10"/>
      <c r="AC78" s="10"/>
      <c r="AD78" s="10"/>
      <c r="AE78" s="10"/>
      <c r="AF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56"/>
      <c r="C79" s="229" t="str">
        <f>IF(E24="ja","Samlede eksterne virkninger på miljøet fra brugsfasen","")</f>
        <v>Samlede eksterne virkninger på miljøet fra brugsfasen</v>
      </c>
      <c r="D79" s="229" t="str">
        <f>IF(C79="","","tons CO2e")</f>
        <v>tons CO2e</v>
      </c>
      <c r="E79" s="274">
        <f>IF(E24="ja",SUMIFS('IB - B&amp;D&amp;H'!F$187:F$206,'IB - B&amp;D&amp;H'!$B187:$B206,"&lt;="&amp;'Benzin - diesel - hybrid'!E46),"")</f>
        <v>0</v>
      </c>
      <c r="F79" s="274"/>
      <c r="G79" s="274">
        <f>IF(G24="ja",SUMIFS('IB - B&amp;D&amp;H'!H$187:H$206,'IB - B&amp;D&amp;H'!$B187:$B206,"&lt;="&amp;'Benzin - diesel - hybrid'!G46),"")</f>
        <v>0</v>
      </c>
      <c r="H79" s="274"/>
      <c r="I79" s="274">
        <f>IF(I24="ja",SUMIFS('IB - B&amp;D&amp;H'!J$187:J$206,'IB - B&amp;D&amp;H'!$B187:$B206,"&lt;="&amp;'Benzin - diesel - hybrid'!I46),"")</f>
        <v>0</v>
      </c>
      <c r="J79" s="274"/>
      <c r="K79" s="274">
        <f>IF(K24="ja",SUMIFS('IB - B&amp;D&amp;H'!L$187:L$206,'IB - B&amp;D&amp;H'!$B187:$B206,"&lt;="&amp;'Benzin - diesel - hybrid'!K46),"")</f>
        <v>0</v>
      </c>
      <c r="L79" s="274"/>
      <c r="M79" s="274">
        <f>IF(M24="ja",SUMIFS('IB - B&amp;D&amp;H'!N$187:N$206,'IB - B&amp;D&amp;H'!$B187:$B206,"&lt;="&amp;'Benzin - diesel - hybrid'!M46),"")</f>
        <v>0</v>
      </c>
      <c r="N79" s="274"/>
      <c r="O79" s="274">
        <f>IF(O24="ja",SUMIFS('IB - B&amp;D&amp;H'!P$187:P$206,'IB - B&amp;D&amp;H'!$B187:$B206,"&lt;="&amp;'Benzin - diesel - hybrid'!O46),"")</f>
        <v>0</v>
      </c>
      <c r="P79" s="274"/>
      <c r="Q79" s="274">
        <f>IF(Q24="ja",SUMIFS('IB - B&amp;D&amp;H'!R$187:R$206,'IB - B&amp;D&amp;H'!$B187:$B206,"&lt;="&amp;'Benzin - diesel - hybrid'!Q46),"")</f>
        <v>0</v>
      </c>
      <c r="R79" s="274"/>
      <c r="S79" s="274">
        <f>IF(S24="ja",SUMIFS('IB - B&amp;D&amp;H'!T$187:T$206,'IB - B&amp;D&amp;H'!$B187:$B206,"&lt;="&amp;'Benzin - diesel - hybrid'!S46),"")</f>
        <v>0</v>
      </c>
      <c r="T79" s="274"/>
      <c r="U79" s="274">
        <f>IF(U24="ja",SUMIFS('IB - B&amp;D&amp;H'!V$187:V$206,'IB - B&amp;D&amp;H'!$B187:$B206,"&lt;="&amp;'Benzin - diesel - hybrid'!U46),"")</f>
        <v>0</v>
      </c>
      <c r="V79" s="274"/>
      <c r="W79" s="274">
        <f>IF(W24="ja",SUMIFS('IB - B&amp;D&amp;H'!X$187:X$206,'IB - B&amp;D&amp;H'!$B187:$B206,"&lt;="&amp;'Benzin - diesel - hybrid'!W46),"")</f>
        <v>0</v>
      </c>
      <c r="X79" s="61"/>
      <c r="Y79" s="10"/>
      <c r="Z79" s="10"/>
      <c r="AA79" s="10"/>
      <c r="AB79" s="10"/>
      <c r="AC79" s="10"/>
      <c r="AD79" s="10"/>
      <c r="AE79" s="10"/>
      <c r="AF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56"/>
      <c r="C80" s="132"/>
      <c r="D80" s="132"/>
      <c r="E80" s="132"/>
      <c r="F80" s="132"/>
      <c r="G80" s="132"/>
      <c r="H80" s="132"/>
      <c r="I80" s="132"/>
      <c r="J80" s="132"/>
      <c r="K80" s="132"/>
      <c r="L80" s="132"/>
      <c r="M80" s="132"/>
      <c r="N80" s="132"/>
      <c r="O80" s="132"/>
      <c r="P80" s="132"/>
      <c r="Q80" s="132"/>
      <c r="R80" s="132"/>
      <c r="S80" s="132"/>
      <c r="T80" s="132"/>
      <c r="U80" s="132"/>
      <c r="V80" s="132"/>
      <c r="W80" s="132"/>
      <c r="X80" s="61"/>
      <c r="Y80" s="10"/>
      <c r="Z80" s="10"/>
      <c r="AA80" s="10"/>
      <c r="AB80" s="10"/>
      <c r="AC80" s="10"/>
      <c r="AD80" s="10"/>
      <c r="AE80" s="10"/>
      <c r="AF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56"/>
      <c r="C81" s="57"/>
      <c r="D81" s="53"/>
      <c r="E81" s="57"/>
      <c r="F81" s="57"/>
      <c r="G81" s="57"/>
      <c r="H81" s="57"/>
      <c r="I81" s="57"/>
      <c r="J81" s="57"/>
      <c r="K81" s="57"/>
      <c r="L81" s="57"/>
      <c r="M81" s="57"/>
      <c r="N81" s="57"/>
      <c r="O81" s="57"/>
      <c r="P81" s="57"/>
      <c r="Q81" s="57"/>
      <c r="R81" s="57"/>
      <c r="S81" s="57"/>
      <c r="T81" s="57"/>
      <c r="U81" s="57"/>
      <c r="V81" s="57"/>
      <c r="W81" s="57"/>
      <c r="X81" s="61"/>
      <c r="Y81" s="10"/>
      <c r="Z81" s="10"/>
      <c r="AA81" s="10"/>
      <c r="AB81" s="10"/>
      <c r="AC81" s="10"/>
      <c r="AD81" s="10"/>
      <c r="AE81" s="10"/>
      <c r="AF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56"/>
      <c r="C82" s="57"/>
      <c r="D82" s="53"/>
      <c r="E82" s="57"/>
      <c r="F82" s="57"/>
      <c r="G82" s="57"/>
      <c r="H82" s="57"/>
      <c r="I82" s="57"/>
      <c r="J82" s="57"/>
      <c r="K82" s="57"/>
      <c r="L82" s="57"/>
      <c r="M82" s="57"/>
      <c r="N82" s="57"/>
      <c r="O82" s="57"/>
      <c r="P82" s="57"/>
      <c r="Q82" s="57"/>
      <c r="R82" s="57"/>
      <c r="S82" s="57"/>
      <c r="T82" s="57"/>
      <c r="U82" s="57"/>
      <c r="V82" s="57"/>
      <c r="W82" s="57"/>
      <c r="X82" s="61"/>
      <c r="Y82" s="10"/>
      <c r="Z82" s="10"/>
      <c r="AA82" s="10"/>
      <c r="AB82" s="10"/>
      <c r="AC82" s="10"/>
      <c r="AD82" s="10"/>
      <c r="AE82" s="10"/>
      <c r="AF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56"/>
      <c r="C83" s="57"/>
      <c r="D83" s="53"/>
      <c r="E83" s="57"/>
      <c r="F83" s="57"/>
      <c r="G83" s="57"/>
      <c r="H83" s="57"/>
      <c r="I83" s="57"/>
      <c r="J83" s="57"/>
      <c r="K83" s="57"/>
      <c r="L83" s="57"/>
      <c r="M83" s="57"/>
      <c r="N83" s="57"/>
      <c r="O83" s="57"/>
      <c r="P83" s="57"/>
      <c r="Q83" s="57"/>
      <c r="R83" s="57"/>
      <c r="S83" s="57"/>
      <c r="T83" s="57"/>
      <c r="U83" s="57"/>
      <c r="V83" s="57"/>
      <c r="W83" s="57"/>
      <c r="X83" s="61"/>
      <c r="Y83" s="10"/>
      <c r="Z83" s="10"/>
      <c r="AA83" s="10"/>
      <c r="AB83" s="10"/>
      <c r="AC83" s="10"/>
      <c r="AD83" s="10"/>
      <c r="AE83" s="10"/>
      <c r="AF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56"/>
      <c r="C84" s="57"/>
      <c r="D84" s="53"/>
      <c r="E84" s="57"/>
      <c r="F84" s="57"/>
      <c r="G84" s="57"/>
      <c r="H84" s="57"/>
      <c r="I84" s="57"/>
      <c r="J84" s="57"/>
      <c r="K84" s="57"/>
      <c r="L84" s="57"/>
      <c r="M84" s="57"/>
      <c r="N84" s="57"/>
      <c r="O84" s="57"/>
      <c r="P84" s="57"/>
      <c r="Q84" s="57"/>
      <c r="R84" s="57"/>
      <c r="S84" s="57"/>
      <c r="T84" s="57"/>
      <c r="U84" s="57"/>
      <c r="V84" s="57"/>
      <c r="W84" s="57"/>
      <c r="X84" s="61"/>
      <c r="Y84" s="10"/>
      <c r="Z84" s="10"/>
      <c r="AA84" s="10"/>
      <c r="AB84" s="10"/>
      <c r="AC84" s="10"/>
      <c r="AD84" s="10"/>
      <c r="AE84" s="10"/>
      <c r="AF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56"/>
      <c r="C85" s="57"/>
      <c r="D85" s="53"/>
      <c r="E85" s="57"/>
      <c r="F85" s="57"/>
      <c r="G85" s="57"/>
      <c r="H85" s="57"/>
      <c r="I85" s="57"/>
      <c r="J85" s="57"/>
      <c r="K85" s="57"/>
      <c r="L85" s="57"/>
      <c r="M85" s="57"/>
      <c r="N85" s="57"/>
      <c r="O85" s="57"/>
      <c r="P85" s="57"/>
      <c r="Q85" s="57"/>
      <c r="R85" s="57"/>
      <c r="S85" s="57"/>
      <c r="T85" s="57"/>
      <c r="U85" s="57"/>
      <c r="V85" s="57"/>
      <c r="W85" s="57"/>
      <c r="X85" s="61"/>
      <c r="Y85" s="10"/>
      <c r="Z85" s="10"/>
      <c r="AA85" s="10"/>
      <c r="AB85" s="10"/>
      <c r="AC85" s="10"/>
      <c r="AD85" s="10"/>
      <c r="AE85" s="10"/>
      <c r="AF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56"/>
      <c r="C86" s="57"/>
      <c r="D86" s="53"/>
      <c r="E86" s="57"/>
      <c r="F86" s="57"/>
      <c r="G86" s="57"/>
      <c r="H86" s="57"/>
      <c r="I86" s="57"/>
      <c r="J86" s="57"/>
      <c r="K86" s="57"/>
      <c r="L86" s="57"/>
      <c r="M86" s="57"/>
      <c r="N86" s="57"/>
      <c r="O86" s="57"/>
      <c r="P86" s="57"/>
      <c r="Q86" s="57"/>
      <c r="R86" s="57"/>
      <c r="S86" s="57"/>
      <c r="T86" s="57"/>
      <c r="U86" s="57"/>
      <c r="V86" s="57"/>
      <c r="W86" s="57"/>
      <c r="X86" s="61"/>
      <c r="Y86" s="10"/>
      <c r="Z86" s="10"/>
      <c r="AA86" s="10"/>
      <c r="AB86" s="10"/>
      <c r="AC86" s="10"/>
      <c r="AD86" s="10"/>
      <c r="AE86" s="10"/>
      <c r="AF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56"/>
      <c r="C87" s="57"/>
      <c r="D87" s="53"/>
      <c r="E87" s="57"/>
      <c r="F87" s="57"/>
      <c r="G87" s="57"/>
      <c r="H87" s="57"/>
      <c r="I87" s="57"/>
      <c r="J87" s="57"/>
      <c r="K87" s="57"/>
      <c r="L87" s="57"/>
      <c r="M87" s="57"/>
      <c r="N87" s="57"/>
      <c r="O87" s="57"/>
      <c r="P87" s="57"/>
      <c r="Q87" s="57"/>
      <c r="R87" s="57"/>
      <c r="S87" s="57"/>
      <c r="T87" s="57"/>
      <c r="U87" s="57"/>
      <c r="V87" s="57"/>
      <c r="W87" s="57"/>
      <c r="X87" s="61"/>
      <c r="Y87" s="10"/>
      <c r="Z87" s="10"/>
      <c r="AA87" s="10"/>
      <c r="AB87" s="10"/>
      <c r="AC87" s="10"/>
      <c r="AD87" s="10"/>
      <c r="AE87" s="10"/>
      <c r="AF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56"/>
      <c r="C88" s="57"/>
      <c r="D88" s="53"/>
      <c r="E88" s="57"/>
      <c r="F88" s="57"/>
      <c r="G88" s="57"/>
      <c r="H88" s="57"/>
      <c r="I88" s="57"/>
      <c r="J88" s="57"/>
      <c r="K88" s="57"/>
      <c r="L88" s="57"/>
      <c r="M88" s="57"/>
      <c r="N88" s="57"/>
      <c r="O88" s="57"/>
      <c r="P88" s="57"/>
      <c r="Q88" s="57"/>
      <c r="R88" s="57"/>
      <c r="S88" s="57"/>
      <c r="T88" s="57"/>
      <c r="U88" s="57"/>
      <c r="V88" s="57"/>
      <c r="W88" s="57"/>
      <c r="X88" s="61"/>
      <c r="Y88" s="10"/>
      <c r="Z88" s="10"/>
      <c r="AA88" s="10"/>
      <c r="AB88" s="10"/>
      <c r="AC88" s="10"/>
      <c r="AD88" s="10"/>
      <c r="AE88" s="10"/>
      <c r="AF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56"/>
      <c r="C89" s="57"/>
      <c r="D89" s="53"/>
      <c r="E89" s="57"/>
      <c r="F89" s="57"/>
      <c r="G89" s="57"/>
      <c r="H89" s="57"/>
      <c r="I89" s="57"/>
      <c r="J89" s="57"/>
      <c r="K89" s="57"/>
      <c r="L89" s="57"/>
      <c r="M89" s="57"/>
      <c r="N89" s="57"/>
      <c r="O89" s="57"/>
      <c r="P89" s="57"/>
      <c r="Q89" s="57"/>
      <c r="R89" s="57"/>
      <c r="S89" s="57"/>
      <c r="T89" s="57"/>
      <c r="U89" s="57"/>
      <c r="V89" s="57"/>
      <c r="W89" s="57"/>
      <c r="X89" s="61"/>
      <c r="Y89" s="10"/>
      <c r="Z89" s="10"/>
      <c r="AA89" s="10"/>
      <c r="AB89" s="10"/>
      <c r="AC89" s="10"/>
      <c r="AD89" s="10"/>
      <c r="AE89" s="10"/>
      <c r="AF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56"/>
      <c r="C90" s="57"/>
      <c r="D90" s="57"/>
      <c r="E90" s="57"/>
      <c r="F90" s="57"/>
      <c r="G90" s="57"/>
      <c r="H90" s="57"/>
      <c r="I90" s="57"/>
      <c r="J90" s="57"/>
      <c r="K90" s="57"/>
      <c r="L90" s="57"/>
      <c r="M90" s="57"/>
      <c r="N90" s="57"/>
      <c r="O90" s="57"/>
      <c r="P90" s="57"/>
      <c r="Q90" s="57"/>
      <c r="R90" s="57"/>
      <c r="S90" s="57"/>
      <c r="T90" s="57"/>
      <c r="U90" s="57"/>
      <c r="V90" s="57"/>
      <c r="W90" s="57"/>
      <c r="X90" s="61"/>
      <c r="Y90" s="8"/>
      <c r="Z90" s="8"/>
      <c r="AA90" s="8"/>
      <c r="AB90" s="8"/>
      <c r="AC90" s="8"/>
      <c r="AD90" s="8"/>
      <c r="AE90" s="8"/>
      <c r="AF90" s="8"/>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s="64" customFormat="1" ht="15" customHeight="1">
      <c r="A91" s="12"/>
      <c r="B91" s="56"/>
      <c r="C91" s="57"/>
      <c r="D91" s="57"/>
      <c r="E91" s="57"/>
      <c r="F91" s="57"/>
      <c r="G91" s="57"/>
      <c r="H91" s="57"/>
      <c r="I91" s="57"/>
      <c r="J91" s="57"/>
      <c r="K91" s="57"/>
      <c r="L91" s="57"/>
      <c r="M91" s="57"/>
      <c r="N91" s="57"/>
      <c r="O91" s="57"/>
      <c r="P91" s="57"/>
      <c r="Q91" s="57"/>
      <c r="R91" s="57"/>
      <c r="S91" s="57"/>
      <c r="T91" s="57"/>
      <c r="U91" s="57"/>
      <c r="V91" s="57"/>
      <c r="W91" s="57"/>
      <c r="X91" s="61"/>
      <c r="Y91" s="12"/>
      <c r="Z91" s="142"/>
      <c r="AA91" s="8"/>
      <c r="AB91" s="8"/>
      <c r="AC91" s="8"/>
      <c r="AD91" s="8"/>
      <c r="AE91" s="8"/>
      <c r="AF91" s="8"/>
      <c r="AG91" s="63"/>
      <c r="AH91" s="63"/>
      <c r="AI91" s="63"/>
      <c r="AJ91" s="63"/>
      <c r="AK91" s="63"/>
      <c r="AL91" s="63"/>
      <c r="AM91" s="63"/>
      <c r="AN91" s="63"/>
      <c r="AO91" s="63"/>
      <c r="AP91" s="63"/>
      <c r="AQ91" s="63"/>
      <c r="AR91" s="63"/>
      <c r="AS91" s="63"/>
      <c r="AT91" s="63"/>
      <c r="AU91" s="63"/>
      <c r="AV91" s="63"/>
      <c r="AW91" s="63"/>
      <c r="AX91" s="63"/>
      <c r="AY91" s="63"/>
      <c r="AZ91" s="63"/>
      <c r="BA91" s="63"/>
      <c r="BB91" s="63"/>
    </row>
    <row r="92" spans="1:76" s="65" customFormat="1" ht="15" customHeight="1">
      <c r="A92" s="12"/>
      <c r="B92" s="56"/>
      <c r="C92" s="57"/>
      <c r="D92" s="57"/>
      <c r="E92" s="57"/>
      <c r="F92" s="57"/>
      <c r="G92" s="57"/>
      <c r="H92" s="57"/>
      <c r="I92" s="57"/>
      <c r="J92" s="57"/>
      <c r="K92" s="57"/>
      <c r="L92" s="57"/>
      <c r="M92" s="57"/>
      <c r="N92" s="57"/>
      <c r="O92" s="57"/>
      <c r="P92" s="57"/>
      <c r="Q92" s="57"/>
      <c r="R92" s="57"/>
      <c r="S92" s="57"/>
      <c r="T92" s="57"/>
      <c r="U92" s="57"/>
      <c r="V92" s="57"/>
      <c r="W92" s="57"/>
      <c r="X92" s="61"/>
      <c r="Y92" s="12"/>
      <c r="Z92" s="166"/>
      <c r="AA92" s="8"/>
      <c r="AB92" s="8"/>
      <c r="AC92" s="8"/>
      <c r="AD92" s="8"/>
      <c r="AE92" s="8"/>
      <c r="AF92" s="8"/>
      <c r="AG92" s="66"/>
      <c r="AH92" s="66"/>
      <c r="AI92" s="66"/>
      <c r="AJ92" s="66"/>
      <c r="AK92" s="66"/>
      <c r="AL92" s="66"/>
      <c r="AM92" s="66"/>
      <c r="AN92" s="66"/>
      <c r="AO92" s="66"/>
      <c r="AP92" s="66"/>
      <c r="AQ92" s="66"/>
      <c r="AR92" s="66"/>
      <c r="AS92" s="66"/>
      <c r="AT92" s="66"/>
      <c r="AU92" s="66"/>
      <c r="AV92" s="66"/>
      <c r="AW92" s="66"/>
      <c r="AX92" s="66"/>
      <c r="AY92" s="66"/>
      <c r="AZ92" s="66"/>
      <c r="BA92" s="66"/>
      <c r="BB92" s="66"/>
    </row>
    <row r="93" spans="1:76" s="64" customFormat="1" ht="15" customHeight="1">
      <c r="A93" s="12"/>
      <c r="B93" s="56"/>
      <c r="C93" s="57"/>
      <c r="D93" s="57"/>
      <c r="E93" s="57"/>
      <c r="F93" s="57"/>
      <c r="G93" s="57"/>
      <c r="H93" s="57"/>
      <c r="I93" s="57"/>
      <c r="J93" s="57"/>
      <c r="K93" s="57"/>
      <c r="L93" s="57"/>
      <c r="M93" s="57"/>
      <c r="N93" s="57"/>
      <c r="O93" s="57"/>
      <c r="P93" s="57"/>
      <c r="Q93" s="57"/>
      <c r="R93" s="57"/>
      <c r="S93" s="57"/>
      <c r="T93" s="57"/>
      <c r="U93" s="57"/>
      <c r="V93" s="57"/>
      <c r="W93" s="57"/>
      <c r="X93" s="61"/>
      <c r="Y93" s="12"/>
      <c r="Z93" s="142"/>
      <c r="AA93" s="8"/>
      <c r="AB93" s="8"/>
      <c r="AC93" s="8"/>
      <c r="AD93" s="8"/>
      <c r="AE93" s="8"/>
      <c r="AF93" s="8"/>
      <c r="AG93" s="63"/>
      <c r="AH93" s="63"/>
      <c r="AI93" s="63"/>
      <c r="AJ93" s="63"/>
      <c r="AK93" s="63"/>
      <c r="AL93" s="63"/>
      <c r="AM93" s="63"/>
      <c r="AN93" s="63"/>
      <c r="AO93" s="63"/>
      <c r="AP93" s="63"/>
      <c r="AQ93" s="63"/>
      <c r="AR93" s="63"/>
      <c r="AS93" s="63"/>
      <c r="AT93" s="63"/>
      <c r="AU93" s="63"/>
      <c r="AV93" s="63"/>
      <c r="AW93" s="63"/>
      <c r="AX93" s="63"/>
      <c r="AY93" s="63"/>
      <c r="AZ93" s="63"/>
      <c r="BA93" s="63"/>
      <c r="BB93" s="63"/>
    </row>
    <row r="94" spans="1:76" s="64" customFormat="1" ht="15" customHeight="1">
      <c r="A94" s="161"/>
      <c r="B94" s="57"/>
      <c r="C94" s="57"/>
      <c r="D94" s="57"/>
      <c r="E94" s="57"/>
      <c r="F94" s="57"/>
      <c r="G94" s="57"/>
      <c r="H94" s="57"/>
      <c r="I94" s="57"/>
      <c r="J94" s="57"/>
      <c r="K94" s="57"/>
      <c r="L94" s="57"/>
      <c r="M94" s="57"/>
      <c r="N94" s="57"/>
      <c r="O94" s="57"/>
      <c r="P94" s="57"/>
      <c r="Q94" s="57"/>
      <c r="R94" s="57"/>
      <c r="S94" s="57"/>
      <c r="T94" s="57"/>
      <c r="U94" s="57"/>
      <c r="V94" s="57"/>
      <c r="W94" s="57"/>
      <c r="X94" s="57"/>
      <c r="Y94" s="158"/>
      <c r="Z94" s="142"/>
      <c r="AA94" s="8"/>
      <c r="AB94" s="8"/>
      <c r="AC94" s="8"/>
      <c r="AD94" s="8"/>
      <c r="AE94" s="8"/>
      <c r="AF94" s="8"/>
      <c r="AG94" s="63"/>
      <c r="AH94" s="63"/>
      <c r="AI94" s="63"/>
      <c r="AJ94" s="63"/>
      <c r="AK94" s="63"/>
      <c r="AL94" s="63"/>
      <c r="AM94" s="63"/>
      <c r="AN94" s="63"/>
      <c r="AO94" s="63"/>
      <c r="AP94" s="63"/>
      <c r="AQ94" s="63"/>
      <c r="AR94" s="63"/>
      <c r="AS94" s="63"/>
      <c r="AT94" s="63"/>
      <c r="AU94" s="63"/>
      <c r="AV94" s="63"/>
      <c r="AW94" s="63"/>
      <c r="AX94" s="63"/>
      <c r="AY94" s="63"/>
      <c r="AZ94" s="63"/>
      <c r="BA94" s="63"/>
      <c r="BB94" s="63"/>
    </row>
    <row r="95" spans="1:76" s="64" customFormat="1" ht="15" customHeight="1">
      <c r="A95" s="161"/>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58"/>
      <c r="Z95" s="142"/>
      <c r="AA95" s="8"/>
      <c r="AB95" s="8"/>
      <c r="AC95" s="8"/>
      <c r="AD95" s="8"/>
      <c r="AE95" s="8"/>
      <c r="AF95" s="8"/>
      <c r="AG95" s="63"/>
      <c r="AH95" s="63"/>
      <c r="AI95" s="63"/>
      <c r="AJ95" s="63"/>
      <c r="AK95" s="63"/>
      <c r="AL95" s="63"/>
      <c r="AM95" s="63"/>
      <c r="AN95" s="63"/>
      <c r="AO95" s="63"/>
      <c r="AP95" s="63"/>
      <c r="AQ95" s="63"/>
      <c r="AR95" s="63"/>
      <c r="AS95" s="63"/>
      <c r="AT95" s="63"/>
      <c r="AU95" s="63"/>
      <c r="AV95" s="63"/>
      <c r="AW95" s="63"/>
      <c r="AX95" s="63"/>
      <c r="AY95" s="63"/>
      <c r="AZ95" s="63"/>
      <c r="BA95" s="63"/>
      <c r="BB95" s="63"/>
    </row>
    <row r="96" spans="1:76" s="64" customFormat="1" ht="15" customHeight="1">
      <c r="A96" s="162"/>
      <c r="B96" s="144"/>
      <c r="C96" s="144"/>
      <c r="D96" s="144"/>
      <c r="E96" s="144"/>
      <c r="F96" s="144"/>
      <c r="G96" s="144"/>
      <c r="H96" s="144"/>
      <c r="I96" s="144"/>
      <c r="J96" s="144"/>
      <c r="K96" s="144"/>
      <c r="L96" s="144"/>
      <c r="M96" s="144"/>
      <c r="N96" s="144"/>
      <c r="O96" s="144"/>
      <c r="P96" s="144"/>
      <c r="Q96" s="144"/>
      <c r="R96" s="144"/>
      <c r="S96" s="144"/>
      <c r="T96" s="144"/>
      <c r="U96" s="144"/>
      <c r="V96" s="144"/>
      <c r="W96" s="144"/>
      <c r="X96" s="144"/>
      <c r="Y96" s="159"/>
      <c r="Z96" s="142"/>
      <c r="AA96" s="142"/>
      <c r="AB96" s="142"/>
      <c r="AC96" s="142"/>
      <c r="AD96" s="142"/>
      <c r="AE96" s="142"/>
      <c r="AF96" s="142"/>
      <c r="AG96" s="63"/>
      <c r="AH96" s="63"/>
      <c r="AI96" s="63"/>
      <c r="AJ96" s="63"/>
      <c r="AK96" s="63"/>
      <c r="AL96" s="63"/>
      <c r="AM96" s="63"/>
      <c r="AN96" s="63"/>
      <c r="AO96" s="63"/>
      <c r="AP96" s="63"/>
      <c r="AQ96" s="63"/>
      <c r="AR96" s="63"/>
      <c r="AS96" s="63"/>
      <c r="AT96" s="63"/>
      <c r="AU96" s="63"/>
      <c r="AV96" s="63"/>
      <c r="AW96" s="63"/>
      <c r="AX96" s="63"/>
      <c r="AY96" s="63"/>
      <c r="AZ96" s="63"/>
      <c r="BA96" s="63"/>
      <c r="BB96" s="63"/>
    </row>
    <row r="97" spans="1:54" s="64" customFormat="1" ht="15" customHeight="1">
      <c r="A97" s="162"/>
      <c r="B97" s="144"/>
      <c r="C97" s="144"/>
      <c r="D97" s="144"/>
      <c r="E97" s="144"/>
      <c r="F97" s="144"/>
      <c r="G97" s="144"/>
      <c r="H97" s="144"/>
      <c r="I97" s="144"/>
      <c r="J97" s="144"/>
      <c r="K97" s="144"/>
      <c r="L97" s="144"/>
      <c r="M97" s="144"/>
      <c r="N97" s="144"/>
      <c r="O97" s="144"/>
      <c r="P97" s="144"/>
      <c r="Q97" s="144"/>
      <c r="R97" s="144"/>
      <c r="S97" s="144"/>
      <c r="T97" s="144"/>
      <c r="U97" s="144"/>
      <c r="V97" s="144"/>
      <c r="W97" s="144"/>
      <c r="X97" s="145"/>
      <c r="Y97" s="160"/>
      <c r="Z97" s="142"/>
      <c r="AA97" s="142"/>
      <c r="AB97" s="142"/>
      <c r="AC97" s="142"/>
      <c r="AD97" s="142"/>
      <c r="AE97" s="142"/>
      <c r="AF97" s="142"/>
      <c r="AG97" s="63"/>
      <c r="AH97" s="63"/>
      <c r="AI97" s="63"/>
      <c r="AJ97" s="63"/>
      <c r="AK97" s="63"/>
      <c r="AL97" s="63"/>
      <c r="AM97" s="63"/>
      <c r="AN97" s="63"/>
      <c r="AO97" s="63"/>
      <c r="AP97" s="63"/>
      <c r="AQ97" s="63"/>
      <c r="AR97" s="63"/>
      <c r="AS97" s="63"/>
      <c r="AT97" s="63"/>
      <c r="AU97" s="63"/>
      <c r="AV97" s="63"/>
      <c r="AW97" s="63"/>
      <c r="AX97" s="63"/>
      <c r="AY97" s="63"/>
      <c r="AZ97" s="63"/>
      <c r="BA97" s="63"/>
      <c r="BB97" s="63"/>
    </row>
    <row r="98" spans="1:54" s="64" customFormat="1" ht="15" customHeight="1">
      <c r="A98" s="162"/>
      <c r="B98" s="144"/>
      <c r="C98" s="144"/>
      <c r="D98" s="144"/>
      <c r="E98" s="144"/>
      <c r="F98" s="144"/>
      <c r="G98" s="144"/>
      <c r="H98" s="144"/>
      <c r="I98" s="144"/>
      <c r="J98" s="144"/>
      <c r="K98" s="144"/>
      <c r="L98" s="144"/>
      <c r="M98" s="144"/>
      <c r="N98" s="144"/>
      <c r="O98" s="144"/>
      <c r="P98" s="144"/>
      <c r="Q98" s="144"/>
      <c r="R98" s="144"/>
      <c r="S98" s="144"/>
      <c r="T98" s="144"/>
      <c r="U98" s="144"/>
      <c r="V98" s="144"/>
      <c r="W98" s="144"/>
      <c r="X98" s="145"/>
      <c r="Y98" s="160"/>
      <c r="Z98" s="142"/>
      <c r="AA98" s="142"/>
      <c r="AB98" s="142"/>
      <c r="AC98" s="142"/>
      <c r="AD98" s="142"/>
      <c r="AE98" s="142"/>
      <c r="AF98" s="142"/>
      <c r="AG98" s="63"/>
      <c r="AH98" s="63"/>
      <c r="AI98" s="63"/>
      <c r="AJ98" s="63"/>
      <c r="AK98" s="63"/>
      <c r="AL98" s="63"/>
      <c r="AM98" s="63"/>
      <c r="AN98" s="63"/>
      <c r="AO98" s="63"/>
      <c r="AP98" s="63"/>
      <c r="AQ98" s="63"/>
      <c r="AR98" s="63"/>
      <c r="AS98" s="63"/>
      <c r="AT98" s="63"/>
      <c r="AU98" s="63"/>
      <c r="AV98" s="63"/>
      <c r="AW98" s="63"/>
      <c r="AX98" s="63"/>
      <c r="AY98" s="63"/>
      <c r="AZ98" s="63"/>
      <c r="BA98" s="63"/>
      <c r="BB98" s="63"/>
    </row>
    <row r="99" spans="1:54" s="64" customFormat="1" ht="15" customHeight="1">
      <c r="A99" s="162"/>
      <c r="B99" s="144"/>
      <c r="C99" s="144"/>
      <c r="D99" s="144"/>
      <c r="E99" s="144"/>
      <c r="F99" s="144"/>
      <c r="G99" s="144"/>
      <c r="H99" s="144"/>
      <c r="I99" s="144"/>
      <c r="J99" s="144"/>
      <c r="K99" s="144"/>
      <c r="L99" s="144"/>
      <c r="M99" s="144"/>
      <c r="N99" s="144"/>
      <c r="O99" s="144"/>
      <c r="P99" s="144"/>
      <c r="Q99" s="144"/>
      <c r="R99" s="144"/>
      <c r="S99" s="144"/>
      <c r="T99" s="144"/>
      <c r="U99" s="144"/>
      <c r="V99" s="144"/>
      <c r="W99" s="144"/>
      <c r="X99" s="145"/>
      <c r="Y99" s="160"/>
      <c r="Z99" s="142"/>
      <c r="AA99" s="142"/>
      <c r="AB99" s="142"/>
      <c r="AC99" s="142"/>
      <c r="AD99" s="142"/>
      <c r="AE99" s="142"/>
      <c r="AF99" s="142"/>
      <c r="AG99" s="63"/>
      <c r="AH99" s="63"/>
      <c r="AI99" s="63"/>
      <c r="AJ99" s="63"/>
      <c r="AK99" s="63"/>
      <c r="AL99" s="63"/>
      <c r="AM99" s="63"/>
      <c r="AN99" s="63"/>
      <c r="AO99" s="63"/>
      <c r="AP99" s="63"/>
      <c r="AQ99" s="63"/>
      <c r="AR99" s="63"/>
      <c r="AS99" s="63"/>
      <c r="AT99" s="63"/>
      <c r="AU99" s="63"/>
      <c r="AV99" s="63"/>
      <c r="AW99" s="63"/>
      <c r="AX99" s="63"/>
      <c r="AY99" s="63"/>
      <c r="AZ99" s="63"/>
      <c r="BA99" s="63"/>
      <c r="BB99" s="63"/>
    </row>
    <row r="100" spans="1:54" s="64" customFormat="1" ht="15" customHeight="1">
      <c r="A100" s="162"/>
      <c r="B100" s="144"/>
      <c r="C100" s="144"/>
      <c r="D100" s="144"/>
      <c r="E100" s="144"/>
      <c r="F100" s="144"/>
      <c r="G100" s="144"/>
      <c r="H100" s="144"/>
      <c r="I100" s="144"/>
      <c r="J100" s="144"/>
      <c r="K100" s="144"/>
      <c r="L100" s="144"/>
      <c r="M100" s="144"/>
      <c r="N100" s="144"/>
      <c r="O100" s="144"/>
      <c r="P100" s="144"/>
      <c r="Q100" s="144"/>
      <c r="R100" s="144"/>
      <c r="S100" s="144"/>
      <c r="T100" s="144"/>
      <c r="U100" s="144"/>
      <c r="V100" s="144"/>
      <c r="W100" s="144"/>
      <c r="X100" s="145"/>
      <c r="Y100" s="160"/>
      <c r="Z100" s="142"/>
      <c r="AA100" s="142"/>
      <c r="AB100" s="142"/>
      <c r="AC100" s="142"/>
      <c r="AD100" s="142"/>
      <c r="AE100" s="142"/>
      <c r="AF100" s="142"/>
      <c r="AG100" s="63"/>
      <c r="AH100" s="63"/>
      <c r="AI100" s="63"/>
      <c r="AJ100" s="63"/>
      <c r="AK100" s="63"/>
      <c r="AL100" s="63"/>
      <c r="AM100" s="63"/>
      <c r="AN100" s="63"/>
      <c r="AO100" s="63"/>
      <c r="AP100" s="63"/>
      <c r="AQ100" s="63"/>
      <c r="AR100" s="63"/>
      <c r="AS100" s="63"/>
      <c r="AT100" s="63"/>
      <c r="AU100" s="63"/>
      <c r="AV100" s="63"/>
      <c r="AW100" s="63"/>
      <c r="AX100" s="63"/>
      <c r="AY100" s="63"/>
      <c r="AZ100" s="63"/>
      <c r="BA100" s="63"/>
      <c r="BB100" s="63"/>
    </row>
    <row r="101" spans="1:54" s="64" customFormat="1" ht="15" customHeight="1">
      <c r="A101" s="162"/>
      <c r="B101" s="144"/>
      <c r="C101" s="144"/>
      <c r="D101" s="144"/>
      <c r="E101" s="144"/>
      <c r="F101" s="144"/>
      <c r="G101" s="144"/>
      <c r="H101" s="144"/>
      <c r="I101" s="144"/>
      <c r="J101" s="144"/>
      <c r="K101" s="144"/>
      <c r="L101" s="144"/>
      <c r="M101" s="144"/>
      <c r="N101" s="144"/>
      <c r="O101" s="144"/>
      <c r="P101" s="144"/>
      <c r="Q101" s="144"/>
      <c r="R101" s="144"/>
      <c r="S101" s="144"/>
      <c r="T101" s="144"/>
      <c r="U101" s="144"/>
      <c r="V101" s="144"/>
      <c r="W101" s="144"/>
      <c r="X101" s="145"/>
      <c r="Y101" s="160"/>
      <c r="Z101" s="142"/>
      <c r="AA101" s="142"/>
      <c r="AB101" s="142"/>
      <c r="AC101" s="142"/>
      <c r="AD101" s="142"/>
      <c r="AE101" s="142"/>
      <c r="AF101" s="142"/>
      <c r="AG101" s="63"/>
      <c r="AH101" s="63"/>
      <c r="AI101" s="63"/>
      <c r="AJ101" s="63"/>
      <c r="AK101" s="63"/>
      <c r="AL101" s="63"/>
      <c r="AM101" s="63"/>
      <c r="AN101" s="63"/>
      <c r="AO101" s="63"/>
      <c r="AP101" s="63"/>
      <c r="AQ101" s="63"/>
      <c r="AR101" s="63"/>
      <c r="AS101" s="63"/>
      <c r="AT101" s="63"/>
      <c r="AU101" s="63"/>
      <c r="AV101" s="63"/>
      <c r="AW101" s="63"/>
      <c r="AX101" s="63"/>
      <c r="AY101" s="63"/>
      <c r="AZ101" s="63"/>
      <c r="BA101" s="63"/>
      <c r="BB101" s="63"/>
    </row>
    <row r="102" spans="1:54" s="64" customFormat="1" ht="15" customHeight="1">
      <c r="A102" s="162"/>
      <c r="B102" s="144"/>
      <c r="C102" s="144"/>
      <c r="D102" s="144"/>
      <c r="E102" s="144"/>
      <c r="F102" s="144"/>
      <c r="G102" s="144"/>
      <c r="H102" s="144"/>
      <c r="I102" s="144"/>
      <c r="J102" s="144"/>
      <c r="K102" s="144"/>
      <c r="L102" s="144"/>
      <c r="M102" s="144"/>
      <c r="N102" s="144"/>
      <c r="O102" s="144"/>
      <c r="P102" s="144"/>
      <c r="Q102" s="144"/>
      <c r="R102" s="144"/>
      <c r="S102" s="144"/>
      <c r="T102" s="144"/>
      <c r="U102" s="144"/>
      <c r="V102" s="144"/>
      <c r="W102" s="144"/>
      <c r="X102" s="145"/>
      <c r="Y102" s="160"/>
      <c r="Z102" s="142"/>
      <c r="AA102" s="142"/>
      <c r="AB102" s="142"/>
      <c r="AC102" s="142"/>
      <c r="AD102" s="142"/>
      <c r="AE102" s="142"/>
      <c r="AF102" s="142"/>
      <c r="AG102" s="63"/>
      <c r="AH102" s="63"/>
      <c r="AI102" s="63"/>
      <c r="AJ102" s="63"/>
      <c r="AK102" s="63"/>
      <c r="AL102" s="63"/>
      <c r="AM102" s="63"/>
      <c r="AN102" s="63"/>
      <c r="AO102" s="63"/>
      <c r="AP102" s="63"/>
      <c r="AQ102" s="63"/>
      <c r="AR102" s="63"/>
      <c r="AS102" s="63"/>
      <c r="AT102" s="63"/>
      <c r="AU102" s="63"/>
      <c r="AV102" s="63"/>
      <c r="AW102" s="63"/>
      <c r="AX102" s="63"/>
      <c r="AY102" s="63"/>
      <c r="AZ102" s="63"/>
      <c r="BA102" s="63"/>
      <c r="BB102" s="63"/>
    </row>
    <row r="103" spans="1:54" s="64" customFormat="1" ht="15" customHeight="1">
      <c r="A103" s="162"/>
      <c r="B103" s="144"/>
      <c r="C103" s="144"/>
      <c r="D103" s="144"/>
      <c r="E103" s="144"/>
      <c r="F103" s="144"/>
      <c r="G103" s="144"/>
      <c r="H103" s="144"/>
      <c r="I103" s="144"/>
      <c r="J103" s="144"/>
      <c r="K103" s="144"/>
      <c r="L103" s="144"/>
      <c r="M103" s="144"/>
      <c r="N103" s="144"/>
      <c r="O103" s="144"/>
      <c r="P103" s="144"/>
      <c r="Q103" s="144"/>
      <c r="R103" s="144"/>
      <c r="S103" s="144"/>
      <c r="T103" s="144"/>
      <c r="U103" s="144"/>
      <c r="V103" s="144"/>
      <c r="W103" s="144"/>
      <c r="X103" s="145"/>
      <c r="Y103" s="160"/>
      <c r="Z103" s="142"/>
      <c r="AA103" s="142"/>
      <c r="AB103" s="142"/>
      <c r="AC103" s="142"/>
      <c r="AD103" s="142"/>
      <c r="AE103" s="142"/>
      <c r="AF103" s="142"/>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row>
    <row r="104" spans="1:54" s="64" customFormat="1" ht="15" customHeight="1">
      <c r="A104" s="162"/>
      <c r="B104" s="144"/>
      <c r="C104" s="144"/>
      <c r="D104" s="144"/>
      <c r="E104" s="144"/>
      <c r="F104" s="144"/>
      <c r="G104" s="144"/>
      <c r="H104" s="144"/>
      <c r="I104" s="144"/>
      <c r="J104" s="144"/>
      <c r="K104" s="144"/>
      <c r="L104" s="144"/>
      <c r="M104" s="144"/>
      <c r="N104" s="144"/>
      <c r="O104" s="144"/>
      <c r="P104" s="144"/>
      <c r="Q104" s="144"/>
      <c r="R104" s="144"/>
      <c r="S104" s="144"/>
      <c r="T104" s="144"/>
      <c r="U104" s="144"/>
      <c r="V104" s="144"/>
      <c r="W104" s="144"/>
      <c r="X104" s="145"/>
      <c r="Y104" s="160"/>
      <c r="Z104" s="142"/>
      <c r="AA104" s="142"/>
      <c r="AB104" s="142"/>
      <c r="AC104" s="142"/>
      <c r="AD104" s="142"/>
      <c r="AE104" s="142"/>
      <c r="AF104" s="142"/>
      <c r="AG104" s="63"/>
      <c r="AH104" s="63"/>
      <c r="AI104" s="63"/>
      <c r="AJ104" s="63"/>
      <c r="AK104" s="63"/>
      <c r="AL104" s="63"/>
      <c r="AM104" s="63"/>
      <c r="AN104" s="63"/>
      <c r="AO104" s="63"/>
      <c r="AP104" s="63"/>
      <c r="AQ104" s="63"/>
      <c r="AR104" s="63"/>
      <c r="AS104" s="63"/>
      <c r="AT104" s="63"/>
      <c r="AU104" s="63"/>
      <c r="AV104" s="63"/>
      <c r="AW104" s="63"/>
      <c r="AX104" s="63"/>
      <c r="AY104" s="63"/>
      <c r="AZ104" s="63"/>
      <c r="BA104" s="63"/>
      <c r="BB104" s="63"/>
    </row>
    <row r="105" spans="1:54" s="64" customFormat="1" ht="15" customHeight="1">
      <c r="A105" s="162"/>
      <c r="B105" s="144"/>
      <c r="C105" s="144"/>
      <c r="D105" s="144"/>
      <c r="E105" s="144"/>
      <c r="F105" s="144"/>
      <c r="G105" s="144"/>
      <c r="H105" s="144"/>
      <c r="I105" s="144"/>
      <c r="J105" s="144"/>
      <c r="K105" s="144"/>
      <c r="L105" s="144"/>
      <c r="M105" s="144"/>
      <c r="N105" s="144"/>
      <c r="O105" s="144"/>
      <c r="P105" s="144"/>
      <c r="Q105" s="144"/>
      <c r="R105" s="144"/>
      <c r="S105" s="144"/>
      <c r="T105" s="144"/>
      <c r="U105" s="144"/>
      <c r="V105" s="144"/>
      <c r="W105" s="144"/>
      <c r="X105" s="145"/>
      <c r="Y105" s="160"/>
      <c r="Z105" s="142"/>
      <c r="AA105" s="142"/>
      <c r="AB105" s="142"/>
      <c r="AC105" s="142"/>
      <c r="AD105" s="142"/>
      <c r="AE105" s="142"/>
      <c r="AF105" s="142"/>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row>
    <row r="106" spans="1:54" s="64" customFormat="1" ht="15" customHeight="1">
      <c r="A106" s="162"/>
      <c r="B106" s="144"/>
      <c r="C106" s="144"/>
      <c r="D106" s="144"/>
      <c r="E106" s="144"/>
      <c r="F106" s="144"/>
      <c r="G106" s="144"/>
      <c r="H106" s="144"/>
      <c r="I106" s="144"/>
      <c r="J106" s="144"/>
      <c r="K106" s="144"/>
      <c r="L106" s="144"/>
      <c r="M106" s="144"/>
      <c r="N106" s="144"/>
      <c r="O106" s="144"/>
      <c r="P106" s="144"/>
      <c r="Q106" s="144"/>
      <c r="R106" s="144"/>
      <c r="S106" s="144"/>
      <c r="T106" s="144"/>
      <c r="U106" s="144"/>
      <c r="V106" s="144"/>
      <c r="W106" s="144"/>
      <c r="X106" s="145"/>
      <c r="Y106" s="160"/>
      <c r="Z106" s="142"/>
      <c r="AA106" s="142"/>
      <c r="AB106" s="142"/>
      <c r="AC106" s="142"/>
      <c r="AD106" s="142"/>
      <c r="AE106" s="142"/>
      <c r="AF106" s="142"/>
      <c r="AG106" s="63"/>
      <c r="AH106" s="63"/>
      <c r="AI106" s="63"/>
      <c r="AJ106" s="63"/>
      <c r="AK106" s="63"/>
      <c r="AL106" s="63"/>
      <c r="AM106" s="63"/>
      <c r="AN106" s="63"/>
      <c r="AO106" s="63"/>
      <c r="AP106" s="63"/>
      <c r="AQ106" s="63"/>
      <c r="AR106" s="63"/>
      <c r="AS106" s="63"/>
      <c r="AT106" s="63"/>
      <c r="AU106" s="63"/>
      <c r="AV106" s="63"/>
      <c r="AW106" s="63"/>
      <c r="AX106" s="63"/>
      <c r="AY106" s="63"/>
      <c r="AZ106" s="63"/>
      <c r="BA106" s="63"/>
      <c r="BB106" s="63"/>
    </row>
    <row r="107" spans="1:54" s="64" customFormat="1" ht="15" customHeight="1">
      <c r="A107" s="162"/>
      <c r="B107" s="144"/>
      <c r="C107" s="144"/>
      <c r="D107" s="144"/>
      <c r="E107" s="144"/>
      <c r="F107" s="144"/>
      <c r="G107" s="144"/>
      <c r="H107" s="144"/>
      <c r="I107" s="144"/>
      <c r="J107" s="144"/>
      <c r="K107" s="144"/>
      <c r="L107" s="144"/>
      <c r="M107" s="144"/>
      <c r="N107" s="144"/>
      <c r="O107" s="144"/>
      <c r="P107" s="144"/>
      <c r="Q107" s="144"/>
      <c r="R107" s="144"/>
      <c r="S107" s="144"/>
      <c r="T107" s="144"/>
      <c r="U107" s="144"/>
      <c r="V107" s="144"/>
      <c r="W107" s="144"/>
      <c r="X107" s="145"/>
      <c r="Y107" s="160"/>
      <c r="Z107" s="142"/>
      <c r="AA107" s="142"/>
      <c r="AB107" s="142"/>
      <c r="AC107" s="142"/>
      <c r="AD107" s="142"/>
      <c r="AE107" s="142"/>
      <c r="AF107" s="142"/>
      <c r="AG107" s="63"/>
      <c r="AH107" s="63"/>
      <c r="AI107" s="63"/>
      <c r="AJ107" s="63"/>
      <c r="AK107" s="63"/>
      <c r="AL107" s="63"/>
      <c r="AM107" s="63"/>
      <c r="AN107" s="63"/>
      <c r="AO107" s="63"/>
      <c r="AP107" s="63"/>
      <c r="AQ107" s="63"/>
      <c r="AR107" s="63"/>
      <c r="AS107" s="63"/>
      <c r="AT107" s="63"/>
      <c r="AU107" s="63"/>
      <c r="AV107" s="63"/>
      <c r="AW107" s="63"/>
      <c r="AX107" s="63"/>
      <c r="AY107" s="63"/>
      <c r="AZ107" s="63"/>
      <c r="BA107" s="63"/>
      <c r="BB107" s="63"/>
    </row>
    <row r="108" spans="1:54" s="64" customFormat="1" ht="15" customHeight="1">
      <c r="A108" s="162"/>
      <c r="B108" s="144"/>
      <c r="C108" s="144"/>
      <c r="D108" s="144"/>
      <c r="E108" s="144"/>
      <c r="F108" s="144"/>
      <c r="G108" s="144"/>
      <c r="H108" s="144"/>
      <c r="I108" s="144"/>
      <c r="J108" s="144"/>
      <c r="K108" s="144"/>
      <c r="L108" s="144"/>
      <c r="M108" s="144"/>
      <c r="N108" s="144"/>
      <c r="O108" s="144"/>
      <c r="P108" s="144"/>
      <c r="Q108" s="144"/>
      <c r="R108" s="144"/>
      <c r="S108" s="144"/>
      <c r="T108" s="144"/>
      <c r="U108" s="144"/>
      <c r="V108" s="144"/>
      <c r="W108" s="144"/>
      <c r="X108" s="145"/>
      <c r="Y108" s="160"/>
      <c r="Z108" s="142"/>
      <c r="AA108" s="142"/>
      <c r="AB108" s="142"/>
      <c r="AC108" s="142"/>
      <c r="AD108" s="142"/>
      <c r="AE108" s="142"/>
      <c r="AF108" s="142"/>
      <c r="AG108" s="63"/>
      <c r="AH108" s="63"/>
      <c r="AI108" s="63"/>
      <c r="AJ108" s="63"/>
      <c r="AK108" s="63"/>
      <c r="AL108" s="63"/>
      <c r="AM108" s="63"/>
      <c r="AN108" s="63"/>
      <c r="AO108" s="63"/>
      <c r="AP108" s="63"/>
      <c r="AQ108" s="63"/>
      <c r="AR108" s="63"/>
      <c r="AS108" s="63"/>
      <c r="AT108" s="63"/>
      <c r="AU108" s="63"/>
      <c r="AV108" s="63"/>
      <c r="AW108" s="63"/>
      <c r="AX108" s="63"/>
      <c r="AY108" s="63"/>
      <c r="AZ108" s="63"/>
      <c r="BA108" s="63"/>
      <c r="BB108" s="63"/>
    </row>
    <row r="109" spans="1:54" s="64" customFormat="1" ht="15" customHeight="1">
      <c r="A109" s="162"/>
      <c r="B109" s="144"/>
      <c r="C109" s="144"/>
      <c r="D109" s="144"/>
      <c r="E109" s="144"/>
      <c r="F109" s="144"/>
      <c r="G109" s="144"/>
      <c r="H109" s="144"/>
      <c r="I109" s="144"/>
      <c r="J109" s="144"/>
      <c r="K109" s="144"/>
      <c r="L109" s="144"/>
      <c r="M109" s="144"/>
      <c r="N109" s="144"/>
      <c r="O109" s="144"/>
      <c r="P109" s="144"/>
      <c r="Q109" s="144"/>
      <c r="R109" s="144"/>
      <c r="S109" s="144"/>
      <c r="T109" s="144"/>
      <c r="U109" s="144"/>
      <c r="V109" s="144"/>
      <c r="W109" s="144"/>
      <c r="X109" s="145"/>
      <c r="Y109" s="160"/>
      <c r="Z109" s="142"/>
      <c r="AA109" s="142"/>
      <c r="AB109" s="142"/>
      <c r="AC109" s="142"/>
      <c r="AD109" s="142"/>
      <c r="AE109" s="142"/>
      <c r="AF109" s="142"/>
      <c r="AG109" s="63"/>
      <c r="AH109" s="63"/>
      <c r="AI109" s="63"/>
      <c r="AJ109" s="63"/>
      <c r="AK109" s="63"/>
      <c r="AL109" s="63"/>
      <c r="AM109" s="63"/>
      <c r="AN109" s="63"/>
      <c r="AO109" s="63"/>
      <c r="AP109" s="63"/>
      <c r="AQ109" s="63"/>
      <c r="AR109" s="63"/>
      <c r="AS109" s="63"/>
      <c r="AT109" s="63"/>
      <c r="AU109" s="63"/>
      <c r="AV109" s="63"/>
      <c r="AW109" s="63"/>
      <c r="AX109" s="63"/>
      <c r="AY109" s="63"/>
      <c r="AZ109" s="63"/>
      <c r="BA109" s="63"/>
      <c r="BB109" s="63"/>
    </row>
    <row r="110" spans="1:54" s="64" customFormat="1" ht="15" customHeight="1">
      <c r="A110" s="162"/>
      <c r="B110" s="144"/>
      <c r="C110" s="144"/>
      <c r="D110" s="144"/>
      <c r="E110" s="144"/>
      <c r="F110" s="144"/>
      <c r="G110" s="144"/>
      <c r="H110" s="144"/>
      <c r="I110" s="144"/>
      <c r="J110" s="144"/>
      <c r="K110" s="144"/>
      <c r="L110" s="144"/>
      <c r="M110" s="144"/>
      <c r="N110" s="144"/>
      <c r="O110" s="144"/>
      <c r="P110" s="144"/>
      <c r="Q110" s="144"/>
      <c r="R110" s="144"/>
      <c r="S110" s="144"/>
      <c r="T110" s="144"/>
      <c r="U110" s="144"/>
      <c r="V110" s="144"/>
      <c r="W110" s="144"/>
      <c r="X110" s="145"/>
      <c r="Y110" s="160"/>
      <c r="Z110" s="142"/>
      <c r="AA110" s="142"/>
      <c r="AB110" s="142"/>
      <c r="AC110" s="142"/>
      <c r="AD110" s="142"/>
      <c r="AE110" s="142"/>
      <c r="AF110" s="142"/>
      <c r="AG110" s="63"/>
      <c r="AH110" s="63"/>
      <c r="AI110" s="63"/>
      <c r="AJ110" s="63"/>
      <c r="AK110" s="63"/>
      <c r="AL110" s="63"/>
      <c r="AM110" s="63"/>
      <c r="AN110" s="63"/>
      <c r="AO110" s="63"/>
      <c r="AP110" s="63"/>
      <c r="AQ110" s="63"/>
      <c r="AR110" s="63"/>
      <c r="AS110" s="63"/>
      <c r="AT110" s="63"/>
      <c r="AU110" s="63"/>
      <c r="AV110" s="63"/>
      <c r="AW110" s="63"/>
      <c r="AX110" s="63"/>
      <c r="AY110" s="63"/>
      <c r="AZ110" s="63"/>
      <c r="BA110" s="63"/>
      <c r="BB110" s="63"/>
    </row>
    <row r="111" spans="1:54" s="64" customFormat="1" ht="15" customHeight="1">
      <c r="A111" s="162"/>
      <c r="B111" s="144"/>
      <c r="C111" s="144"/>
      <c r="D111" s="144"/>
      <c r="E111" s="144"/>
      <c r="F111" s="144"/>
      <c r="G111" s="144"/>
      <c r="H111" s="144"/>
      <c r="I111" s="144"/>
      <c r="J111" s="144"/>
      <c r="K111" s="144"/>
      <c r="L111" s="144"/>
      <c r="M111" s="144"/>
      <c r="N111" s="144"/>
      <c r="O111" s="144"/>
      <c r="P111" s="144"/>
      <c r="Q111" s="144"/>
      <c r="R111" s="144"/>
      <c r="S111" s="144"/>
      <c r="T111" s="144"/>
      <c r="U111" s="144"/>
      <c r="V111" s="144"/>
      <c r="W111" s="144"/>
      <c r="X111" s="145"/>
      <c r="Y111" s="160"/>
      <c r="Z111" s="142"/>
      <c r="AA111" s="142"/>
      <c r="AB111" s="142"/>
      <c r="AC111" s="142"/>
      <c r="AD111" s="142"/>
      <c r="AE111" s="142"/>
      <c r="AF111" s="142"/>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row>
    <row r="112" spans="1:54" s="64" customFormat="1" ht="15" customHeight="1">
      <c r="A112" s="162"/>
      <c r="B112" s="144"/>
      <c r="C112" s="144"/>
      <c r="D112" s="144"/>
      <c r="E112" s="144"/>
      <c r="F112" s="144"/>
      <c r="G112" s="144"/>
      <c r="H112" s="144"/>
      <c r="I112" s="144"/>
      <c r="J112" s="144"/>
      <c r="K112" s="144"/>
      <c r="L112" s="144"/>
      <c r="M112" s="144"/>
      <c r="N112" s="144"/>
      <c r="O112" s="144"/>
      <c r="P112" s="144"/>
      <c r="Q112" s="144"/>
      <c r="R112" s="144"/>
      <c r="S112" s="144"/>
      <c r="T112" s="144"/>
      <c r="U112" s="144"/>
      <c r="V112" s="144"/>
      <c r="W112" s="144"/>
      <c r="X112" s="145"/>
      <c r="Y112" s="160"/>
      <c r="Z112" s="142"/>
      <c r="AA112" s="142"/>
      <c r="AB112" s="142"/>
      <c r="AC112" s="142"/>
      <c r="AD112" s="142"/>
      <c r="AE112" s="142"/>
      <c r="AF112" s="142"/>
      <c r="AG112" s="63"/>
      <c r="AH112" s="63"/>
      <c r="AI112" s="63"/>
      <c r="AJ112" s="63"/>
      <c r="AK112" s="63"/>
      <c r="AL112" s="63"/>
      <c r="AM112" s="63"/>
      <c r="AN112" s="63"/>
      <c r="AO112" s="63"/>
      <c r="AP112" s="63"/>
      <c r="AQ112" s="63"/>
      <c r="AR112" s="63"/>
      <c r="AS112" s="63"/>
      <c r="AT112" s="63"/>
      <c r="AU112" s="63"/>
      <c r="AV112" s="63"/>
      <c r="AW112" s="63"/>
      <c r="AX112" s="63"/>
      <c r="AY112" s="63"/>
      <c r="AZ112" s="63"/>
      <c r="BA112" s="63"/>
      <c r="BB112" s="63"/>
    </row>
    <row r="113" spans="1:54" s="64" customFormat="1" ht="15" customHeight="1">
      <c r="A113" s="162"/>
      <c r="B113" s="144"/>
      <c r="C113" s="144"/>
      <c r="D113" s="144"/>
      <c r="E113" s="144"/>
      <c r="F113" s="144"/>
      <c r="G113" s="144"/>
      <c r="H113" s="144"/>
      <c r="I113" s="144"/>
      <c r="J113" s="144"/>
      <c r="K113" s="144"/>
      <c r="L113" s="144"/>
      <c r="M113" s="144"/>
      <c r="N113" s="144"/>
      <c r="O113" s="144"/>
      <c r="P113" s="144"/>
      <c r="Q113" s="144"/>
      <c r="R113" s="144"/>
      <c r="S113" s="144"/>
      <c r="T113" s="144"/>
      <c r="U113" s="144"/>
      <c r="V113" s="144"/>
      <c r="W113" s="144"/>
      <c r="X113" s="145"/>
      <c r="Y113" s="160"/>
      <c r="Z113" s="142"/>
      <c r="AA113" s="142"/>
      <c r="AB113" s="142"/>
      <c r="AC113" s="142"/>
      <c r="AD113" s="142"/>
      <c r="AE113" s="142"/>
      <c r="AF113" s="142"/>
      <c r="AG113" s="63"/>
      <c r="AH113" s="63"/>
      <c r="AI113" s="63"/>
      <c r="AJ113" s="63"/>
      <c r="AK113" s="63"/>
      <c r="AL113" s="63"/>
      <c r="AM113" s="63"/>
      <c r="AN113" s="63"/>
      <c r="AO113" s="63"/>
      <c r="AP113" s="63"/>
      <c r="AQ113" s="63"/>
      <c r="AR113" s="63"/>
      <c r="AS113" s="63"/>
      <c r="AT113" s="63"/>
      <c r="AU113" s="63"/>
      <c r="AV113" s="63"/>
      <c r="AW113" s="63"/>
      <c r="AX113" s="63"/>
      <c r="AY113" s="63"/>
      <c r="AZ113" s="63"/>
      <c r="BA113" s="63"/>
      <c r="BB113" s="63"/>
    </row>
    <row r="114" spans="1:54" s="64" customFormat="1" ht="15" customHeight="1">
      <c r="A114" s="162"/>
      <c r="B114" s="144"/>
      <c r="C114" s="144"/>
      <c r="D114" s="144"/>
      <c r="E114" s="144"/>
      <c r="F114" s="144"/>
      <c r="G114" s="144"/>
      <c r="H114" s="144"/>
      <c r="I114" s="144"/>
      <c r="J114" s="144"/>
      <c r="K114" s="144"/>
      <c r="L114" s="144"/>
      <c r="M114" s="144"/>
      <c r="N114" s="144"/>
      <c r="O114" s="144"/>
      <c r="P114" s="144"/>
      <c r="Q114" s="144"/>
      <c r="R114" s="144"/>
      <c r="S114" s="144"/>
      <c r="T114" s="144"/>
      <c r="U114" s="144"/>
      <c r="V114" s="144"/>
      <c r="W114" s="144"/>
      <c r="X114" s="145"/>
      <c r="Y114" s="160"/>
      <c r="Z114" s="142"/>
      <c r="AA114" s="142"/>
      <c r="AB114" s="142"/>
      <c r="AC114" s="142"/>
      <c r="AD114" s="142"/>
      <c r="AE114" s="142"/>
      <c r="AF114" s="142"/>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row>
    <row r="115" spans="1:54" s="64" customFormat="1" ht="15" customHeight="1">
      <c r="A115" s="162"/>
      <c r="B115" s="144"/>
      <c r="C115" s="144"/>
      <c r="D115" s="144"/>
      <c r="E115" s="144"/>
      <c r="F115" s="144"/>
      <c r="G115" s="144"/>
      <c r="H115" s="144"/>
      <c r="I115" s="144"/>
      <c r="J115" s="144"/>
      <c r="K115" s="144"/>
      <c r="L115" s="144"/>
      <c r="M115" s="144"/>
      <c r="N115" s="144"/>
      <c r="O115" s="144"/>
      <c r="P115" s="144"/>
      <c r="Q115" s="144"/>
      <c r="R115" s="144"/>
      <c r="S115" s="144"/>
      <c r="T115" s="144"/>
      <c r="U115" s="144"/>
      <c r="V115" s="144"/>
      <c r="W115" s="144"/>
      <c r="X115" s="145"/>
      <c r="Y115" s="160"/>
      <c r="Z115" s="142"/>
      <c r="AA115" s="142"/>
      <c r="AB115" s="142"/>
      <c r="AC115" s="142"/>
      <c r="AD115" s="142"/>
      <c r="AE115" s="142"/>
      <c r="AF115" s="142"/>
      <c r="AG115" s="63"/>
      <c r="AH115" s="63"/>
      <c r="AI115" s="63"/>
      <c r="AJ115" s="63"/>
      <c r="AK115" s="63"/>
      <c r="AL115" s="63"/>
      <c r="AM115" s="63"/>
      <c r="AN115" s="63"/>
      <c r="AO115" s="63"/>
      <c r="AP115" s="63"/>
      <c r="AQ115" s="63"/>
      <c r="AR115" s="63"/>
      <c r="AS115" s="63"/>
      <c r="AT115" s="63"/>
      <c r="AU115" s="63"/>
      <c r="AV115" s="63"/>
      <c r="AW115" s="63"/>
      <c r="AX115" s="63"/>
      <c r="AY115" s="63"/>
      <c r="AZ115" s="63"/>
      <c r="BA115" s="63"/>
      <c r="BB115" s="63"/>
    </row>
    <row r="116" spans="1:54" s="64" customFormat="1" ht="15" customHeight="1">
      <c r="A116" s="141"/>
      <c r="B116" s="163"/>
      <c r="C116" s="163"/>
      <c r="D116" s="163"/>
      <c r="E116" s="163"/>
      <c r="F116" s="163"/>
      <c r="G116" s="163"/>
      <c r="H116" s="163"/>
      <c r="I116" s="163"/>
      <c r="J116" s="163"/>
      <c r="K116" s="163"/>
      <c r="L116" s="163"/>
      <c r="M116" s="163"/>
      <c r="N116" s="163"/>
      <c r="O116" s="163"/>
      <c r="P116" s="163"/>
      <c r="Q116" s="163"/>
      <c r="R116" s="163"/>
      <c r="S116" s="163"/>
      <c r="T116" s="163"/>
      <c r="U116" s="163"/>
      <c r="V116" s="163"/>
      <c r="W116" s="163"/>
      <c r="X116" s="164"/>
      <c r="Y116" s="142"/>
      <c r="Z116" s="142"/>
      <c r="AA116" s="142"/>
      <c r="AB116" s="142"/>
      <c r="AC116" s="142"/>
      <c r="AD116" s="142"/>
      <c r="AE116" s="142"/>
      <c r="AF116" s="142"/>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row>
    <row r="117" spans="1:54" s="64" customFormat="1" ht="15" customHeight="1">
      <c r="X117" s="67"/>
      <c r="Y117" s="63"/>
      <c r="Z117" s="63"/>
      <c r="AA117" s="63"/>
      <c r="AB117" s="63"/>
      <c r="AC117" s="63"/>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row>
    <row r="118" spans="1:54" s="64" customFormat="1" ht="15" customHeight="1">
      <c r="X118" s="67"/>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row>
    <row r="119" spans="1:54" s="64" customFormat="1" ht="15" customHeight="1">
      <c r="X119" s="68"/>
      <c r="Y119" s="69"/>
      <c r="Z119" s="69"/>
      <c r="AA119" s="69"/>
      <c r="AB119" s="63"/>
      <c r="AC119" s="63"/>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row>
    <row r="120" spans="1:54" s="64" customFormat="1" ht="15" customHeight="1">
      <c r="X120" s="70"/>
      <c r="Y120" s="69"/>
      <c r="Z120" s="69"/>
      <c r="AA120" s="69"/>
      <c r="AB120" s="63"/>
      <c r="AC120" s="63"/>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54" s="64" customFormat="1" ht="15" customHeight="1">
      <c r="C121" s="150"/>
      <c r="D121" s="151"/>
      <c r="E121" s="151"/>
      <c r="F121" s="151"/>
      <c r="G121" s="151"/>
      <c r="H121" s="151"/>
      <c r="I121" s="151"/>
      <c r="J121" s="151"/>
      <c r="K121" s="151"/>
      <c r="L121" s="151"/>
      <c r="M121" s="151"/>
      <c r="N121" s="151"/>
      <c r="O121" s="151"/>
      <c r="P121" s="151"/>
      <c r="Q121" s="151"/>
      <c r="R121" s="151"/>
      <c r="S121" s="151"/>
      <c r="T121" s="151"/>
      <c r="U121" s="151"/>
      <c r="V121" s="151"/>
      <c r="W121" s="151"/>
      <c r="X121" s="70"/>
      <c r="Y121" s="69"/>
      <c r="Z121" s="69"/>
      <c r="AA121" s="69"/>
      <c r="AB121" s="63"/>
      <c r="AC121" s="63"/>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row>
    <row r="122" spans="1:54" s="64" customFormat="1" ht="15" customHeight="1">
      <c r="C122" s="151" t="str">
        <f>'IB - B&amp;D&amp;H'!B25</f>
        <v>Samlede akkumulerede omkostninger</v>
      </c>
      <c r="D122" s="151"/>
      <c r="E122" s="150" t="str">
        <f>'IB - B&amp;D&amp;H'!E25</f>
        <v>PRODUKT 1</v>
      </c>
      <c r="F122" s="150"/>
      <c r="G122" s="150" t="str">
        <f>'IB - B&amp;D&amp;H'!G25</f>
        <v>PRODUKT 2</v>
      </c>
      <c r="H122" s="150"/>
      <c r="I122" s="150" t="str">
        <f>'IB - B&amp;D&amp;H'!I25</f>
        <v>PRODUKT 3</v>
      </c>
      <c r="J122" s="150"/>
      <c r="K122" s="150" t="str">
        <f>'IB - B&amp;D&amp;H'!K25</f>
        <v>PRODUKT 4</v>
      </c>
      <c r="L122" s="150"/>
      <c r="M122" s="150" t="str">
        <f>'IB - B&amp;D&amp;H'!M25</f>
        <v>PRODUKT 5</v>
      </c>
      <c r="N122" s="150"/>
      <c r="O122" s="150" t="str">
        <f>'IB - B&amp;D&amp;H'!O25</f>
        <v>PRODUKT 6</v>
      </c>
      <c r="P122" s="150"/>
      <c r="Q122" s="150" t="str">
        <f>'IB - B&amp;D&amp;H'!Q25</f>
        <v>PRODUKT 7</v>
      </c>
      <c r="R122" s="150"/>
      <c r="S122" s="150" t="str">
        <f>'IB - B&amp;D&amp;H'!S25</f>
        <v>PRODUKT 8</v>
      </c>
      <c r="T122" s="150"/>
      <c r="U122" s="150"/>
      <c r="V122" s="150"/>
      <c r="W122" s="490"/>
      <c r="X122" s="491"/>
      <c r="Y122" s="492"/>
      <c r="Z122" s="492"/>
      <c r="AA122" s="493"/>
      <c r="AB122" s="493"/>
      <c r="AC122" s="63"/>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54" s="64" customFormat="1" ht="15" customHeight="1">
      <c r="C123" s="151"/>
      <c r="D123" s="151"/>
      <c r="E123" s="150">
        <f>'IB - B&amp;D&amp;H'!E26</f>
        <v>0</v>
      </c>
      <c r="F123" s="150"/>
      <c r="G123" s="150">
        <f>'IB - B&amp;D&amp;H'!G26</f>
        <v>0</v>
      </c>
      <c r="H123" s="150"/>
      <c r="I123" s="150">
        <f>'IB - B&amp;D&amp;H'!I26</f>
        <v>0</v>
      </c>
      <c r="J123" s="150"/>
      <c r="K123" s="150">
        <f>'IB - B&amp;D&amp;H'!K26</f>
        <v>0</v>
      </c>
      <c r="L123" s="150"/>
      <c r="M123" s="150">
        <f>'IB - B&amp;D&amp;H'!M26</f>
        <v>0</v>
      </c>
      <c r="N123" s="150"/>
      <c r="O123" s="150">
        <f>'IB - B&amp;D&amp;H'!O26</f>
        <v>0</v>
      </c>
      <c r="P123" s="150"/>
      <c r="Q123" s="150">
        <f>'IB - B&amp;D&amp;H'!Q26</f>
        <v>0</v>
      </c>
      <c r="R123" s="150"/>
      <c r="S123" s="150">
        <f>'IB - B&amp;D&amp;H'!S26</f>
        <v>0</v>
      </c>
      <c r="T123" s="150"/>
      <c r="U123" s="150"/>
      <c r="V123" s="150"/>
      <c r="W123" s="490"/>
      <c r="X123" s="491"/>
      <c r="Y123" s="492"/>
      <c r="Z123" s="492"/>
      <c r="AA123" s="492"/>
      <c r="AB123" s="493"/>
      <c r="AC123" s="63"/>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54" s="64" customFormat="1" ht="15" customHeight="1">
      <c r="C124" s="151"/>
      <c r="D124" s="151"/>
      <c r="E124" s="150">
        <f>'IB - B&amp;D&amp;H'!E27</f>
        <v>0</v>
      </c>
      <c r="F124" s="150"/>
      <c r="G124" s="150">
        <f>'IB - B&amp;D&amp;H'!G27</f>
        <v>0</v>
      </c>
      <c r="H124" s="150"/>
      <c r="I124" s="150">
        <f>'IB - B&amp;D&amp;H'!I27</f>
        <v>0</v>
      </c>
      <c r="J124" s="150"/>
      <c r="K124" s="150">
        <f>'IB - B&amp;D&amp;H'!K27</f>
        <v>0</v>
      </c>
      <c r="L124" s="150"/>
      <c r="M124" s="150">
        <f>'IB - B&amp;D&amp;H'!M27</f>
        <v>0</v>
      </c>
      <c r="N124" s="150"/>
      <c r="O124" s="150">
        <f>'IB - B&amp;D&amp;H'!O27</f>
        <v>0</v>
      </c>
      <c r="P124" s="150"/>
      <c r="Q124" s="150">
        <f>'IB - B&amp;D&amp;H'!Q27</f>
        <v>0</v>
      </c>
      <c r="R124" s="150"/>
      <c r="S124" s="150">
        <f>'IB - B&amp;D&amp;H'!S27</f>
        <v>0</v>
      </c>
      <c r="T124" s="150"/>
      <c r="U124" s="150"/>
      <c r="V124" s="150"/>
      <c r="W124" s="490"/>
      <c r="X124" s="491"/>
      <c r="Y124" s="492"/>
      <c r="Z124" s="492"/>
      <c r="AA124" s="494"/>
      <c r="AB124" s="496"/>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54" s="64" customFormat="1" ht="15" customHeight="1">
      <c r="C125" s="151"/>
      <c r="D125" s="151"/>
      <c r="E125" s="150">
        <f>'IB - B&amp;D&amp;H'!E28</f>
        <v>0</v>
      </c>
      <c r="F125" s="150"/>
      <c r="G125" s="150">
        <f>'IB - B&amp;D&amp;H'!G28</f>
        <v>0</v>
      </c>
      <c r="H125" s="150"/>
      <c r="I125" s="150">
        <f>'IB - B&amp;D&amp;H'!I28</f>
        <v>0</v>
      </c>
      <c r="J125" s="150"/>
      <c r="K125" s="150">
        <f>'IB - B&amp;D&amp;H'!K28</f>
        <v>0</v>
      </c>
      <c r="L125" s="150"/>
      <c r="M125" s="150">
        <f>'IB - B&amp;D&amp;H'!M28</f>
        <v>0</v>
      </c>
      <c r="N125" s="150"/>
      <c r="O125" s="150">
        <f>'IB - B&amp;D&amp;H'!O28</f>
        <v>0</v>
      </c>
      <c r="P125" s="150"/>
      <c r="Q125" s="150">
        <f>'IB - B&amp;D&amp;H'!Q28</f>
        <v>0</v>
      </c>
      <c r="R125" s="150"/>
      <c r="S125" s="150">
        <f>'IB - B&amp;D&amp;H'!S28</f>
        <v>0</v>
      </c>
      <c r="T125" s="150"/>
      <c r="U125" s="150"/>
      <c r="V125" s="150"/>
      <c r="W125" s="490"/>
      <c r="X125" s="491"/>
      <c r="Y125" s="492"/>
      <c r="Z125" s="492"/>
      <c r="AA125" s="494"/>
      <c r="AB125" s="496"/>
      <c r="AC125" s="63"/>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54" s="64" customFormat="1" ht="15" customHeight="1">
      <c r="C126" s="151"/>
      <c r="D126" s="151"/>
      <c r="E126" s="150">
        <f>'IB - B&amp;D&amp;H'!E29</f>
        <v>0</v>
      </c>
      <c r="F126" s="150"/>
      <c r="G126" s="150">
        <f>'IB - B&amp;D&amp;H'!G29</f>
        <v>0</v>
      </c>
      <c r="H126" s="150"/>
      <c r="I126" s="150">
        <f>'IB - B&amp;D&amp;H'!I29</f>
        <v>0</v>
      </c>
      <c r="J126" s="150"/>
      <c r="K126" s="150">
        <f>'IB - B&amp;D&amp;H'!K29</f>
        <v>0</v>
      </c>
      <c r="L126" s="150"/>
      <c r="M126" s="150">
        <f>'IB - B&amp;D&amp;H'!M29</f>
        <v>0</v>
      </c>
      <c r="N126" s="150"/>
      <c r="O126" s="150">
        <f>'IB - B&amp;D&amp;H'!O29</f>
        <v>0</v>
      </c>
      <c r="P126" s="150"/>
      <c r="Q126" s="150">
        <f>'IB - B&amp;D&amp;H'!Q29</f>
        <v>0</v>
      </c>
      <c r="R126" s="150"/>
      <c r="S126" s="150">
        <f>'IB - B&amp;D&amp;H'!S29</f>
        <v>0</v>
      </c>
      <c r="T126" s="150"/>
      <c r="U126" s="150"/>
      <c r="V126" s="150"/>
      <c r="W126" s="490"/>
      <c r="X126" s="491"/>
      <c r="Y126" s="492"/>
      <c r="Z126" s="492"/>
      <c r="AA126" s="494"/>
      <c r="AB126" s="496"/>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54" s="64" customFormat="1" ht="15" customHeight="1">
      <c r="C127" s="151"/>
      <c r="D127" s="151"/>
      <c r="E127" s="150">
        <f>'IB - B&amp;D&amp;H'!E30</f>
        <v>0</v>
      </c>
      <c r="F127" s="150"/>
      <c r="G127" s="150">
        <f>'IB - B&amp;D&amp;H'!G30</f>
        <v>0</v>
      </c>
      <c r="H127" s="150"/>
      <c r="I127" s="150">
        <f>'IB - B&amp;D&amp;H'!I30</f>
        <v>0</v>
      </c>
      <c r="J127" s="150"/>
      <c r="K127" s="150">
        <f>'IB - B&amp;D&amp;H'!K30</f>
        <v>0</v>
      </c>
      <c r="L127" s="150"/>
      <c r="M127" s="150">
        <f>'IB - B&amp;D&amp;H'!M30</f>
        <v>0</v>
      </c>
      <c r="N127" s="150"/>
      <c r="O127" s="150">
        <f>'IB - B&amp;D&amp;H'!O30</f>
        <v>0</v>
      </c>
      <c r="P127" s="150"/>
      <c r="Q127" s="150">
        <f>'IB - B&amp;D&amp;H'!Q30</f>
        <v>0</v>
      </c>
      <c r="R127" s="150"/>
      <c r="S127" s="150">
        <f>'IB - B&amp;D&amp;H'!S30</f>
        <v>0</v>
      </c>
      <c r="T127" s="150"/>
      <c r="U127" s="150"/>
      <c r="V127" s="150"/>
      <c r="W127" s="490"/>
      <c r="X127" s="491"/>
      <c r="Y127" s="492"/>
      <c r="Z127" s="492"/>
      <c r="AA127" s="494"/>
      <c r="AB127" s="496"/>
      <c r="AC127" s="63"/>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54" s="64" customFormat="1" ht="15" customHeight="1">
      <c r="C128" s="151"/>
      <c r="D128" s="151"/>
      <c r="E128" s="150">
        <f>'IB - B&amp;D&amp;H'!E31</f>
        <v>0</v>
      </c>
      <c r="F128" s="150"/>
      <c r="G128" s="150">
        <f>'IB - B&amp;D&amp;H'!G31</f>
        <v>0</v>
      </c>
      <c r="H128" s="150"/>
      <c r="I128" s="150">
        <f>'IB - B&amp;D&amp;H'!I31</f>
        <v>0</v>
      </c>
      <c r="J128" s="150"/>
      <c r="K128" s="150">
        <f>'IB - B&amp;D&amp;H'!K31</f>
        <v>0</v>
      </c>
      <c r="L128" s="150"/>
      <c r="M128" s="150">
        <f>'IB - B&amp;D&amp;H'!M31</f>
        <v>0</v>
      </c>
      <c r="N128" s="150"/>
      <c r="O128" s="150">
        <f>'IB - B&amp;D&amp;H'!O31</f>
        <v>0</v>
      </c>
      <c r="P128" s="150"/>
      <c r="Q128" s="150">
        <f>'IB - B&amp;D&amp;H'!Q31</f>
        <v>0</v>
      </c>
      <c r="R128" s="150"/>
      <c r="S128" s="150">
        <f>'IB - B&amp;D&amp;H'!S31</f>
        <v>0</v>
      </c>
      <c r="T128" s="150"/>
      <c r="U128" s="150"/>
      <c r="V128" s="150"/>
      <c r="W128" s="490"/>
      <c r="X128" s="491"/>
      <c r="Y128" s="492"/>
      <c r="Z128" s="492"/>
      <c r="AA128" s="494"/>
      <c r="AB128" s="496"/>
      <c r="AC128" s="63"/>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1:76" s="64" customFormat="1" ht="15" customHeight="1">
      <c r="C129" s="151"/>
      <c r="D129" s="151"/>
      <c r="E129" s="150">
        <f>'IB - B&amp;D&amp;H'!E32</f>
        <v>0</v>
      </c>
      <c r="F129" s="150"/>
      <c r="G129" s="150">
        <f>'IB - B&amp;D&amp;H'!G32</f>
        <v>0</v>
      </c>
      <c r="H129" s="150"/>
      <c r="I129" s="150">
        <f>'IB - B&amp;D&amp;H'!I32</f>
        <v>0</v>
      </c>
      <c r="J129" s="150"/>
      <c r="K129" s="150">
        <f>'IB - B&amp;D&amp;H'!K32</f>
        <v>0</v>
      </c>
      <c r="L129" s="150"/>
      <c r="M129" s="150">
        <f>'IB - B&amp;D&amp;H'!M32</f>
        <v>0</v>
      </c>
      <c r="N129" s="150"/>
      <c r="O129" s="150">
        <f>'IB - B&amp;D&amp;H'!O32</f>
        <v>0</v>
      </c>
      <c r="P129" s="150"/>
      <c r="Q129" s="150">
        <f>'IB - B&amp;D&amp;H'!Q32</f>
        <v>0</v>
      </c>
      <c r="R129" s="150"/>
      <c r="S129" s="150">
        <f>'IB - B&amp;D&amp;H'!S32</f>
        <v>0</v>
      </c>
      <c r="T129" s="150"/>
      <c r="U129" s="150"/>
      <c r="V129" s="150"/>
      <c r="W129" s="490"/>
      <c r="X129" s="491"/>
      <c r="Y129" s="492"/>
      <c r="Z129" s="492"/>
      <c r="AA129" s="494"/>
      <c r="AB129" s="496"/>
      <c r="AC129" s="63"/>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1:76" s="64" customFormat="1" ht="15" customHeight="1">
      <c r="C130" s="151"/>
      <c r="D130" s="151"/>
      <c r="E130" s="150">
        <f>'IB - B&amp;D&amp;H'!E33</f>
        <v>0</v>
      </c>
      <c r="F130" s="150"/>
      <c r="G130" s="150">
        <f>'IB - B&amp;D&amp;H'!G33</f>
        <v>0</v>
      </c>
      <c r="H130" s="150"/>
      <c r="I130" s="150">
        <f>'IB - B&amp;D&amp;H'!I33</f>
        <v>0</v>
      </c>
      <c r="J130" s="150"/>
      <c r="K130" s="150">
        <f>'IB - B&amp;D&amp;H'!K33</f>
        <v>0</v>
      </c>
      <c r="L130" s="150"/>
      <c r="M130" s="150">
        <f>'IB - B&amp;D&amp;H'!M33</f>
        <v>0</v>
      </c>
      <c r="N130" s="150"/>
      <c r="O130" s="150">
        <f>'IB - B&amp;D&amp;H'!O33</f>
        <v>0</v>
      </c>
      <c r="P130" s="150"/>
      <c r="Q130" s="150">
        <f>'IB - B&amp;D&amp;H'!Q33</f>
        <v>0</v>
      </c>
      <c r="R130" s="150"/>
      <c r="S130" s="150">
        <f>'IB - B&amp;D&amp;H'!S33</f>
        <v>0</v>
      </c>
      <c r="T130" s="150"/>
      <c r="U130" s="150"/>
      <c r="V130" s="150"/>
      <c r="W130" s="490"/>
      <c r="X130" s="491"/>
      <c r="Y130" s="492"/>
      <c r="Z130" s="492"/>
      <c r="AA130" s="494"/>
      <c r="AB130" s="496"/>
      <c r="AC130" s="63"/>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1:76" s="64" customFormat="1" ht="15" customHeight="1">
      <c r="C131" s="151"/>
      <c r="D131" s="151"/>
      <c r="E131" s="150">
        <f>'IB - B&amp;D&amp;H'!E34</f>
        <v>0</v>
      </c>
      <c r="F131" s="150"/>
      <c r="G131" s="150">
        <f>'IB - B&amp;D&amp;H'!G34</f>
        <v>0</v>
      </c>
      <c r="H131" s="150"/>
      <c r="I131" s="150">
        <f>'IB - B&amp;D&amp;H'!I34</f>
        <v>0</v>
      </c>
      <c r="J131" s="150"/>
      <c r="K131" s="150">
        <f>'IB - B&amp;D&amp;H'!K34</f>
        <v>0</v>
      </c>
      <c r="L131" s="150"/>
      <c r="M131" s="150">
        <f>'IB - B&amp;D&amp;H'!M34</f>
        <v>0</v>
      </c>
      <c r="N131" s="150"/>
      <c r="O131" s="150">
        <f>'IB - B&amp;D&amp;H'!O34</f>
        <v>0</v>
      </c>
      <c r="P131" s="150"/>
      <c r="Q131" s="150">
        <f>'IB - B&amp;D&amp;H'!Q34</f>
        <v>0</v>
      </c>
      <c r="R131" s="150"/>
      <c r="S131" s="150">
        <f>'IB - B&amp;D&amp;H'!S34</f>
        <v>0</v>
      </c>
      <c r="T131" s="150"/>
      <c r="U131" s="150"/>
      <c r="V131" s="150"/>
      <c r="W131" s="150"/>
      <c r="X131" s="70"/>
      <c r="Y131" s="69"/>
      <c r="Z131" s="69"/>
      <c r="AA131" s="495"/>
      <c r="AB131" s="497"/>
      <c r="AC131" s="63"/>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1:76" s="64" customFormat="1" ht="15" customHeight="1">
      <c r="C132" s="151"/>
      <c r="D132" s="151"/>
      <c r="E132" s="150">
        <f>'IB - B&amp;D&amp;H'!E35</f>
        <v>0</v>
      </c>
      <c r="F132" s="150"/>
      <c r="G132" s="150">
        <f>'IB - B&amp;D&amp;H'!G35</f>
        <v>0</v>
      </c>
      <c r="H132" s="150"/>
      <c r="I132" s="150">
        <f>'IB - B&amp;D&amp;H'!I35</f>
        <v>0</v>
      </c>
      <c r="J132" s="150"/>
      <c r="K132" s="150">
        <f>'IB - B&amp;D&amp;H'!K35</f>
        <v>0</v>
      </c>
      <c r="L132" s="150"/>
      <c r="M132" s="150">
        <f>'IB - B&amp;D&amp;H'!M35</f>
        <v>0</v>
      </c>
      <c r="N132" s="150"/>
      <c r="O132" s="150">
        <f>'IB - B&amp;D&amp;H'!O35</f>
        <v>0</v>
      </c>
      <c r="P132" s="150"/>
      <c r="Q132" s="150">
        <f>'IB - B&amp;D&amp;H'!Q35</f>
        <v>0</v>
      </c>
      <c r="R132" s="150"/>
      <c r="S132" s="150">
        <f>'IB - B&amp;D&amp;H'!S35</f>
        <v>0</v>
      </c>
      <c r="T132" s="150"/>
      <c r="U132" s="150"/>
      <c r="V132" s="150"/>
      <c r="W132" s="150"/>
      <c r="X132" s="70"/>
      <c r="Y132" s="69"/>
      <c r="Z132" s="69"/>
      <c r="AA132" s="495"/>
      <c r="AB132" s="497"/>
      <c r="AC132" s="63"/>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1:76" s="64" customFormat="1" ht="15" customHeight="1">
      <c r="C133" s="151"/>
      <c r="D133" s="151"/>
      <c r="E133" s="150">
        <f>'IB - B&amp;D&amp;H'!E36</f>
        <v>0</v>
      </c>
      <c r="F133" s="150"/>
      <c r="G133" s="150">
        <f>'IB - B&amp;D&amp;H'!G36</f>
        <v>0</v>
      </c>
      <c r="H133" s="150"/>
      <c r="I133" s="150">
        <f>'IB - B&amp;D&amp;H'!I36</f>
        <v>0</v>
      </c>
      <c r="J133" s="150"/>
      <c r="K133" s="150">
        <f>'IB - B&amp;D&amp;H'!K36</f>
        <v>0</v>
      </c>
      <c r="L133" s="150"/>
      <c r="M133" s="150">
        <f>'IB - B&amp;D&amp;H'!M36</f>
        <v>0</v>
      </c>
      <c r="N133" s="150"/>
      <c r="O133" s="150">
        <f>'IB - B&amp;D&amp;H'!O36</f>
        <v>0</v>
      </c>
      <c r="P133" s="150"/>
      <c r="Q133" s="150">
        <f>'IB - B&amp;D&amp;H'!Q36</f>
        <v>0</v>
      </c>
      <c r="R133" s="150"/>
      <c r="S133" s="150">
        <f>'IB - B&amp;D&amp;H'!S36</f>
        <v>0</v>
      </c>
      <c r="T133" s="150"/>
      <c r="U133" s="150"/>
      <c r="V133" s="150"/>
      <c r="W133" s="150"/>
      <c r="X133" s="70"/>
      <c r="Y133" s="69"/>
      <c r="Z133" s="69"/>
      <c r="AA133" s="495"/>
      <c r="AB133" s="497"/>
      <c r="AC133" s="63"/>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1:76" s="64" customFormat="1" ht="15" customHeight="1">
      <c r="C134" s="151"/>
      <c r="D134" s="151"/>
      <c r="E134" s="150">
        <f>'IB - B&amp;D&amp;H'!E37</f>
        <v>0</v>
      </c>
      <c r="F134" s="150"/>
      <c r="G134" s="150">
        <f>'IB - B&amp;D&amp;H'!G37</f>
        <v>0</v>
      </c>
      <c r="H134" s="150"/>
      <c r="I134" s="150">
        <f>'IB - B&amp;D&amp;H'!I37</f>
        <v>0</v>
      </c>
      <c r="J134" s="150"/>
      <c r="K134" s="150">
        <f>'IB - B&amp;D&amp;H'!K37</f>
        <v>0</v>
      </c>
      <c r="L134" s="150"/>
      <c r="M134" s="150">
        <f>'IB - B&amp;D&amp;H'!M37</f>
        <v>0</v>
      </c>
      <c r="N134" s="150"/>
      <c r="O134" s="150">
        <f>'IB - B&amp;D&amp;H'!O37</f>
        <v>0</v>
      </c>
      <c r="P134" s="150"/>
      <c r="Q134" s="150">
        <f>'IB - B&amp;D&amp;H'!Q37</f>
        <v>0</v>
      </c>
      <c r="R134" s="150"/>
      <c r="S134" s="150">
        <f>'IB - B&amp;D&amp;H'!S37</f>
        <v>0</v>
      </c>
      <c r="T134" s="150"/>
      <c r="U134" s="150"/>
      <c r="V134" s="150"/>
      <c r="W134" s="150"/>
      <c r="X134" s="70"/>
      <c r="Y134" s="69"/>
      <c r="Z134" s="69"/>
      <c r="AA134" s="69"/>
      <c r="AB134" s="63"/>
      <c r="AC134" s="63"/>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1:76" s="64" customFormat="1" ht="15" customHeight="1">
      <c r="C135" s="151"/>
      <c r="D135" s="151"/>
      <c r="E135" s="150">
        <f>'IB - B&amp;D&amp;H'!E38</f>
        <v>0</v>
      </c>
      <c r="F135" s="150"/>
      <c r="G135" s="150">
        <f>'IB - B&amp;D&amp;H'!G38</f>
        <v>0</v>
      </c>
      <c r="H135" s="150"/>
      <c r="I135" s="150">
        <f>'IB - B&amp;D&amp;H'!I38</f>
        <v>0</v>
      </c>
      <c r="J135" s="150"/>
      <c r="K135" s="150">
        <f>'IB - B&amp;D&amp;H'!K38</f>
        <v>0</v>
      </c>
      <c r="L135" s="150"/>
      <c r="M135" s="150">
        <f>'IB - B&amp;D&amp;H'!M38</f>
        <v>0</v>
      </c>
      <c r="N135" s="150"/>
      <c r="O135" s="150">
        <f>'IB - B&amp;D&amp;H'!O38</f>
        <v>0</v>
      </c>
      <c r="P135" s="150"/>
      <c r="Q135" s="150">
        <f>'IB - B&amp;D&amp;H'!Q38</f>
        <v>0</v>
      </c>
      <c r="R135" s="150"/>
      <c r="S135" s="150">
        <f>'IB - B&amp;D&amp;H'!S38</f>
        <v>0</v>
      </c>
      <c r="T135" s="150"/>
      <c r="U135" s="150"/>
      <c r="V135" s="150"/>
      <c r="W135" s="150"/>
      <c r="X135" s="70"/>
      <c r="Y135" s="69"/>
      <c r="Z135" s="69"/>
      <c r="AA135" s="69"/>
      <c r="AB135" s="63"/>
      <c r="AC135" s="63"/>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1:76" s="64" customFormat="1" ht="15" customHeight="1">
      <c r="C136" s="151"/>
      <c r="D136" s="151"/>
      <c r="E136" s="150">
        <f>'IB - B&amp;D&amp;H'!E39</f>
        <v>0</v>
      </c>
      <c r="F136" s="150"/>
      <c r="G136" s="150">
        <f>'IB - B&amp;D&amp;H'!G39</f>
        <v>0</v>
      </c>
      <c r="H136" s="150"/>
      <c r="I136" s="150">
        <f>'IB - B&amp;D&amp;H'!I39</f>
        <v>0</v>
      </c>
      <c r="J136" s="150"/>
      <c r="K136" s="150">
        <f>'IB - B&amp;D&amp;H'!K39</f>
        <v>0</v>
      </c>
      <c r="L136" s="150"/>
      <c r="M136" s="150">
        <f>'IB - B&amp;D&amp;H'!M39</f>
        <v>0</v>
      </c>
      <c r="N136" s="150"/>
      <c r="O136" s="150">
        <f>'IB - B&amp;D&amp;H'!O39</f>
        <v>0</v>
      </c>
      <c r="P136" s="150"/>
      <c r="Q136" s="150">
        <f>'IB - B&amp;D&amp;H'!Q39</f>
        <v>0</v>
      </c>
      <c r="R136" s="150"/>
      <c r="S136" s="150">
        <f>'IB - B&amp;D&amp;H'!S39</f>
        <v>0</v>
      </c>
      <c r="T136" s="150"/>
      <c r="U136" s="150"/>
      <c r="V136" s="150"/>
      <c r="W136" s="150"/>
      <c r="X136" s="70"/>
      <c r="Y136" s="69"/>
      <c r="Z136" s="69"/>
      <c r="AA136" s="69"/>
      <c r="AB136" s="63"/>
      <c r="AC136" s="63"/>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1:76" s="64" customFormat="1" ht="15" customHeight="1">
      <c r="C137" s="151"/>
      <c r="D137" s="151"/>
      <c r="E137" s="150">
        <f>'IB - B&amp;D&amp;H'!E40</f>
        <v>0</v>
      </c>
      <c r="F137" s="150"/>
      <c r="G137" s="150">
        <f>'IB - B&amp;D&amp;H'!G40</f>
        <v>0</v>
      </c>
      <c r="H137" s="150"/>
      <c r="I137" s="150">
        <f>'IB - B&amp;D&amp;H'!I40</f>
        <v>0</v>
      </c>
      <c r="J137" s="150"/>
      <c r="K137" s="150">
        <f>'IB - B&amp;D&amp;H'!K40</f>
        <v>0</v>
      </c>
      <c r="L137" s="150"/>
      <c r="M137" s="150">
        <f>'IB - B&amp;D&amp;H'!M40</f>
        <v>0</v>
      </c>
      <c r="N137" s="150"/>
      <c r="O137" s="150">
        <f>'IB - B&amp;D&amp;H'!O40</f>
        <v>0</v>
      </c>
      <c r="P137" s="150"/>
      <c r="Q137" s="150">
        <f>'IB - B&amp;D&amp;H'!Q40</f>
        <v>0</v>
      </c>
      <c r="R137" s="150"/>
      <c r="S137" s="150">
        <f>'IB - B&amp;D&amp;H'!S40</f>
        <v>0</v>
      </c>
      <c r="T137" s="150"/>
      <c r="U137" s="150"/>
      <c r="V137" s="150"/>
      <c r="W137" s="150"/>
      <c r="X137" s="70"/>
      <c r="Y137" s="69"/>
      <c r="Z137" s="69"/>
      <c r="AA137" s="69"/>
      <c r="AB137" s="63"/>
      <c r="AC137" s="63"/>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1:76" s="64" customFormat="1" ht="15" customHeight="1">
      <c r="C138" s="151"/>
      <c r="D138" s="151"/>
      <c r="E138" s="150">
        <f>'IB - B&amp;D&amp;H'!E41</f>
        <v>0</v>
      </c>
      <c r="F138" s="150"/>
      <c r="G138" s="150">
        <f>'IB - B&amp;D&amp;H'!G41</f>
        <v>0</v>
      </c>
      <c r="H138" s="150"/>
      <c r="I138" s="150">
        <f>'IB - B&amp;D&amp;H'!I41</f>
        <v>0</v>
      </c>
      <c r="J138" s="150"/>
      <c r="K138" s="150">
        <f>'IB - B&amp;D&amp;H'!K41</f>
        <v>0</v>
      </c>
      <c r="L138" s="150"/>
      <c r="M138" s="150">
        <f>'IB - B&amp;D&amp;H'!M41</f>
        <v>0</v>
      </c>
      <c r="N138" s="150"/>
      <c r="O138" s="150">
        <f>'IB - B&amp;D&amp;H'!O41</f>
        <v>0</v>
      </c>
      <c r="P138" s="150"/>
      <c r="Q138" s="150">
        <f>'IB - B&amp;D&amp;H'!Q41</f>
        <v>0</v>
      </c>
      <c r="R138" s="150"/>
      <c r="S138" s="150">
        <f>'IB - B&amp;D&amp;H'!S41</f>
        <v>0</v>
      </c>
      <c r="T138" s="150"/>
      <c r="U138" s="150"/>
      <c r="V138" s="150"/>
      <c r="W138" s="150"/>
      <c r="X138" s="70"/>
      <c r="Y138" s="69"/>
      <c r="Z138" s="69"/>
      <c r="AA138" s="69"/>
      <c r="AB138" s="63"/>
      <c r="AC138" s="63"/>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1:76" s="64" customFormat="1" ht="15" customHeight="1">
      <c r="A139" s="62"/>
      <c r="B139" s="62"/>
      <c r="C139" s="152"/>
      <c r="D139" s="152"/>
      <c r="E139" s="150">
        <f>'IB - B&amp;D&amp;H'!E42</f>
        <v>0</v>
      </c>
      <c r="F139" s="150"/>
      <c r="G139" s="150">
        <f>'IB - B&amp;D&amp;H'!G42</f>
        <v>0</v>
      </c>
      <c r="H139" s="150"/>
      <c r="I139" s="150">
        <f>'IB - B&amp;D&amp;H'!I42</f>
        <v>0</v>
      </c>
      <c r="J139" s="150"/>
      <c r="K139" s="150">
        <f>'IB - B&amp;D&amp;H'!K42</f>
        <v>0</v>
      </c>
      <c r="L139" s="150"/>
      <c r="M139" s="150">
        <f>'IB - B&amp;D&amp;H'!M42</f>
        <v>0</v>
      </c>
      <c r="N139" s="150"/>
      <c r="O139" s="150">
        <f>'IB - B&amp;D&amp;H'!O42</f>
        <v>0</v>
      </c>
      <c r="P139" s="150"/>
      <c r="Q139" s="150">
        <f>'IB - B&amp;D&amp;H'!Q42</f>
        <v>0</v>
      </c>
      <c r="R139" s="150"/>
      <c r="S139" s="150">
        <f>'IB - B&amp;D&amp;H'!S42</f>
        <v>0</v>
      </c>
      <c r="T139" s="150"/>
      <c r="U139" s="150"/>
      <c r="V139" s="150"/>
      <c r="W139" s="150"/>
      <c r="X139" s="62"/>
      <c r="Y139" s="69"/>
      <c r="Z139" s="69"/>
      <c r="AA139" s="69"/>
      <c r="AB139" s="63"/>
      <c r="AC139" s="63"/>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1:76" s="64" customFormat="1" ht="15" customHeight="1">
      <c r="A140" s="62"/>
      <c r="B140" s="62"/>
      <c r="C140" s="152"/>
      <c r="D140" s="152"/>
      <c r="E140" s="150">
        <f>'IB - B&amp;D&amp;H'!E43</f>
        <v>0</v>
      </c>
      <c r="F140" s="150"/>
      <c r="G140" s="150">
        <f>'IB - B&amp;D&amp;H'!G43</f>
        <v>0</v>
      </c>
      <c r="H140" s="150"/>
      <c r="I140" s="150">
        <f>'IB - B&amp;D&amp;H'!I43</f>
        <v>0</v>
      </c>
      <c r="J140" s="150"/>
      <c r="K140" s="150">
        <f>'IB - B&amp;D&amp;H'!K43</f>
        <v>0</v>
      </c>
      <c r="L140" s="150"/>
      <c r="M140" s="150">
        <f>'IB - B&amp;D&amp;H'!M43</f>
        <v>0</v>
      </c>
      <c r="N140" s="150"/>
      <c r="O140" s="150">
        <f>'IB - B&amp;D&amp;H'!O43</f>
        <v>0</v>
      </c>
      <c r="P140" s="150"/>
      <c r="Q140" s="150">
        <f>'IB - B&amp;D&amp;H'!Q43</f>
        <v>0</v>
      </c>
      <c r="R140" s="150"/>
      <c r="S140" s="150">
        <f>'IB - B&amp;D&amp;H'!S43</f>
        <v>0</v>
      </c>
      <c r="T140" s="150"/>
      <c r="U140" s="150"/>
      <c r="V140" s="150"/>
      <c r="W140" s="150"/>
      <c r="X140" s="62"/>
      <c r="Y140" s="69"/>
      <c r="Z140" s="69"/>
      <c r="AA140" s="69"/>
      <c r="AB140" s="63"/>
      <c r="AC140" s="63"/>
      <c r="AD140" s="63"/>
      <c r="AE140" s="63"/>
      <c r="AF140" s="63"/>
      <c r="AG140" s="63"/>
      <c r="AH140" s="6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1:76" s="75" customFormat="1" ht="15" customHeight="1">
      <c r="A141" s="71"/>
      <c r="B141" s="71"/>
      <c r="C141" s="153"/>
      <c r="D141" s="153"/>
      <c r="E141" s="150">
        <f>'IB - B&amp;D&amp;H'!E44</f>
        <v>0</v>
      </c>
      <c r="F141" s="150"/>
      <c r="G141" s="150">
        <f>'IB - B&amp;D&amp;H'!G44</f>
        <v>0</v>
      </c>
      <c r="H141" s="150"/>
      <c r="I141" s="150">
        <f>'IB - B&amp;D&amp;H'!I44</f>
        <v>0</v>
      </c>
      <c r="J141" s="150"/>
      <c r="K141" s="150">
        <f>'IB - B&amp;D&amp;H'!K44</f>
        <v>0</v>
      </c>
      <c r="L141" s="150"/>
      <c r="M141" s="150">
        <f>'IB - B&amp;D&amp;H'!M44</f>
        <v>0</v>
      </c>
      <c r="N141" s="150"/>
      <c r="O141" s="150">
        <f>'IB - B&amp;D&amp;H'!O44</f>
        <v>0</v>
      </c>
      <c r="P141" s="150"/>
      <c r="Q141" s="150">
        <f>'IB - B&amp;D&amp;H'!Q44</f>
        <v>0</v>
      </c>
      <c r="R141" s="150"/>
      <c r="S141" s="150">
        <f>'IB - B&amp;D&amp;H'!S44</f>
        <v>0</v>
      </c>
      <c r="T141" s="150"/>
      <c r="U141" s="150"/>
      <c r="V141" s="150"/>
      <c r="W141" s="150"/>
      <c r="X141" s="62"/>
      <c r="Y141" s="72"/>
      <c r="Z141" s="72"/>
      <c r="AA141" s="72"/>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A141" s="73"/>
      <c r="BB141" s="73"/>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row>
    <row r="142" spans="1:76" s="75" customFormat="1" ht="15" customHeight="1">
      <c r="A142" s="71"/>
      <c r="B142" s="71"/>
      <c r="C142" s="153"/>
      <c r="D142" s="153"/>
      <c r="E142" s="150">
        <f>'IB - B&amp;D&amp;H'!E45</f>
        <v>0</v>
      </c>
      <c r="F142" s="150"/>
      <c r="G142" s="150">
        <f>'IB - B&amp;D&amp;H'!G45</f>
        <v>0</v>
      </c>
      <c r="H142" s="150"/>
      <c r="I142" s="150">
        <f>'IB - B&amp;D&amp;H'!I45</f>
        <v>0</v>
      </c>
      <c r="J142" s="150"/>
      <c r="K142" s="150">
        <f>'IB - B&amp;D&amp;H'!K45</f>
        <v>0</v>
      </c>
      <c r="L142" s="150"/>
      <c r="M142" s="150">
        <f>'IB - B&amp;D&amp;H'!M45</f>
        <v>0</v>
      </c>
      <c r="N142" s="150"/>
      <c r="O142" s="150">
        <f>'IB - B&amp;D&amp;H'!O45</f>
        <v>0</v>
      </c>
      <c r="P142" s="150"/>
      <c r="Q142" s="150">
        <f>'IB - B&amp;D&amp;H'!Q45</f>
        <v>0</v>
      </c>
      <c r="R142" s="150"/>
      <c r="S142" s="150">
        <f>'IB - B&amp;D&amp;H'!S45</f>
        <v>0</v>
      </c>
      <c r="T142" s="150"/>
      <c r="U142" s="150"/>
      <c r="V142" s="150"/>
      <c r="W142" s="150"/>
      <c r="X142" s="62"/>
      <c r="Y142" s="72"/>
      <c r="Z142" s="72"/>
      <c r="AA142" s="72"/>
      <c r="AB142" s="73"/>
      <c r="AC142" s="73"/>
      <c r="AD142" s="73"/>
      <c r="AE142" s="73"/>
      <c r="AF142" s="73"/>
      <c r="AG142" s="73"/>
      <c r="AH142" s="73"/>
      <c r="AI142" s="73"/>
      <c r="AJ142" s="73"/>
      <c r="AK142" s="73"/>
      <c r="AL142" s="73"/>
      <c r="AM142" s="73"/>
      <c r="AN142" s="73"/>
      <c r="AO142" s="73"/>
      <c r="AP142" s="73"/>
      <c r="AQ142" s="73"/>
      <c r="AR142" s="73"/>
      <c r="AS142" s="73"/>
      <c r="AT142" s="73"/>
      <c r="AU142" s="73"/>
      <c r="AV142" s="73"/>
      <c r="AW142" s="73"/>
      <c r="AX142" s="73"/>
      <c r="AY142" s="73"/>
      <c r="AZ142" s="73"/>
      <c r="BA142" s="73"/>
      <c r="BB142" s="73"/>
      <c r="BC142" s="74"/>
      <c r="BD142" s="74"/>
      <c r="BE142" s="74"/>
      <c r="BF142" s="74"/>
      <c r="BG142" s="74"/>
      <c r="BH142" s="74"/>
      <c r="BI142" s="74"/>
      <c r="BJ142" s="74"/>
      <c r="BK142" s="74"/>
      <c r="BL142" s="74"/>
      <c r="BM142" s="74"/>
      <c r="BN142" s="74"/>
      <c r="BO142" s="74"/>
      <c r="BP142" s="74"/>
      <c r="BQ142" s="74"/>
      <c r="BR142" s="74"/>
      <c r="BS142" s="74"/>
      <c r="BT142" s="74"/>
      <c r="BU142" s="74"/>
      <c r="BV142" s="74"/>
      <c r="BW142" s="74"/>
      <c r="BX142" s="74"/>
    </row>
    <row r="143" spans="1:76" s="75" customFormat="1" ht="15" customHeight="1">
      <c r="A143" s="71"/>
      <c r="B143" s="71"/>
      <c r="C143" s="153"/>
      <c r="D143" s="153"/>
      <c r="E143" s="150"/>
      <c r="F143" s="150"/>
      <c r="G143" s="150"/>
      <c r="H143" s="150"/>
      <c r="I143" s="150"/>
      <c r="J143" s="150"/>
      <c r="K143" s="150"/>
      <c r="L143" s="150"/>
      <c r="M143" s="150"/>
      <c r="N143" s="150"/>
      <c r="O143" s="150"/>
      <c r="P143" s="150"/>
      <c r="Q143" s="150"/>
      <c r="R143" s="150"/>
      <c r="S143" s="150"/>
      <c r="T143" s="150"/>
      <c r="U143" s="150"/>
      <c r="V143" s="150"/>
      <c r="W143" s="150"/>
      <c r="X143" s="62"/>
      <c r="Y143" s="72"/>
      <c r="Z143" s="72"/>
      <c r="AA143" s="72"/>
      <c r="AB143" s="73"/>
      <c r="AC143" s="73"/>
      <c r="AD143" s="73"/>
      <c r="AE143" s="73"/>
      <c r="AF143" s="73"/>
      <c r="AG143" s="73"/>
      <c r="AH143" s="73"/>
      <c r="AI143" s="73"/>
      <c r="AJ143" s="73"/>
      <c r="AK143" s="73"/>
      <c r="AL143" s="73"/>
      <c r="AM143" s="73"/>
      <c r="AN143" s="73"/>
      <c r="AO143" s="73"/>
      <c r="AP143" s="73"/>
      <c r="AQ143" s="73"/>
      <c r="AR143" s="73"/>
      <c r="AS143" s="73"/>
      <c r="AT143" s="73"/>
      <c r="AU143" s="73"/>
      <c r="AV143" s="73"/>
      <c r="AW143" s="73"/>
      <c r="AX143" s="73"/>
      <c r="AY143" s="73"/>
      <c r="AZ143" s="73"/>
      <c r="BA143" s="73"/>
      <c r="BB143" s="73"/>
      <c r="BC143" s="74"/>
      <c r="BD143" s="74"/>
      <c r="BE143" s="74"/>
      <c r="BF143" s="74"/>
      <c r="BG143" s="74"/>
      <c r="BH143" s="74"/>
      <c r="BI143" s="74"/>
      <c r="BJ143" s="74"/>
      <c r="BK143" s="74"/>
      <c r="BL143" s="74"/>
      <c r="BM143" s="74"/>
      <c r="BN143" s="74"/>
      <c r="BO143" s="74"/>
      <c r="BP143" s="74"/>
      <c r="BQ143" s="74"/>
      <c r="BR143" s="74"/>
      <c r="BS143" s="74"/>
      <c r="BT143" s="74"/>
      <c r="BU143" s="74"/>
      <c r="BV143" s="74"/>
      <c r="BW143" s="74"/>
      <c r="BX143" s="74"/>
    </row>
    <row r="144" spans="1:76" s="75" customFormat="1" ht="15" customHeight="1">
      <c r="A144" s="71"/>
      <c r="B144" s="71"/>
      <c r="C144" s="153" t="str">
        <f>'IB - B&amp;D&amp;H'!A94</f>
        <v>Gennemsnitlige årlige omkostninger</v>
      </c>
      <c r="D144" s="153"/>
      <c r="E144" s="150" t="str">
        <f>'IB - B&amp;D&amp;H'!E95</f>
        <v>PRODUKT 1</v>
      </c>
      <c r="F144" s="150"/>
      <c r="G144" s="150" t="str">
        <f>'IB - B&amp;D&amp;H'!G95</f>
        <v>PRODUKT 2</v>
      </c>
      <c r="H144" s="150"/>
      <c r="I144" s="150" t="str">
        <f>'IB - B&amp;D&amp;H'!I95</f>
        <v>PRODUKT 3</v>
      </c>
      <c r="J144" s="150"/>
      <c r="K144" s="150" t="str">
        <f>'IB - B&amp;D&amp;H'!K95</f>
        <v>PRODUKT 4</v>
      </c>
      <c r="L144" s="150"/>
      <c r="M144" s="150" t="str">
        <f>'IB - B&amp;D&amp;H'!M95</f>
        <v>PRODUKT 5</v>
      </c>
      <c r="N144" s="150"/>
      <c r="O144" s="150" t="str">
        <f>'IB - B&amp;D&amp;H'!O95</f>
        <v>PRODUKT 6</v>
      </c>
      <c r="P144" s="150"/>
      <c r="Q144" s="150" t="str">
        <f>'IB - B&amp;D&amp;H'!Q95</f>
        <v>PRODUKT 7</v>
      </c>
      <c r="R144" s="150"/>
      <c r="S144" s="150" t="str">
        <f>'IB - B&amp;D&amp;H'!S95</f>
        <v>PRODUKT 8</v>
      </c>
      <c r="T144" s="150"/>
      <c r="U144" s="150" t="str">
        <f>'IB - B&amp;D&amp;H'!U95</f>
        <v>PRODUKT 9</v>
      </c>
      <c r="V144" s="150"/>
      <c r="W144" s="150" t="str">
        <f>'IB - B&amp;D&amp;H'!W95</f>
        <v>PRODUKT 10</v>
      </c>
      <c r="X144" s="62"/>
      <c r="Y144" s="72"/>
      <c r="Z144" s="72"/>
      <c r="AA144" s="72"/>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A144" s="73"/>
      <c r="BB144" s="73"/>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row>
    <row r="145" spans="1:76" s="75" customFormat="1" ht="15" customHeight="1">
      <c r="A145" s="72"/>
      <c r="B145" s="72"/>
      <c r="C145" s="154"/>
      <c r="D145" s="154"/>
      <c r="E145" s="150">
        <f>'IB - B&amp;D&amp;H'!E96</f>
        <v>0</v>
      </c>
      <c r="F145" s="150"/>
      <c r="G145" s="150">
        <f>'IB - B&amp;D&amp;H'!G96</f>
        <v>0</v>
      </c>
      <c r="H145" s="150"/>
      <c r="I145" s="150">
        <f>'IB - B&amp;D&amp;H'!I96</f>
        <v>0</v>
      </c>
      <c r="J145" s="150"/>
      <c r="K145" s="150">
        <f>'IB - B&amp;D&amp;H'!K96</f>
        <v>0</v>
      </c>
      <c r="L145" s="150"/>
      <c r="M145" s="150">
        <f>'IB - B&amp;D&amp;H'!M96</f>
        <v>0</v>
      </c>
      <c r="N145" s="150"/>
      <c r="O145" s="150">
        <f>'IB - B&amp;D&amp;H'!O96</f>
        <v>0</v>
      </c>
      <c r="P145" s="150"/>
      <c r="Q145" s="150">
        <f>'IB - B&amp;D&amp;H'!Q96</f>
        <v>0</v>
      </c>
      <c r="R145" s="150"/>
      <c r="S145" s="150">
        <f>'IB - B&amp;D&amp;H'!S96</f>
        <v>0</v>
      </c>
      <c r="T145" s="150"/>
      <c r="U145" s="150">
        <f>'IB - B&amp;D&amp;H'!U96</f>
        <v>0</v>
      </c>
      <c r="V145" s="150"/>
      <c r="W145" s="150">
        <f>'IB - B&amp;D&amp;H'!W96</f>
        <v>0</v>
      </c>
      <c r="X145" s="69"/>
      <c r="Y145" s="72"/>
      <c r="Z145" s="72"/>
      <c r="AA145" s="72"/>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A145" s="73"/>
      <c r="BB145" s="73"/>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row>
    <row r="146" spans="1:76" s="75" customFormat="1" ht="15" customHeight="1">
      <c r="A146" s="72"/>
      <c r="B146" s="72"/>
      <c r="C146" s="154"/>
      <c r="D146" s="154"/>
      <c r="E146" s="150">
        <f>'IB - B&amp;D&amp;H'!E97</f>
        <v>0</v>
      </c>
      <c r="F146" s="150"/>
      <c r="G146" s="150">
        <f>'IB - B&amp;D&amp;H'!G97</f>
        <v>0</v>
      </c>
      <c r="H146" s="150"/>
      <c r="I146" s="150">
        <f>'IB - B&amp;D&amp;H'!I97</f>
        <v>0</v>
      </c>
      <c r="J146" s="150"/>
      <c r="K146" s="150">
        <f>'IB - B&amp;D&amp;H'!K97</f>
        <v>0</v>
      </c>
      <c r="L146" s="150"/>
      <c r="M146" s="150">
        <f>'IB - B&amp;D&amp;H'!M97</f>
        <v>0</v>
      </c>
      <c r="N146" s="150"/>
      <c r="O146" s="150">
        <f>'IB - B&amp;D&amp;H'!O97</f>
        <v>0</v>
      </c>
      <c r="P146" s="150"/>
      <c r="Q146" s="150">
        <f>'IB - B&amp;D&amp;H'!Q97</f>
        <v>0</v>
      </c>
      <c r="R146" s="150"/>
      <c r="S146" s="150">
        <f>'IB - B&amp;D&amp;H'!S97</f>
        <v>0</v>
      </c>
      <c r="T146" s="150"/>
      <c r="U146" s="150">
        <f>'IB - B&amp;D&amp;H'!U97</f>
        <v>0</v>
      </c>
      <c r="V146" s="150"/>
      <c r="W146" s="150">
        <f>'IB - B&amp;D&amp;H'!W97</f>
        <v>0</v>
      </c>
      <c r="X146" s="69"/>
      <c r="Y146" s="72"/>
      <c r="Z146" s="72"/>
      <c r="AA146" s="72"/>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A146" s="73"/>
      <c r="BB146" s="73"/>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row>
    <row r="147" spans="1:76" s="75" customFormat="1" ht="15" customHeight="1">
      <c r="A147" s="72"/>
      <c r="B147" s="72"/>
      <c r="C147" s="154"/>
      <c r="D147" s="154"/>
      <c r="E147" s="150">
        <f>'IB - B&amp;D&amp;H'!E98</f>
        <v>0</v>
      </c>
      <c r="F147" s="150"/>
      <c r="G147" s="150">
        <f>'IB - B&amp;D&amp;H'!G98</f>
        <v>0</v>
      </c>
      <c r="H147" s="150"/>
      <c r="I147" s="150">
        <f>'IB - B&amp;D&amp;H'!I98</f>
        <v>0</v>
      </c>
      <c r="J147" s="150"/>
      <c r="K147" s="150">
        <f>'IB - B&amp;D&amp;H'!K98</f>
        <v>0</v>
      </c>
      <c r="L147" s="150"/>
      <c r="M147" s="150">
        <f>'IB - B&amp;D&amp;H'!M98</f>
        <v>0</v>
      </c>
      <c r="N147" s="150"/>
      <c r="O147" s="150">
        <f>'IB - B&amp;D&amp;H'!O98</f>
        <v>0</v>
      </c>
      <c r="P147" s="150"/>
      <c r="Q147" s="150">
        <f>'IB - B&amp;D&amp;H'!Q98</f>
        <v>0</v>
      </c>
      <c r="R147" s="150"/>
      <c r="S147" s="150">
        <f>'IB - B&amp;D&amp;H'!S98</f>
        <v>0</v>
      </c>
      <c r="T147" s="150"/>
      <c r="U147" s="150">
        <f>'IB - B&amp;D&amp;H'!U98</f>
        <v>0</v>
      </c>
      <c r="V147" s="150"/>
      <c r="W147" s="150">
        <f>'IB - B&amp;D&amp;H'!W98</f>
        <v>0</v>
      </c>
      <c r="X147" s="69"/>
      <c r="Y147" s="72"/>
      <c r="Z147" s="72"/>
      <c r="AA147" s="72"/>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A147" s="73"/>
      <c r="BB147" s="73"/>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row>
    <row r="148" spans="1:76" s="75" customFormat="1" ht="15" customHeight="1">
      <c r="A148" s="72"/>
      <c r="B148" s="72"/>
      <c r="C148" s="154"/>
      <c r="D148" s="154"/>
      <c r="E148" s="150">
        <f>'IB - B&amp;D&amp;H'!E99</f>
        <v>0</v>
      </c>
      <c r="F148" s="150"/>
      <c r="G148" s="150">
        <f>'IB - B&amp;D&amp;H'!G99</f>
        <v>0</v>
      </c>
      <c r="H148" s="150"/>
      <c r="I148" s="150">
        <f>'IB - B&amp;D&amp;H'!I99</f>
        <v>0</v>
      </c>
      <c r="J148" s="150"/>
      <c r="K148" s="150">
        <f>'IB - B&amp;D&amp;H'!K99</f>
        <v>0</v>
      </c>
      <c r="L148" s="150"/>
      <c r="M148" s="150">
        <f>'IB - B&amp;D&amp;H'!M99</f>
        <v>0</v>
      </c>
      <c r="N148" s="150"/>
      <c r="O148" s="150">
        <f>'IB - B&amp;D&amp;H'!O99</f>
        <v>0</v>
      </c>
      <c r="P148" s="150"/>
      <c r="Q148" s="150">
        <f>'IB - B&amp;D&amp;H'!Q99</f>
        <v>0</v>
      </c>
      <c r="R148" s="150"/>
      <c r="S148" s="150">
        <f>'IB - B&amp;D&amp;H'!S99</f>
        <v>0</v>
      </c>
      <c r="T148" s="150"/>
      <c r="U148" s="150">
        <f>'IB - B&amp;D&amp;H'!U99</f>
        <v>0</v>
      </c>
      <c r="V148" s="150"/>
      <c r="W148" s="150">
        <f>'IB - B&amp;D&amp;H'!W99</f>
        <v>0</v>
      </c>
      <c r="X148" s="69"/>
      <c r="Y148" s="72"/>
      <c r="Z148" s="72"/>
      <c r="AA148" s="72"/>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row>
    <row r="149" spans="1:76" s="75" customFormat="1" ht="15" customHeight="1">
      <c r="A149" s="72"/>
      <c r="B149" s="72"/>
      <c r="C149" s="154"/>
      <c r="D149" s="154"/>
      <c r="E149" s="150">
        <f>'IB - B&amp;D&amp;H'!E100</f>
        <v>0</v>
      </c>
      <c r="F149" s="150"/>
      <c r="G149" s="150">
        <f>'IB - B&amp;D&amp;H'!G100</f>
        <v>0</v>
      </c>
      <c r="H149" s="150"/>
      <c r="I149" s="150">
        <f>'IB - B&amp;D&amp;H'!I100</f>
        <v>0</v>
      </c>
      <c r="J149" s="150"/>
      <c r="K149" s="150">
        <f>'IB - B&amp;D&amp;H'!K100</f>
        <v>0</v>
      </c>
      <c r="L149" s="150"/>
      <c r="M149" s="150">
        <f>'IB - B&amp;D&amp;H'!M100</f>
        <v>0</v>
      </c>
      <c r="N149" s="150"/>
      <c r="O149" s="150">
        <f>'IB - B&amp;D&amp;H'!O100</f>
        <v>0</v>
      </c>
      <c r="P149" s="150"/>
      <c r="Q149" s="150">
        <f>'IB - B&amp;D&amp;H'!Q100</f>
        <v>0</v>
      </c>
      <c r="R149" s="150"/>
      <c r="S149" s="150">
        <f>'IB - B&amp;D&amp;H'!S100</f>
        <v>0</v>
      </c>
      <c r="T149" s="150"/>
      <c r="U149" s="150">
        <f>'IB - B&amp;D&amp;H'!U100</f>
        <v>0</v>
      </c>
      <c r="V149" s="150"/>
      <c r="W149" s="150">
        <f>'IB - B&amp;D&amp;H'!W100</f>
        <v>0</v>
      </c>
      <c r="X149" s="69"/>
      <c r="Y149" s="72"/>
      <c r="Z149" s="72"/>
      <c r="AA149" s="72"/>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row>
    <row r="150" spans="1:76" s="75" customFormat="1" ht="15" customHeight="1">
      <c r="A150" s="72"/>
      <c r="B150" s="72"/>
      <c r="C150" s="154"/>
      <c r="D150" s="155"/>
      <c r="E150" s="150">
        <f>'IB - B&amp;D&amp;H'!E101</f>
        <v>0</v>
      </c>
      <c r="F150" s="150"/>
      <c r="G150" s="150">
        <f>'IB - B&amp;D&amp;H'!G101</f>
        <v>0</v>
      </c>
      <c r="H150" s="150"/>
      <c r="I150" s="150">
        <f>'IB - B&amp;D&amp;H'!I101</f>
        <v>0</v>
      </c>
      <c r="J150" s="150"/>
      <c r="K150" s="150">
        <f>'IB - B&amp;D&amp;H'!K101</f>
        <v>0</v>
      </c>
      <c r="L150" s="150"/>
      <c r="M150" s="150">
        <f>'IB - B&amp;D&amp;H'!M101</f>
        <v>0</v>
      </c>
      <c r="N150" s="150"/>
      <c r="O150" s="150">
        <f>'IB - B&amp;D&amp;H'!O101</f>
        <v>0</v>
      </c>
      <c r="P150" s="150"/>
      <c r="Q150" s="150">
        <f>'IB - B&amp;D&amp;H'!Q101</f>
        <v>0</v>
      </c>
      <c r="R150" s="150"/>
      <c r="S150" s="150">
        <f>'IB - B&amp;D&amp;H'!S101</f>
        <v>0</v>
      </c>
      <c r="T150" s="150"/>
      <c r="U150" s="150">
        <f>'IB - B&amp;D&amp;H'!U101</f>
        <v>0</v>
      </c>
      <c r="V150" s="150"/>
      <c r="W150" s="150">
        <f>'IB - B&amp;D&amp;H'!W101</f>
        <v>0</v>
      </c>
      <c r="X150" s="69"/>
      <c r="Y150" s="72"/>
      <c r="Z150" s="72"/>
      <c r="AA150" s="72"/>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row>
    <row r="151" spans="1:76" s="75" customFormat="1" ht="15" customHeight="1">
      <c r="A151" s="72"/>
      <c r="B151" s="72"/>
      <c r="C151" s="154"/>
      <c r="D151" s="155"/>
      <c r="E151" s="150">
        <f>'IB - B&amp;D&amp;H'!E102</f>
        <v>0</v>
      </c>
      <c r="F151" s="150"/>
      <c r="G151" s="150">
        <f>'IB - B&amp;D&amp;H'!G102</f>
        <v>0</v>
      </c>
      <c r="H151" s="150"/>
      <c r="I151" s="150">
        <f>'IB - B&amp;D&amp;H'!I102</f>
        <v>0</v>
      </c>
      <c r="J151" s="150"/>
      <c r="K151" s="150">
        <f>'IB - B&amp;D&amp;H'!K102</f>
        <v>0</v>
      </c>
      <c r="L151" s="150"/>
      <c r="M151" s="150">
        <f>'IB - B&amp;D&amp;H'!M102</f>
        <v>0</v>
      </c>
      <c r="N151" s="150"/>
      <c r="O151" s="150">
        <f>'IB - B&amp;D&amp;H'!O102</f>
        <v>0</v>
      </c>
      <c r="P151" s="150"/>
      <c r="Q151" s="150">
        <f>'IB - B&amp;D&amp;H'!Q102</f>
        <v>0</v>
      </c>
      <c r="R151" s="150"/>
      <c r="S151" s="150">
        <f>'IB - B&amp;D&amp;H'!S102</f>
        <v>0</v>
      </c>
      <c r="T151" s="150"/>
      <c r="U151" s="150">
        <f>'IB - B&amp;D&amp;H'!U102</f>
        <v>0</v>
      </c>
      <c r="V151" s="150"/>
      <c r="W151" s="150">
        <f>'IB - B&amp;D&amp;H'!W102</f>
        <v>0</v>
      </c>
      <c r="X151" s="69"/>
      <c r="Y151" s="72"/>
      <c r="Z151" s="72"/>
      <c r="AA151" s="72"/>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row>
    <row r="152" spans="1:76" s="75" customFormat="1" ht="15" customHeight="1">
      <c r="A152" s="72"/>
      <c r="B152" s="72"/>
      <c r="C152" s="154"/>
      <c r="D152" s="155"/>
      <c r="E152" s="150">
        <f>'IB - B&amp;D&amp;H'!E103</f>
        <v>0</v>
      </c>
      <c r="F152" s="150"/>
      <c r="G152" s="150">
        <f>'IB - B&amp;D&amp;H'!G103</f>
        <v>0</v>
      </c>
      <c r="H152" s="150"/>
      <c r="I152" s="150">
        <f>'IB - B&amp;D&amp;H'!I103</f>
        <v>0</v>
      </c>
      <c r="J152" s="150"/>
      <c r="K152" s="150">
        <f>'IB - B&amp;D&amp;H'!K103</f>
        <v>0</v>
      </c>
      <c r="L152" s="150"/>
      <c r="M152" s="150">
        <f>'IB - B&amp;D&amp;H'!M103</f>
        <v>0</v>
      </c>
      <c r="N152" s="150"/>
      <c r="O152" s="150">
        <f>'IB - B&amp;D&amp;H'!O103</f>
        <v>0</v>
      </c>
      <c r="P152" s="150"/>
      <c r="Q152" s="150">
        <f>'IB - B&amp;D&amp;H'!Q103</f>
        <v>0</v>
      </c>
      <c r="R152" s="150"/>
      <c r="S152" s="150">
        <f>'IB - B&amp;D&amp;H'!S103</f>
        <v>0</v>
      </c>
      <c r="T152" s="150"/>
      <c r="U152" s="150">
        <f>'IB - B&amp;D&amp;H'!U103</f>
        <v>0</v>
      </c>
      <c r="V152" s="150"/>
      <c r="W152" s="150">
        <f>'IB - B&amp;D&amp;H'!W103</f>
        <v>0</v>
      </c>
      <c r="X152" s="69"/>
      <c r="Y152" s="72"/>
      <c r="Z152" s="72"/>
      <c r="AA152" s="72"/>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row>
    <row r="153" spans="1:76" s="75" customFormat="1" ht="15" customHeight="1">
      <c r="A153" s="72"/>
      <c r="B153" s="72"/>
      <c r="C153" s="154"/>
      <c r="D153" s="155"/>
      <c r="E153" s="150">
        <f>'IB - B&amp;D&amp;H'!E104</f>
        <v>0</v>
      </c>
      <c r="F153" s="150"/>
      <c r="G153" s="150">
        <f>'IB - B&amp;D&amp;H'!G104</f>
        <v>0</v>
      </c>
      <c r="H153" s="150"/>
      <c r="I153" s="150">
        <f>'IB - B&amp;D&amp;H'!I104</f>
        <v>0</v>
      </c>
      <c r="J153" s="150"/>
      <c r="K153" s="150">
        <f>'IB - B&amp;D&amp;H'!K104</f>
        <v>0</v>
      </c>
      <c r="L153" s="150"/>
      <c r="M153" s="150">
        <f>'IB - B&amp;D&amp;H'!M104</f>
        <v>0</v>
      </c>
      <c r="N153" s="150"/>
      <c r="O153" s="150">
        <f>'IB - B&amp;D&amp;H'!O104</f>
        <v>0</v>
      </c>
      <c r="P153" s="150"/>
      <c r="Q153" s="150">
        <f>'IB - B&amp;D&amp;H'!Q104</f>
        <v>0</v>
      </c>
      <c r="R153" s="150"/>
      <c r="S153" s="150">
        <f>'IB - B&amp;D&amp;H'!S104</f>
        <v>0</v>
      </c>
      <c r="T153" s="150"/>
      <c r="U153" s="150">
        <f>'IB - B&amp;D&amp;H'!U104</f>
        <v>0</v>
      </c>
      <c r="V153" s="150"/>
      <c r="W153" s="150">
        <f>'IB - B&amp;D&amp;H'!W104</f>
        <v>0</v>
      </c>
      <c r="X153" s="69"/>
      <c r="Y153" s="72"/>
      <c r="Z153" s="72"/>
      <c r="AA153" s="72"/>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row>
    <row r="154" spans="1:76" s="75" customFormat="1" ht="15" customHeight="1">
      <c r="A154" s="72"/>
      <c r="B154" s="72"/>
      <c r="C154" s="154"/>
      <c r="D154" s="155"/>
      <c r="E154" s="150">
        <f>'IB - B&amp;D&amp;H'!E105</f>
        <v>0</v>
      </c>
      <c r="F154" s="150"/>
      <c r="G154" s="150">
        <f>'IB - B&amp;D&amp;H'!G105</f>
        <v>0</v>
      </c>
      <c r="H154" s="150"/>
      <c r="I154" s="150">
        <f>'IB - B&amp;D&amp;H'!I105</f>
        <v>0</v>
      </c>
      <c r="J154" s="150"/>
      <c r="K154" s="150">
        <f>'IB - B&amp;D&amp;H'!K105</f>
        <v>0</v>
      </c>
      <c r="L154" s="150"/>
      <c r="M154" s="150">
        <f>'IB - B&amp;D&amp;H'!M105</f>
        <v>0</v>
      </c>
      <c r="N154" s="150"/>
      <c r="O154" s="150">
        <f>'IB - B&amp;D&amp;H'!O105</f>
        <v>0</v>
      </c>
      <c r="P154" s="150"/>
      <c r="Q154" s="150">
        <f>'IB - B&amp;D&amp;H'!Q105</f>
        <v>0</v>
      </c>
      <c r="R154" s="150"/>
      <c r="S154" s="150">
        <f>'IB - B&amp;D&amp;H'!S105</f>
        <v>0</v>
      </c>
      <c r="T154" s="150"/>
      <c r="U154" s="150">
        <f>'IB - B&amp;D&amp;H'!U105</f>
        <v>0</v>
      </c>
      <c r="V154" s="150"/>
      <c r="W154" s="150">
        <f>'IB - B&amp;D&amp;H'!W105</f>
        <v>0</v>
      </c>
      <c r="X154" s="69"/>
      <c r="Y154" s="72"/>
      <c r="Z154" s="72"/>
      <c r="AA154" s="72"/>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row>
    <row r="155" spans="1:76" s="75" customFormat="1" ht="15" customHeight="1">
      <c r="A155" s="72"/>
      <c r="B155" s="72"/>
      <c r="C155" s="154"/>
      <c r="D155" s="155"/>
      <c r="E155" s="150">
        <f>'IB - B&amp;D&amp;H'!E106</f>
        <v>0</v>
      </c>
      <c r="F155" s="150"/>
      <c r="G155" s="150">
        <f>'IB - B&amp;D&amp;H'!G106</f>
        <v>0</v>
      </c>
      <c r="H155" s="150"/>
      <c r="I155" s="150">
        <f>'IB - B&amp;D&amp;H'!I106</f>
        <v>0</v>
      </c>
      <c r="J155" s="150"/>
      <c r="K155" s="150">
        <f>'IB - B&amp;D&amp;H'!K106</f>
        <v>0</v>
      </c>
      <c r="L155" s="150"/>
      <c r="M155" s="150">
        <f>'IB - B&amp;D&amp;H'!M106</f>
        <v>0</v>
      </c>
      <c r="N155" s="150"/>
      <c r="O155" s="150">
        <f>'IB - B&amp;D&amp;H'!O106</f>
        <v>0</v>
      </c>
      <c r="P155" s="150"/>
      <c r="Q155" s="150">
        <f>'IB - B&amp;D&amp;H'!Q106</f>
        <v>0</v>
      </c>
      <c r="R155" s="150"/>
      <c r="S155" s="150">
        <f>'IB - B&amp;D&amp;H'!S106</f>
        <v>0</v>
      </c>
      <c r="T155" s="150"/>
      <c r="U155" s="150">
        <f>'IB - B&amp;D&amp;H'!U106</f>
        <v>0</v>
      </c>
      <c r="V155" s="150"/>
      <c r="W155" s="150">
        <f>'IB - B&amp;D&amp;H'!W106</f>
        <v>0</v>
      </c>
      <c r="X155" s="69"/>
      <c r="Y155" s="72"/>
      <c r="Z155" s="72"/>
      <c r="AA155" s="72"/>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row>
    <row r="156" spans="1:76" s="75" customFormat="1" ht="15" customHeight="1">
      <c r="A156" s="72"/>
      <c r="B156" s="72"/>
      <c r="C156" s="154"/>
      <c r="D156" s="155"/>
      <c r="E156" s="150">
        <f>'IB - B&amp;D&amp;H'!E107</f>
        <v>0</v>
      </c>
      <c r="F156" s="150"/>
      <c r="G156" s="150">
        <f>'IB - B&amp;D&amp;H'!G107</f>
        <v>0</v>
      </c>
      <c r="H156" s="150"/>
      <c r="I156" s="150">
        <f>'IB - B&amp;D&amp;H'!I107</f>
        <v>0</v>
      </c>
      <c r="J156" s="150"/>
      <c r="K156" s="150">
        <f>'IB - B&amp;D&amp;H'!K107</f>
        <v>0</v>
      </c>
      <c r="L156" s="150"/>
      <c r="M156" s="150">
        <f>'IB - B&amp;D&amp;H'!M107</f>
        <v>0</v>
      </c>
      <c r="N156" s="150"/>
      <c r="O156" s="150">
        <f>'IB - B&amp;D&amp;H'!O107</f>
        <v>0</v>
      </c>
      <c r="P156" s="150"/>
      <c r="Q156" s="150">
        <f>'IB - B&amp;D&amp;H'!Q107</f>
        <v>0</v>
      </c>
      <c r="R156" s="150"/>
      <c r="S156" s="150">
        <f>'IB - B&amp;D&amp;H'!S107</f>
        <v>0</v>
      </c>
      <c r="T156" s="150"/>
      <c r="U156" s="150">
        <f>'IB - B&amp;D&amp;H'!U107</f>
        <v>0</v>
      </c>
      <c r="V156" s="150"/>
      <c r="W156" s="150">
        <f>'IB - B&amp;D&amp;H'!W107</f>
        <v>0</v>
      </c>
      <c r="X156" s="69"/>
      <c r="Y156" s="72"/>
      <c r="Z156" s="72"/>
      <c r="AA156" s="72"/>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row>
    <row r="157" spans="1:76" s="75" customFormat="1" ht="15" customHeight="1">
      <c r="A157" s="72"/>
      <c r="B157" s="72"/>
      <c r="C157" s="154"/>
      <c r="D157" s="155"/>
      <c r="E157" s="150">
        <f>'IB - B&amp;D&amp;H'!E108</f>
        <v>0</v>
      </c>
      <c r="F157" s="150"/>
      <c r="G157" s="150">
        <f>'IB - B&amp;D&amp;H'!G108</f>
        <v>0</v>
      </c>
      <c r="H157" s="150"/>
      <c r="I157" s="150">
        <f>'IB - B&amp;D&amp;H'!I108</f>
        <v>0</v>
      </c>
      <c r="J157" s="150"/>
      <c r="K157" s="150">
        <f>'IB - B&amp;D&amp;H'!K108</f>
        <v>0</v>
      </c>
      <c r="L157" s="150"/>
      <c r="M157" s="150">
        <f>'IB - B&amp;D&amp;H'!M108</f>
        <v>0</v>
      </c>
      <c r="N157" s="150"/>
      <c r="O157" s="150">
        <f>'IB - B&amp;D&amp;H'!O108</f>
        <v>0</v>
      </c>
      <c r="P157" s="150"/>
      <c r="Q157" s="150">
        <f>'IB - B&amp;D&amp;H'!Q108</f>
        <v>0</v>
      </c>
      <c r="R157" s="150"/>
      <c r="S157" s="150">
        <f>'IB - B&amp;D&amp;H'!S108</f>
        <v>0</v>
      </c>
      <c r="T157" s="150"/>
      <c r="U157" s="150">
        <f>'IB - B&amp;D&amp;H'!U108</f>
        <v>0</v>
      </c>
      <c r="V157" s="150"/>
      <c r="W157" s="150">
        <f>'IB - B&amp;D&amp;H'!W108</f>
        <v>0</v>
      </c>
      <c r="X157" s="69"/>
      <c r="Y157" s="72"/>
      <c r="Z157" s="72"/>
      <c r="AA157" s="72"/>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row>
    <row r="158" spans="1:76" s="75" customFormat="1" ht="15" customHeight="1">
      <c r="A158" s="72"/>
      <c r="B158" s="72"/>
      <c r="C158" s="154"/>
      <c r="D158" s="155"/>
      <c r="E158" s="150">
        <f>'IB - B&amp;D&amp;H'!E109</f>
        <v>0</v>
      </c>
      <c r="F158" s="150"/>
      <c r="G158" s="150">
        <f>'IB - B&amp;D&amp;H'!G109</f>
        <v>0</v>
      </c>
      <c r="H158" s="150"/>
      <c r="I158" s="150">
        <f>'IB - B&amp;D&amp;H'!I109</f>
        <v>0</v>
      </c>
      <c r="J158" s="150"/>
      <c r="K158" s="150">
        <f>'IB - B&amp;D&amp;H'!K109</f>
        <v>0</v>
      </c>
      <c r="L158" s="150"/>
      <c r="M158" s="150">
        <f>'IB - B&amp;D&amp;H'!M109</f>
        <v>0</v>
      </c>
      <c r="N158" s="150"/>
      <c r="O158" s="150">
        <f>'IB - B&amp;D&amp;H'!O109</f>
        <v>0</v>
      </c>
      <c r="P158" s="150"/>
      <c r="Q158" s="150">
        <f>'IB - B&amp;D&amp;H'!Q109</f>
        <v>0</v>
      </c>
      <c r="R158" s="150"/>
      <c r="S158" s="150">
        <f>'IB - B&amp;D&amp;H'!S109</f>
        <v>0</v>
      </c>
      <c r="T158" s="150"/>
      <c r="U158" s="150">
        <f>'IB - B&amp;D&amp;H'!U109</f>
        <v>0</v>
      </c>
      <c r="V158" s="150"/>
      <c r="W158" s="150">
        <f>'IB - B&amp;D&amp;H'!W109</f>
        <v>0</v>
      </c>
      <c r="X158" s="69"/>
      <c r="Y158" s="72"/>
      <c r="Z158" s="72"/>
      <c r="AA158" s="72"/>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row>
    <row r="159" spans="1:76" s="75" customFormat="1" ht="15" customHeight="1">
      <c r="A159" s="72"/>
      <c r="B159" s="72"/>
      <c r="C159" s="154"/>
      <c r="D159" s="155"/>
      <c r="E159" s="150">
        <f>'IB - B&amp;D&amp;H'!E110</f>
        <v>0</v>
      </c>
      <c r="F159" s="150"/>
      <c r="G159" s="150">
        <f>'IB - B&amp;D&amp;H'!G110</f>
        <v>0</v>
      </c>
      <c r="H159" s="150"/>
      <c r="I159" s="150">
        <f>'IB - B&amp;D&amp;H'!I110</f>
        <v>0</v>
      </c>
      <c r="J159" s="150"/>
      <c r="K159" s="150">
        <f>'IB - B&amp;D&amp;H'!K110</f>
        <v>0</v>
      </c>
      <c r="L159" s="150"/>
      <c r="M159" s="150">
        <f>'IB - B&amp;D&amp;H'!M110</f>
        <v>0</v>
      </c>
      <c r="N159" s="150"/>
      <c r="O159" s="150">
        <f>'IB - B&amp;D&amp;H'!O110</f>
        <v>0</v>
      </c>
      <c r="P159" s="150"/>
      <c r="Q159" s="150">
        <f>'IB - B&amp;D&amp;H'!Q110</f>
        <v>0</v>
      </c>
      <c r="R159" s="150"/>
      <c r="S159" s="150">
        <f>'IB - B&amp;D&amp;H'!S110</f>
        <v>0</v>
      </c>
      <c r="T159" s="150"/>
      <c r="U159" s="150">
        <f>'IB - B&amp;D&amp;H'!U110</f>
        <v>0</v>
      </c>
      <c r="V159" s="150"/>
      <c r="W159" s="150">
        <f>'IB - B&amp;D&amp;H'!W110</f>
        <v>0</v>
      </c>
      <c r="X159" s="69"/>
      <c r="Y159" s="72"/>
      <c r="Z159" s="72"/>
      <c r="AA159" s="72"/>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row>
    <row r="160" spans="1:76" s="75" customFormat="1" ht="15" customHeight="1">
      <c r="A160" s="72"/>
      <c r="B160" s="72"/>
      <c r="C160" s="154"/>
      <c r="D160" s="155"/>
      <c r="E160" s="150">
        <f>'IB - B&amp;D&amp;H'!E111</f>
        <v>0</v>
      </c>
      <c r="F160" s="150"/>
      <c r="G160" s="150">
        <f>'IB - B&amp;D&amp;H'!G111</f>
        <v>0</v>
      </c>
      <c r="H160" s="150"/>
      <c r="I160" s="150">
        <f>'IB - B&amp;D&amp;H'!I111</f>
        <v>0</v>
      </c>
      <c r="J160" s="150"/>
      <c r="K160" s="150">
        <f>'IB - B&amp;D&amp;H'!K111</f>
        <v>0</v>
      </c>
      <c r="L160" s="150"/>
      <c r="M160" s="150">
        <f>'IB - B&amp;D&amp;H'!M111</f>
        <v>0</v>
      </c>
      <c r="N160" s="150"/>
      <c r="O160" s="150">
        <f>'IB - B&amp;D&amp;H'!O111</f>
        <v>0</v>
      </c>
      <c r="P160" s="150"/>
      <c r="Q160" s="150">
        <f>'IB - B&amp;D&amp;H'!Q111</f>
        <v>0</v>
      </c>
      <c r="R160" s="150"/>
      <c r="S160" s="150">
        <f>'IB - B&amp;D&amp;H'!S111</f>
        <v>0</v>
      </c>
      <c r="T160" s="150"/>
      <c r="U160" s="150">
        <f>'IB - B&amp;D&amp;H'!U111</f>
        <v>0</v>
      </c>
      <c r="V160" s="150"/>
      <c r="W160" s="150">
        <f>'IB - B&amp;D&amp;H'!W111</f>
        <v>0</v>
      </c>
      <c r="X160" s="69"/>
      <c r="Y160" s="72"/>
      <c r="Z160" s="72"/>
      <c r="AA160" s="72"/>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row>
    <row r="161" spans="1:76" s="75" customFormat="1" ht="15" customHeight="1">
      <c r="A161" s="72"/>
      <c r="B161" s="72"/>
      <c r="C161" s="154"/>
      <c r="D161" s="155"/>
      <c r="E161" s="150">
        <f>'IB - B&amp;D&amp;H'!E112</f>
        <v>0</v>
      </c>
      <c r="F161" s="150"/>
      <c r="G161" s="150">
        <f>'IB - B&amp;D&amp;H'!G112</f>
        <v>0</v>
      </c>
      <c r="H161" s="150"/>
      <c r="I161" s="150">
        <f>'IB - B&amp;D&amp;H'!I112</f>
        <v>0</v>
      </c>
      <c r="J161" s="150"/>
      <c r="K161" s="150">
        <f>'IB - B&amp;D&amp;H'!K112</f>
        <v>0</v>
      </c>
      <c r="L161" s="150"/>
      <c r="M161" s="150">
        <f>'IB - B&amp;D&amp;H'!M112</f>
        <v>0</v>
      </c>
      <c r="N161" s="150"/>
      <c r="O161" s="150">
        <f>'IB - B&amp;D&amp;H'!O112</f>
        <v>0</v>
      </c>
      <c r="P161" s="150"/>
      <c r="Q161" s="150">
        <f>'IB - B&amp;D&amp;H'!Q112</f>
        <v>0</v>
      </c>
      <c r="R161" s="150"/>
      <c r="S161" s="150">
        <f>'IB - B&amp;D&amp;H'!S112</f>
        <v>0</v>
      </c>
      <c r="T161" s="150"/>
      <c r="U161" s="150">
        <f>'IB - B&amp;D&amp;H'!U112</f>
        <v>0</v>
      </c>
      <c r="V161" s="150"/>
      <c r="W161" s="150">
        <f>'IB - B&amp;D&amp;H'!W112</f>
        <v>0</v>
      </c>
      <c r="X161" s="69"/>
      <c r="Y161" s="72"/>
      <c r="Z161" s="72"/>
      <c r="AA161" s="72"/>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row>
    <row r="162" spans="1:76" s="75" customFormat="1" ht="15" customHeight="1">
      <c r="A162" s="72"/>
      <c r="B162" s="72"/>
      <c r="C162" s="154"/>
      <c r="D162" s="155"/>
      <c r="E162" s="150">
        <f>'IB - B&amp;D&amp;H'!E113</f>
        <v>0</v>
      </c>
      <c r="F162" s="150"/>
      <c r="G162" s="150">
        <f>'IB - B&amp;D&amp;H'!G113</f>
        <v>0</v>
      </c>
      <c r="H162" s="150"/>
      <c r="I162" s="150">
        <f>'IB - B&amp;D&amp;H'!I113</f>
        <v>0</v>
      </c>
      <c r="J162" s="150"/>
      <c r="K162" s="150">
        <f>'IB - B&amp;D&amp;H'!K113</f>
        <v>0</v>
      </c>
      <c r="L162" s="150"/>
      <c r="M162" s="150">
        <f>'IB - B&amp;D&amp;H'!M113</f>
        <v>0</v>
      </c>
      <c r="N162" s="150"/>
      <c r="O162" s="150">
        <f>'IB - B&amp;D&amp;H'!O113</f>
        <v>0</v>
      </c>
      <c r="P162" s="150"/>
      <c r="Q162" s="150">
        <f>'IB - B&amp;D&amp;H'!Q113</f>
        <v>0</v>
      </c>
      <c r="R162" s="150"/>
      <c r="S162" s="150">
        <f>'IB - B&amp;D&amp;H'!S113</f>
        <v>0</v>
      </c>
      <c r="T162" s="150"/>
      <c r="U162" s="150">
        <f>'IB - B&amp;D&amp;H'!U113</f>
        <v>0</v>
      </c>
      <c r="V162" s="150"/>
      <c r="W162" s="150">
        <f>'IB - B&amp;D&amp;H'!W113</f>
        <v>0</v>
      </c>
      <c r="X162" s="69"/>
      <c r="Y162" s="72"/>
      <c r="Z162" s="72"/>
      <c r="AA162" s="72"/>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row>
    <row r="163" spans="1:76" s="75" customFormat="1" ht="15" customHeight="1">
      <c r="A163" s="72"/>
      <c r="B163" s="72"/>
      <c r="C163" s="154"/>
      <c r="D163" s="155"/>
      <c r="E163" s="150">
        <f>'IB - B&amp;D&amp;H'!E114</f>
        <v>0</v>
      </c>
      <c r="F163" s="150"/>
      <c r="G163" s="150">
        <f>'IB - B&amp;D&amp;H'!G114</f>
        <v>0</v>
      </c>
      <c r="H163" s="150"/>
      <c r="I163" s="150">
        <f>'IB - B&amp;D&amp;H'!I114</f>
        <v>0</v>
      </c>
      <c r="J163" s="150"/>
      <c r="K163" s="150">
        <f>'IB - B&amp;D&amp;H'!K114</f>
        <v>0</v>
      </c>
      <c r="L163" s="150"/>
      <c r="M163" s="150">
        <f>'IB - B&amp;D&amp;H'!M114</f>
        <v>0</v>
      </c>
      <c r="N163" s="150"/>
      <c r="O163" s="150">
        <f>'IB - B&amp;D&amp;H'!O114</f>
        <v>0</v>
      </c>
      <c r="P163" s="150"/>
      <c r="Q163" s="150">
        <f>'IB - B&amp;D&amp;H'!Q114</f>
        <v>0</v>
      </c>
      <c r="R163" s="150"/>
      <c r="S163" s="150">
        <f>'IB - B&amp;D&amp;H'!S114</f>
        <v>0</v>
      </c>
      <c r="T163" s="150"/>
      <c r="U163" s="150">
        <f>'IB - B&amp;D&amp;H'!U114</f>
        <v>0</v>
      </c>
      <c r="V163" s="150"/>
      <c r="W163" s="150">
        <f>'IB - B&amp;D&amp;H'!W114</f>
        <v>0</v>
      </c>
      <c r="X163" s="69"/>
      <c r="Y163" s="72"/>
      <c r="Z163" s="72"/>
      <c r="AA163" s="72"/>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row>
    <row r="164" spans="1:76" s="75" customFormat="1" ht="15" customHeight="1">
      <c r="A164" s="72"/>
      <c r="B164" s="72"/>
      <c r="C164" s="154"/>
      <c r="D164" s="155"/>
      <c r="E164" s="150">
        <f>'IB - B&amp;D&amp;H'!E115</f>
        <v>0</v>
      </c>
      <c r="F164" s="150"/>
      <c r="G164" s="150">
        <f>'IB - B&amp;D&amp;H'!G115</f>
        <v>0</v>
      </c>
      <c r="H164" s="150"/>
      <c r="I164" s="150">
        <f>'IB - B&amp;D&amp;H'!I115</f>
        <v>0</v>
      </c>
      <c r="J164" s="150"/>
      <c r="K164" s="150">
        <f>'IB - B&amp;D&amp;H'!K115</f>
        <v>0</v>
      </c>
      <c r="L164" s="150"/>
      <c r="M164" s="150">
        <f>'IB - B&amp;D&amp;H'!M115</f>
        <v>0</v>
      </c>
      <c r="N164" s="150"/>
      <c r="O164" s="150">
        <f>'IB - B&amp;D&amp;H'!O115</f>
        <v>0</v>
      </c>
      <c r="P164" s="150"/>
      <c r="Q164" s="150">
        <f>'IB - B&amp;D&amp;H'!Q115</f>
        <v>0</v>
      </c>
      <c r="R164" s="150"/>
      <c r="S164" s="150">
        <f>'IB - B&amp;D&amp;H'!S115</f>
        <v>0</v>
      </c>
      <c r="T164" s="150"/>
      <c r="U164" s="150">
        <f>'IB - B&amp;D&amp;H'!U115</f>
        <v>0</v>
      </c>
      <c r="V164" s="150"/>
      <c r="W164" s="150">
        <f>'IB - B&amp;D&amp;H'!W115</f>
        <v>0</v>
      </c>
      <c r="X164" s="69"/>
      <c r="Y164" s="72"/>
      <c r="Z164" s="72"/>
      <c r="AA164" s="72"/>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row>
    <row r="165" spans="1:76" s="75" customFormat="1" ht="15" customHeight="1">
      <c r="A165" s="72"/>
      <c r="B165" s="72"/>
      <c r="C165" s="154"/>
      <c r="D165" s="155"/>
      <c r="E165" s="492"/>
      <c r="F165" s="492"/>
      <c r="G165" s="492"/>
      <c r="H165" s="492"/>
      <c r="I165" s="492"/>
      <c r="J165" s="492"/>
      <c r="K165" s="492"/>
      <c r="L165" s="492"/>
      <c r="M165" s="492"/>
      <c r="N165" s="492"/>
      <c r="O165" s="492"/>
      <c r="P165" s="492"/>
      <c r="Q165" s="492"/>
      <c r="R165" s="492"/>
      <c r="S165" s="492"/>
      <c r="T165" s="492"/>
      <c r="U165" s="492"/>
      <c r="V165" s="492"/>
      <c r="W165" s="492"/>
      <c r="X165" s="69"/>
      <c r="Y165" s="72"/>
      <c r="Z165" s="72"/>
      <c r="AA165" s="72"/>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row>
    <row r="166" spans="1:76" s="75" customFormat="1" ht="15" customHeight="1">
      <c r="A166" s="72"/>
      <c r="B166" s="72"/>
      <c r="C166" s="154"/>
      <c r="D166" s="155"/>
      <c r="E166" s="492"/>
      <c r="F166" s="492"/>
      <c r="G166" s="492"/>
      <c r="H166" s="492"/>
      <c r="I166" s="492"/>
      <c r="J166" s="492"/>
      <c r="K166" s="492"/>
      <c r="L166" s="492"/>
      <c r="M166" s="492"/>
      <c r="N166" s="492"/>
      <c r="O166" s="492"/>
      <c r="P166" s="492"/>
      <c r="Q166" s="492"/>
      <c r="R166" s="492"/>
      <c r="S166" s="492"/>
      <c r="T166" s="492"/>
      <c r="U166" s="492"/>
      <c r="V166" s="492"/>
      <c r="W166" s="492"/>
      <c r="X166" s="69"/>
      <c r="Y166" s="72"/>
      <c r="Z166" s="72"/>
      <c r="AA166" s="72"/>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row>
    <row r="167" spans="1:76" s="75" customFormat="1" ht="15" customHeight="1">
      <c r="A167" s="72"/>
      <c r="B167" s="72"/>
      <c r="C167" s="154"/>
      <c r="D167" s="155"/>
      <c r="E167" s="492"/>
      <c r="F167" s="492"/>
      <c r="G167" s="492"/>
      <c r="H167" s="492"/>
      <c r="I167" s="492"/>
      <c r="J167" s="492"/>
      <c r="K167" s="492"/>
      <c r="L167" s="492"/>
      <c r="M167" s="492"/>
      <c r="N167" s="492"/>
      <c r="O167" s="492"/>
      <c r="P167" s="492"/>
      <c r="Q167" s="492"/>
      <c r="R167" s="492"/>
      <c r="S167" s="492"/>
      <c r="T167" s="492"/>
      <c r="U167" s="492"/>
      <c r="V167" s="492"/>
      <c r="W167" s="492"/>
      <c r="X167" s="69"/>
      <c r="Y167" s="72"/>
      <c r="Z167" s="72"/>
      <c r="AA167" s="72"/>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row>
    <row r="168" spans="1:76" s="75" customFormat="1" ht="15" customHeight="1">
      <c r="A168" s="72"/>
      <c r="B168" s="72"/>
      <c r="C168" s="154"/>
      <c r="D168" s="155"/>
      <c r="E168" s="156"/>
      <c r="F168" s="156"/>
      <c r="G168" s="156"/>
      <c r="H168" s="156"/>
      <c r="I168" s="156"/>
      <c r="J168" s="156"/>
      <c r="K168" s="156"/>
      <c r="L168" s="156"/>
      <c r="M168" s="156"/>
      <c r="N168" s="156"/>
      <c r="O168" s="156"/>
      <c r="P168" s="156"/>
      <c r="Q168" s="156"/>
      <c r="R168" s="156"/>
      <c r="S168" s="156"/>
      <c r="T168" s="156"/>
      <c r="U168" s="156"/>
      <c r="V168" s="156"/>
      <c r="W168" s="156"/>
      <c r="X168" s="69"/>
      <c r="Y168" s="72"/>
      <c r="Z168" s="72"/>
      <c r="AA168" s="72"/>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row>
    <row r="169" spans="1:76" s="75" customFormat="1" ht="15" customHeight="1">
      <c r="A169" s="72"/>
      <c r="B169" s="72"/>
      <c r="C169" s="154"/>
      <c r="D169" s="155"/>
      <c r="E169" s="156"/>
      <c r="F169" s="156"/>
      <c r="G169" s="156"/>
      <c r="H169" s="156"/>
      <c r="I169" s="156"/>
      <c r="J169" s="156"/>
      <c r="K169" s="156"/>
      <c r="L169" s="156"/>
      <c r="M169" s="156"/>
      <c r="N169" s="156"/>
      <c r="O169" s="156"/>
      <c r="P169" s="156"/>
      <c r="Q169" s="156"/>
      <c r="R169" s="156"/>
      <c r="S169" s="156"/>
      <c r="T169" s="156"/>
      <c r="U169" s="156"/>
      <c r="V169" s="156"/>
      <c r="W169" s="156"/>
      <c r="X169" s="69"/>
      <c r="Y169" s="72"/>
      <c r="Z169" s="72"/>
      <c r="AA169" s="72"/>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row>
    <row r="170" spans="1:76" s="75" customFormat="1" hidden="1">
      <c r="A170" s="72"/>
      <c r="B170" s="72"/>
      <c r="C170" s="154"/>
      <c r="D170" s="155"/>
      <c r="E170" s="156"/>
      <c r="F170" s="156"/>
      <c r="G170" s="156"/>
      <c r="H170" s="156"/>
      <c r="I170" s="156"/>
      <c r="J170" s="156"/>
      <c r="K170" s="156"/>
      <c r="L170" s="156"/>
      <c r="M170" s="156"/>
      <c r="N170" s="156"/>
      <c r="O170" s="156"/>
      <c r="P170" s="156"/>
      <c r="Q170" s="156"/>
      <c r="R170" s="156"/>
      <c r="S170" s="156"/>
      <c r="T170" s="156"/>
      <c r="U170" s="156"/>
      <c r="V170" s="156"/>
      <c r="W170" s="156"/>
      <c r="X170" s="69"/>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idden="1">
      <c r="A171" s="72"/>
      <c r="B171" s="72"/>
      <c r="C171" s="154"/>
      <c r="D171" s="155"/>
      <c r="E171" s="156"/>
      <c r="F171" s="156"/>
      <c r="G171" s="156"/>
      <c r="H171" s="156"/>
      <c r="I171" s="156"/>
      <c r="J171" s="156"/>
      <c r="K171" s="156"/>
      <c r="L171" s="156"/>
      <c r="M171" s="156"/>
      <c r="N171" s="156"/>
      <c r="O171" s="156"/>
      <c r="P171" s="156"/>
      <c r="Q171" s="156"/>
      <c r="R171" s="156"/>
      <c r="S171" s="156"/>
      <c r="T171" s="156"/>
      <c r="U171" s="156"/>
      <c r="V171" s="156"/>
      <c r="W171" s="156"/>
      <c r="X171" s="69"/>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idden="1">
      <c r="A172" s="72"/>
      <c r="B172" s="72"/>
      <c r="C172" s="154"/>
      <c r="D172" s="155"/>
      <c r="E172" s="156"/>
      <c r="F172" s="156"/>
      <c r="G172" s="156"/>
      <c r="H172" s="156"/>
      <c r="I172" s="156"/>
      <c r="J172" s="156"/>
      <c r="K172" s="156"/>
      <c r="L172" s="156"/>
      <c r="M172" s="156"/>
      <c r="N172" s="156"/>
      <c r="O172" s="156"/>
      <c r="P172" s="156"/>
      <c r="Q172" s="156"/>
      <c r="R172" s="156"/>
      <c r="S172" s="156"/>
      <c r="T172" s="156"/>
      <c r="U172" s="156"/>
      <c r="V172" s="156"/>
      <c r="W172" s="156"/>
      <c r="X172" s="69"/>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idden="1">
      <c r="A173" s="72"/>
      <c r="B173" s="72"/>
      <c r="C173" s="154"/>
      <c r="D173" s="155"/>
      <c r="E173" s="156"/>
      <c r="F173" s="156"/>
      <c r="G173" s="156"/>
      <c r="H173" s="156"/>
      <c r="I173" s="156"/>
      <c r="J173" s="156"/>
      <c r="K173" s="156"/>
      <c r="L173" s="156"/>
      <c r="M173" s="156"/>
      <c r="N173" s="156"/>
      <c r="O173" s="156"/>
      <c r="P173" s="156"/>
      <c r="Q173" s="156"/>
      <c r="R173" s="156"/>
      <c r="S173" s="156"/>
      <c r="T173" s="156"/>
      <c r="U173" s="156"/>
      <c r="V173" s="156"/>
      <c r="W173" s="156"/>
      <c r="X173" s="69"/>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idden="1">
      <c r="A174" s="72"/>
      <c r="B174" s="72"/>
      <c r="C174" s="154"/>
      <c r="D174" s="155"/>
      <c r="E174" s="156"/>
      <c r="F174" s="156"/>
      <c r="G174" s="156"/>
      <c r="H174" s="156"/>
      <c r="I174" s="156"/>
      <c r="J174" s="156"/>
      <c r="K174" s="156"/>
      <c r="L174" s="156"/>
      <c r="M174" s="156"/>
      <c r="N174" s="156"/>
      <c r="O174" s="156"/>
      <c r="P174" s="156"/>
      <c r="Q174" s="156"/>
      <c r="R174" s="156"/>
      <c r="S174" s="156"/>
      <c r="T174" s="156"/>
      <c r="U174" s="156"/>
      <c r="V174" s="156"/>
      <c r="W174" s="156"/>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idden="1">
      <c r="A175" s="72"/>
      <c r="B175" s="72"/>
      <c r="C175" s="154"/>
      <c r="D175" s="155"/>
      <c r="E175" s="156"/>
      <c r="F175" s="156"/>
      <c r="G175" s="156"/>
      <c r="H175" s="156"/>
      <c r="I175" s="156"/>
      <c r="J175" s="156"/>
      <c r="K175" s="156"/>
      <c r="L175" s="156"/>
      <c r="M175" s="156"/>
      <c r="N175" s="156"/>
      <c r="O175" s="156"/>
      <c r="P175" s="156"/>
      <c r="Q175" s="156"/>
      <c r="R175" s="156"/>
      <c r="S175" s="156"/>
      <c r="T175" s="156"/>
      <c r="U175" s="156"/>
      <c r="V175" s="156"/>
      <c r="W175" s="156"/>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idden="1">
      <c r="A176" s="72"/>
      <c r="B176" s="72"/>
      <c r="C176" s="154"/>
      <c r="D176" s="155"/>
      <c r="E176" s="156"/>
      <c r="F176" s="156"/>
      <c r="G176" s="156"/>
      <c r="H176" s="156"/>
      <c r="I176" s="156"/>
      <c r="J176" s="156"/>
      <c r="K176" s="156"/>
      <c r="L176" s="156"/>
      <c r="M176" s="156"/>
      <c r="N176" s="156"/>
      <c r="O176" s="156"/>
      <c r="P176" s="156"/>
      <c r="Q176" s="156"/>
      <c r="R176" s="156"/>
      <c r="S176" s="156"/>
      <c r="T176" s="156"/>
      <c r="U176" s="156"/>
      <c r="V176" s="156"/>
      <c r="W176" s="156"/>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idden="1">
      <c r="A177" s="72"/>
      <c r="B177" s="72"/>
      <c r="C177" s="154"/>
      <c r="D177" s="155"/>
      <c r="E177" s="156"/>
      <c r="F177" s="156"/>
      <c r="G177" s="156"/>
      <c r="H177" s="156"/>
      <c r="I177" s="156"/>
      <c r="J177" s="156"/>
      <c r="K177" s="156"/>
      <c r="L177" s="156"/>
      <c r="M177" s="156"/>
      <c r="N177" s="156"/>
      <c r="O177" s="156"/>
      <c r="P177" s="156"/>
      <c r="Q177" s="156"/>
      <c r="R177" s="156"/>
      <c r="S177" s="156"/>
      <c r="T177" s="156"/>
      <c r="U177" s="156"/>
      <c r="V177" s="156"/>
      <c r="W177" s="156"/>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idden="1">
      <c r="A178" s="72"/>
      <c r="B178" s="72"/>
      <c r="C178" s="154"/>
      <c r="D178" s="155"/>
      <c r="E178" s="156"/>
      <c r="F178" s="156"/>
      <c r="G178" s="156"/>
      <c r="H178" s="156"/>
      <c r="I178" s="156"/>
      <c r="J178" s="156"/>
      <c r="K178" s="156"/>
      <c r="L178" s="156"/>
      <c r="M178" s="156"/>
      <c r="N178" s="156"/>
      <c r="O178" s="156"/>
      <c r="P178" s="156"/>
      <c r="Q178" s="156"/>
      <c r="R178" s="156"/>
      <c r="S178" s="156"/>
      <c r="T178" s="156"/>
      <c r="U178" s="156"/>
      <c r="V178" s="156"/>
      <c r="W178" s="156"/>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idden="1">
      <c r="A179" s="72"/>
      <c r="B179" s="72"/>
      <c r="C179" s="154"/>
      <c r="D179" s="155"/>
      <c r="E179" s="156"/>
      <c r="F179" s="156"/>
      <c r="G179" s="156"/>
      <c r="H179" s="156"/>
      <c r="I179" s="156"/>
      <c r="J179" s="156"/>
      <c r="K179" s="156"/>
      <c r="L179" s="156"/>
      <c r="M179" s="156"/>
      <c r="N179" s="156"/>
      <c r="O179" s="156"/>
      <c r="P179" s="156"/>
      <c r="Q179" s="156"/>
      <c r="R179" s="156"/>
      <c r="S179" s="156"/>
      <c r="T179" s="156"/>
      <c r="U179" s="156"/>
      <c r="V179" s="156"/>
      <c r="W179" s="156"/>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idden="1">
      <c r="A180" s="72"/>
      <c r="B180" s="72"/>
      <c r="C180" s="154"/>
      <c r="D180" s="155"/>
      <c r="E180" s="156"/>
      <c r="F180" s="156"/>
      <c r="G180" s="156"/>
      <c r="H180" s="156"/>
      <c r="I180" s="156"/>
      <c r="J180" s="156"/>
      <c r="K180" s="156"/>
      <c r="L180" s="156"/>
      <c r="M180" s="156"/>
      <c r="N180" s="156"/>
      <c r="O180" s="156"/>
      <c r="P180" s="156"/>
      <c r="Q180" s="156"/>
      <c r="R180" s="156"/>
      <c r="S180" s="156"/>
      <c r="T180" s="156"/>
      <c r="U180" s="156"/>
      <c r="V180" s="156"/>
      <c r="W180" s="156"/>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idden="1">
      <c r="A181" s="72"/>
      <c r="B181" s="72"/>
      <c r="C181" s="154"/>
      <c r="D181" s="155"/>
      <c r="E181" s="156"/>
      <c r="F181" s="156"/>
      <c r="G181" s="156"/>
      <c r="H181" s="156"/>
      <c r="I181" s="156"/>
      <c r="J181" s="156"/>
      <c r="K181" s="156"/>
      <c r="L181" s="156"/>
      <c r="M181" s="156"/>
      <c r="N181" s="156"/>
      <c r="O181" s="156"/>
      <c r="P181" s="156"/>
      <c r="Q181" s="156"/>
      <c r="R181" s="156"/>
      <c r="S181" s="156"/>
      <c r="T181" s="156"/>
      <c r="U181" s="156"/>
      <c r="V181" s="156"/>
      <c r="W181" s="156"/>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idden="1">
      <c r="A182" s="72"/>
      <c r="B182" s="72"/>
      <c r="C182" s="154"/>
      <c r="D182" s="155"/>
      <c r="E182" s="156"/>
      <c r="F182" s="156"/>
      <c r="G182" s="156"/>
      <c r="H182" s="156"/>
      <c r="I182" s="156"/>
      <c r="J182" s="156"/>
      <c r="K182" s="156"/>
      <c r="L182" s="156"/>
      <c r="M182" s="156"/>
      <c r="N182" s="156"/>
      <c r="O182" s="156"/>
      <c r="P182" s="156"/>
      <c r="Q182" s="156"/>
      <c r="R182" s="156"/>
      <c r="S182" s="156"/>
      <c r="T182" s="156"/>
      <c r="U182" s="156"/>
      <c r="V182" s="156"/>
      <c r="W182" s="156"/>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idden="1">
      <c r="A183" s="72"/>
      <c r="B183" s="72"/>
      <c r="C183" s="154"/>
      <c r="D183" s="155"/>
      <c r="E183" s="156"/>
      <c r="F183" s="156"/>
      <c r="G183" s="156"/>
      <c r="H183" s="156"/>
      <c r="I183" s="156"/>
      <c r="J183" s="156"/>
      <c r="K183" s="156"/>
      <c r="L183" s="156"/>
      <c r="M183" s="156"/>
      <c r="N183" s="156"/>
      <c r="O183" s="156"/>
      <c r="P183" s="156"/>
      <c r="Q183" s="156"/>
      <c r="R183" s="156"/>
      <c r="S183" s="156"/>
      <c r="T183" s="156"/>
      <c r="U183" s="156"/>
      <c r="V183" s="156"/>
      <c r="W183" s="156"/>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idden="1">
      <c r="A184" s="72"/>
      <c r="B184" s="72"/>
      <c r="C184" s="154"/>
      <c r="D184" s="155"/>
      <c r="E184" s="156"/>
      <c r="F184" s="156"/>
      <c r="G184" s="156"/>
      <c r="H184" s="156"/>
      <c r="I184" s="156"/>
      <c r="J184" s="156"/>
      <c r="K184" s="156"/>
      <c r="L184" s="156"/>
      <c r="M184" s="156"/>
      <c r="N184" s="156"/>
      <c r="O184" s="156"/>
      <c r="P184" s="156"/>
      <c r="Q184" s="156"/>
      <c r="R184" s="156"/>
      <c r="S184" s="156"/>
      <c r="T184" s="156"/>
      <c r="U184" s="156"/>
      <c r="V184" s="156"/>
      <c r="W184" s="156"/>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idden="1">
      <c r="A185" s="72"/>
      <c r="B185" s="72"/>
      <c r="C185" s="154"/>
      <c r="D185" s="155"/>
      <c r="E185" s="156"/>
      <c r="F185" s="156"/>
      <c r="G185" s="156"/>
      <c r="H185" s="156"/>
      <c r="I185" s="156"/>
      <c r="J185" s="156"/>
      <c r="K185" s="156"/>
      <c r="L185" s="156"/>
      <c r="M185" s="156"/>
      <c r="N185" s="156"/>
      <c r="O185" s="156"/>
      <c r="P185" s="156"/>
      <c r="Q185" s="156"/>
      <c r="R185" s="156"/>
      <c r="S185" s="156"/>
      <c r="T185" s="156"/>
      <c r="U185" s="156"/>
      <c r="V185" s="156"/>
      <c r="W185" s="156"/>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idden="1">
      <c r="A186" s="72"/>
      <c r="B186" s="72"/>
      <c r="C186" s="154"/>
      <c r="D186" s="155"/>
      <c r="E186" s="156"/>
      <c r="F186" s="156"/>
      <c r="G186" s="156"/>
      <c r="H186" s="156"/>
      <c r="I186" s="156"/>
      <c r="J186" s="156"/>
      <c r="K186" s="156"/>
      <c r="L186" s="156"/>
      <c r="M186" s="156"/>
      <c r="N186" s="156"/>
      <c r="O186" s="156"/>
      <c r="P186" s="156"/>
      <c r="Q186" s="156"/>
      <c r="R186" s="156"/>
      <c r="S186" s="156"/>
      <c r="T186" s="156"/>
      <c r="U186" s="156"/>
      <c r="V186" s="156"/>
      <c r="W186" s="156"/>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idden="1">
      <c r="A187" s="72"/>
      <c r="B187" s="72"/>
      <c r="C187" s="154"/>
      <c r="D187" s="155"/>
      <c r="E187" s="156"/>
      <c r="F187" s="156"/>
      <c r="G187" s="156"/>
      <c r="H187" s="156"/>
      <c r="I187" s="156"/>
      <c r="J187" s="156"/>
      <c r="K187" s="156"/>
      <c r="L187" s="156"/>
      <c r="M187" s="156"/>
      <c r="N187" s="156"/>
      <c r="O187" s="156"/>
      <c r="P187" s="156"/>
      <c r="Q187" s="156"/>
      <c r="R187" s="156"/>
      <c r="S187" s="156"/>
      <c r="T187" s="156"/>
      <c r="U187" s="156"/>
      <c r="V187" s="156"/>
      <c r="W187" s="156"/>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idden="1">
      <c r="A188" s="72"/>
      <c r="B188" s="72"/>
      <c r="C188" s="154"/>
      <c r="D188" s="155"/>
      <c r="E188" s="156"/>
      <c r="F188" s="156"/>
      <c r="G188" s="156"/>
      <c r="H188" s="156"/>
      <c r="I188" s="156"/>
      <c r="J188" s="156"/>
      <c r="K188" s="156"/>
      <c r="L188" s="156"/>
      <c r="M188" s="156"/>
      <c r="N188" s="156"/>
      <c r="O188" s="156"/>
      <c r="P188" s="156"/>
      <c r="Q188" s="156"/>
      <c r="R188" s="156"/>
      <c r="S188" s="156"/>
      <c r="T188" s="156"/>
      <c r="U188" s="156"/>
      <c r="V188" s="156"/>
      <c r="W188" s="156"/>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idden="1">
      <c r="A189" s="72"/>
      <c r="B189" s="72"/>
      <c r="C189" s="154"/>
      <c r="D189" s="155"/>
      <c r="E189" s="156"/>
      <c r="F189" s="156"/>
      <c r="G189" s="156"/>
      <c r="H189" s="156"/>
      <c r="I189" s="156"/>
      <c r="J189" s="156"/>
      <c r="K189" s="156"/>
      <c r="L189" s="156"/>
      <c r="M189" s="156"/>
      <c r="N189" s="156"/>
      <c r="O189" s="156"/>
      <c r="P189" s="156"/>
      <c r="Q189" s="156"/>
      <c r="R189" s="156"/>
      <c r="S189" s="156"/>
      <c r="T189" s="156"/>
      <c r="U189" s="156"/>
      <c r="V189" s="156"/>
      <c r="W189" s="156"/>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idden="1">
      <c r="A190" s="72"/>
      <c r="B190" s="72"/>
      <c r="C190" s="154"/>
      <c r="D190" s="155"/>
      <c r="E190" s="156"/>
      <c r="F190" s="156"/>
      <c r="G190" s="156"/>
      <c r="H190" s="156"/>
      <c r="I190" s="156"/>
      <c r="J190" s="156"/>
      <c r="K190" s="156"/>
      <c r="L190" s="156"/>
      <c r="M190" s="156"/>
      <c r="N190" s="156"/>
      <c r="O190" s="156"/>
      <c r="P190" s="156"/>
      <c r="Q190" s="156"/>
      <c r="R190" s="156"/>
      <c r="S190" s="156"/>
      <c r="T190" s="156"/>
      <c r="U190" s="156"/>
      <c r="V190" s="156"/>
      <c r="W190" s="156"/>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idden="1">
      <c r="A191" s="72"/>
      <c r="B191" s="72"/>
      <c r="C191" s="154"/>
      <c r="D191" s="155"/>
      <c r="E191" s="156"/>
      <c r="F191" s="156"/>
      <c r="G191" s="156"/>
      <c r="H191" s="156"/>
      <c r="I191" s="156"/>
      <c r="J191" s="156"/>
      <c r="K191" s="156"/>
      <c r="L191" s="156"/>
      <c r="M191" s="156"/>
      <c r="N191" s="156"/>
      <c r="O191" s="156"/>
      <c r="P191" s="156"/>
      <c r="Q191" s="156"/>
      <c r="R191" s="156"/>
      <c r="S191" s="156"/>
      <c r="T191" s="156"/>
      <c r="U191" s="156"/>
      <c r="V191" s="156"/>
      <c r="W191" s="156"/>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idden="1">
      <c r="A192" s="72"/>
      <c r="B192" s="72"/>
      <c r="C192" s="154"/>
      <c r="D192" s="155"/>
      <c r="E192" s="156"/>
      <c r="F192" s="156"/>
      <c r="G192" s="156"/>
      <c r="H192" s="156"/>
      <c r="I192" s="156"/>
      <c r="J192" s="156"/>
      <c r="K192" s="156"/>
      <c r="L192" s="156"/>
      <c r="M192" s="156"/>
      <c r="N192" s="156"/>
      <c r="O192" s="156"/>
      <c r="P192" s="156"/>
      <c r="Q192" s="156"/>
      <c r="R192" s="156"/>
      <c r="S192" s="156"/>
      <c r="T192" s="156"/>
      <c r="U192" s="156"/>
      <c r="V192" s="156"/>
      <c r="W192" s="156"/>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idden="1">
      <c r="A193" s="72"/>
      <c r="B193" s="72"/>
      <c r="C193" s="154"/>
      <c r="D193" s="155"/>
      <c r="E193" s="156"/>
      <c r="F193" s="156"/>
      <c r="G193" s="156"/>
      <c r="H193" s="156"/>
      <c r="I193" s="156"/>
      <c r="J193" s="156"/>
      <c r="K193" s="156"/>
      <c r="L193" s="156"/>
      <c r="M193" s="156"/>
      <c r="N193" s="156"/>
      <c r="O193" s="156"/>
      <c r="P193" s="156"/>
      <c r="Q193" s="156"/>
      <c r="R193" s="156"/>
      <c r="S193" s="156"/>
      <c r="T193" s="156"/>
      <c r="U193" s="156"/>
      <c r="V193" s="156"/>
      <c r="W193" s="156"/>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idden="1">
      <c r="A194" s="72"/>
      <c r="B194" s="72"/>
      <c r="C194" s="154"/>
      <c r="D194" s="155"/>
      <c r="E194" s="156"/>
      <c r="F194" s="156"/>
      <c r="G194" s="156"/>
      <c r="H194" s="156"/>
      <c r="I194" s="156"/>
      <c r="J194" s="156"/>
      <c r="K194" s="156"/>
      <c r="L194" s="156"/>
      <c r="M194" s="156"/>
      <c r="N194" s="156"/>
      <c r="O194" s="156"/>
      <c r="P194" s="156"/>
      <c r="Q194" s="156"/>
      <c r="R194" s="156"/>
      <c r="S194" s="156"/>
      <c r="T194" s="156"/>
      <c r="U194" s="156"/>
      <c r="V194" s="156"/>
      <c r="W194" s="156"/>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idden="1">
      <c r="A195" s="72"/>
      <c r="B195" s="72"/>
      <c r="C195" s="154"/>
      <c r="D195" s="155"/>
      <c r="E195" s="156"/>
      <c r="F195" s="156"/>
      <c r="G195" s="156"/>
      <c r="H195" s="156"/>
      <c r="I195" s="156"/>
      <c r="J195" s="156"/>
      <c r="K195" s="156"/>
      <c r="L195" s="156"/>
      <c r="M195" s="156"/>
      <c r="N195" s="156"/>
      <c r="O195" s="156"/>
      <c r="P195" s="156"/>
      <c r="Q195" s="156"/>
      <c r="R195" s="156"/>
      <c r="S195" s="156"/>
      <c r="T195" s="156"/>
      <c r="U195" s="156"/>
      <c r="V195" s="156"/>
      <c r="W195" s="156"/>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idden="1">
      <c r="A196" s="72"/>
      <c r="B196" s="72"/>
      <c r="C196" s="154"/>
      <c r="D196" s="155"/>
      <c r="E196" s="156"/>
      <c r="F196" s="156"/>
      <c r="G196" s="156"/>
      <c r="H196" s="156"/>
      <c r="I196" s="156"/>
      <c r="J196" s="156"/>
      <c r="K196" s="156"/>
      <c r="L196" s="156"/>
      <c r="M196" s="156"/>
      <c r="N196" s="156"/>
      <c r="O196" s="156"/>
      <c r="P196" s="156"/>
      <c r="Q196" s="156"/>
      <c r="R196" s="156"/>
      <c r="S196" s="156"/>
      <c r="T196" s="156"/>
      <c r="U196" s="156"/>
      <c r="V196" s="156"/>
      <c r="W196" s="156"/>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idden="1">
      <c r="A197" s="72"/>
      <c r="B197" s="72"/>
      <c r="C197" s="154"/>
      <c r="D197" s="155"/>
      <c r="E197" s="156"/>
      <c r="F197" s="156"/>
      <c r="G197" s="156"/>
      <c r="H197" s="156"/>
      <c r="I197" s="156"/>
      <c r="J197" s="156"/>
      <c r="K197" s="156"/>
      <c r="L197" s="156"/>
      <c r="M197" s="156"/>
      <c r="N197" s="156"/>
      <c r="O197" s="156"/>
      <c r="P197" s="156"/>
      <c r="Q197" s="156"/>
      <c r="R197" s="156"/>
      <c r="S197" s="156"/>
      <c r="T197" s="156"/>
      <c r="U197" s="156"/>
      <c r="V197" s="156"/>
      <c r="W197" s="156"/>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idden="1">
      <c r="A198" s="72"/>
      <c r="B198" s="72"/>
      <c r="C198" s="154"/>
      <c r="D198" s="155"/>
      <c r="E198" s="156"/>
      <c r="F198" s="156"/>
      <c r="G198" s="156"/>
      <c r="H198" s="156"/>
      <c r="I198" s="156"/>
      <c r="J198" s="156"/>
      <c r="K198" s="156"/>
      <c r="L198" s="156"/>
      <c r="M198" s="156"/>
      <c r="N198" s="156"/>
      <c r="O198" s="156"/>
      <c r="P198" s="156"/>
      <c r="Q198" s="156"/>
      <c r="R198" s="156"/>
      <c r="S198" s="156"/>
      <c r="T198" s="156"/>
      <c r="U198" s="156"/>
      <c r="V198" s="156"/>
      <c r="W198" s="156"/>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idden="1">
      <c r="A199" s="72"/>
      <c r="B199" s="72"/>
      <c r="C199" s="154"/>
      <c r="D199" s="155"/>
      <c r="E199" s="156"/>
      <c r="F199" s="156"/>
      <c r="G199" s="156"/>
      <c r="H199" s="156"/>
      <c r="I199" s="156"/>
      <c r="J199" s="156"/>
      <c r="K199" s="156"/>
      <c r="L199" s="156"/>
      <c r="M199" s="156"/>
      <c r="N199" s="156"/>
      <c r="O199" s="156"/>
      <c r="P199" s="156"/>
      <c r="Q199" s="156"/>
      <c r="R199" s="156"/>
      <c r="S199" s="156"/>
      <c r="T199" s="156"/>
      <c r="U199" s="156"/>
      <c r="V199" s="156"/>
      <c r="W199" s="156"/>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idden="1">
      <c r="A200" s="72"/>
      <c r="B200" s="72"/>
      <c r="C200" s="154"/>
      <c r="D200" s="155"/>
      <c r="E200" s="156"/>
      <c r="F200" s="156"/>
      <c r="G200" s="156"/>
      <c r="H200" s="156"/>
      <c r="I200" s="156"/>
      <c r="J200" s="156"/>
      <c r="K200" s="156"/>
      <c r="L200" s="156"/>
      <c r="M200" s="156"/>
      <c r="N200" s="156"/>
      <c r="O200" s="156"/>
      <c r="P200" s="156"/>
      <c r="Q200" s="156"/>
      <c r="R200" s="156"/>
      <c r="S200" s="156"/>
      <c r="T200" s="156"/>
      <c r="U200" s="156"/>
      <c r="V200" s="156"/>
      <c r="W200" s="156"/>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idden="1">
      <c r="A201" s="72"/>
      <c r="B201" s="72"/>
      <c r="C201" s="154"/>
      <c r="D201" s="155"/>
      <c r="E201" s="156"/>
      <c r="F201" s="156"/>
      <c r="G201" s="156"/>
      <c r="H201" s="156"/>
      <c r="I201" s="156"/>
      <c r="J201" s="156"/>
      <c r="K201" s="156"/>
      <c r="L201" s="156"/>
      <c r="M201" s="156"/>
      <c r="N201" s="156"/>
      <c r="O201" s="156"/>
      <c r="P201" s="156"/>
      <c r="Q201" s="156"/>
      <c r="R201" s="156"/>
      <c r="S201" s="156"/>
      <c r="T201" s="156"/>
      <c r="U201" s="156"/>
      <c r="V201" s="156"/>
      <c r="W201" s="156"/>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idden="1">
      <c r="A202" s="72"/>
      <c r="B202" s="72"/>
      <c r="C202" s="154"/>
      <c r="D202" s="155"/>
      <c r="E202" s="156"/>
      <c r="F202" s="156"/>
      <c r="G202" s="156"/>
      <c r="H202" s="156"/>
      <c r="I202" s="156"/>
      <c r="J202" s="156"/>
      <c r="K202" s="156"/>
      <c r="L202" s="156"/>
      <c r="M202" s="156"/>
      <c r="N202" s="156"/>
      <c r="O202" s="156"/>
      <c r="P202" s="156"/>
      <c r="Q202" s="156"/>
      <c r="R202" s="156"/>
      <c r="S202" s="156"/>
      <c r="T202" s="156"/>
      <c r="U202" s="156"/>
      <c r="V202" s="156"/>
      <c r="W202" s="156"/>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idden="1">
      <c r="A203" s="72"/>
      <c r="B203" s="72"/>
      <c r="C203" s="154"/>
      <c r="D203" s="155"/>
      <c r="E203" s="156"/>
      <c r="F203" s="156"/>
      <c r="G203" s="156"/>
      <c r="H203" s="156"/>
      <c r="I203" s="156"/>
      <c r="J203" s="156"/>
      <c r="K203" s="156"/>
      <c r="L203" s="156"/>
      <c r="M203" s="156"/>
      <c r="N203" s="156"/>
      <c r="O203" s="156"/>
      <c r="P203" s="156"/>
      <c r="Q203" s="156"/>
      <c r="R203" s="156"/>
      <c r="S203" s="156"/>
      <c r="T203" s="156"/>
      <c r="U203" s="156"/>
      <c r="V203" s="156"/>
      <c r="W203" s="156"/>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idden="1">
      <c r="A204" s="72"/>
      <c r="B204" s="72"/>
      <c r="C204" s="154"/>
      <c r="D204" s="155"/>
      <c r="E204" s="156"/>
      <c r="F204" s="156"/>
      <c r="G204" s="156"/>
      <c r="H204" s="156"/>
      <c r="I204" s="156"/>
      <c r="J204" s="156"/>
      <c r="K204" s="156"/>
      <c r="L204" s="156"/>
      <c r="M204" s="156"/>
      <c r="N204" s="156"/>
      <c r="O204" s="156"/>
      <c r="P204" s="156"/>
      <c r="Q204" s="156"/>
      <c r="R204" s="156"/>
      <c r="S204" s="156"/>
      <c r="T204" s="156"/>
      <c r="U204" s="156"/>
      <c r="V204" s="156"/>
      <c r="W204" s="156"/>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idden="1">
      <c r="A205" s="72"/>
      <c r="B205" s="72"/>
      <c r="C205" s="154"/>
      <c r="D205" s="155"/>
      <c r="E205" s="156"/>
      <c r="F205" s="156"/>
      <c r="G205" s="156"/>
      <c r="H205" s="156"/>
      <c r="I205" s="156"/>
      <c r="J205" s="156"/>
      <c r="K205" s="156"/>
      <c r="L205" s="156"/>
      <c r="M205" s="156"/>
      <c r="N205" s="156"/>
      <c r="O205" s="156"/>
      <c r="P205" s="156"/>
      <c r="Q205" s="156"/>
      <c r="R205" s="156"/>
      <c r="S205" s="156"/>
      <c r="T205" s="156"/>
      <c r="U205" s="156"/>
      <c r="V205" s="156"/>
      <c r="W205" s="156"/>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idden="1">
      <c r="A206" s="72"/>
      <c r="B206" s="72"/>
      <c r="C206" s="154"/>
      <c r="D206" s="155"/>
      <c r="E206" s="156"/>
      <c r="F206" s="156"/>
      <c r="G206" s="156"/>
      <c r="H206" s="156"/>
      <c r="I206" s="156"/>
      <c r="J206" s="156"/>
      <c r="K206" s="156"/>
      <c r="L206" s="156"/>
      <c r="M206" s="156"/>
      <c r="N206" s="156"/>
      <c r="O206" s="156"/>
      <c r="P206" s="156"/>
      <c r="Q206" s="156"/>
      <c r="R206" s="156"/>
      <c r="S206" s="156"/>
      <c r="T206" s="156"/>
      <c r="U206" s="156"/>
      <c r="V206" s="156"/>
      <c r="W206" s="156"/>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idden="1">
      <c r="A207" s="72"/>
      <c r="B207" s="72"/>
      <c r="C207" s="154"/>
      <c r="D207" s="155"/>
      <c r="E207" s="156"/>
      <c r="F207" s="156"/>
      <c r="G207" s="156"/>
      <c r="H207" s="156"/>
      <c r="I207" s="156"/>
      <c r="J207" s="156"/>
      <c r="K207" s="156"/>
      <c r="L207" s="156"/>
      <c r="M207" s="156"/>
      <c r="N207" s="156"/>
      <c r="O207" s="156"/>
      <c r="P207" s="156"/>
      <c r="Q207" s="156"/>
      <c r="R207" s="156"/>
      <c r="S207" s="156"/>
      <c r="T207" s="156"/>
      <c r="U207" s="156"/>
      <c r="V207" s="156"/>
      <c r="W207" s="156"/>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idden="1">
      <c r="A208" s="72"/>
      <c r="B208" s="72"/>
      <c r="C208" s="154"/>
      <c r="D208" s="155"/>
      <c r="E208" s="156"/>
      <c r="F208" s="156"/>
      <c r="G208" s="156"/>
      <c r="H208" s="156"/>
      <c r="I208" s="156"/>
      <c r="J208" s="156"/>
      <c r="K208" s="156"/>
      <c r="L208" s="156"/>
      <c r="M208" s="156"/>
      <c r="N208" s="156"/>
      <c r="O208" s="156"/>
      <c r="P208" s="156"/>
      <c r="Q208" s="156"/>
      <c r="R208" s="156"/>
      <c r="S208" s="156"/>
      <c r="T208" s="156"/>
      <c r="U208" s="156"/>
      <c r="V208" s="156"/>
      <c r="W208" s="156"/>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idden="1">
      <c r="A209" s="72"/>
      <c r="B209" s="72"/>
      <c r="C209" s="154"/>
      <c r="D209" s="155"/>
      <c r="E209" s="156"/>
      <c r="F209" s="156"/>
      <c r="G209" s="156"/>
      <c r="H209" s="156"/>
      <c r="I209" s="156"/>
      <c r="J209" s="156"/>
      <c r="K209" s="156"/>
      <c r="L209" s="156"/>
      <c r="M209" s="156"/>
      <c r="N209" s="156"/>
      <c r="O209" s="156"/>
      <c r="P209" s="156"/>
      <c r="Q209" s="156"/>
      <c r="R209" s="156"/>
      <c r="S209" s="156"/>
      <c r="T209" s="156"/>
      <c r="U209" s="156"/>
      <c r="V209" s="156"/>
      <c r="W209" s="156"/>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idden="1">
      <c r="A210" s="72"/>
      <c r="B210" s="72"/>
      <c r="C210" s="154"/>
      <c r="D210" s="155"/>
      <c r="E210" s="156"/>
      <c r="F210" s="156"/>
      <c r="G210" s="156"/>
      <c r="H210" s="156"/>
      <c r="I210" s="156"/>
      <c r="J210" s="156"/>
      <c r="K210" s="156"/>
      <c r="L210" s="156"/>
      <c r="M210" s="156"/>
      <c r="N210" s="156"/>
      <c r="O210" s="156"/>
      <c r="P210" s="156"/>
      <c r="Q210" s="156"/>
      <c r="R210" s="156"/>
      <c r="S210" s="156"/>
      <c r="T210" s="156"/>
      <c r="U210" s="156"/>
      <c r="V210" s="156"/>
      <c r="W210" s="156"/>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idden="1">
      <c r="A211" s="72"/>
      <c r="B211" s="72"/>
      <c r="C211" s="154"/>
      <c r="D211" s="155"/>
      <c r="E211" s="156"/>
      <c r="F211" s="156"/>
      <c r="G211" s="156"/>
      <c r="H211" s="156"/>
      <c r="I211" s="156"/>
      <c r="J211" s="156"/>
      <c r="K211" s="156"/>
      <c r="L211" s="156"/>
      <c r="M211" s="156"/>
      <c r="N211" s="156"/>
      <c r="O211" s="156"/>
      <c r="P211" s="156"/>
      <c r="Q211" s="156"/>
      <c r="R211" s="156"/>
      <c r="S211" s="156"/>
      <c r="T211" s="156"/>
      <c r="U211" s="156"/>
      <c r="V211" s="156"/>
      <c r="W211" s="156"/>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idden="1">
      <c r="A212" s="72"/>
      <c r="B212" s="72"/>
      <c r="C212" s="154"/>
      <c r="D212" s="155"/>
      <c r="E212" s="156"/>
      <c r="F212" s="156"/>
      <c r="G212" s="156"/>
      <c r="H212" s="156"/>
      <c r="I212" s="156"/>
      <c r="J212" s="156"/>
      <c r="K212" s="156"/>
      <c r="L212" s="156"/>
      <c r="M212" s="156"/>
      <c r="N212" s="156"/>
      <c r="O212" s="156"/>
      <c r="P212" s="156"/>
      <c r="Q212" s="156"/>
      <c r="R212" s="156"/>
      <c r="S212" s="156"/>
      <c r="T212" s="156"/>
      <c r="U212" s="156"/>
      <c r="V212" s="156"/>
      <c r="W212" s="156"/>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idden="1">
      <c r="A213" s="72"/>
      <c r="B213" s="72"/>
      <c r="C213" s="154"/>
      <c r="D213" s="155"/>
      <c r="E213" s="156"/>
      <c r="F213" s="156"/>
      <c r="G213" s="156"/>
      <c r="H213" s="156"/>
      <c r="I213" s="156"/>
      <c r="J213" s="156"/>
      <c r="K213" s="156"/>
      <c r="L213" s="156"/>
      <c r="M213" s="156"/>
      <c r="N213" s="156"/>
      <c r="O213" s="156"/>
      <c r="P213" s="156"/>
      <c r="Q213" s="156"/>
      <c r="R213" s="156"/>
      <c r="S213" s="156"/>
      <c r="T213" s="156"/>
      <c r="U213" s="156"/>
      <c r="V213" s="156"/>
      <c r="W213" s="156"/>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idden="1">
      <c r="A214" s="72"/>
      <c r="B214" s="72"/>
      <c r="C214" s="154"/>
      <c r="D214" s="155"/>
      <c r="E214" s="156"/>
      <c r="F214" s="156"/>
      <c r="G214" s="156"/>
      <c r="H214" s="156"/>
      <c r="I214" s="156"/>
      <c r="J214" s="156"/>
      <c r="K214" s="156"/>
      <c r="L214" s="156"/>
      <c r="M214" s="156"/>
      <c r="N214" s="156"/>
      <c r="O214" s="156"/>
      <c r="P214" s="156"/>
      <c r="Q214" s="156"/>
      <c r="R214" s="156"/>
      <c r="S214" s="156"/>
      <c r="T214" s="156"/>
      <c r="U214" s="156"/>
      <c r="V214" s="156"/>
      <c r="W214" s="156"/>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idden="1">
      <c r="A215" s="72"/>
      <c r="B215" s="72"/>
      <c r="C215" s="154"/>
      <c r="D215" s="155"/>
      <c r="E215" s="156"/>
      <c r="F215" s="156"/>
      <c r="G215" s="156"/>
      <c r="H215" s="156"/>
      <c r="I215" s="156"/>
      <c r="J215" s="156"/>
      <c r="K215" s="156"/>
      <c r="L215" s="156"/>
      <c r="M215" s="156"/>
      <c r="N215" s="156"/>
      <c r="O215" s="156"/>
      <c r="P215" s="156"/>
      <c r="Q215" s="156"/>
      <c r="R215" s="156"/>
      <c r="S215" s="156"/>
      <c r="T215" s="156"/>
      <c r="U215" s="156"/>
      <c r="V215" s="156"/>
      <c r="W215" s="156"/>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idden="1">
      <c r="A216" s="72"/>
      <c r="B216" s="72"/>
      <c r="C216" s="154"/>
      <c r="D216" s="155"/>
      <c r="E216" s="156"/>
      <c r="F216" s="156"/>
      <c r="G216" s="156"/>
      <c r="H216" s="156"/>
      <c r="I216" s="156"/>
      <c r="J216" s="156"/>
      <c r="K216" s="156"/>
      <c r="L216" s="156"/>
      <c r="M216" s="156"/>
      <c r="N216" s="156"/>
      <c r="O216" s="156"/>
      <c r="P216" s="156"/>
      <c r="Q216" s="156"/>
      <c r="R216" s="156"/>
      <c r="S216" s="156"/>
      <c r="T216" s="156"/>
      <c r="U216" s="156"/>
      <c r="V216" s="156"/>
      <c r="W216" s="156"/>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idden="1">
      <c r="A217" s="72"/>
      <c r="B217" s="72"/>
      <c r="C217" s="154"/>
      <c r="D217" s="155"/>
      <c r="E217" s="156"/>
      <c r="F217" s="156"/>
      <c r="G217" s="156"/>
      <c r="H217" s="156"/>
      <c r="I217" s="156"/>
      <c r="J217" s="156"/>
      <c r="K217" s="156"/>
      <c r="L217" s="156"/>
      <c r="M217" s="156"/>
      <c r="N217" s="156"/>
      <c r="O217" s="156"/>
      <c r="P217" s="156"/>
      <c r="Q217" s="156"/>
      <c r="R217" s="156"/>
      <c r="S217" s="156"/>
      <c r="T217" s="156"/>
      <c r="U217" s="156"/>
      <c r="V217" s="156"/>
      <c r="W217" s="156"/>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idden="1">
      <c r="A218" s="72"/>
      <c r="B218" s="72"/>
      <c r="C218" s="154"/>
      <c r="D218" s="155"/>
      <c r="E218" s="156"/>
      <c r="F218" s="156"/>
      <c r="G218" s="156"/>
      <c r="H218" s="156"/>
      <c r="I218" s="156"/>
      <c r="J218" s="156"/>
      <c r="K218" s="156"/>
      <c r="L218" s="156"/>
      <c r="M218" s="156"/>
      <c r="N218" s="156"/>
      <c r="O218" s="156"/>
      <c r="P218" s="156"/>
      <c r="Q218" s="156"/>
      <c r="R218" s="156"/>
      <c r="S218" s="156"/>
      <c r="T218" s="156"/>
      <c r="U218" s="156"/>
      <c r="V218" s="156"/>
      <c r="W218" s="156"/>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idden="1">
      <c r="A219" s="73"/>
      <c r="B219" s="73"/>
      <c r="C219" s="157"/>
      <c r="D219" s="155"/>
      <c r="E219" s="151"/>
      <c r="F219" s="151"/>
      <c r="G219" s="151"/>
      <c r="H219" s="151"/>
      <c r="I219" s="151"/>
      <c r="J219" s="151"/>
      <c r="K219" s="151"/>
      <c r="L219" s="151"/>
      <c r="M219" s="151"/>
      <c r="N219" s="151"/>
      <c r="O219" s="151"/>
      <c r="P219" s="151"/>
      <c r="Q219" s="151"/>
      <c r="R219" s="151"/>
      <c r="S219" s="151"/>
      <c r="T219" s="151"/>
      <c r="U219" s="151"/>
      <c r="V219" s="151"/>
      <c r="W219" s="151"/>
      <c r="X219" s="63"/>
      <c r="Y219" s="73"/>
      <c r="Z219" s="73"/>
      <c r="AA219" s="73"/>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idden="1">
      <c r="A220" s="73"/>
      <c r="B220" s="73"/>
      <c r="C220" s="157"/>
      <c r="D220" s="155"/>
      <c r="E220" s="151"/>
      <c r="F220" s="151"/>
      <c r="G220" s="151"/>
      <c r="H220" s="151"/>
      <c r="I220" s="151"/>
      <c r="J220" s="151"/>
      <c r="K220" s="151"/>
      <c r="L220" s="151"/>
      <c r="M220" s="151"/>
      <c r="N220" s="151"/>
      <c r="O220" s="151"/>
      <c r="P220" s="151"/>
      <c r="Q220" s="151"/>
      <c r="R220" s="151"/>
      <c r="S220" s="151"/>
      <c r="T220" s="151"/>
      <c r="U220" s="151"/>
      <c r="V220" s="151"/>
      <c r="W220" s="151"/>
      <c r="X220" s="63"/>
      <c r="Y220" s="73"/>
      <c r="Z220" s="73"/>
      <c r="AA220" s="73"/>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idden="1">
      <c r="A221" s="73"/>
      <c r="B221" s="73"/>
      <c r="C221" s="157"/>
      <c r="D221" s="155"/>
      <c r="E221" s="151"/>
      <c r="F221" s="151"/>
      <c r="G221" s="151"/>
      <c r="H221" s="151"/>
      <c r="I221" s="151"/>
      <c r="J221" s="151"/>
      <c r="K221" s="151"/>
      <c r="L221" s="151"/>
      <c r="M221" s="151"/>
      <c r="N221" s="151"/>
      <c r="O221" s="151"/>
      <c r="P221" s="151"/>
      <c r="Q221" s="151"/>
      <c r="R221" s="151"/>
      <c r="S221" s="151"/>
      <c r="T221" s="151"/>
      <c r="U221" s="151"/>
      <c r="V221" s="151"/>
      <c r="W221" s="151"/>
      <c r="X221" s="63"/>
      <c r="Y221" s="73"/>
      <c r="Z221" s="73"/>
      <c r="AA221" s="73"/>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idden="1">
      <c r="A222" s="73"/>
      <c r="B222" s="73"/>
      <c r="C222" s="157"/>
      <c r="D222" s="155"/>
      <c r="E222" s="151"/>
      <c r="F222" s="151"/>
      <c r="G222" s="151"/>
      <c r="H222" s="151"/>
      <c r="I222" s="151"/>
      <c r="J222" s="151"/>
      <c r="K222" s="151"/>
      <c r="L222" s="151"/>
      <c r="M222" s="151"/>
      <c r="N222" s="151"/>
      <c r="O222" s="151"/>
      <c r="P222" s="151"/>
      <c r="Q222" s="151"/>
      <c r="R222" s="151"/>
      <c r="S222" s="151"/>
      <c r="T222" s="151"/>
      <c r="U222" s="151"/>
      <c r="V222" s="151"/>
      <c r="W222" s="151"/>
      <c r="X222" s="63"/>
      <c r="Y222" s="73"/>
      <c r="Z222" s="73"/>
      <c r="AA222" s="73"/>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idden="1">
      <c r="A223" s="73"/>
      <c r="B223" s="73"/>
      <c r="C223" s="157"/>
      <c r="D223" s="155"/>
      <c r="E223" s="151"/>
      <c r="F223" s="151"/>
      <c r="G223" s="151"/>
      <c r="H223" s="151"/>
      <c r="I223" s="151"/>
      <c r="J223" s="151"/>
      <c r="K223" s="151"/>
      <c r="L223" s="151"/>
      <c r="M223" s="151"/>
      <c r="N223" s="151"/>
      <c r="O223" s="151"/>
      <c r="P223" s="151"/>
      <c r="Q223" s="151"/>
      <c r="R223" s="151"/>
      <c r="S223" s="151"/>
      <c r="T223" s="151"/>
      <c r="U223" s="151"/>
      <c r="V223" s="151"/>
      <c r="W223" s="151"/>
      <c r="X223" s="63"/>
      <c r="Y223" s="73"/>
      <c r="Z223" s="73"/>
      <c r="AA223" s="73"/>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idden="1">
      <c r="A224" s="73"/>
      <c r="B224" s="73"/>
      <c r="C224" s="157"/>
      <c r="D224" s="155"/>
      <c r="E224" s="151"/>
      <c r="F224" s="151"/>
      <c r="G224" s="151"/>
      <c r="H224" s="151"/>
      <c r="I224" s="151"/>
      <c r="J224" s="151"/>
      <c r="K224" s="151"/>
      <c r="L224" s="151"/>
      <c r="M224" s="151"/>
      <c r="N224" s="151"/>
      <c r="O224" s="151"/>
      <c r="P224" s="151"/>
      <c r="Q224" s="151"/>
      <c r="R224" s="151"/>
      <c r="S224" s="151"/>
      <c r="T224" s="151"/>
      <c r="U224" s="151"/>
      <c r="V224" s="151"/>
      <c r="W224" s="151"/>
      <c r="X224" s="63"/>
      <c r="Y224" s="73"/>
      <c r="Z224" s="73"/>
      <c r="AA224" s="73"/>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idden="1">
      <c r="A225" s="73"/>
      <c r="B225" s="73"/>
      <c r="C225" s="157"/>
      <c r="D225" s="155"/>
      <c r="E225" s="151"/>
      <c r="F225" s="151"/>
      <c r="G225" s="151"/>
      <c r="H225" s="151"/>
      <c r="I225" s="151"/>
      <c r="J225" s="151"/>
      <c r="K225" s="151"/>
      <c r="L225" s="151"/>
      <c r="M225" s="151"/>
      <c r="N225" s="151"/>
      <c r="O225" s="151"/>
      <c r="P225" s="151"/>
      <c r="Q225" s="151"/>
      <c r="R225" s="151"/>
      <c r="S225" s="151"/>
      <c r="T225" s="151"/>
      <c r="U225" s="151"/>
      <c r="V225" s="151"/>
      <c r="W225" s="151"/>
      <c r="X225" s="63"/>
      <c r="Y225" s="73"/>
      <c r="Z225" s="73"/>
      <c r="AA225" s="73"/>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idden="1">
      <c r="A226" s="73"/>
      <c r="B226" s="73"/>
      <c r="C226" s="157"/>
      <c r="D226" s="155"/>
      <c r="E226" s="151"/>
      <c r="F226" s="151"/>
      <c r="G226" s="151"/>
      <c r="H226" s="151"/>
      <c r="I226" s="151"/>
      <c r="J226" s="151"/>
      <c r="K226" s="151"/>
      <c r="L226" s="151"/>
      <c r="M226" s="151"/>
      <c r="N226" s="151"/>
      <c r="O226" s="151"/>
      <c r="P226" s="151"/>
      <c r="Q226" s="151"/>
      <c r="R226" s="151"/>
      <c r="S226" s="151"/>
      <c r="T226" s="151"/>
      <c r="U226" s="151"/>
      <c r="V226" s="151"/>
      <c r="W226" s="151"/>
      <c r="X226" s="63"/>
      <c r="Y226" s="73"/>
      <c r="Z226" s="73"/>
      <c r="AA226" s="73"/>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idden="1">
      <c r="A227" s="73"/>
      <c r="B227" s="73"/>
      <c r="C227" s="157"/>
      <c r="D227" s="155"/>
      <c r="E227" s="151"/>
      <c r="F227" s="151"/>
      <c r="G227" s="151"/>
      <c r="H227" s="151"/>
      <c r="I227" s="151"/>
      <c r="J227" s="151"/>
      <c r="K227" s="151"/>
      <c r="L227" s="151"/>
      <c r="M227" s="151"/>
      <c r="N227" s="151"/>
      <c r="O227" s="151"/>
      <c r="P227" s="151"/>
      <c r="Q227" s="151"/>
      <c r="R227" s="151"/>
      <c r="S227" s="151"/>
      <c r="T227" s="151"/>
      <c r="U227" s="151"/>
      <c r="V227" s="151"/>
      <c r="W227" s="151"/>
      <c r="X227" s="63"/>
      <c r="Y227" s="73"/>
      <c r="Z227" s="73"/>
      <c r="AA227" s="73"/>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idden="1">
      <c r="A228" s="73"/>
      <c r="B228" s="73"/>
      <c r="C228" s="157"/>
      <c r="D228" s="155"/>
      <c r="E228" s="151"/>
      <c r="F228" s="151"/>
      <c r="G228" s="151"/>
      <c r="H228" s="151"/>
      <c r="I228" s="151"/>
      <c r="J228" s="151"/>
      <c r="K228" s="151"/>
      <c r="L228" s="151"/>
      <c r="M228" s="151"/>
      <c r="N228" s="151"/>
      <c r="O228" s="151"/>
      <c r="P228" s="151"/>
      <c r="Q228" s="151"/>
      <c r="R228" s="151"/>
      <c r="S228" s="151"/>
      <c r="T228" s="151"/>
      <c r="U228" s="151"/>
      <c r="V228" s="151"/>
      <c r="W228" s="151"/>
      <c r="X228" s="63"/>
      <c r="Y228" s="73"/>
      <c r="Z228" s="73"/>
      <c r="AA228" s="73"/>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idden="1">
      <c r="A229" s="73"/>
      <c r="B229" s="73"/>
      <c r="C229" s="157"/>
      <c r="D229" s="155"/>
      <c r="E229" s="151"/>
      <c r="F229" s="151"/>
      <c r="G229" s="151"/>
      <c r="H229" s="151"/>
      <c r="I229" s="151"/>
      <c r="J229" s="151"/>
      <c r="K229" s="151"/>
      <c r="L229" s="151"/>
      <c r="M229" s="151"/>
      <c r="N229" s="151"/>
      <c r="O229" s="151"/>
      <c r="P229" s="151"/>
      <c r="Q229" s="151"/>
      <c r="R229" s="151"/>
      <c r="S229" s="151"/>
      <c r="T229" s="151"/>
      <c r="U229" s="151"/>
      <c r="V229" s="151"/>
      <c r="W229" s="151"/>
      <c r="X229" s="63"/>
      <c r="Y229" s="73"/>
      <c r="Z229" s="73"/>
      <c r="AA229" s="73"/>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idden="1">
      <c r="A230" s="73"/>
      <c r="B230" s="73"/>
      <c r="C230" s="157"/>
      <c r="D230" s="155"/>
      <c r="E230" s="151"/>
      <c r="F230" s="151"/>
      <c r="G230" s="151"/>
      <c r="H230" s="151"/>
      <c r="I230" s="151"/>
      <c r="J230" s="151"/>
      <c r="K230" s="151"/>
      <c r="L230" s="151"/>
      <c r="M230" s="151"/>
      <c r="N230" s="151"/>
      <c r="O230" s="151"/>
      <c r="P230" s="151"/>
      <c r="Q230" s="151"/>
      <c r="R230" s="151"/>
      <c r="S230" s="151"/>
      <c r="T230" s="151"/>
      <c r="U230" s="151"/>
      <c r="V230" s="151"/>
      <c r="W230" s="151"/>
      <c r="X230" s="63"/>
      <c r="Y230" s="73"/>
      <c r="Z230" s="73"/>
      <c r="AA230" s="73"/>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idden="1">
      <c r="A231" s="73"/>
      <c r="B231" s="73"/>
      <c r="C231" s="73"/>
      <c r="D231" s="76"/>
      <c r="E231" s="63"/>
      <c r="F231" s="63"/>
      <c r="G231" s="63"/>
      <c r="H231" s="63"/>
      <c r="I231" s="63"/>
      <c r="J231" s="63"/>
      <c r="K231" s="63"/>
      <c r="L231" s="63"/>
      <c r="M231" s="63"/>
      <c r="N231" s="63"/>
      <c r="O231" s="63"/>
      <c r="P231" s="63"/>
      <c r="Q231" s="63"/>
      <c r="R231" s="63"/>
      <c r="S231" s="63"/>
      <c r="T231" s="63"/>
      <c r="U231" s="63"/>
      <c r="V231" s="63"/>
      <c r="W231" s="63"/>
      <c r="X231" s="63"/>
      <c r="Y231" s="73"/>
      <c r="Z231" s="73"/>
      <c r="AA231" s="73"/>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idden="1">
      <c r="A232" s="73"/>
      <c r="B232" s="73"/>
      <c r="C232" s="73"/>
      <c r="D232" s="76"/>
      <c r="E232" s="63"/>
      <c r="F232" s="63"/>
      <c r="G232" s="63"/>
      <c r="H232" s="63"/>
      <c r="I232" s="63"/>
      <c r="J232" s="63"/>
      <c r="K232" s="63"/>
      <c r="L232" s="63"/>
      <c r="M232" s="63"/>
      <c r="N232" s="63"/>
      <c r="O232" s="63"/>
      <c r="P232" s="63"/>
      <c r="Q232" s="63"/>
      <c r="R232" s="63"/>
      <c r="S232" s="63"/>
      <c r="T232" s="63"/>
      <c r="U232" s="63"/>
      <c r="V232" s="63"/>
      <c r="W232" s="63"/>
      <c r="X232" s="63"/>
      <c r="Y232" s="73"/>
      <c r="Z232" s="73"/>
      <c r="AA232" s="73"/>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idden="1">
      <c r="A233" s="73"/>
      <c r="B233" s="73"/>
      <c r="C233" s="73"/>
      <c r="D233" s="76"/>
      <c r="E233" s="63"/>
      <c r="F233" s="63"/>
      <c r="G233" s="63"/>
      <c r="H233" s="63"/>
      <c r="I233" s="63"/>
      <c r="J233" s="63"/>
      <c r="K233" s="63"/>
      <c r="L233" s="63"/>
      <c r="M233" s="63"/>
      <c r="N233" s="63"/>
      <c r="O233" s="63"/>
      <c r="P233" s="63"/>
      <c r="Q233" s="63"/>
      <c r="R233" s="63"/>
      <c r="S233" s="63"/>
      <c r="T233" s="63"/>
      <c r="U233" s="63"/>
      <c r="V233" s="63"/>
      <c r="W233" s="63"/>
      <c r="X233" s="63"/>
      <c r="Y233" s="73"/>
      <c r="Z233" s="73"/>
      <c r="AA233" s="73"/>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idden="1">
      <c r="A234" s="73"/>
      <c r="B234" s="73"/>
      <c r="C234" s="73"/>
      <c r="D234" s="76"/>
      <c r="E234" s="63"/>
      <c r="F234" s="63"/>
      <c r="G234" s="63"/>
      <c r="H234" s="63"/>
      <c r="I234" s="63"/>
      <c r="J234" s="63"/>
      <c r="K234" s="63"/>
      <c r="L234" s="63"/>
      <c r="M234" s="63"/>
      <c r="N234" s="63"/>
      <c r="O234" s="63"/>
      <c r="P234" s="63"/>
      <c r="Q234" s="63"/>
      <c r="R234" s="63"/>
      <c r="S234" s="63"/>
      <c r="T234" s="63"/>
      <c r="U234" s="63"/>
      <c r="V234" s="63"/>
      <c r="W234" s="63"/>
      <c r="X234" s="63"/>
      <c r="Y234" s="73"/>
      <c r="Z234" s="73"/>
      <c r="AA234" s="73"/>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idden="1">
      <c r="A235" s="73"/>
      <c r="B235" s="73"/>
      <c r="C235" s="73"/>
      <c r="D235" s="76"/>
      <c r="E235" s="63"/>
      <c r="F235" s="63"/>
      <c r="G235" s="63"/>
      <c r="H235" s="63"/>
      <c r="I235" s="63"/>
      <c r="J235" s="63"/>
      <c r="K235" s="63"/>
      <c r="L235" s="63"/>
      <c r="M235" s="63"/>
      <c r="N235" s="63"/>
      <c r="O235" s="63"/>
      <c r="P235" s="63"/>
      <c r="Q235" s="63"/>
      <c r="R235" s="63"/>
      <c r="S235" s="63"/>
      <c r="T235" s="63"/>
      <c r="U235" s="63"/>
      <c r="V235" s="63"/>
      <c r="W235" s="63"/>
      <c r="X235" s="63"/>
      <c r="Y235" s="73"/>
      <c r="Z235" s="73"/>
      <c r="AA235" s="73"/>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idden="1">
      <c r="A236" s="73"/>
      <c r="B236" s="73"/>
      <c r="C236" s="73"/>
      <c r="D236" s="76"/>
      <c r="E236" s="63"/>
      <c r="F236" s="63"/>
      <c r="G236" s="63"/>
      <c r="H236" s="63"/>
      <c r="I236" s="63"/>
      <c r="J236" s="63"/>
      <c r="K236" s="63"/>
      <c r="L236" s="63"/>
      <c r="M236" s="63"/>
      <c r="N236" s="63"/>
      <c r="O236" s="63"/>
      <c r="P236" s="63"/>
      <c r="Q236" s="63"/>
      <c r="R236" s="63"/>
      <c r="S236" s="63"/>
      <c r="T236" s="63"/>
      <c r="U236" s="63"/>
      <c r="V236" s="63"/>
      <c r="W236" s="63"/>
      <c r="X236" s="63"/>
      <c r="Y236" s="73"/>
      <c r="Z236" s="73"/>
      <c r="AA236" s="73"/>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idden="1">
      <c r="A237" s="73"/>
      <c r="B237" s="73"/>
      <c r="C237" s="73"/>
      <c r="D237" s="76"/>
      <c r="E237" s="63"/>
      <c r="F237" s="63"/>
      <c r="G237" s="63"/>
      <c r="H237" s="63"/>
      <c r="I237" s="63"/>
      <c r="J237" s="63"/>
      <c r="K237" s="63"/>
      <c r="L237" s="63"/>
      <c r="M237" s="63"/>
      <c r="N237" s="63"/>
      <c r="O237" s="63"/>
      <c r="P237" s="63"/>
      <c r="Q237" s="63"/>
      <c r="R237" s="63"/>
      <c r="S237" s="63"/>
      <c r="T237" s="63"/>
      <c r="U237" s="63"/>
      <c r="V237" s="63"/>
      <c r="W237" s="63"/>
      <c r="X237" s="63"/>
      <c r="Y237" s="73"/>
      <c r="Z237" s="73"/>
      <c r="AA237" s="73"/>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idden="1">
      <c r="A238" s="73"/>
      <c r="B238" s="73"/>
      <c r="C238" s="73"/>
      <c r="D238" s="76"/>
      <c r="E238" s="63"/>
      <c r="F238" s="63"/>
      <c r="G238" s="63"/>
      <c r="H238" s="63"/>
      <c r="I238" s="63"/>
      <c r="J238" s="63"/>
      <c r="K238" s="63"/>
      <c r="L238" s="63"/>
      <c r="M238" s="63"/>
      <c r="N238" s="63"/>
      <c r="O238" s="63"/>
      <c r="P238" s="63"/>
      <c r="Q238" s="63"/>
      <c r="R238" s="63"/>
      <c r="S238" s="63"/>
      <c r="T238" s="63"/>
      <c r="U238" s="63"/>
      <c r="V238" s="63"/>
      <c r="W238" s="63"/>
      <c r="X238" s="63"/>
      <c r="Y238" s="73"/>
      <c r="Z238" s="73"/>
      <c r="AA238" s="73"/>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idden="1">
      <c r="A239" s="73"/>
      <c r="B239" s="73"/>
      <c r="C239" s="73"/>
      <c r="D239" s="76"/>
      <c r="E239" s="63"/>
      <c r="F239" s="63"/>
      <c r="G239" s="63"/>
      <c r="H239" s="63"/>
      <c r="I239" s="63"/>
      <c r="J239" s="63"/>
      <c r="K239" s="63"/>
      <c r="L239" s="63"/>
      <c r="M239" s="63"/>
      <c r="N239" s="63"/>
      <c r="O239" s="63"/>
      <c r="P239" s="63"/>
      <c r="Q239" s="63"/>
      <c r="R239" s="63"/>
      <c r="S239" s="63"/>
      <c r="T239" s="63"/>
      <c r="U239" s="63"/>
      <c r="V239" s="63"/>
      <c r="W239" s="63"/>
      <c r="X239" s="63"/>
      <c r="Y239" s="73"/>
      <c r="Z239" s="73"/>
      <c r="AA239" s="73"/>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idden="1">
      <c r="A240" s="73"/>
      <c r="B240" s="73"/>
      <c r="C240" s="73"/>
      <c r="D240" s="76"/>
      <c r="E240" s="63"/>
      <c r="F240" s="63"/>
      <c r="G240" s="63"/>
      <c r="H240" s="63"/>
      <c r="I240" s="63"/>
      <c r="J240" s="63"/>
      <c r="K240" s="63"/>
      <c r="L240" s="63"/>
      <c r="M240" s="63"/>
      <c r="N240" s="63"/>
      <c r="O240" s="63"/>
      <c r="P240" s="63"/>
      <c r="Q240" s="63"/>
      <c r="R240" s="63"/>
      <c r="S240" s="63"/>
      <c r="T240" s="63"/>
      <c r="U240" s="63"/>
      <c r="V240" s="63"/>
      <c r="W240" s="63"/>
      <c r="X240" s="63"/>
      <c r="Y240" s="73"/>
      <c r="Z240" s="73"/>
      <c r="AA240" s="73"/>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idden="1">
      <c r="A241" s="73"/>
      <c r="B241" s="73"/>
      <c r="C241" s="73"/>
      <c r="D241" s="76"/>
      <c r="E241" s="63"/>
      <c r="F241" s="63"/>
      <c r="G241" s="63"/>
      <c r="H241" s="63"/>
      <c r="I241" s="63"/>
      <c r="J241" s="63"/>
      <c r="K241" s="63"/>
      <c r="L241" s="63"/>
      <c r="M241" s="63"/>
      <c r="N241" s="63"/>
      <c r="O241" s="63"/>
      <c r="P241" s="63"/>
      <c r="Q241" s="63"/>
      <c r="R241" s="63"/>
      <c r="S241" s="63"/>
      <c r="T241" s="63"/>
      <c r="U241" s="63"/>
      <c r="V241" s="63"/>
      <c r="W241" s="63"/>
      <c r="X241" s="63"/>
      <c r="Y241" s="73"/>
      <c r="Z241" s="73"/>
      <c r="AA241" s="73"/>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idden="1">
      <c r="A242" s="73"/>
      <c r="B242" s="73"/>
      <c r="C242" s="73"/>
      <c r="D242" s="76"/>
      <c r="E242" s="63"/>
      <c r="F242" s="63"/>
      <c r="G242" s="63"/>
      <c r="H242" s="63"/>
      <c r="I242" s="63"/>
      <c r="J242" s="63"/>
      <c r="K242" s="63"/>
      <c r="L242" s="63"/>
      <c r="M242" s="63"/>
      <c r="N242" s="63"/>
      <c r="O242" s="63"/>
      <c r="P242" s="63"/>
      <c r="Q242" s="63"/>
      <c r="R242" s="63"/>
      <c r="S242" s="63"/>
      <c r="T242" s="63"/>
      <c r="U242" s="63"/>
      <c r="V242" s="63"/>
      <c r="W242" s="63"/>
      <c r="X242" s="63"/>
      <c r="Y242" s="73"/>
      <c r="Z242" s="73"/>
      <c r="AA242" s="73"/>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idden="1">
      <c r="A243" s="73"/>
      <c r="B243" s="73"/>
      <c r="C243" s="73"/>
      <c r="D243" s="76"/>
      <c r="E243" s="63"/>
      <c r="F243" s="63"/>
      <c r="G243" s="63"/>
      <c r="H243" s="63"/>
      <c r="I243" s="63"/>
      <c r="J243" s="63"/>
      <c r="K243" s="63"/>
      <c r="L243" s="63"/>
      <c r="M243" s="63"/>
      <c r="N243" s="63"/>
      <c r="O243" s="63"/>
      <c r="P243" s="63"/>
      <c r="Q243" s="63"/>
      <c r="R243" s="63"/>
      <c r="S243" s="63"/>
      <c r="T243" s="63"/>
      <c r="U243" s="63"/>
      <c r="V243" s="63"/>
      <c r="W243" s="63"/>
      <c r="X243" s="63"/>
      <c r="Y243" s="73"/>
      <c r="Z243" s="73"/>
      <c r="AA243" s="73"/>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idden="1">
      <c r="A244" s="73"/>
      <c r="B244" s="73"/>
      <c r="C244" s="73"/>
      <c r="D244" s="76"/>
      <c r="E244" s="63"/>
      <c r="F244" s="63"/>
      <c r="G244" s="63"/>
      <c r="H244" s="63"/>
      <c r="I244" s="63"/>
      <c r="J244" s="63"/>
      <c r="K244" s="63"/>
      <c r="L244" s="63"/>
      <c r="M244" s="63"/>
      <c r="N244" s="63"/>
      <c r="O244" s="63"/>
      <c r="P244" s="63"/>
      <c r="Q244" s="63"/>
      <c r="R244" s="63"/>
      <c r="S244" s="63"/>
      <c r="T244" s="63"/>
      <c r="U244" s="63"/>
      <c r="V244" s="63"/>
      <c r="W244" s="63"/>
      <c r="X244" s="63"/>
      <c r="Y244" s="73"/>
      <c r="Z244" s="73"/>
      <c r="AA244" s="73"/>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idden="1">
      <c r="A245" s="73"/>
      <c r="B245" s="73"/>
      <c r="C245" s="73"/>
      <c r="D245" s="76"/>
      <c r="E245" s="63"/>
      <c r="F245" s="63"/>
      <c r="G245" s="63"/>
      <c r="H245" s="63"/>
      <c r="I245" s="63"/>
      <c r="J245" s="63"/>
      <c r="K245" s="63"/>
      <c r="L245" s="63"/>
      <c r="M245" s="63"/>
      <c r="N245" s="63"/>
      <c r="O245" s="63"/>
      <c r="P245" s="63"/>
      <c r="Q245" s="63"/>
      <c r="R245" s="63"/>
      <c r="S245" s="63"/>
      <c r="T245" s="63"/>
      <c r="U245" s="63"/>
      <c r="V245" s="63"/>
      <c r="W245" s="63"/>
      <c r="X245" s="63"/>
      <c r="Y245" s="73"/>
      <c r="Z245" s="73"/>
      <c r="AA245" s="73"/>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idden="1">
      <c r="A246" s="73"/>
      <c r="B246" s="73"/>
      <c r="C246" s="73"/>
      <c r="D246" s="76"/>
      <c r="E246" s="63"/>
      <c r="F246" s="63"/>
      <c r="G246" s="63"/>
      <c r="H246" s="63"/>
      <c r="I246" s="63"/>
      <c r="J246" s="63"/>
      <c r="K246" s="63"/>
      <c r="L246" s="63"/>
      <c r="M246" s="63"/>
      <c r="N246" s="63"/>
      <c r="O246" s="63"/>
      <c r="P246" s="63"/>
      <c r="Q246" s="63"/>
      <c r="R246" s="63"/>
      <c r="S246" s="63"/>
      <c r="T246" s="63"/>
      <c r="U246" s="63"/>
      <c r="V246" s="63"/>
      <c r="W246" s="63"/>
      <c r="X246" s="63"/>
      <c r="Y246" s="73"/>
      <c r="Z246" s="73"/>
      <c r="AA246" s="73"/>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idden="1">
      <c r="A247" s="73"/>
      <c r="B247" s="73"/>
      <c r="C247" s="73"/>
      <c r="D247" s="76"/>
      <c r="E247" s="63"/>
      <c r="F247" s="63"/>
      <c r="G247" s="63"/>
      <c r="H247" s="63"/>
      <c r="I247" s="63"/>
      <c r="J247" s="63"/>
      <c r="K247" s="63"/>
      <c r="L247" s="63"/>
      <c r="M247" s="63"/>
      <c r="N247" s="63"/>
      <c r="O247" s="63"/>
      <c r="P247" s="63"/>
      <c r="Q247" s="63"/>
      <c r="R247" s="63"/>
      <c r="S247" s="63"/>
      <c r="T247" s="63"/>
      <c r="U247" s="63"/>
      <c r="V247" s="63"/>
      <c r="W247" s="63"/>
      <c r="X247" s="63"/>
      <c r="Y247" s="73"/>
      <c r="Z247" s="73"/>
      <c r="AA247" s="73"/>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idden="1">
      <c r="A248" s="73"/>
      <c r="B248" s="73"/>
      <c r="C248" s="73"/>
      <c r="D248" s="76"/>
      <c r="E248" s="63"/>
      <c r="F248" s="63"/>
      <c r="G248" s="63"/>
      <c r="H248" s="63"/>
      <c r="I248" s="63"/>
      <c r="J248" s="63"/>
      <c r="K248" s="63"/>
      <c r="L248" s="63"/>
      <c r="M248" s="63"/>
      <c r="N248" s="63"/>
      <c r="O248" s="63"/>
      <c r="P248" s="63"/>
      <c r="Q248" s="63"/>
      <c r="R248" s="63"/>
      <c r="S248" s="63"/>
      <c r="T248" s="63"/>
      <c r="U248" s="63"/>
      <c r="V248" s="63"/>
      <c r="W248" s="63"/>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idden="1">
      <c r="A249" s="73"/>
      <c r="B249" s="73"/>
      <c r="C249" s="73"/>
      <c r="D249" s="76"/>
      <c r="E249" s="63"/>
      <c r="F249" s="63"/>
      <c r="G249" s="63"/>
      <c r="H249" s="63"/>
      <c r="I249" s="63"/>
      <c r="J249" s="63"/>
      <c r="K249" s="63"/>
      <c r="L249" s="63"/>
      <c r="M249" s="63"/>
      <c r="N249" s="63"/>
      <c r="O249" s="63"/>
      <c r="P249" s="63"/>
      <c r="Q249" s="63"/>
      <c r="R249" s="63"/>
      <c r="S249" s="63"/>
      <c r="T249" s="63"/>
      <c r="U249" s="63"/>
      <c r="V249" s="63"/>
      <c r="W249" s="63"/>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idden="1">
      <c r="A250" s="73"/>
      <c r="B250" s="73"/>
      <c r="C250" s="73"/>
      <c r="D250" s="76"/>
      <c r="E250" s="63"/>
      <c r="F250" s="63"/>
      <c r="G250" s="63"/>
      <c r="H250" s="63"/>
      <c r="I250" s="63"/>
      <c r="J250" s="63"/>
      <c r="K250" s="63"/>
      <c r="L250" s="63"/>
      <c r="M250" s="63"/>
      <c r="N250" s="63"/>
      <c r="O250" s="63"/>
      <c r="P250" s="63"/>
      <c r="Q250" s="63"/>
      <c r="R250" s="63"/>
      <c r="S250" s="63"/>
      <c r="T250" s="63"/>
      <c r="U250" s="63"/>
      <c r="V250" s="63"/>
      <c r="W250" s="63"/>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idden="1">
      <c r="A251" s="73"/>
      <c r="B251" s="73"/>
      <c r="C251" s="73"/>
      <c r="D251" s="76"/>
      <c r="E251" s="63"/>
      <c r="F251" s="63"/>
      <c r="G251" s="63"/>
      <c r="H251" s="63"/>
      <c r="I251" s="63"/>
      <c r="J251" s="63"/>
      <c r="K251" s="63"/>
      <c r="L251" s="63"/>
      <c r="M251" s="63"/>
      <c r="N251" s="63"/>
      <c r="O251" s="63"/>
      <c r="P251" s="63"/>
      <c r="Q251" s="63"/>
      <c r="R251" s="63"/>
      <c r="S251" s="63"/>
      <c r="T251" s="63"/>
      <c r="U251" s="63"/>
      <c r="V251" s="63"/>
      <c r="W251" s="63"/>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idden="1">
      <c r="A252" s="73"/>
      <c r="B252" s="73"/>
      <c r="C252" s="73"/>
      <c r="D252" s="76"/>
      <c r="E252" s="63"/>
      <c r="F252" s="63"/>
      <c r="G252" s="63"/>
      <c r="H252" s="63"/>
      <c r="I252" s="63"/>
      <c r="J252" s="63"/>
      <c r="K252" s="63"/>
      <c r="L252" s="63"/>
      <c r="M252" s="63"/>
      <c r="N252" s="63"/>
      <c r="O252" s="63"/>
      <c r="P252" s="63"/>
      <c r="Q252" s="63"/>
      <c r="R252" s="63"/>
      <c r="S252" s="63"/>
      <c r="T252" s="63"/>
      <c r="U252" s="63"/>
      <c r="V252" s="63"/>
      <c r="W252" s="63"/>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idden="1">
      <c r="A253" s="73"/>
      <c r="B253" s="73"/>
      <c r="C253" s="73"/>
      <c r="D253" s="76"/>
      <c r="E253" s="63"/>
      <c r="F253" s="63"/>
      <c r="G253" s="63"/>
      <c r="H253" s="63"/>
      <c r="I253" s="63"/>
      <c r="J253" s="63"/>
      <c r="K253" s="63"/>
      <c r="L253" s="63"/>
      <c r="M253" s="63"/>
      <c r="N253" s="63"/>
      <c r="O253" s="63"/>
      <c r="P253" s="63"/>
      <c r="Q253" s="63"/>
      <c r="R253" s="63"/>
      <c r="S253" s="63"/>
      <c r="T253" s="63"/>
      <c r="U253" s="63"/>
      <c r="V253" s="63"/>
      <c r="W253" s="63"/>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idden="1">
      <c r="A254" s="73"/>
      <c r="B254" s="73"/>
      <c r="C254" s="73"/>
      <c r="D254" s="76"/>
      <c r="E254" s="63"/>
      <c r="F254" s="63"/>
      <c r="G254" s="63"/>
      <c r="H254" s="63"/>
      <c r="I254" s="63"/>
      <c r="J254" s="63"/>
      <c r="K254" s="63"/>
      <c r="L254" s="63"/>
      <c r="M254" s="63"/>
      <c r="N254" s="63"/>
      <c r="O254" s="63"/>
      <c r="P254" s="63"/>
      <c r="Q254" s="63"/>
      <c r="R254" s="63"/>
      <c r="S254" s="63"/>
      <c r="T254" s="63"/>
      <c r="U254" s="63"/>
      <c r="V254" s="63"/>
      <c r="W254" s="63"/>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idden="1">
      <c r="A255" s="73"/>
      <c r="B255" s="73"/>
      <c r="C255" s="73"/>
      <c r="D255" s="76"/>
      <c r="E255" s="63"/>
      <c r="F255" s="63"/>
      <c r="G255" s="63"/>
      <c r="H255" s="63"/>
      <c r="I255" s="63"/>
      <c r="J255" s="63"/>
      <c r="K255" s="63"/>
      <c r="L255" s="63"/>
      <c r="M255" s="63"/>
      <c r="N255" s="63"/>
      <c r="O255" s="63"/>
      <c r="P255" s="63"/>
      <c r="Q255" s="63"/>
      <c r="R255" s="63"/>
      <c r="S255" s="63"/>
      <c r="T255" s="63"/>
      <c r="U255" s="63"/>
      <c r="V255" s="63"/>
      <c r="W255" s="63"/>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idden="1">
      <c r="A256" s="73"/>
      <c r="B256" s="73"/>
      <c r="C256" s="73"/>
      <c r="D256" s="76"/>
      <c r="E256" s="63"/>
      <c r="F256" s="63"/>
      <c r="G256" s="63"/>
      <c r="H256" s="63"/>
      <c r="I256" s="63"/>
      <c r="J256" s="63"/>
      <c r="K256" s="63"/>
      <c r="L256" s="63"/>
      <c r="M256" s="63"/>
      <c r="N256" s="63"/>
      <c r="O256" s="63"/>
      <c r="P256" s="63"/>
      <c r="Q256" s="63"/>
      <c r="R256" s="63"/>
      <c r="S256" s="63"/>
      <c r="T256" s="63"/>
      <c r="U256" s="63"/>
      <c r="V256" s="63"/>
      <c r="W256" s="63"/>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idden="1">
      <c r="A257" s="73"/>
      <c r="B257" s="73"/>
      <c r="C257" s="73"/>
      <c r="D257" s="76"/>
      <c r="E257" s="63"/>
      <c r="F257" s="63"/>
      <c r="G257" s="63"/>
      <c r="H257" s="63"/>
      <c r="I257" s="63"/>
      <c r="J257" s="63"/>
      <c r="K257" s="63"/>
      <c r="L257" s="63"/>
      <c r="M257" s="63"/>
      <c r="N257" s="63"/>
      <c r="O257" s="63"/>
      <c r="P257" s="63"/>
      <c r="Q257" s="63"/>
      <c r="R257" s="63"/>
      <c r="S257" s="63"/>
      <c r="T257" s="63"/>
      <c r="U257" s="63"/>
      <c r="V257" s="63"/>
      <c r="W257" s="63"/>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idden="1">
      <c r="A258" s="73"/>
      <c r="B258" s="73"/>
      <c r="C258" s="73"/>
      <c r="D258" s="76"/>
      <c r="E258" s="63"/>
      <c r="F258" s="63"/>
      <c r="G258" s="63"/>
      <c r="H258" s="63"/>
      <c r="I258" s="63"/>
      <c r="J258" s="63"/>
      <c r="K258" s="63"/>
      <c r="L258" s="63"/>
      <c r="M258" s="63"/>
      <c r="N258" s="63"/>
      <c r="O258" s="63"/>
      <c r="P258" s="63"/>
      <c r="Q258" s="63"/>
      <c r="R258" s="63"/>
      <c r="S258" s="63"/>
      <c r="T258" s="63"/>
      <c r="U258" s="63"/>
      <c r="V258" s="63"/>
      <c r="W258" s="63"/>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idden="1">
      <c r="A259" s="73"/>
      <c r="B259" s="73"/>
      <c r="C259" s="73"/>
      <c r="D259" s="76"/>
      <c r="E259" s="63"/>
      <c r="F259" s="63"/>
      <c r="G259" s="63"/>
      <c r="H259" s="63"/>
      <c r="I259" s="63"/>
      <c r="J259" s="63"/>
      <c r="K259" s="63"/>
      <c r="L259" s="63"/>
      <c r="M259" s="63"/>
      <c r="N259" s="63"/>
      <c r="O259" s="63"/>
      <c r="P259" s="63"/>
      <c r="Q259" s="63"/>
      <c r="R259" s="63"/>
      <c r="S259" s="63"/>
      <c r="T259" s="63"/>
      <c r="U259" s="63"/>
      <c r="V259" s="63"/>
      <c r="W259" s="63"/>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idden="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idden="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idden="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idden="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idden="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idden="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idden="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idden="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idden="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idden="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idden="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idden="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idden="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idden="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idden="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idden="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idden="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idden="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idden="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idden="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idden="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idden="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81" customFormat="1" hidden="1">
      <c r="A282" s="77"/>
      <c r="B282" s="77"/>
      <c r="C282" s="77"/>
      <c r="D282" s="78"/>
      <c r="E282" s="79"/>
      <c r="F282" s="79"/>
      <c r="G282" s="79"/>
      <c r="H282" s="79"/>
      <c r="I282" s="79"/>
      <c r="J282" s="79"/>
      <c r="K282" s="79"/>
      <c r="L282" s="79"/>
      <c r="M282" s="79"/>
      <c r="N282" s="79"/>
      <c r="O282" s="79"/>
      <c r="P282" s="79"/>
      <c r="Q282" s="79"/>
      <c r="R282" s="79"/>
      <c r="S282" s="79"/>
      <c r="T282" s="79"/>
      <c r="U282" s="79"/>
      <c r="V282" s="79"/>
      <c r="W282" s="79"/>
      <c r="X282" s="79"/>
      <c r="Y282" s="77"/>
      <c r="Z282" s="77"/>
      <c r="AA282" s="77"/>
      <c r="AB282" s="77"/>
      <c r="AC282" s="77"/>
      <c r="AD282" s="77"/>
      <c r="AE282" s="77"/>
      <c r="AF282" s="77"/>
      <c r="AG282" s="77"/>
      <c r="AH282" s="77"/>
      <c r="AI282" s="77"/>
      <c r="AJ282" s="77"/>
      <c r="AK282" s="77"/>
      <c r="AL282" s="77"/>
      <c r="AM282" s="77"/>
      <c r="AN282" s="77"/>
      <c r="AO282" s="77"/>
      <c r="AP282" s="77"/>
      <c r="AQ282" s="77"/>
      <c r="AR282" s="77"/>
      <c r="AS282" s="77"/>
      <c r="AT282" s="77"/>
      <c r="AU282" s="77"/>
      <c r="AV282" s="77"/>
      <c r="AW282" s="77"/>
      <c r="AX282" s="77"/>
      <c r="AY282" s="77"/>
      <c r="AZ282" s="77"/>
      <c r="BA282" s="77"/>
      <c r="BB282" s="77"/>
      <c r="BC282" s="80"/>
      <c r="BD282" s="80"/>
      <c r="BE282" s="80"/>
      <c r="BF282" s="80"/>
      <c r="BG282" s="80"/>
      <c r="BH282" s="80"/>
      <c r="BI282" s="80"/>
      <c r="BJ282" s="80"/>
      <c r="BK282" s="80"/>
      <c r="BL282" s="80"/>
      <c r="BM282" s="80"/>
      <c r="BN282" s="80"/>
      <c r="BO282" s="80"/>
      <c r="BP282" s="80"/>
      <c r="BQ282" s="80"/>
      <c r="BR282" s="80"/>
      <c r="BS282" s="80"/>
      <c r="BT282" s="80"/>
      <c r="BU282" s="80"/>
      <c r="BV282" s="80"/>
      <c r="BW282" s="80"/>
      <c r="BX282" s="80"/>
    </row>
    <row r="283" spans="1:76" s="81" customFormat="1" hidden="1">
      <c r="A283" s="77"/>
      <c r="B283" s="77"/>
      <c r="C283" s="77"/>
      <c r="D283" s="78"/>
      <c r="E283" s="79"/>
      <c r="F283" s="79"/>
      <c r="G283" s="79"/>
      <c r="H283" s="79"/>
      <c r="I283" s="79"/>
      <c r="J283" s="79"/>
      <c r="K283" s="79"/>
      <c r="L283" s="79"/>
      <c r="M283" s="79"/>
      <c r="N283" s="79"/>
      <c r="O283" s="79"/>
      <c r="P283" s="79"/>
      <c r="Q283" s="79"/>
      <c r="R283" s="79"/>
      <c r="S283" s="79"/>
      <c r="T283" s="79"/>
      <c r="U283" s="79"/>
      <c r="V283" s="79"/>
      <c r="W283" s="79"/>
      <c r="X283" s="79"/>
      <c r="Y283" s="77"/>
      <c r="Z283" s="77"/>
      <c r="AA283" s="77"/>
      <c r="AB283" s="77"/>
      <c r="AC283" s="77"/>
      <c r="AD283" s="77"/>
      <c r="AE283" s="77"/>
      <c r="AF283" s="77"/>
      <c r="AG283" s="77"/>
      <c r="AH283" s="77"/>
      <c r="AI283" s="77"/>
      <c r="AJ283" s="77"/>
      <c r="AK283" s="77"/>
      <c r="AL283" s="77"/>
      <c r="AM283" s="77"/>
      <c r="AN283" s="77"/>
      <c r="AO283" s="77"/>
      <c r="AP283" s="77"/>
      <c r="AQ283" s="77"/>
      <c r="AR283" s="77"/>
      <c r="AS283" s="77"/>
      <c r="AT283" s="77"/>
      <c r="AU283" s="77"/>
      <c r="AV283" s="77"/>
      <c r="AW283" s="77"/>
      <c r="AX283" s="77"/>
      <c r="AY283" s="77"/>
      <c r="AZ283" s="77"/>
      <c r="BA283" s="77"/>
      <c r="BB283" s="77"/>
      <c r="BC283" s="80"/>
      <c r="BD283" s="80"/>
      <c r="BE283" s="80"/>
      <c r="BF283" s="80"/>
      <c r="BG283" s="80"/>
      <c r="BH283" s="80"/>
      <c r="BI283" s="80"/>
      <c r="BJ283" s="80"/>
      <c r="BK283" s="80"/>
      <c r="BL283" s="80"/>
      <c r="BM283" s="80"/>
      <c r="BN283" s="80"/>
      <c r="BO283" s="80"/>
      <c r="BP283" s="80"/>
      <c r="BQ283" s="80"/>
      <c r="BR283" s="80"/>
      <c r="BS283" s="80"/>
      <c r="BT283" s="80"/>
      <c r="BU283" s="80"/>
      <c r="BV283" s="80"/>
      <c r="BW283" s="80"/>
      <c r="BX283" s="80"/>
    </row>
    <row r="284" spans="1:76" s="81" customFormat="1" hidden="1">
      <c r="A284" s="77"/>
      <c r="B284" s="77"/>
      <c r="C284" s="77"/>
      <c r="D284" s="78"/>
      <c r="E284" s="79"/>
      <c r="F284" s="79"/>
      <c r="G284" s="79"/>
      <c r="H284" s="79"/>
      <c r="I284" s="79"/>
      <c r="J284" s="79"/>
      <c r="K284" s="79"/>
      <c r="L284" s="79"/>
      <c r="M284" s="79"/>
      <c r="N284" s="79"/>
      <c r="O284" s="79"/>
      <c r="P284" s="79"/>
      <c r="Q284" s="79"/>
      <c r="R284" s="79"/>
      <c r="S284" s="79"/>
      <c r="T284" s="79"/>
      <c r="U284" s="79"/>
      <c r="V284" s="79"/>
      <c r="W284" s="79"/>
      <c r="X284" s="79"/>
      <c r="Y284" s="77"/>
      <c r="Z284" s="77"/>
      <c r="AA284" s="77"/>
      <c r="AB284" s="77"/>
      <c r="AC284" s="77"/>
      <c r="AD284" s="77"/>
      <c r="AE284" s="77"/>
      <c r="AF284" s="77"/>
      <c r="AG284" s="77"/>
      <c r="AH284" s="77"/>
      <c r="AI284" s="77"/>
      <c r="AJ284" s="77"/>
      <c r="AK284" s="77"/>
      <c r="AL284" s="77"/>
      <c r="AM284" s="77"/>
      <c r="AN284" s="77"/>
      <c r="AO284" s="77"/>
      <c r="AP284" s="77"/>
      <c r="AQ284" s="77"/>
      <c r="AR284" s="77"/>
      <c r="AS284" s="77"/>
      <c r="AT284" s="77"/>
      <c r="AU284" s="77"/>
      <c r="AV284" s="77"/>
      <c r="AW284" s="77"/>
      <c r="AX284" s="77"/>
      <c r="AY284" s="77"/>
      <c r="AZ284" s="77"/>
      <c r="BA284" s="77"/>
      <c r="BB284" s="77"/>
      <c r="BC284" s="80"/>
      <c r="BD284" s="80"/>
      <c r="BE284" s="80"/>
      <c r="BF284" s="80"/>
      <c r="BG284" s="80"/>
      <c r="BH284" s="80"/>
      <c r="BI284" s="80"/>
      <c r="BJ284" s="80"/>
      <c r="BK284" s="80"/>
      <c r="BL284" s="80"/>
      <c r="BM284" s="80"/>
      <c r="BN284" s="80"/>
      <c r="BO284" s="80"/>
      <c r="BP284" s="80"/>
      <c r="BQ284" s="80"/>
      <c r="BR284" s="80"/>
      <c r="BS284" s="80"/>
      <c r="BT284" s="80"/>
      <c r="BU284" s="80"/>
      <c r="BV284" s="80"/>
      <c r="BW284" s="80"/>
      <c r="BX284" s="80"/>
    </row>
    <row r="285" spans="1:76" s="81" customFormat="1" hidden="1">
      <c r="A285" s="77"/>
      <c r="B285" s="77"/>
      <c r="C285" s="77"/>
      <c r="D285" s="78"/>
      <c r="E285" s="79"/>
      <c r="F285" s="79"/>
      <c r="G285" s="79"/>
      <c r="H285" s="79"/>
      <c r="I285" s="79"/>
      <c r="J285" s="79"/>
      <c r="K285" s="79"/>
      <c r="L285" s="79"/>
      <c r="M285" s="79"/>
      <c r="N285" s="79"/>
      <c r="O285" s="79"/>
      <c r="P285" s="79"/>
      <c r="Q285" s="79"/>
      <c r="R285" s="79"/>
      <c r="S285" s="79"/>
      <c r="T285" s="79"/>
      <c r="U285" s="79"/>
      <c r="V285" s="79"/>
      <c r="W285" s="79"/>
      <c r="X285" s="79"/>
      <c r="Y285" s="77"/>
      <c r="Z285" s="77"/>
      <c r="AA285" s="77"/>
      <c r="AB285" s="77"/>
      <c r="AC285" s="77"/>
      <c r="AD285" s="77"/>
      <c r="AE285" s="77"/>
      <c r="AF285" s="77"/>
      <c r="AG285" s="77"/>
      <c r="AH285" s="77"/>
      <c r="AI285" s="77"/>
      <c r="AJ285" s="77"/>
      <c r="AK285" s="77"/>
      <c r="AL285" s="77"/>
      <c r="AM285" s="77"/>
      <c r="AN285" s="77"/>
      <c r="AO285" s="77"/>
      <c r="AP285" s="77"/>
      <c r="AQ285" s="77"/>
      <c r="AR285" s="77"/>
      <c r="AS285" s="77"/>
      <c r="AT285" s="77"/>
      <c r="AU285" s="77"/>
      <c r="AV285" s="77"/>
      <c r="AW285" s="77"/>
      <c r="AX285" s="77"/>
      <c r="AY285" s="77"/>
      <c r="AZ285" s="77"/>
      <c r="BA285" s="77"/>
      <c r="BB285" s="77"/>
      <c r="BC285" s="80"/>
      <c r="BD285" s="80"/>
      <c r="BE285" s="80"/>
      <c r="BF285" s="80"/>
      <c r="BG285" s="80"/>
      <c r="BH285" s="80"/>
      <c r="BI285" s="80"/>
      <c r="BJ285" s="80"/>
      <c r="BK285" s="80"/>
      <c r="BL285" s="80"/>
      <c r="BM285" s="80"/>
      <c r="BN285" s="80"/>
      <c r="BO285" s="80"/>
      <c r="BP285" s="80"/>
      <c r="BQ285" s="80"/>
      <c r="BR285" s="80"/>
      <c r="BS285" s="80"/>
      <c r="BT285" s="80"/>
      <c r="BU285" s="80"/>
      <c r="BV285" s="80"/>
      <c r="BW285" s="80"/>
      <c r="BX285" s="80"/>
    </row>
    <row r="286" spans="1:76" s="81" customFormat="1" hidden="1">
      <c r="A286" s="77"/>
      <c r="B286" s="77"/>
      <c r="C286" s="77"/>
      <c r="D286" s="78"/>
      <c r="E286" s="79"/>
      <c r="F286" s="79"/>
      <c r="G286" s="79"/>
      <c r="H286" s="79"/>
      <c r="I286" s="79"/>
      <c r="J286" s="79"/>
      <c r="K286" s="79"/>
      <c r="L286" s="79"/>
      <c r="M286" s="79"/>
      <c r="N286" s="79"/>
      <c r="O286" s="79"/>
      <c r="P286" s="79"/>
      <c r="Q286" s="79"/>
      <c r="R286" s="79"/>
      <c r="S286" s="79"/>
      <c r="T286" s="79"/>
      <c r="U286" s="79"/>
      <c r="V286" s="79"/>
      <c r="W286" s="79"/>
      <c r="X286" s="79"/>
      <c r="Y286" s="77"/>
      <c r="Z286" s="77"/>
      <c r="AA286" s="77"/>
      <c r="AB286" s="77"/>
      <c r="AC286" s="77"/>
      <c r="AD286" s="77"/>
      <c r="AE286" s="77"/>
      <c r="AF286" s="77"/>
      <c r="AG286" s="77"/>
      <c r="AH286" s="77"/>
      <c r="AI286" s="77"/>
      <c r="AJ286" s="77"/>
      <c r="AK286" s="77"/>
      <c r="AL286" s="77"/>
      <c r="AM286" s="77"/>
      <c r="AN286" s="77"/>
      <c r="AO286" s="77"/>
      <c r="AP286" s="77"/>
      <c r="AQ286" s="77"/>
      <c r="AR286" s="77"/>
      <c r="AS286" s="77"/>
      <c r="AT286" s="77"/>
      <c r="AU286" s="77"/>
      <c r="AV286" s="77"/>
      <c r="AW286" s="77"/>
      <c r="AX286" s="77"/>
      <c r="AY286" s="77"/>
      <c r="AZ286" s="77"/>
      <c r="BA286" s="77"/>
      <c r="BB286" s="77"/>
      <c r="BC286" s="80"/>
      <c r="BD286" s="80"/>
      <c r="BE286" s="80"/>
      <c r="BF286" s="80"/>
      <c r="BG286" s="80"/>
      <c r="BH286" s="80"/>
      <c r="BI286" s="80"/>
      <c r="BJ286" s="80"/>
      <c r="BK286" s="80"/>
      <c r="BL286" s="80"/>
      <c r="BM286" s="80"/>
      <c r="BN286" s="80"/>
      <c r="BO286" s="80"/>
      <c r="BP286" s="80"/>
      <c r="BQ286" s="80"/>
      <c r="BR286" s="80"/>
      <c r="BS286" s="80"/>
      <c r="BT286" s="80"/>
      <c r="BU286" s="80"/>
      <c r="BV286" s="80"/>
      <c r="BW286" s="80"/>
      <c r="BX286" s="80"/>
    </row>
    <row r="287" spans="1:76" s="81" customFormat="1" hidden="1">
      <c r="A287" s="77"/>
      <c r="B287" s="77"/>
      <c r="C287" s="77"/>
      <c r="D287" s="78"/>
      <c r="E287" s="79"/>
      <c r="F287" s="79"/>
      <c r="G287" s="79"/>
      <c r="H287" s="79"/>
      <c r="I287" s="79"/>
      <c r="J287" s="79"/>
      <c r="K287" s="79"/>
      <c r="L287" s="79"/>
      <c r="M287" s="79"/>
      <c r="N287" s="79"/>
      <c r="O287" s="79"/>
      <c r="P287" s="79"/>
      <c r="Q287" s="79"/>
      <c r="R287" s="79"/>
      <c r="S287" s="79"/>
      <c r="T287" s="79"/>
      <c r="U287" s="79"/>
      <c r="V287" s="79"/>
      <c r="W287" s="79"/>
      <c r="X287" s="79"/>
      <c r="Y287" s="77"/>
      <c r="Z287" s="77"/>
      <c r="AA287" s="77"/>
      <c r="AB287" s="77"/>
      <c r="AC287" s="77"/>
      <c r="AD287" s="77"/>
      <c r="AE287" s="77"/>
      <c r="AF287" s="77"/>
      <c r="AG287" s="77"/>
      <c r="AH287" s="77"/>
      <c r="AI287" s="77"/>
      <c r="AJ287" s="77"/>
      <c r="AK287" s="77"/>
      <c r="AL287" s="77"/>
      <c r="AM287" s="77"/>
      <c r="AN287" s="77"/>
      <c r="AO287" s="77"/>
      <c r="AP287" s="77"/>
      <c r="AQ287" s="77"/>
      <c r="AR287" s="77"/>
      <c r="AS287" s="77"/>
      <c r="AT287" s="77"/>
      <c r="AU287" s="77"/>
      <c r="AV287" s="77"/>
      <c r="AW287" s="77"/>
      <c r="AX287" s="77"/>
      <c r="AY287" s="77"/>
      <c r="AZ287" s="77"/>
      <c r="BA287" s="77"/>
      <c r="BB287" s="77"/>
      <c r="BC287" s="80"/>
      <c r="BD287" s="80"/>
      <c r="BE287" s="80"/>
      <c r="BF287" s="80"/>
      <c r="BG287" s="80"/>
      <c r="BH287" s="80"/>
      <c r="BI287" s="80"/>
      <c r="BJ287" s="80"/>
      <c r="BK287" s="80"/>
      <c r="BL287" s="80"/>
      <c r="BM287" s="80"/>
      <c r="BN287" s="80"/>
      <c r="BO287" s="80"/>
      <c r="BP287" s="80"/>
      <c r="BQ287" s="80"/>
      <c r="BR287" s="80"/>
      <c r="BS287" s="80"/>
      <c r="BT287" s="80"/>
      <c r="BU287" s="80"/>
      <c r="BV287" s="80"/>
      <c r="BW287" s="80"/>
      <c r="BX287" s="80"/>
    </row>
    <row r="288" spans="1:76" s="81" customFormat="1" hidden="1">
      <c r="A288" s="77"/>
      <c r="B288" s="77"/>
      <c r="C288" s="77"/>
      <c r="D288" s="78"/>
      <c r="E288" s="79"/>
      <c r="F288" s="79"/>
      <c r="G288" s="79"/>
      <c r="H288" s="79"/>
      <c r="I288" s="79"/>
      <c r="J288" s="79"/>
      <c r="K288" s="79"/>
      <c r="L288" s="79"/>
      <c r="M288" s="79"/>
      <c r="N288" s="79"/>
      <c r="O288" s="79"/>
      <c r="P288" s="79"/>
      <c r="Q288" s="79"/>
      <c r="R288" s="79"/>
      <c r="S288" s="79"/>
      <c r="T288" s="79"/>
      <c r="U288" s="79"/>
      <c r="V288" s="79"/>
      <c r="W288" s="79"/>
      <c r="X288" s="79"/>
      <c r="Y288" s="77"/>
      <c r="Z288" s="77"/>
      <c r="AA288" s="77"/>
      <c r="AB288" s="77"/>
      <c r="AC288" s="77"/>
      <c r="AD288" s="77"/>
      <c r="AE288" s="77"/>
      <c r="AF288" s="77"/>
      <c r="AG288" s="77"/>
      <c r="AH288" s="77"/>
      <c r="AI288" s="77"/>
      <c r="AJ288" s="77"/>
      <c r="AK288" s="77"/>
      <c r="AL288" s="77"/>
      <c r="AM288" s="77"/>
      <c r="AN288" s="77"/>
      <c r="AO288" s="77"/>
      <c r="AP288" s="77"/>
      <c r="AQ288" s="77"/>
      <c r="AR288" s="77"/>
      <c r="AS288" s="77"/>
      <c r="AT288" s="77"/>
      <c r="AU288" s="77"/>
      <c r="AV288" s="77"/>
      <c r="AW288" s="77"/>
      <c r="AX288" s="77"/>
      <c r="AY288" s="77"/>
      <c r="AZ288" s="77"/>
      <c r="BA288" s="77"/>
      <c r="BB288" s="77"/>
      <c r="BC288" s="80"/>
      <c r="BD288" s="80"/>
      <c r="BE288" s="80"/>
      <c r="BF288" s="80"/>
      <c r="BG288" s="80"/>
      <c r="BH288" s="80"/>
      <c r="BI288" s="80"/>
      <c r="BJ288" s="80"/>
      <c r="BK288" s="80"/>
      <c r="BL288" s="80"/>
      <c r="BM288" s="80"/>
      <c r="BN288" s="80"/>
      <c r="BO288" s="80"/>
      <c r="BP288" s="80"/>
      <c r="BQ288" s="80"/>
      <c r="BR288" s="80"/>
      <c r="BS288" s="80"/>
      <c r="BT288" s="80"/>
      <c r="BU288" s="80"/>
      <c r="BV288" s="80"/>
      <c r="BW288" s="80"/>
      <c r="BX288" s="80"/>
    </row>
    <row r="289" spans="1:76" s="81" customFormat="1" hidden="1">
      <c r="A289" s="77"/>
      <c r="B289" s="77"/>
      <c r="C289" s="77"/>
      <c r="D289" s="78"/>
      <c r="E289" s="79"/>
      <c r="F289" s="79"/>
      <c r="G289" s="79"/>
      <c r="H289" s="79"/>
      <c r="I289" s="79"/>
      <c r="J289" s="79"/>
      <c r="K289" s="79"/>
      <c r="L289" s="79"/>
      <c r="M289" s="79"/>
      <c r="N289" s="79"/>
      <c r="O289" s="79"/>
      <c r="P289" s="79"/>
      <c r="Q289" s="79"/>
      <c r="R289" s="79"/>
      <c r="S289" s="79"/>
      <c r="T289" s="79"/>
      <c r="U289" s="79"/>
      <c r="V289" s="79"/>
      <c r="W289" s="79"/>
      <c r="X289" s="79"/>
      <c r="Y289" s="77"/>
      <c r="Z289" s="77"/>
      <c r="AA289" s="77"/>
      <c r="AB289" s="77"/>
      <c r="AC289" s="77"/>
      <c r="AD289" s="77"/>
      <c r="AE289" s="77"/>
      <c r="AF289" s="77"/>
      <c r="AG289" s="77"/>
      <c r="AH289" s="77"/>
      <c r="AI289" s="77"/>
      <c r="AJ289" s="77"/>
      <c r="AK289" s="77"/>
      <c r="AL289" s="77"/>
      <c r="AM289" s="77"/>
      <c r="AN289" s="77"/>
      <c r="AO289" s="77"/>
      <c r="AP289" s="77"/>
      <c r="AQ289" s="77"/>
      <c r="AR289" s="77"/>
      <c r="AS289" s="77"/>
      <c r="AT289" s="77"/>
      <c r="AU289" s="77"/>
      <c r="AV289" s="77"/>
      <c r="AW289" s="77"/>
      <c r="AX289" s="77"/>
      <c r="AY289" s="77"/>
      <c r="AZ289" s="77"/>
      <c r="BA289" s="77"/>
      <c r="BB289" s="77"/>
      <c r="BC289" s="80"/>
      <c r="BD289" s="80"/>
      <c r="BE289" s="80"/>
      <c r="BF289" s="80"/>
      <c r="BG289" s="80"/>
      <c r="BH289" s="80"/>
      <c r="BI289" s="80"/>
      <c r="BJ289" s="80"/>
      <c r="BK289" s="80"/>
      <c r="BL289" s="80"/>
      <c r="BM289" s="80"/>
      <c r="BN289" s="80"/>
      <c r="BO289" s="80"/>
      <c r="BP289" s="80"/>
      <c r="BQ289" s="80"/>
      <c r="BR289" s="80"/>
      <c r="BS289" s="80"/>
      <c r="BT289" s="80"/>
      <c r="BU289" s="80"/>
      <c r="BV289" s="80"/>
      <c r="BW289" s="80"/>
      <c r="BX289" s="80"/>
    </row>
    <row r="290" spans="1:76" s="81" customFormat="1" hidden="1">
      <c r="A290" s="77"/>
      <c r="B290" s="77"/>
      <c r="C290" s="77"/>
      <c r="D290" s="78"/>
      <c r="E290" s="79"/>
      <c r="F290" s="79"/>
      <c r="G290" s="79"/>
      <c r="H290" s="79"/>
      <c r="I290" s="79"/>
      <c r="J290" s="79"/>
      <c r="K290" s="79"/>
      <c r="L290" s="79"/>
      <c r="M290" s="79"/>
      <c r="N290" s="79"/>
      <c r="O290" s="79"/>
      <c r="P290" s="79"/>
      <c r="Q290" s="79"/>
      <c r="R290" s="79"/>
      <c r="S290" s="79"/>
      <c r="T290" s="79"/>
      <c r="U290" s="79"/>
      <c r="V290" s="79"/>
      <c r="W290" s="79"/>
      <c r="X290" s="79"/>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c r="AZ290" s="77"/>
      <c r="BA290" s="77"/>
      <c r="BB290" s="77"/>
      <c r="BC290" s="80"/>
      <c r="BD290" s="80"/>
      <c r="BE290" s="80"/>
      <c r="BF290" s="80"/>
      <c r="BG290" s="80"/>
      <c r="BH290" s="80"/>
      <c r="BI290" s="80"/>
      <c r="BJ290" s="80"/>
      <c r="BK290" s="80"/>
      <c r="BL290" s="80"/>
      <c r="BM290" s="80"/>
      <c r="BN290" s="80"/>
      <c r="BO290" s="80"/>
      <c r="BP290" s="80"/>
      <c r="BQ290" s="80"/>
      <c r="BR290" s="80"/>
      <c r="BS290" s="80"/>
      <c r="BT290" s="80"/>
      <c r="BU290" s="80"/>
      <c r="BV290" s="80"/>
      <c r="BW290" s="80"/>
      <c r="BX290" s="80"/>
    </row>
    <row r="291" spans="1:76" s="81" customFormat="1" hidden="1">
      <c r="A291" s="77"/>
      <c r="B291" s="77"/>
      <c r="C291" s="77"/>
      <c r="D291" s="78"/>
      <c r="E291" s="79"/>
      <c r="F291" s="79"/>
      <c r="G291" s="79"/>
      <c r="H291" s="79"/>
      <c r="I291" s="79"/>
      <c r="J291" s="79"/>
      <c r="K291" s="79"/>
      <c r="L291" s="79"/>
      <c r="M291" s="79"/>
      <c r="N291" s="79"/>
      <c r="O291" s="79"/>
      <c r="P291" s="79"/>
      <c r="Q291" s="79"/>
      <c r="R291" s="79"/>
      <c r="S291" s="79"/>
      <c r="T291" s="79"/>
      <c r="U291" s="79"/>
      <c r="V291" s="79"/>
      <c r="W291" s="79"/>
      <c r="X291" s="79"/>
      <c r="Y291" s="77"/>
      <c r="Z291" s="77"/>
      <c r="AA291" s="77"/>
      <c r="AB291" s="77"/>
      <c r="AC291" s="77"/>
      <c r="AD291" s="77"/>
      <c r="AE291" s="77"/>
      <c r="AF291" s="77"/>
      <c r="AG291" s="77"/>
      <c r="AH291" s="77"/>
      <c r="AI291" s="77"/>
      <c r="AJ291" s="77"/>
      <c r="AK291" s="77"/>
      <c r="AL291" s="77"/>
      <c r="AM291" s="77"/>
      <c r="AN291" s="77"/>
      <c r="AO291" s="77"/>
      <c r="AP291" s="77"/>
      <c r="AQ291" s="77"/>
      <c r="AR291" s="77"/>
      <c r="AS291" s="77"/>
      <c r="AT291" s="77"/>
      <c r="AU291" s="77"/>
      <c r="AV291" s="77"/>
      <c r="AW291" s="77"/>
      <c r="AX291" s="77"/>
      <c r="AY291" s="77"/>
      <c r="AZ291" s="77"/>
      <c r="BA291" s="77"/>
      <c r="BB291" s="77"/>
      <c r="BC291" s="80"/>
      <c r="BD291" s="80"/>
      <c r="BE291" s="80"/>
      <c r="BF291" s="80"/>
      <c r="BG291" s="80"/>
      <c r="BH291" s="80"/>
      <c r="BI291" s="80"/>
      <c r="BJ291" s="80"/>
      <c r="BK291" s="80"/>
      <c r="BL291" s="80"/>
      <c r="BM291" s="80"/>
      <c r="BN291" s="80"/>
      <c r="BO291" s="80"/>
      <c r="BP291" s="80"/>
      <c r="BQ291" s="80"/>
      <c r="BR291" s="80"/>
      <c r="BS291" s="80"/>
      <c r="BT291" s="80"/>
      <c r="BU291" s="80"/>
      <c r="BV291" s="80"/>
      <c r="BW291" s="80"/>
      <c r="BX291" s="80"/>
    </row>
    <row r="292" spans="1:76" s="81" customFormat="1" hidden="1">
      <c r="A292" s="77"/>
      <c r="B292" s="77"/>
      <c r="C292" s="77"/>
      <c r="D292" s="78"/>
      <c r="E292" s="79"/>
      <c r="F292" s="79"/>
      <c r="G292" s="79"/>
      <c r="H292" s="79"/>
      <c r="I292" s="79"/>
      <c r="J292" s="79"/>
      <c r="K292" s="79"/>
      <c r="L292" s="79"/>
      <c r="M292" s="79"/>
      <c r="N292" s="79"/>
      <c r="O292" s="79"/>
      <c r="P292" s="79"/>
      <c r="Q292" s="79"/>
      <c r="R292" s="79"/>
      <c r="S292" s="79"/>
      <c r="T292" s="79"/>
      <c r="U292" s="79"/>
      <c r="V292" s="79"/>
      <c r="W292" s="79"/>
      <c r="X292" s="79"/>
      <c r="Y292" s="77"/>
      <c r="Z292" s="77"/>
      <c r="AA292" s="77"/>
      <c r="AB292" s="77"/>
      <c r="AC292" s="77"/>
      <c r="AD292" s="77"/>
      <c r="AE292" s="77"/>
      <c r="AF292" s="77"/>
      <c r="AG292" s="77"/>
      <c r="AH292" s="77"/>
      <c r="AI292" s="77"/>
      <c r="AJ292" s="77"/>
      <c r="AK292" s="77"/>
      <c r="AL292" s="77"/>
      <c r="AM292" s="77"/>
      <c r="AN292" s="77"/>
      <c r="AO292" s="77"/>
      <c r="AP292" s="77"/>
      <c r="AQ292" s="77"/>
      <c r="AR292" s="77"/>
      <c r="AS292" s="77"/>
      <c r="AT292" s="77"/>
      <c r="AU292" s="77"/>
      <c r="AV292" s="77"/>
      <c r="AW292" s="77"/>
      <c r="AX292" s="77"/>
      <c r="AY292" s="77"/>
      <c r="AZ292" s="77"/>
      <c r="BA292" s="77"/>
      <c r="BB292" s="77"/>
      <c r="BC292" s="80"/>
      <c r="BD292" s="80"/>
      <c r="BE292" s="80"/>
      <c r="BF292" s="80"/>
      <c r="BG292" s="80"/>
      <c r="BH292" s="80"/>
      <c r="BI292" s="80"/>
      <c r="BJ292" s="80"/>
      <c r="BK292" s="80"/>
      <c r="BL292" s="80"/>
      <c r="BM292" s="80"/>
      <c r="BN292" s="80"/>
      <c r="BO292" s="80"/>
      <c r="BP292" s="80"/>
      <c r="BQ292" s="80"/>
      <c r="BR292" s="80"/>
      <c r="BS292" s="80"/>
      <c r="BT292" s="80"/>
      <c r="BU292" s="80"/>
      <c r="BV292" s="80"/>
      <c r="BW292" s="80"/>
      <c r="BX292" s="80"/>
    </row>
    <row r="293" spans="1:76" s="81" customFormat="1" hidden="1">
      <c r="A293" s="77"/>
      <c r="B293" s="77"/>
      <c r="C293" s="77"/>
      <c r="D293" s="78"/>
      <c r="E293" s="79"/>
      <c r="F293" s="79"/>
      <c r="G293" s="79"/>
      <c r="H293" s="79"/>
      <c r="I293" s="79"/>
      <c r="J293" s="79"/>
      <c r="K293" s="79"/>
      <c r="L293" s="79"/>
      <c r="M293" s="79"/>
      <c r="N293" s="79"/>
      <c r="O293" s="79"/>
      <c r="P293" s="79"/>
      <c r="Q293" s="79"/>
      <c r="R293" s="79"/>
      <c r="S293" s="79"/>
      <c r="T293" s="79"/>
      <c r="U293" s="79"/>
      <c r="V293" s="79"/>
      <c r="W293" s="79"/>
      <c r="X293" s="79"/>
      <c r="Y293" s="77"/>
      <c r="Z293" s="77"/>
      <c r="AA293" s="77"/>
      <c r="AB293" s="77"/>
      <c r="AC293" s="77"/>
      <c r="AD293" s="77"/>
      <c r="AE293" s="77"/>
      <c r="AF293" s="77"/>
      <c r="AG293" s="77"/>
      <c r="AH293" s="77"/>
      <c r="AI293" s="77"/>
      <c r="AJ293" s="77"/>
      <c r="AK293" s="77"/>
      <c r="AL293" s="77"/>
      <c r="AM293" s="77"/>
      <c r="AN293" s="77"/>
      <c r="AO293" s="77"/>
      <c r="AP293" s="77"/>
      <c r="AQ293" s="77"/>
      <c r="AR293" s="77"/>
      <c r="AS293" s="77"/>
      <c r="AT293" s="77"/>
      <c r="AU293" s="77"/>
      <c r="AV293" s="77"/>
      <c r="AW293" s="77"/>
      <c r="AX293" s="77"/>
      <c r="AY293" s="77"/>
      <c r="AZ293" s="77"/>
      <c r="BA293" s="77"/>
      <c r="BB293" s="77"/>
      <c r="BC293" s="80"/>
      <c r="BD293" s="80"/>
      <c r="BE293" s="80"/>
      <c r="BF293" s="80"/>
      <c r="BG293" s="80"/>
      <c r="BH293" s="80"/>
      <c r="BI293" s="80"/>
      <c r="BJ293" s="80"/>
      <c r="BK293" s="80"/>
      <c r="BL293" s="80"/>
      <c r="BM293" s="80"/>
      <c r="BN293" s="80"/>
      <c r="BO293" s="80"/>
      <c r="BP293" s="80"/>
      <c r="BQ293" s="80"/>
      <c r="BR293" s="80"/>
      <c r="BS293" s="80"/>
      <c r="BT293" s="80"/>
      <c r="BU293" s="80"/>
      <c r="BV293" s="80"/>
      <c r="BW293" s="80"/>
      <c r="BX293" s="80"/>
    </row>
    <row r="294" spans="1:76" s="81" customFormat="1" hidden="1">
      <c r="A294" s="77"/>
      <c r="B294" s="77"/>
      <c r="C294" s="77"/>
      <c r="D294" s="78"/>
      <c r="E294" s="79"/>
      <c r="F294" s="79"/>
      <c r="G294" s="79"/>
      <c r="H294" s="79"/>
      <c r="I294" s="79"/>
      <c r="J294" s="79"/>
      <c r="K294" s="79"/>
      <c r="L294" s="79"/>
      <c r="M294" s="79"/>
      <c r="N294" s="79"/>
      <c r="O294" s="79"/>
      <c r="P294" s="79"/>
      <c r="Q294" s="79"/>
      <c r="R294" s="79"/>
      <c r="S294" s="79"/>
      <c r="T294" s="79"/>
      <c r="U294" s="79"/>
      <c r="V294" s="79"/>
      <c r="W294" s="79"/>
      <c r="X294" s="79"/>
      <c r="Y294" s="77"/>
      <c r="Z294" s="77"/>
      <c r="AA294" s="77"/>
      <c r="AB294" s="77"/>
      <c r="AC294" s="77"/>
      <c r="AD294" s="77"/>
      <c r="AE294" s="77"/>
      <c r="AF294" s="77"/>
      <c r="AG294" s="77"/>
      <c r="AH294" s="77"/>
      <c r="AI294" s="77"/>
      <c r="AJ294" s="77"/>
      <c r="AK294" s="77"/>
      <c r="AL294" s="77"/>
      <c r="AM294" s="77"/>
      <c r="AN294" s="77"/>
      <c r="AO294" s="77"/>
      <c r="AP294" s="77"/>
      <c r="AQ294" s="77"/>
      <c r="AR294" s="77"/>
      <c r="AS294" s="77"/>
      <c r="AT294" s="77"/>
      <c r="AU294" s="77"/>
      <c r="AV294" s="77"/>
      <c r="AW294" s="77"/>
      <c r="AX294" s="77"/>
      <c r="AY294" s="77"/>
      <c r="AZ294" s="77"/>
      <c r="BA294" s="77"/>
      <c r="BB294" s="77"/>
      <c r="BC294" s="80"/>
      <c r="BD294" s="80"/>
      <c r="BE294" s="80"/>
      <c r="BF294" s="80"/>
      <c r="BG294" s="80"/>
      <c r="BH294" s="80"/>
      <c r="BI294" s="80"/>
      <c r="BJ294" s="80"/>
      <c r="BK294" s="80"/>
      <c r="BL294" s="80"/>
      <c r="BM294" s="80"/>
      <c r="BN294" s="80"/>
      <c r="BO294" s="80"/>
      <c r="BP294" s="80"/>
      <c r="BQ294" s="80"/>
      <c r="BR294" s="80"/>
      <c r="BS294" s="80"/>
      <c r="BT294" s="80"/>
      <c r="BU294" s="80"/>
      <c r="BV294" s="80"/>
      <c r="BW294" s="80"/>
      <c r="BX294" s="80"/>
    </row>
    <row r="295" spans="1:76" s="81" customFormat="1" hidden="1">
      <c r="A295" s="77"/>
      <c r="B295" s="77"/>
      <c r="C295" s="77"/>
      <c r="D295" s="78"/>
      <c r="E295" s="79"/>
      <c r="F295" s="79"/>
      <c r="G295" s="79"/>
      <c r="H295" s="79"/>
      <c r="I295" s="79"/>
      <c r="J295" s="79"/>
      <c r="K295" s="79"/>
      <c r="L295" s="79"/>
      <c r="M295" s="79"/>
      <c r="N295" s="79"/>
      <c r="O295" s="79"/>
      <c r="P295" s="79"/>
      <c r="Q295" s="79"/>
      <c r="R295" s="79"/>
      <c r="S295" s="79"/>
      <c r="T295" s="79"/>
      <c r="U295" s="79"/>
      <c r="V295" s="79"/>
      <c r="W295" s="79"/>
      <c r="X295" s="79"/>
      <c r="Y295" s="77"/>
      <c r="Z295" s="77"/>
      <c r="AA295" s="77"/>
      <c r="AB295" s="77"/>
      <c r="AC295" s="77"/>
      <c r="AD295" s="77"/>
      <c r="AE295" s="77"/>
      <c r="AF295" s="77"/>
      <c r="AG295" s="77"/>
      <c r="AH295" s="77"/>
      <c r="AI295" s="77"/>
      <c r="AJ295" s="77"/>
      <c r="AK295" s="77"/>
      <c r="AL295" s="77"/>
      <c r="AM295" s="77"/>
      <c r="AN295" s="77"/>
      <c r="AO295" s="77"/>
      <c r="AP295" s="77"/>
      <c r="AQ295" s="77"/>
      <c r="AR295" s="77"/>
      <c r="AS295" s="77"/>
      <c r="AT295" s="77"/>
      <c r="AU295" s="77"/>
      <c r="AV295" s="77"/>
      <c r="AW295" s="77"/>
      <c r="AX295" s="77"/>
      <c r="AY295" s="77"/>
      <c r="AZ295" s="77"/>
      <c r="BA295" s="77"/>
      <c r="BB295" s="77"/>
      <c r="BC295" s="80"/>
      <c r="BD295" s="80"/>
      <c r="BE295" s="80"/>
      <c r="BF295" s="80"/>
      <c r="BG295" s="80"/>
      <c r="BH295" s="80"/>
      <c r="BI295" s="80"/>
      <c r="BJ295" s="80"/>
      <c r="BK295" s="80"/>
      <c r="BL295" s="80"/>
      <c r="BM295" s="80"/>
      <c r="BN295" s="80"/>
      <c r="BO295" s="80"/>
      <c r="BP295" s="80"/>
      <c r="BQ295" s="80"/>
      <c r="BR295" s="80"/>
      <c r="BS295" s="80"/>
      <c r="BT295" s="80"/>
      <c r="BU295" s="80"/>
      <c r="BV295" s="80"/>
      <c r="BW295" s="80"/>
      <c r="BX295" s="80"/>
    </row>
    <row r="296" spans="1:76" s="81" customFormat="1" hidden="1">
      <c r="A296" s="77"/>
      <c r="B296" s="77"/>
      <c r="C296" s="77"/>
      <c r="D296" s="78"/>
      <c r="E296" s="79"/>
      <c r="F296" s="79"/>
      <c r="G296" s="79"/>
      <c r="H296" s="79"/>
      <c r="I296" s="79"/>
      <c r="J296" s="79"/>
      <c r="K296" s="79"/>
      <c r="L296" s="79"/>
      <c r="M296" s="79"/>
      <c r="N296" s="79"/>
      <c r="O296" s="79"/>
      <c r="P296" s="79"/>
      <c r="Q296" s="79"/>
      <c r="R296" s="79"/>
      <c r="S296" s="79"/>
      <c r="T296" s="79"/>
      <c r="U296" s="79"/>
      <c r="V296" s="79"/>
      <c r="W296" s="79"/>
      <c r="X296" s="79"/>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80"/>
      <c r="BD296" s="80"/>
      <c r="BE296" s="80"/>
      <c r="BF296" s="80"/>
      <c r="BG296" s="80"/>
      <c r="BH296" s="80"/>
      <c r="BI296" s="80"/>
      <c r="BJ296" s="80"/>
      <c r="BK296" s="80"/>
      <c r="BL296" s="80"/>
      <c r="BM296" s="80"/>
      <c r="BN296" s="80"/>
      <c r="BO296" s="80"/>
      <c r="BP296" s="80"/>
      <c r="BQ296" s="80"/>
      <c r="BR296" s="80"/>
      <c r="BS296" s="80"/>
      <c r="BT296" s="80"/>
      <c r="BU296" s="80"/>
      <c r="BV296" s="80"/>
      <c r="BW296" s="80"/>
      <c r="BX296" s="80"/>
    </row>
    <row r="297" spans="1:76" s="81" customFormat="1" hidden="1">
      <c r="A297" s="77"/>
      <c r="B297" s="77"/>
      <c r="C297" s="77"/>
      <c r="D297" s="78"/>
      <c r="E297" s="79"/>
      <c r="F297" s="79"/>
      <c r="G297" s="79"/>
      <c r="H297" s="79"/>
      <c r="I297" s="79"/>
      <c r="J297" s="79"/>
      <c r="K297" s="79"/>
      <c r="L297" s="79"/>
      <c r="M297" s="79"/>
      <c r="N297" s="79"/>
      <c r="O297" s="79"/>
      <c r="P297" s="79"/>
      <c r="Q297" s="79"/>
      <c r="R297" s="79"/>
      <c r="S297" s="79"/>
      <c r="T297" s="79"/>
      <c r="U297" s="79"/>
      <c r="V297" s="79"/>
      <c r="W297" s="79"/>
      <c r="X297" s="79"/>
      <c r="Y297" s="77"/>
      <c r="Z297" s="77"/>
      <c r="AA297" s="77"/>
      <c r="AB297" s="77"/>
      <c r="AC297" s="77"/>
      <c r="AD297" s="77"/>
      <c r="AE297" s="77"/>
      <c r="AF297" s="77"/>
      <c r="AG297" s="77"/>
      <c r="AH297" s="77"/>
      <c r="AI297" s="77"/>
      <c r="AJ297" s="77"/>
      <c r="AK297" s="77"/>
      <c r="AL297" s="77"/>
      <c r="AM297" s="77"/>
      <c r="AN297" s="77"/>
      <c r="AO297" s="77"/>
      <c r="AP297" s="77"/>
      <c r="AQ297" s="77"/>
      <c r="AR297" s="77"/>
      <c r="AS297" s="77"/>
      <c r="AT297" s="77"/>
      <c r="AU297" s="77"/>
      <c r="AV297" s="77"/>
      <c r="AW297" s="77"/>
      <c r="AX297" s="77"/>
      <c r="AY297" s="77"/>
      <c r="AZ297" s="77"/>
      <c r="BA297" s="77"/>
      <c r="BB297" s="77"/>
      <c r="BC297" s="80"/>
      <c r="BD297" s="80"/>
      <c r="BE297" s="80"/>
      <c r="BF297" s="80"/>
      <c r="BG297" s="80"/>
      <c r="BH297" s="80"/>
      <c r="BI297" s="80"/>
      <c r="BJ297" s="80"/>
      <c r="BK297" s="80"/>
      <c r="BL297" s="80"/>
      <c r="BM297" s="80"/>
      <c r="BN297" s="80"/>
      <c r="BO297" s="80"/>
      <c r="BP297" s="80"/>
      <c r="BQ297" s="80"/>
      <c r="BR297" s="80"/>
      <c r="BS297" s="80"/>
      <c r="BT297" s="80"/>
      <c r="BU297" s="80"/>
      <c r="BV297" s="80"/>
      <c r="BW297" s="80"/>
      <c r="BX297" s="80"/>
    </row>
    <row r="298" spans="1:76" s="81" customFormat="1" hidden="1">
      <c r="A298" s="77"/>
      <c r="B298" s="77"/>
      <c r="C298" s="77"/>
      <c r="D298" s="78"/>
      <c r="E298" s="79"/>
      <c r="F298" s="79"/>
      <c r="G298" s="79"/>
      <c r="H298" s="79"/>
      <c r="I298" s="79"/>
      <c r="J298" s="79"/>
      <c r="K298" s="79"/>
      <c r="L298" s="79"/>
      <c r="M298" s="79"/>
      <c r="N298" s="79"/>
      <c r="O298" s="79"/>
      <c r="P298" s="79"/>
      <c r="Q298" s="79"/>
      <c r="R298" s="79"/>
      <c r="S298" s="79"/>
      <c r="T298" s="79"/>
      <c r="U298" s="79"/>
      <c r="V298" s="79"/>
      <c r="W298" s="79"/>
      <c r="X298" s="79"/>
      <c r="Y298" s="77"/>
      <c r="Z298" s="77"/>
      <c r="AA298" s="77"/>
      <c r="AB298" s="77"/>
      <c r="AC298" s="77"/>
      <c r="AD298" s="77"/>
      <c r="AE298" s="77"/>
      <c r="AF298" s="77"/>
      <c r="AG298" s="77"/>
      <c r="AH298" s="77"/>
      <c r="AI298" s="77"/>
      <c r="AJ298" s="77"/>
      <c r="AK298" s="77"/>
      <c r="AL298" s="77"/>
      <c r="AM298" s="77"/>
      <c r="AN298" s="77"/>
      <c r="AO298" s="77"/>
      <c r="AP298" s="77"/>
      <c r="AQ298" s="77"/>
      <c r="AR298" s="77"/>
      <c r="AS298" s="77"/>
      <c r="AT298" s="77"/>
      <c r="AU298" s="77"/>
      <c r="AV298" s="77"/>
      <c r="AW298" s="77"/>
      <c r="AX298" s="77"/>
      <c r="AY298" s="77"/>
      <c r="AZ298" s="77"/>
      <c r="BA298" s="77"/>
      <c r="BB298" s="77"/>
      <c r="BC298" s="80"/>
      <c r="BD298" s="80"/>
      <c r="BE298" s="80"/>
      <c r="BF298" s="80"/>
      <c r="BG298" s="80"/>
      <c r="BH298" s="80"/>
      <c r="BI298" s="80"/>
      <c r="BJ298" s="80"/>
      <c r="BK298" s="80"/>
      <c r="BL298" s="80"/>
      <c r="BM298" s="80"/>
      <c r="BN298" s="80"/>
      <c r="BO298" s="80"/>
      <c r="BP298" s="80"/>
      <c r="BQ298" s="80"/>
      <c r="BR298" s="80"/>
      <c r="BS298" s="80"/>
      <c r="BT298" s="80"/>
      <c r="BU298" s="80"/>
      <c r="BV298" s="80"/>
      <c r="BW298" s="80"/>
      <c r="BX298" s="80"/>
    </row>
    <row r="299" spans="1:76" s="81" customFormat="1" hidden="1">
      <c r="A299" s="77"/>
      <c r="B299" s="77"/>
      <c r="C299" s="77"/>
      <c r="D299" s="78"/>
      <c r="E299" s="79"/>
      <c r="F299" s="79"/>
      <c r="G299" s="79"/>
      <c r="H299" s="79"/>
      <c r="I299" s="79"/>
      <c r="J299" s="79"/>
      <c r="K299" s="79"/>
      <c r="L299" s="79"/>
      <c r="M299" s="79"/>
      <c r="N299" s="79"/>
      <c r="O299" s="79"/>
      <c r="P299" s="79"/>
      <c r="Q299" s="79"/>
      <c r="R299" s="79"/>
      <c r="S299" s="79"/>
      <c r="T299" s="79"/>
      <c r="U299" s="79"/>
      <c r="V299" s="79"/>
      <c r="W299" s="79"/>
      <c r="X299" s="79"/>
      <c r="Y299" s="77"/>
      <c r="Z299" s="77"/>
      <c r="AA299" s="77"/>
      <c r="AB299" s="77"/>
      <c r="AC299" s="77"/>
      <c r="AD299" s="77"/>
      <c r="AE299" s="77"/>
      <c r="AF299" s="77"/>
      <c r="AG299" s="77"/>
      <c r="AH299" s="77"/>
      <c r="AI299" s="77"/>
      <c r="AJ299" s="77"/>
      <c r="AK299" s="77"/>
      <c r="AL299" s="77"/>
      <c r="AM299" s="77"/>
      <c r="AN299" s="77"/>
      <c r="AO299" s="77"/>
      <c r="AP299" s="77"/>
      <c r="AQ299" s="77"/>
      <c r="AR299" s="77"/>
      <c r="AS299" s="77"/>
      <c r="AT299" s="77"/>
      <c r="AU299" s="77"/>
      <c r="AV299" s="77"/>
      <c r="AW299" s="77"/>
      <c r="AX299" s="77"/>
      <c r="AY299" s="77"/>
      <c r="AZ299" s="77"/>
      <c r="BA299" s="77"/>
      <c r="BB299" s="77"/>
      <c r="BC299" s="80"/>
      <c r="BD299" s="80"/>
      <c r="BE299" s="80"/>
      <c r="BF299" s="80"/>
      <c r="BG299" s="80"/>
      <c r="BH299" s="80"/>
      <c r="BI299" s="80"/>
      <c r="BJ299" s="80"/>
      <c r="BK299" s="80"/>
      <c r="BL299" s="80"/>
      <c r="BM299" s="80"/>
      <c r="BN299" s="80"/>
      <c r="BO299" s="80"/>
      <c r="BP299" s="80"/>
      <c r="BQ299" s="80"/>
      <c r="BR299" s="80"/>
      <c r="BS299" s="80"/>
      <c r="BT299" s="80"/>
      <c r="BU299" s="80"/>
      <c r="BV299" s="80"/>
      <c r="BW299" s="80"/>
      <c r="BX299" s="80"/>
    </row>
    <row r="300" spans="1:76" s="81" customFormat="1" hidden="1">
      <c r="A300" s="77"/>
      <c r="B300" s="77"/>
      <c r="C300" s="77"/>
      <c r="D300" s="78"/>
      <c r="E300" s="79"/>
      <c r="F300" s="79"/>
      <c r="G300" s="79"/>
      <c r="H300" s="79"/>
      <c r="I300" s="79"/>
      <c r="J300" s="79"/>
      <c r="K300" s="79"/>
      <c r="L300" s="79"/>
      <c r="M300" s="79"/>
      <c r="N300" s="79"/>
      <c r="O300" s="79"/>
      <c r="P300" s="79"/>
      <c r="Q300" s="79"/>
      <c r="R300" s="79"/>
      <c r="S300" s="79"/>
      <c r="T300" s="79"/>
      <c r="U300" s="79"/>
      <c r="V300" s="79"/>
      <c r="W300" s="79"/>
      <c r="X300" s="79"/>
      <c r="Y300" s="77"/>
      <c r="Z300" s="77"/>
      <c r="AA300" s="77"/>
      <c r="AB300" s="77"/>
      <c r="AC300" s="77"/>
      <c r="AD300" s="77"/>
      <c r="AE300" s="77"/>
      <c r="AF300" s="77"/>
      <c r="AG300" s="77"/>
      <c r="AH300" s="77"/>
      <c r="AI300" s="77"/>
      <c r="AJ300" s="77"/>
      <c r="AK300" s="77"/>
      <c r="AL300" s="77"/>
      <c r="AM300" s="77"/>
      <c r="AN300" s="77"/>
      <c r="AO300" s="77"/>
      <c r="AP300" s="77"/>
      <c r="AQ300" s="77"/>
      <c r="AR300" s="77"/>
      <c r="AS300" s="77"/>
      <c r="AT300" s="77"/>
      <c r="AU300" s="77"/>
      <c r="AV300" s="77"/>
      <c r="AW300" s="77"/>
      <c r="AX300" s="77"/>
      <c r="AY300" s="77"/>
      <c r="AZ300" s="77"/>
      <c r="BA300" s="77"/>
      <c r="BB300" s="77"/>
      <c r="BC300" s="80"/>
      <c r="BD300" s="80"/>
      <c r="BE300" s="80"/>
      <c r="BF300" s="80"/>
      <c r="BG300" s="80"/>
      <c r="BH300" s="80"/>
      <c r="BI300" s="80"/>
      <c r="BJ300" s="80"/>
      <c r="BK300" s="80"/>
      <c r="BL300" s="80"/>
      <c r="BM300" s="80"/>
      <c r="BN300" s="80"/>
      <c r="BO300" s="80"/>
      <c r="BP300" s="80"/>
      <c r="BQ300" s="80"/>
      <c r="BR300" s="80"/>
      <c r="BS300" s="80"/>
      <c r="BT300" s="80"/>
      <c r="BU300" s="80"/>
      <c r="BV300" s="80"/>
      <c r="BW300" s="80"/>
      <c r="BX300" s="80"/>
    </row>
    <row r="301" spans="1:76" s="81" customFormat="1" hidden="1">
      <c r="A301" s="77"/>
      <c r="B301" s="77"/>
      <c r="C301" s="77"/>
      <c r="D301" s="78"/>
      <c r="E301" s="79"/>
      <c r="F301" s="79"/>
      <c r="G301" s="79"/>
      <c r="H301" s="79"/>
      <c r="I301" s="79"/>
      <c r="J301" s="79"/>
      <c r="K301" s="79"/>
      <c r="L301" s="79"/>
      <c r="M301" s="79"/>
      <c r="N301" s="79"/>
      <c r="O301" s="79"/>
      <c r="P301" s="79"/>
      <c r="Q301" s="79"/>
      <c r="R301" s="79"/>
      <c r="S301" s="79"/>
      <c r="T301" s="79"/>
      <c r="U301" s="79"/>
      <c r="V301" s="79"/>
      <c r="W301" s="79"/>
      <c r="X301" s="79"/>
      <c r="Y301" s="77"/>
      <c r="Z301" s="77"/>
      <c r="AA301" s="77"/>
      <c r="AB301" s="77"/>
      <c r="AC301" s="77"/>
      <c r="AD301" s="77"/>
      <c r="AE301" s="77"/>
      <c r="AF301" s="77"/>
      <c r="AG301" s="77"/>
      <c r="AH301" s="77"/>
      <c r="AI301" s="77"/>
      <c r="AJ301" s="77"/>
      <c r="AK301" s="77"/>
      <c r="AL301" s="77"/>
      <c r="AM301" s="77"/>
      <c r="AN301" s="77"/>
      <c r="AO301" s="77"/>
      <c r="AP301" s="77"/>
      <c r="AQ301" s="77"/>
      <c r="AR301" s="77"/>
      <c r="AS301" s="77"/>
      <c r="AT301" s="77"/>
      <c r="AU301" s="77"/>
      <c r="AV301" s="77"/>
      <c r="AW301" s="77"/>
      <c r="AX301" s="77"/>
      <c r="AY301" s="77"/>
      <c r="AZ301" s="77"/>
      <c r="BA301" s="77"/>
      <c r="BB301" s="77"/>
      <c r="BC301" s="80"/>
      <c r="BD301" s="80"/>
      <c r="BE301" s="80"/>
      <c r="BF301" s="80"/>
      <c r="BG301" s="80"/>
      <c r="BH301" s="80"/>
      <c r="BI301" s="80"/>
      <c r="BJ301" s="80"/>
      <c r="BK301" s="80"/>
      <c r="BL301" s="80"/>
      <c r="BM301" s="80"/>
      <c r="BN301" s="80"/>
      <c r="BO301" s="80"/>
      <c r="BP301" s="80"/>
      <c r="BQ301" s="80"/>
      <c r="BR301" s="80"/>
      <c r="BS301" s="80"/>
      <c r="BT301" s="80"/>
      <c r="BU301" s="80"/>
      <c r="BV301" s="80"/>
      <c r="BW301" s="80"/>
      <c r="BX301" s="80"/>
    </row>
    <row r="302" spans="1:76" s="81" customFormat="1" hidden="1">
      <c r="A302" s="77"/>
      <c r="B302" s="77"/>
      <c r="C302" s="77"/>
      <c r="D302" s="78"/>
      <c r="E302" s="79"/>
      <c r="F302" s="79"/>
      <c r="G302" s="79"/>
      <c r="H302" s="79"/>
      <c r="I302" s="79"/>
      <c r="J302" s="79"/>
      <c r="K302" s="79"/>
      <c r="L302" s="79"/>
      <c r="M302" s="79"/>
      <c r="N302" s="79"/>
      <c r="O302" s="79"/>
      <c r="P302" s="79"/>
      <c r="Q302" s="79"/>
      <c r="R302" s="79"/>
      <c r="S302" s="79"/>
      <c r="T302" s="79"/>
      <c r="U302" s="79"/>
      <c r="V302" s="79"/>
      <c r="W302" s="79"/>
      <c r="X302" s="79"/>
      <c r="Y302" s="77"/>
      <c r="Z302" s="77"/>
      <c r="AA302" s="77"/>
      <c r="AB302" s="77"/>
      <c r="AC302" s="77"/>
      <c r="AD302" s="77"/>
      <c r="AE302" s="77"/>
      <c r="AF302" s="77"/>
      <c r="AG302" s="77"/>
      <c r="AH302" s="77"/>
      <c r="AI302" s="77"/>
      <c r="AJ302" s="77"/>
      <c r="AK302" s="77"/>
      <c r="AL302" s="77"/>
      <c r="AM302" s="77"/>
      <c r="AN302" s="77"/>
      <c r="AO302" s="77"/>
      <c r="AP302" s="77"/>
      <c r="AQ302" s="77"/>
      <c r="AR302" s="77"/>
      <c r="AS302" s="77"/>
      <c r="AT302" s="77"/>
      <c r="AU302" s="77"/>
      <c r="AV302" s="77"/>
      <c r="AW302" s="77"/>
      <c r="AX302" s="77"/>
      <c r="AY302" s="77"/>
      <c r="AZ302" s="77"/>
      <c r="BA302" s="77"/>
      <c r="BB302" s="77"/>
      <c r="BC302" s="80"/>
      <c r="BD302" s="80"/>
      <c r="BE302" s="80"/>
      <c r="BF302" s="80"/>
      <c r="BG302" s="80"/>
      <c r="BH302" s="80"/>
      <c r="BI302" s="80"/>
      <c r="BJ302" s="80"/>
      <c r="BK302" s="80"/>
      <c r="BL302" s="80"/>
      <c r="BM302" s="80"/>
      <c r="BN302" s="80"/>
      <c r="BO302" s="80"/>
      <c r="BP302" s="80"/>
      <c r="BQ302" s="80"/>
      <c r="BR302" s="80"/>
      <c r="BS302" s="80"/>
      <c r="BT302" s="80"/>
      <c r="BU302" s="80"/>
      <c r="BV302" s="80"/>
      <c r="BW302" s="80"/>
      <c r="BX302" s="80"/>
    </row>
    <row r="303" spans="1:76" s="81" customFormat="1" hidden="1">
      <c r="A303" s="77"/>
      <c r="B303" s="77"/>
      <c r="C303" s="77"/>
      <c r="D303" s="78"/>
      <c r="E303" s="79"/>
      <c r="F303" s="79"/>
      <c r="G303" s="79"/>
      <c r="H303" s="79"/>
      <c r="I303" s="79"/>
      <c r="J303" s="79"/>
      <c r="K303" s="79"/>
      <c r="L303" s="79"/>
      <c r="M303" s="79"/>
      <c r="N303" s="79"/>
      <c r="O303" s="79"/>
      <c r="P303" s="79"/>
      <c r="Q303" s="79"/>
      <c r="R303" s="79"/>
      <c r="S303" s="79"/>
      <c r="T303" s="79"/>
      <c r="U303" s="79"/>
      <c r="V303" s="79"/>
      <c r="W303" s="79"/>
      <c r="X303" s="79"/>
      <c r="Y303" s="77"/>
      <c r="Z303" s="77"/>
      <c r="AA303" s="77"/>
      <c r="AB303" s="77"/>
      <c r="AC303" s="77"/>
      <c r="AD303" s="77"/>
      <c r="AE303" s="77"/>
      <c r="AF303" s="77"/>
      <c r="AG303" s="77"/>
      <c r="AH303" s="77"/>
      <c r="AI303" s="77"/>
      <c r="AJ303" s="77"/>
      <c r="AK303" s="77"/>
      <c r="AL303" s="77"/>
      <c r="AM303" s="77"/>
      <c r="AN303" s="77"/>
      <c r="AO303" s="77"/>
      <c r="AP303" s="77"/>
      <c r="AQ303" s="77"/>
      <c r="AR303" s="77"/>
      <c r="AS303" s="77"/>
      <c r="AT303" s="77"/>
      <c r="AU303" s="77"/>
      <c r="AV303" s="77"/>
      <c r="AW303" s="77"/>
      <c r="AX303" s="77"/>
      <c r="AY303" s="77"/>
      <c r="AZ303" s="77"/>
      <c r="BA303" s="77"/>
      <c r="BB303" s="77"/>
      <c r="BC303" s="80"/>
      <c r="BD303" s="80"/>
      <c r="BE303" s="80"/>
      <c r="BF303" s="80"/>
      <c r="BG303" s="80"/>
      <c r="BH303" s="80"/>
      <c r="BI303" s="80"/>
      <c r="BJ303" s="80"/>
      <c r="BK303" s="80"/>
      <c r="BL303" s="80"/>
      <c r="BM303" s="80"/>
      <c r="BN303" s="80"/>
      <c r="BO303" s="80"/>
      <c r="BP303" s="80"/>
      <c r="BQ303" s="80"/>
      <c r="BR303" s="80"/>
      <c r="BS303" s="80"/>
      <c r="BT303" s="80"/>
      <c r="BU303" s="80"/>
      <c r="BV303" s="80"/>
      <c r="BW303" s="80"/>
      <c r="BX303" s="80"/>
    </row>
    <row r="304" spans="1:76" s="81" customFormat="1" hidden="1">
      <c r="A304" s="77"/>
      <c r="B304" s="77"/>
      <c r="C304" s="77"/>
      <c r="D304" s="78"/>
      <c r="E304" s="79"/>
      <c r="F304" s="79"/>
      <c r="G304" s="79"/>
      <c r="H304" s="79"/>
      <c r="I304" s="79"/>
      <c r="J304" s="79"/>
      <c r="K304" s="79"/>
      <c r="L304" s="79"/>
      <c r="M304" s="79"/>
      <c r="N304" s="79"/>
      <c r="O304" s="79"/>
      <c r="P304" s="79"/>
      <c r="Q304" s="79"/>
      <c r="R304" s="79"/>
      <c r="S304" s="79"/>
      <c r="T304" s="79"/>
      <c r="U304" s="79"/>
      <c r="V304" s="79"/>
      <c r="W304" s="79"/>
      <c r="X304" s="79"/>
      <c r="Y304" s="77"/>
      <c r="Z304" s="77"/>
      <c r="AA304" s="77"/>
      <c r="AB304" s="77"/>
      <c r="AC304" s="77"/>
      <c r="AD304" s="77"/>
      <c r="AE304" s="77"/>
      <c r="AF304" s="77"/>
      <c r="AG304" s="77"/>
      <c r="AH304" s="77"/>
      <c r="AI304" s="77"/>
      <c r="AJ304" s="77"/>
      <c r="AK304" s="77"/>
      <c r="AL304" s="77"/>
      <c r="AM304" s="77"/>
      <c r="AN304" s="77"/>
      <c r="AO304" s="77"/>
      <c r="AP304" s="77"/>
      <c r="AQ304" s="77"/>
      <c r="AR304" s="77"/>
      <c r="AS304" s="77"/>
      <c r="AT304" s="77"/>
      <c r="AU304" s="77"/>
      <c r="AV304" s="77"/>
      <c r="AW304" s="77"/>
      <c r="AX304" s="77"/>
      <c r="AY304" s="77"/>
      <c r="AZ304" s="77"/>
      <c r="BA304" s="77"/>
      <c r="BB304" s="77"/>
      <c r="BC304" s="80"/>
      <c r="BD304" s="80"/>
      <c r="BE304" s="80"/>
      <c r="BF304" s="80"/>
      <c r="BG304" s="80"/>
      <c r="BH304" s="80"/>
      <c r="BI304" s="80"/>
      <c r="BJ304" s="80"/>
      <c r="BK304" s="80"/>
      <c r="BL304" s="80"/>
      <c r="BM304" s="80"/>
      <c r="BN304" s="80"/>
      <c r="BO304" s="80"/>
      <c r="BP304" s="80"/>
      <c r="BQ304" s="80"/>
      <c r="BR304" s="80"/>
      <c r="BS304" s="80"/>
      <c r="BT304" s="80"/>
      <c r="BU304" s="80"/>
      <c r="BV304" s="80"/>
      <c r="BW304" s="80"/>
      <c r="BX304" s="80"/>
    </row>
    <row r="305" spans="1:76" s="81" customFormat="1" hidden="1">
      <c r="A305" s="77"/>
      <c r="B305" s="77"/>
      <c r="C305" s="77"/>
      <c r="D305" s="78"/>
      <c r="E305" s="79"/>
      <c r="F305" s="79"/>
      <c r="G305" s="79"/>
      <c r="H305" s="79"/>
      <c r="I305" s="79"/>
      <c r="J305" s="79"/>
      <c r="K305" s="79"/>
      <c r="L305" s="79"/>
      <c r="M305" s="79"/>
      <c r="N305" s="79"/>
      <c r="O305" s="79"/>
      <c r="P305" s="79"/>
      <c r="Q305" s="79"/>
      <c r="R305" s="79"/>
      <c r="S305" s="79"/>
      <c r="T305" s="79"/>
      <c r="U305" s="79"/>
      <c r="V305" s="79"/>
      <c r="W305" s="79"/>
      <c r="X305" s="79"/>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80"/>
      <c r="BD305" s="80"/>
      <c r="BE305" s="80"/>
      <c r="BF305" s="80"/>
      <c r="BG305" s="80"/>
      <c r="BH305" s="80"/>
      <c r="BI305" s="80"/>
      <c r="BJ305" s="80"/>
      <c r="BK305" s="80"/>
      <c r="BL305" s="80"/>
      <c r="BM305" s="80"/>
      <c r="BN305" s="80"/>
      <c r="BO305" s="80"/>
      <c r="BP305" s="80"/>
      <c r="BQ305" s="80"/>
      <c r="BR305" s="80"/>
      <c r="BS305" s="80"/>
      <c r="BT305" s="80"/>
      <c r="BU305" s="80"/>
      <c r="BV305" s="80"/>
      <c r="BW305" s="80"/>
      <c r="BX305" s="80"/>
    </row>
    <row r="306" spans="1:76" s="81" customFormat="1" hidden="1">
      <c r="A306" s="77"/>
      <c r="B306" s="77"/>
      <c r="C306" s="77"/>
      <c r="D306" s="78"/>
      <c r="E306" s="79"/>
      <c r="F306" s="79"/>
      <c r="G306" s="79"/>
      <c r="H306" s="79"/>
      <c r="I306" s="79"/>
      <c r="J306" s="79"/>
      <c r="K306" s="79"/>
      <c r="L306" s="79"/>
      <c r="M306" s="79"/>
      <c r="N306" s="79"/>
      <c r="O306" s="79"/>
      <c r="P306" s="79"/>
      <c r="Q306" s="79"/>
      <c r="R306" s="79"/>
      <c r="S306" s="79"/>
      <c r="T306" s="79"/>
      <c r="U306" s="79"/>
      <c r="V306" s="79"/>
      <c r="W306" s="79"/>
      <c r="X306" s="79"/>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80"/>
      <c r="BD306" s="80"/>
      <c r="BE306" s="80"/>
      <c r="BF306" s="80"/>
      <c r="BG306" s="80"/>
      <c r="BH306" s="80"/>
      <c r="BI306" s="80"/>
      <c r="BJ306" s="80"/>
      <c r="BK306" s="80"/>
      <c r="BL306" s="80"/>
      <c r="BM306" s="80"/>
      <c r="BN306" s="80"/>
      <c r="BO306" s="80"/>
      <c r="BP306" s="80"/>
      <c r="BQ306" s="80"/>
      <c r="BR306" s="80"/>
      <c r="BS306" s="80"/>
      <c r="BT306" s="80"/>
      <c r="BU306" s="80"/>
      <c r="BV306" s="80"/>
      <c r="BW306" s="80"/>
      <c r="BX306" s="80"/>
    </row>
    <row r="307" spans="1:76" s="81" customFormat="1" hidden="1">
      <c r="A307" s="77"/>
      <c r="B307" s="77"/>
      <c r="C307" s="77"/>
      <c r="D307" s="78"/>
      <c r="E307" s="79"/>
      <c r="F307" s="79"/>
      <c r="G307" s="79"/>
      <c r="H307" s="79"/>
      <c r="I307" s="79"/>
      <c r="J307" s="79"/>
      <c r="K307" s="79"/>
      <c r="L307" s="79"/>
      <c r="M307" s="79"/>
      <c r="N307" s="79"/>
      <c r="O307" s="79"/>
      <c r="P307" s="79"/>
      <c r="Q307" s="79"/>
      <c r="R307" s="79"/>
      <c r="S307" s="79"/>
      <c r="T307" s="79"/>
      <c r="U307" s="79"/>
      <c r="V307" s="79"/>
      <c r="W307" s="79"/>
      <c r="X307" s="79"/>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row>
    <row r="308" spans="1:76" s="81" customFormat="1" hidden="1">
      <c r="A308" s="77"/>
      <c r="B308" s="77"/>
      <c r="C308" s="77"/>
      <c r="D308" s="78"/>
      <c r="E308" s="79"/>
      <c r="F308" s="79"/>
      <c r="G308" s="79"/>
      <c r="H308" s="79"/>
      <c r="I308" s="79"/>
      <c r="J308" s="79"/>
      <c r="K308" s="79"/>
      <c r="L308" s="79"/>
      <c r="M308" s="79"/>
      <c r="N308" s="79"/>
      <c r="O308" s="79"/>
      <c r="P308" s="79"/>
      <c r="Q308" s="79"/>
      <c r="R308" s="79"/>
      <c r="S308" s="79"/>
      <c r="T308" s="79"/>
      <c r="U308" s="79"/>
      <c r="V308" s="79"/>
      <c r="W308" s="79"/>
      <c r="X308" s="79"/>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80"/>
      <c r="BD308" s="80"/>
      <c r="BE308" s="80"/>
      <c r="BF308" s="80"/>
      <c r="BG308" s="80"/>
      <c r="BH308" s="80"/>
      <c r="BI308" s="80"/>
      <c r="BJ308" s="80"/>
      <c r="BK308" s="80"/>
      <c r="BL308" s="80"/>
      <c r="BM308" s="80"/>
      <c r="BN308" s="80"/>
      <c r="BO308" s="80"/>
      <c r="BP308" s="80"/>
      <c r="BQ308" s="80"/>
      <c r="BR308" s="80"/>
      <c r="BS308" s="80"/>
      <c r="BT308" s="80"/>
      <c r="BU308" s="80"/>
      <c r="BV308" s="80"/>
      <c r="BW308" s="80"/>
      <c r="BX308" s="80"/>
    </row>
    <row r="309" spans="1:76" s="81" customFormat="1" hidden="1">
      <c r="A309" s="77"/>
      <c r="B309" s="77"/>
      <c r="C309" s="77"/>
      <c r="D309" s="78"/>
      <c r="E309" s="79"/>
      <c r="F309" s="79"/>
      <c r="G309" s="79"/>
      <c r="H309" s="79"/>
      <c r="I309" s="79"/>
      <c r="J309" s="79"/>
      <c r="K309" s="79"/>
      <c r="L309" s="79"/>
      <c r="M309" s="79"/>
      <c r="N309" s="79"/>
      <c r="O309" s="79"/>
      <c r="P309" s="79"/>
      <c r="Q309" s="79"/>
      <c r="R309" s="79"/>
      <c r="S309" s="79"/>
      <c r="T309" s="79"/>
      <c r="U309" s="79"/>
      <c r="V309" s="79"/>
      <c r="W309" s="79"/>
      <c r="X309" s="79"/>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80"/>
      <c r="BD309" s="80"/>
      <c r="BE309" s="80"/>
      <c r="BF309" s="80"/>
      <c r="BG309" s="80"/>
      <c r="BH309" s="80"/>
      <c r="BI309" s="80"/>
      <c r="BJ309" s="80"/>
      <c r="BK309" s="80"/>
      <c r="BL309" s="80"/>
      <c r="BM309" s="80"/>
      <c r="BN309" s="80"/>
      <c r="BO309" s="80"/>
      <c r="BP309" s="80"/>
      <c r="BQ309" s="80"/>
      <c r="BR309" s="80"/>
      <c r="BS309" s="80"/>
      <c r="BT309" s="80"/>
      <c r="BU309" s="80"/>
      <c r="BV309" s="80"/>
      <c r="BW309" s="80"/>
      <c r="BX309" s="80"/>
    </row>
    <row r="310" spans="1:76" s="81" customFormat="1" hidden="1">
      <c r="A310" s="77"/>
      <c r="B310" s="77"/>
      <c r="C310" s="77"/>
      <c r="D310" s="78"/>
      <c r="E310" s="79"/>
      <c r="F310" s="79"/>
      <c r="G310" s="79"/>
      <c r="H310" s="79"/>
      <c r="I310" s="79"/>
      <c r="J310" s="79"/>
      <c r="K310" s="79"/>
      <c r="L310" s="79"/>
      <c r="M310" s="79"/>
      <c r="N310" s="79"/>
      <c r="O310" s="79"/>
      <c r="P310" s="79"/>
      <c r="Q310" s="79"/>
      <c r="R310" s="79"/>
      <c r="S310" s="79"/>
      <c r="T310" s="79"/>
      <c r="U310" s="79"/>
      <c r="V310" s="79"/>
      <c r="W310" s="79"/>
      <c r="X310" s="79"/>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80"/>
      <c r="BD310" s="80"/>
      <c r="BE310" s="80"/>
      <c r="BF310" s="80"/>
      <c r="BG310" s="80"/>
      <c r="BH310" s="80"/>
      <c r="BI310" s="80"/>
      <c r="BJ310" s="80"/>
      <c r="BK310" s="80"/>
      <c r="BL310" s="80"/>
      <c r="BM310" s="80"/>
      <c r="BN310" s="80"/>
      <c r="BO310" s="80"/>
      <c r="BP310" s="80"/>
      <c r="BQ310" s="80"/>
      <c r="BR310" s="80"/>
      <c r="BS310" s="80"/>
      <c r="BT310" s="80"/>
      <c r="BU310" s="80"/>
      <c r="BV310" s="80"/>
      <c r="BW310" s="80"/>
      <c r="BX310" s="80"/>
    </row>
    <row r="311" spans="1:76" s="81" customFormat="1" hidden="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idden="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idden="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idden="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idden="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idden="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idden="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idden="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idden="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idden="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idden="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idden="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idden="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idden="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idden="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idden="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idden="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idden="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idden="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idden="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idden="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idden="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idden="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idden="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idden="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idden="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idden="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idden="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idden="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idden="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idden="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idden="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idden="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idden="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idden="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idden="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idden="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idden="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idden="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82"/>
      <c r="AV349" s="82"/>
      <c r="AW349" s="82"/>
      <c r="AX349" s="82"/>
      <c r="AY349" s="82"/>
      <c r="AZ349" s="82"/>
      <c r="BA349" s="82"/>
      <c r="BB349" s="82"/>
    </row>
    <row r="350" spans="1:76" s="81" customFormat="1" hidden="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82"/>
      <c r="AV350" s="82"/>
      <c r="AW350" s="82"/>
      <c r="AX350" s="82"/>
      <c r="AY350" s="82"/>
      <c r="AZ350" s="82"/>
      <c r="BA350" s="82"/>
      <c r="BB350" s="82"/>
    </row>
    <row r="351" spans="1:76" s="81" customFormat="1" hidden="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82"/>
      <c r="AV351" s="82"/>
      <c r="AW351" s="82"/>
      <c r="AX351" s="82"/>
      <c r="AY351" s="82"/>
      <c r="AZ351" s="82"/>
      <c r="BA351" s="82"/>
      <c r="BB351" s="82"/>
    </row>
    <row r="352" spans="1:76" s="81" customFormat="1" hidden="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82"/>
      <c r="AV352" s="82"/>
      <c r="AW352" s="82"/>
      <c r="AX352" s="82"/>
      <c r="AY352" s="82"/>
      <c r="AZ352" s="82"/>
      <c r="BA352" s="82"/>
      <c r="BB352" s="82"/>
    </row>
    <row r="353" spans="1:54" s="81" customFormat="1" hidden="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82"/>
      <c r="AV353" s="82"/>
      <c r="AW353" s="82"/>
      <c r="AX353" s="82"/>
      <c r="AY353" s="82"/>
      <c r="AZ353" s="82"/>
      <c r="BA353" s="82"/>
      <c r="BB353" s="82"/>
    </row>
    <row r="354" spans="1:54" s="81" customFormat="1" hidden="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82"/>
      <c r="AV354" s="82"/>
      <c r="AW354" s="82"/>
      <c r="AX354" s="82"/>
      <c r="AY354" s="82"/>
      <c r="AZ354" s="82"/>
      <c r="BA354" s="82"/>
      <c r="BB354" s="82"/>
    </row>
    <row r="355" spans="1:54" s="81" customFormat="1" hidden="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82"/>
      <c r="AV355" s="82"/>
      <c r="AW355" s="82"/>
      <c r="AX355" s="82"/>
      <c r="AY355" s="82"/>
      <c r="AZ355" s="82"/>
      <c r="BA355" s="82"/>
      <c r="BB355" s="82"/>
    </row>
    <row r="356" spans="1:54" s="81" customFormat="1" hidden="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82"/>
      <c r="AV356" s="82"/>
      <c r="AW356" s="82"/>
      <c r="AX356" s="82"/>
      <c r="AY356" s="82"/>
      <c r="AZ356" s="82"/>
      <c r="BA356" s="82"/>
      <c r="BB356" s="82"/>
    </row>
    <row r="357" spans="1:54" s="81" customFormat="1" hidden="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82"/>
      <c r="AV357" s="82"/>
      <c r="AW357" s="82"/>
      <c r="AX357" s="82"/>
      <c r="AY357" s="82"/>
      <c r="AZ357" s="82"/>
      <c r="BA357" s="82"/>
      <c r="BB357" s="82"/>
    </row>
    <row r="358" spans="1:54" s="81" customFormat="1" hidden="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82"/>
      <c r="AV358" s="82"/>
      <c r="AW358" s="82"/>
      <c r="AX358" s="82"/>
      <c r="AY358" s="82"/>
      <c r="AZ358" s="82"/>
      <c r="BA358" s="82"/>
      <c r="BB358" s="82"/>
    </row>
    <row r="359" spans="1:54" s="81" customFormat="1" hidden="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82"/>
      <c r="AV359" s="82"/>
      <c r="AW359" s="82"/>
      <c r="AX359" s="82"/>
      <c r="AY359" s="82"/>
      <c r="AZ359" s="82"/>
      <c r="BA359" s="82"/>
      <c r="BB359" s="82"/>
    </row>
    <row r="360" spans="1:54" s="81" customFormat="1" hidden="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82"/>
      <c r="AV360" s="82"/>
      <c r="AW360" s="82"/>
      <c r="AX360" s="82"/>
      <c r="AY360" s="82"/>
      <c r="AZ360" s="82"/>
      <c r="BA360" s="82"/>
      <c r="BB360" s="82"/>
    </row>
    <row r="361" spans="1:54" s="81" customFormat="1" hidden="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82"/>
      <c r="AV361" s="82"/>
      <c r="AW361" s="82"/>
      <c r="AX361" s="82"/>
      <c r="AY361" s="82"/>
      <c r="AZ361" s="82"/>
      <c r="BA361" s="82"/>
      <c r="BB361" s="82"/>
    </row>
    <row r="362" spans="1:54" s="81" customFormat="1" hidden="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82"/>
      <c r="AV362" s="82"/>
      <c r="AW362" s="82"/>
      <c r="AX362" s="82"/>
      <c r="AY362" s="82"/>
      <c r="AZ362" s="82"/>
      <c r="BA362" s="82"/>
      <c r="BB362" s="82"/>
    </row>
    <row r="363" spans="1:54" s="81" customFormat="1" hidden="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82"/>
      <c r="AV363" s="82"/>
      <c r="AW363" s="82"/>
      <c r="AX363" s="82"/>
      <c r="AY363" s="82"/>
      <c r="AZ363" s="82"/>
      <c r="BA363" s="82"/>
      <c r="BB363" s="82"/>
    </row>
    <row r="364" spans="1:54" s="81" customFormat="1" hidden="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82"/>
      <c r="AV364" s="82"/>
      <c r="AW364" s="82"/>
      <c r="AX364" s="82"/>
      <c r="AY364" s="82"/>
      <c r="AZ364" s="82"/>
      <c r="BA364" s="82"/>
      <c r="BB364" s="82"/>
    </row>
    <row r="365" spans="1:54" s="81" customFormat="1" hidden="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82"/>
      <c r="AV365" s="82"/>
      <c r="AW365" s="82"/>
      <c r="AX365" s="82"/>
      <c r="AY365" s="82"/>
      <c r="AZ365" s="82"/>
      <c r="BA365" s="82"/>
      <c r="BB365" s="82"/>
    </row>
    <row r="366" spans="1:54" s="81" customFormat="1" hidden="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82"/>
      <c r="AV366" s="82"/>
      <c r="AW366" s="82"/>
      <c r="AX366" s="82"/>
      <c r="AY366" s="82"/>
      <c r="AZ366" s="82"/>
      <c r="BA366" s="82"/>
      <c r="BB366" s="82"/>
    </row>
    <row r="367" spans="1:54" s="81" customFormat="1" hidden="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82"/>
      <c r="AV367" s="82"/>
      <c r="AW367" s="82"/>
      <c r="AX367" s="82"/>
      <c r="AY367" s="82"/>
      <c r="AZ367" s="82"/>
      <c r="BA367" s="82"/>
      <c r="BB367" s="82"/>
    </row>
    <row r="368" spans="1:54" s="81" customFormat="1" hidden="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82"/>
      <c r="AV368" s="82"/>
      <c r="AW368" s="82"/>
      <c r="AX368" s="82"/>
      <c r="AY368" s="82"/>
      <c r="AZ368" s="82"/>
      <c r="BA368" s="82"/>
      <c r="BB368" s="82"/>
    </row>
    <row r="369" spans="1:54" s="81" customFormat="1" hidden="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82"/>
      <c r="AV369" s="82"/>
      <c r="AW369" s="82"/>
      <c r="AX369" s="82"/>
      <c r="AY369" s="82"/>
      <c r="AZ369" s="82"/>
      <c r="BA369" s="82"/>
      <c r="BB369" s="82"/>
    </row>
    <row r="370" spans="1:54" s="81" customFormat="1" hidden="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82"/>
      <c r="AV370" s="82"/>
      <c r="AW370" s="82"/>
      <c r="AX370" s="82"/>
      <c r="AY370" s="82"/>
      <c r="AZ370" s="82"/>
      <c r="BA370" s="82"/>
      <c r="BB370" s="82"/>
    </row>
    <row r="371" spans="1:54" s="81" customFormat="1" hidden="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82"/>
      <c r="AV371" s="82"/>
      <c r="AW371" s="82"/>
      <c r="AX371" s="82"/>
      <c r="AY371" s="82"/>
      <c r="AZ371" s="82"/>
      <c r="BA371" s="82"/>
      <c r="BB371" s="82"/>
    </row>
    <row r="372" spans="1:54" s="81" customFormat="1" hidden="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82"/>
      <c r="AV372" s="82"/>
      <c r="AW372" s="82"/>
      <c r="AX372" s="82"/>
      <c r="AY372" s="82"/>
      <c r="AZ372" s="82"/>
      <c r="BA372" s="82"/>
      <c r="BB372" s="82"/>
    </row>
    <row r="373" spans="1:54" s="81" customFormat="1" hidden="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82"/>
      <c r="AV373" s="82"/>
      <c r="AW373" s="82"/>
      <c r="AX373" s="82"/>
      <c r="AY373" s="82"/>
      <c r="AZ373" s="82"/>
      <c r="BA373" s="82"/>
      <c r="BB373" s="82"/>
    </row>
    <row r="374" spans="1:54" s="81" customFormat="1" hidden="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82"/>
      <c r="AV374" s="82"/>
      <c r="AW374" s="82"/>
      <c r="AX374" s="82"/>
      <c r="AY374" s="82"/>
      <c r="AZ374" s="82"/>
      <c r="BA374" s="82"/>
      <c r="BB374" s="82"/>
    </row>
    <row r="375" spans="1:54" s="81" customFormat="1" hidden="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82"/>
      <c r="AV375" s="82"/>
      <c r="AW375" s="82"/>
      <c r="AX375" s="82"/>
      <c r="AY375" s="82"/>
      <c r="AZ375" s="82"/>
      <c r="BA375" s="82"/>
      <c r="BB375" s="82"/>
    </row>
    <row r="376" spans="1:54" s="81" customFormat="1" hidden="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82"/>
      <c r="AV376" s="82"/>
      <c r="AW376" s="82"/>
      <c r="AX376" s="82"/>
      <c r="AY376" s="82"/>
      <c r="AZ376" s="82"/>
      <c r="BA376" s="82"/>
      <c r="BB376" s="82"/>
    </row>
    <row r="377" spans="1:54" s="81" customFormat="1" hidden="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82"/>
      <c r="AV377" s="82"/>
      <c r="AW377" s="82"/>
      <c r="AX377" s="82"/>
      <c r="AY377" s="82"/>
      <c r="AZ377" s="82"/>
      <c r="BA377" s="82"/>
      <c r="BB377" s="82"/>
    </row>
    <row r="378" spans="1:54" s="81" customFormat="1" hidden="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54" s="81" customFormat="1" hidden="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54" s="81" customFormat="1" hidden="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54" s="81" customFormat="1" hidden="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54" s="81" customFormat="1" hidden="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54" s="81" customFormat="1" hidden="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54" s="81" customFormat="1" hidden="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71" s="81" customFormat="1" hidden="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71" s="81" customFormat="1" hidden="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71" s="81" customFormat="1" hidden="1">
      <c r="A387" s="80"/>
      <c r="B387" s="80"/>
      <c r="C387" s="80"/>
      <c r="D387" s="83"/>
      <c r="E387" s="84"/>
      <c r="F387" s="84"/>
      <c r="G387" s="84"/>
      <c r="H387" s="84"/>
      <c r="I387" s="84"/>
      <c r="J387" s="84"/>
      <c r="K387" s="84"/>
      <c r="L387" s="84"/>
      <c r="M387" s="84"/>
      <c r="N387" s="84"/>
      <c r="O387" s="84"/>
      <c r="P387" s="84"/>
      <c r="Q387" s="84"/>
      <c r="R387" s="84"/>
      <c r="S387" s="84"/>
      <c r="T387" s="84"/>
      <c r="U387" s="84"/>
      <c r="V387" s="84"/>
      <c r="W387" s="84"/>
      <c r="X387" s="84"/>
      <c r="Y387" s="80"/>
      <c r="Z387" s="80"/>
      <c r="AA387" s="80"/>
      <c r="AB387" s="80"/>
      <c r="AC387" s="80"/>
      <c r="AD387" s="80"/>
      <c r="AE387" s="80"/>
      <c r="AF387" s="80"/>
      <c r="AG387" s="80"/>
      <c r="AH387" s="80"/>
      <c r="AI387" s="80"/>
      <c r="AJ387" s="80"/>
      <c r="AK387" s="80"/>
      <c r="AL387" s="80"/>
      <c r="AM387" s="80"/>
      <c r="AN387" s="80"/>
      <c r="AO387" s="80"/>
      <c r="AP387" s="80"/>
      <c r="AQ387" s="80"/>
      <c r="AR387" s="80"/>
      <c r="AS387" s="80"/>
      <c r="AT387" s="80"/>
    </row>
    <row r="388" spans="1:71" s="81" customFormat="1" hidden="1">
      <c r="A388" s="80"/>
      <c r="B388" s="80"/>
      <c r="C388" s="80"/>
      <c r="D388" s="83"/>
      <c r="E388" s="84"/>
      <c r="F388" s="84"/>
      <c r="G388" s="84"/>
      <c r="H388" s="84"/>
      <c r="I388" s="84"/>
      <c r="J388" s="84"/>
      <c r="K388" s="84"/>
      <c r="L388" s="84"/>
      <c r="M388" s="84"/>
      <c r="N388" s="84"/>
      <c r="O388" s="84"/>
      <c r="P388" s="84"/>
      <c r="Q388" s="84"/>
      <c r="R388" s="84"/>
      <c r="S388" s="84"/>
      <c r="T388" s="84"/>
      <c r="U388" s="84"/>
      <c r="V388" s="84"/>
      <c r="W388" s="84"/>
      <c r="X388" s="84"/>
      <c r="Y388" s="80"/>
      <c r="Z388" s="80"/>
      <c r="AA388" s="80"/>
      <c r="AB388" s="80"/>
      <c r="AC388" s="80"/>
      <c r="AD388" s="80"/>
      <c r="AE388" s="80"/>
      <c r="AF388" s="80"/>
      <c r="AG388" s="80"/>
      <c r="AH388" s="80"/>
      <c r="AI388" s="80"/>
      <c r="AJ388" s="80"/>
      <c r="AK388" s="80"/>
      <c r="AL388" s="80"/>
      <c r="AM388" s="80"/>
      <c r="AN388" s="80"/>
      <c r="AO388" s="80"/>
      <c r="AP388" s="80"/>
      <c r="AQ388" s="80"/>
      <c r="AR388" s="80"/>
      <c r="AS388" s="80"/>
      <c r="AT388" s="80"/>
    </row>
    <row r="389" spans="1:71" s="81" customFormat="1" hidden="1">
      <c r="A389" s="80"/>
      <c r="B389" s="80"/>
      <c r="C389" s="80"/>
      <c r="D389" s="83"/>
      <c r="E389" s="84"/>
      <c r="F389" s="84"/>
      <c r="G389" s="84"/>
      <c r="H389" s="84"/>
      <c r="I389" s="84"/>
      <c r="J389" s="84"/>
      <c r="K389" s="84"/>
      <c r="L389" s="84"/>
      <c r="M389" s="84"/>
      <c r="N389" s="84"/>
      <c r="O389" s="84"/>
      <c r="P389" s="84"/>
      <c r="Q389" s="84"/>
      <c r="R389" s="84"/>
      <c r="S389" s="84"/>
      <c r="T389" s="84"/>
      <c r="U389" s="84"/>
      <c r="V389" s="84"/>
      <c r="W389" s="84"/>
      <c r="X389" s="84"/>
      <c r="Y389" s="80"/>
      <c r="Z389" s="80"/>
      <c r="AA389" s="80"/>
      <c r="AB389" s="80"/>
      <c r="AC389" s="80"/>
      <c r="AD389" s="80"/>
      <c r="AE389" s="80"/>
      <c r="AF389" s="80"/>
      <c r="AG389" s="80"/>
      <c r="AH389" s="80"/>
      <c r="AI389" s="80"/>
      <c r="AJ389" s="80"/>
      <c r="AK389" s="80"/>
      <c r="AL389" s="80"/>
      <c r="AM389" s="80"/>
      <c r="AN389" s="80"/>
      <c r="AO389" s="80"/>
      <c r="AP389" s="80"/>
      <c r="AQ389" s="80"/>
      <c r="AR389" s="80"/>
      <c r="AS389" s="80"/>
      <c r="AT389" s="80"/>
    </row>
    <row r="390" spans="1:71" hidden="1">
      <c r="A390" s="80"/>
      <c r="B390" s="80"/>
      <c r="C390" s="80"/>
      <c r="D390" s="83"/>
      <c r="E390" s="84"/>
      <c r="F390" s="84"/>
      <c r="G390" s="84"/>
      <c r="H390" s="84"/>
      <c r="I390" s="84"/>
      <c r="J390" s="84"/>
      <c r="K390" s="84"/>
      <c r="L390" s="84"/>
      <c r="M390" s="84"/>
      <c r="N390" s="84"/>
      <c r="O390" s="84"/>
      <c r="P390" s="84"/>
      <c r="Q390" s="84"/>
      <c r="R390" s="84"/>
      <c r="S390" s="84"/>
      <c r="T390" s="84"/>
      <c r="U390" s="84"/>
      <c r="V390" s="84"/>
      <c r="W390" s="84"/>
      <c r="X390" s="84"/>
      <c r="Y390" s="80"/>
      <c r="Z390" s="80"/>
      <c r="AA390" s="80"/>
      <c r="AB390" s="80"/>
      <c r="AC390" s="80"/>
      <c r="AD390" s="80"/>
      <c r="AE390" s="80"/>
      <c r="AF390" s="80"/>
      <c r="AG390" s="80"/>
      <c r="AH390" s="80"/>
      <c r="AI390" s="80"/>
      <c r="AJ390" s="80"/>
      <c r="AK390" s="80"/>
      <c r="AL390" s="80"/>
      <c r="AM390" s="80"/>
      <c r="AN390" s="80"/>
      <c r="AO390" s="80"/>
      <c r="AP390" s="80"/>
      <c r="AQ390" s="80"/>
      <c r="AR390" s="80"/>
      <c r="AS390" s="80"/>
      <c r="AT390" s="80"/>
      <c r="AU390" s="81"/>
      <c r="AV390" s="81"/>
      <c r="AW390" s="81"/>
      <c r="AX390" s="81"/>
      <c r="AY390" s="81"/>
      <c r="AZ390" s="81"/>
      <c r="BA390" s="81"/>
      <c r="BB390" s="81"/>
      <c r="BC390" s="81"/>
      <c r="BD390" s="81"/>
      <c r="BE390" s="81"/>
      <c r="BF390" s="81"/>
      <c r="BG390" s="81"/>
      <c r="BH390" s="81"/>
      <c r="BI390" s="81"/>
      <c r="BJ390" s="81"/>
      <c r="BK390" s="81"/>
      <c r="BL390" s="81"/>
      <c r="BM390" s="81"/>
      <c r="BN390" s="81"/>
      <c r="BO390" s="81"/>
      <c r="BP390" s="81"/>
      <c r="BQ390" s="81"/>
      <c r="BR390" s="81"/>
      <c r="BS390" s="81"/>
    </row>
    <row r="391" spans="1:71" hidden="1">
      <c r="A391" s="80"/>
      <c r="B391" s="80"/>
      <c r="C391" s="80"/>
      <c r="D391" s="83"/>
      <c r="E391" s="84"/>
      <c r="F391" s="84"/>
      <c r="G391" s="84"/>
      <c r="H391" s="84"/>
      <c r="I391" s="84"/>
      <c r="J391" s="84"/>
      <c r="K391" s="84"/>
      <c r="L391" s="84"/>
      <c r="M391" s="84"/>
      <c r="N391" s="84"/>
      <c r="O391" s="84"/>
      <c r="P391" s="84"/>
      <c r="Q391" s="84"/>
      <c r="R391" s="84"/>
      <c r="S391" s="84"/>
      <c r="T391" s="84"/>
      <c r="U391" s="84"/>
      <c r="V391" s="84"/>
      <c r="W391" s="84"/>
      <c r="X391" s="84"/>
      <c r="Y391" s="80"/>
      <c r="Z391" s="80"/>
      <c r="AA391" s="80"/>
      <c r="AB391" s="80"/>
      <c r="AC391" s="80"/>
      <c r="AD391" s="80"/>
      <c r="AE391" s="80"/>
      <c r="AF391" s="80"/>
      <c r="AG391" s="80"/>
      <c r="AH391" s="80"/>
      <c r="AI391" s="80"/>
      <c r="AJ391" s="80"/>
      <c r="AK391" s="80"/>
      <c r="AL391" s="80"/>
      <c r="AM391" s="80"/>
      <c r="AN391" s="80"/>
      <c r="AO391" s="80"/>
      <c r="AP391" s="80"/>
      <c r="AQ391" s="80"/>
      <c r="AR391" s="80"/>
      <c r="AS391" s="80"/>
      <c r="AT391" s="80"/>
      <c r="AU391" s="81"/>
      <c r="AV391" s="81"/>
      <c r="AW391" s="81"/>
      <c r="AX391" s="81"/>
      <c r="AY391" s="81"/>
      <c r="AZ391" s="81"/>
      <c r="BA391" s="81"/>
      <c r="BB391" s="81"/>
      <c r="BC391" s="81"/>
      <c r="BD391" s="81"/>
      <c r="BE391" s="81"/>
      <c r="BF391" s="81"/>
      <c r="BG391" s="81"/>
      <c r="BH391" s="81"/>
      <c r="BI391" s="81"/>
      <c r="BJ391" s="81"/>
      <c r="BK391" s="81"/>
      <c r="BL391" s="81"/>
      <c r="BM391" s="81"/>
      <c r="BN391" s="81"/>
      <c r="BO391" s="81"/>
      <c r="BP391" s="81"/>
      <c r="BQ391" s="81"/>
      <c r="BR391" s="81"/>
      <c r="BS391" s="81"/>
    </row>
    <row r="392" spans="1:71" hidden="1">
      <c r="A392" s="80"/>
      <c r="B392" s="80"/>
      <c r="C392" s="80"/>
      <c r="D392" s="83"/>
      <c r="E392" s="84"/>
      <c r="F392" s="84"/>
      <c r="G392" s="84"/>
      <c r="H392" s="84"/>
      <c r="I392" s="84"/>
      <c r="J392" s="84"/>
      <c r="K392" s="84"/>
      <c r="L392" s="84"/>
      <c r="M392" s="84"/>
      <c r="N392" s="84"/>
      <c r="O392" s="84"/>
      <c r="P392" s="84"/>
      <c r="Q392" s="84"/>
      <c r="R392" s="84"/>
      <c r="S392" s="84"/>
      <c r="T392" s="84"/>
      <c r="U392" s="84"/>
      <c r="V392" s="84"/>
      <c r="W392" s="84"/>
      <c r="X392" s="84"/>
      <c r="Y392" s="80"/>
      <c r="Z392" s="80"/>
      <c r="AA392" s="80"/>
      <c r="AB392" s="80"/>
      <c r="AC392" s="80"/>
      <c r="AD392" s="80"/>
      <c r="AE392" s="80"/>
      <c r="AF392" s="80"/>
      <c r="AG392" s="80"/>
      <c r="AH392" s="80"/>
      <c r="AI392" s="80"/>
      <c r="AJ392" s="80"/>
      <c r="AK392" s="80"/>
      <c r="AL392" s="80"/>
      <c r="AM392" s="80"/>
      <c r="AN392" s="80"/>
      <c r="AO392" s="80"/>
      <c r="AP392" s="80"/>
      <c r="AQ392" s="80"/>
      <c r="AR392" s="80"/>
      <c r="AS392" s="80"/>
      <c r="AT392" s="80"/>
      <c r="AU392" s="81"/>
      <c r="AV392" s="81"/>
      <c r="AW392" s="81"/>
      <c r="AX392" s="81"/>
      <c r="AY392" s="81"/>
      <c r="AZ392" s="81"/>
      <c r="BA392" s="81"/>
      <c r="BB392" s="81"/>
      <c r="BC392" s="81"/>
      <c r="BD392" s="81"/>
      <c r="BE392" s="81"/>
      <c r="BF392" s="81"/>
      <c r="BG392" s="81"/>
      <c r="BH392" s="81"/>
      <c r="BI392" s="81"/>
      <c r="BJ392" s="81"/>
      <c r="BK392" s="81"/>
      <c r="BL392" s="81"/>
      <c r="BM392" s="81"/>
      <c r="BN392" s="81"/>
      <c r="BO392" s="81"/>
      <c r="BP392" s="81"/>
      <c r="BQ392" s="81"/>
      <c r="BR392" s="81"/>
      <c r="BS392" s="81"/>
    </row>
    <row r="393" spans="1:71" hidden="1">
      <c r="A393" s="80"/>
      <c r="B393" s="80"/>
      <c r="C393" s="80"/>
      <c r="D393" s="83"/>
      <c r="E393" s="84"/>
      <c r="F393" s="84"/>
      <c r="G393" s="84"/>
      <c r="H393" s="84"/>
      <c r="I393" s="84"/>
      <c r="J393" s="84"/>
      <c r="K393" s="84"/>
      <c r="L393" s="84"/>
      <c r="M393" s="84"/>
      <c r="N393" s="84"/>
      <c r="O393" s="84"/>
      <c r="P393" s="84"/>
      <c r="Q393" s="84"/>
      <c r="R393" s="84"/>
      <c r="S393" s="84"/>
      <c r="T393" s="84"/>
      <c r="U393" s="84"/>
      <c r="V393" s="84"/>
      <c r="W393" s="84"/>
      <c r="X393" s="84"/>
      <c r="Y393" s="80"/>
      <c r="Z393" s="80"/>
      <c r="AA393" s="80"/>
      <c r="AB393" s="80"/>
      <c r="AC393" s="80"/>
      <c r="AD393" s="80"/>
      <c r="AE393" s="80"/>
      <c r="AF393" s="80"/>
      <c r="AG393" s="80"/>
      <c r="AH393" s="80"/>
      <c r="AI393" s="80"/>
      <c r="AJ393" s="80"/>
      <c r="AK393" s="80"/>
      <c r="AL393" s="80"/>
      <c r="AM393" s="80"/>
      <c r="AN393" s="80"/>
      <c r="AO393" s="80"/>
      <c r="AP393" s="80"/>
      <c r="AQ393" s="80"/>
      <c r="AR393" s="80"/>
      <c r="AS393" s="80"/>
      <c r="AT393" s="80"/>
      <c r="AU393" s="81"/>
      <c r="AV393" s="81"/>
      <c r="AW393" s="81"/>
      <c r="AX393" s="81"/>
      <c r="AY393" s="81"/>
      <c r="AZ393" s="81"/>
      <c r="BA393" s="81"/>
      <c r="BB393" s="81"/>
      <c r="BC393" s="81"/>
      <c r="BD393" s="81"/>
      <c r="BE393" s="81"/>
      <c r="BF393" s="81"/>
      <c r="BG393" s="81"/>
      <c r="BH393" s="81"/>
      <c r="BI393" s="81"/>
      <c r="BJ393" s="81"/>
      <c r="BK393" s="81"/>
      <c r="BL393" s="81"/>
      <c r="BM393" s="81"/>
      <c r="BN393" s="81"/>
      <c r="BO393" s="81"/>
      <c r="BP393" s="81"/>
      <c r="BQ393" s="81"/>
      <c r="BR393" s="81"/>
      <c r="BS393" s="81"/>
    </row>
    <row r="394" spans="1:71" hidden="1">
      <c r="A394" s="80"/>
      <c r="B394" s="80"/>
      <c r="C394" s="80"/>
      <c r="D394" s="83"/>
      <c r="E394" s="84"/>
      <c r="F394" s="84"/>
      <c r="G394" s="84"/>
      <c r="H394" s="84"/>
      <c r="I394" s="84"/>
      <c r="J394" s="84"/>
      <c r="K394" s="84"/>
      <c r="L394" s="84"/>
      <c r="M394" s="84"/>
      <c r="N394" s="84"/>
      <c r="O394" s="84"/>
      <c r="P394" s="84"/>
      <c r="Q394" s="84"/>
      <c r="R394" s="84"/>
      <c r="S394" s="84"/>
      <c r="T394" s="84"/>
      <c r="U394" s="84"/>
      <c r="V394" s="84"/>
      <c r="W394" s="84"/>
      <c r="X394" s="84"/>
      <c r="Y394" s="80"/>
      <c r="Z394" s="80"/>
      <c r="AA394" s="80"/>
      <c r="AB394" s="80"/>
      <c r="AC394" s="80"/>
      <c r="AD394" s="80"/>
      <c r="AE394" s="80"/>
      <c r="AF394" s="80"/>
      <c r="AG394" s="80"/>
      <c r="AH394" s="80"/>
      <c r="AI394" s="80"/>
      <c r="AJ394" s="80"/>
      <c r="AK394" s="80"/>
      <c r="AL394" s="80"/>
      <c r="AM394" s="80"/>
      <c r="AN394" s="80"/>
      <c r="AO394" s="80"/>
      <c r="AP394" s="80"/>
      <c r="AQ394" s="80"/>
      <c r="AR394" s="80"/>
      <c r="AS394" s="80"/>
      <c r="AT394" s="80"/>
      <c r="AU394" s="81"/>
      <c r="AV394" s="81"/>
      <c r="AW394" s="81"/>
      <c r="AX394" s="81"/>
      <c r="AY394" s="81"/>
      <c r="AZ394" s="81"/>
      <c r="BA394" s="81"/>
      <c r="BB394" s="81"/>
      <c r="BC394" s="81"/>
      <c r="BD394" s="81"/>
      <c r="BE394" s="81"/>
      <c r="BF394" s="81"/>
      <c r="BG394" s="81"/>
      <c r="BH394" s="81"/>
      <c r="BI394" s="81"/>
      <c r="BJ394" s="81"/>
      <c r="BK394" s="81"/>
      <c r="BL394" s="81"/>
      <c r="BM394" s="81"/>
      <c r="BN394" s="81"/>
      <c r="BO394" s="81"/>
      <c r="BP394" s="81"/>
      <c r="BQ394" s="81"/>
      <c r="BR394" s="81"/>
      <c r="BS394" s="81"/>
    </row>
    <row r="395" spans="1:71" hidden="1">
      <c r="A395" s="80"/>
      <c r="B395" s="80"/>
      <c r="C395" s="80"/>
      <c r="D395" s="83"/>
      <c r="E395" s="84"/>
      <c r="F395" s="84"/>
      <c r="G395" s="84"/>
      <c r="H395" s="84"/>
      <c r="I395" s="84"/>
      <c r="J395" s="84"/>
      <c r="K395" s="84"/>
      <c r="L395" s="84"/>
      <c r="M395" s="84"/>
      <c r="N395" s="84"/>
      <c r="O395" s="84"/>
      <c r="P395" s="84"/>
      <c r="Q395" s="84"/>
      <c r="R395" s="84"/>
      <c r="S395" s="84"/>
      <c r="T395" s="84"/>
      <c r="U395" s="84"/>
      <c r="V395" s="84"/>
      <c r="W395" s="84"/>
      <c r="X395" s="84"/>
      <c r="Y395" s="80"/>
      <c r="Z395" s="80"/>
      <c r="AA395" s="80"/>
      <c r="AB395" s="80"/>
      <c r="AC395" s="80"/>
      <c r="AD395" s="80"/>
      <c r="AE395" s="80"/>
      <c r="AF395" s="80"/>
      <c r="AG395" s="80"/>
      <c r="AH395" s="80"/>
      <c r="AI395" s="80"/>
      <c r="AJ395" s="80"/>
      <c r="AK395" s="80"/>
      <c r="AL395" s="80"/>
      <c r="AM395" s="80"/>
      <c r="AN395" s="80"/>
      <c r="AO395" s="80"/>
      <c r="AP395" s="80"/>
      <c r="AQ395" s="80"/>
      <c r="AR395" s="80"/>
      <c r="AS395" s="80"/>
      <c r="AT395" s="80"/>
      <c r="AU395" s="81"/>
      <c r="AV395" s="81"/>
      <c r="AW395" s="81"/>
      <c r="AX395" s="81"/>
      <c r="AY395" s="81"/>
      <c r="AZ395" s="81"/>
      <c r="BA395" s="81"/>
      <c r="BB395" s="81"/>
      <c r="BC395" s="81"/>
      <c r="BD395" s="81"/>
      <c r="BE395" s="81"/>
      <c r="BF395" s="81"/>
      <c r="BG395" s="81"/>
      <c r="BH395" s="81"/>
      <c r="BI395" s="81"/>
      <c r="BJ395" s="81"/>
      <c r="BK395" s="81"/>
      <c r="BL395" s="81"/>
      <c r="BM395" s="81"/>
      <c r="BN395" s="81"/>
      <c r="BO395" s="81"/>
      <c r="BP395" s="81"/>
      <c r="BQ395" s="81"/>
      <c r="BR395" s="81"/>
      <c r="BS395" s="81"/>
    </row>
    <row r="396" spans="1:71" hidden="1">
      <c r="A396" s="80"/>
      <c r="B396" s="80"/>
      <c r="C396" s="80"/>
      <c r="D396" s="83"/>
      <c r="E396" s="84"/>
      <c r="F396" s="84"/>
      <c r="G396" s="84"/>
      <c r="H396" s="84"/>
      <c r="I396" s="84"/>
      <c r="J396" s="84"/>
      <c r="K396" s="84"/>
      <c r="L396" s="84"/>
      <c r="M396" s="84"/>
      <c r="N396" s="84"/>
      <c r="O396" s="84"/>
      <c r="P396" s="84"/>
      <c r="Q396" s="84"/>
      <c r="R396" s="84"/>
      <c r="S396" s="84"/>
      <c r="T396" s="84"/>
      <c r="U396" s="84"/>
      <c r="V396" s="84"/>
      <c r="W396" s="84"/>
      <c r="X396" s="84"/>
      <c r="Y396" s="80"/>
      <c r="Z396" s="80"/>
      <c r="AA396" s="80"/>
      <c r="AB396" s="80"/>
      <c r="AC396" s="80"/>
      <c r="AD396" s="80"/>
      <c r="AE396" s="80"/>
      <c r="AF396" s="80"/>
      <c r="AG396" s="80"/>
      <c r="AH396" s="80"/>
      <c r="AI396" s="80"/>
      <c r="AJ396" s="80"/>
      <c r="AK396" s="80"/>
      <c r="AL396" s="80"/>
      <c r="AM396" s="80"/>
      <c r="AN396" s="80"/>
      <c r="AO396" s="80"/>
      <c r="AP396" s="80"/>
      <c r="AQ396" s="80"/>
      <c r="AR396" s="80"/>
      <c r="AS396" s="80"/>
      <c r="AT396" s="80"/>
      <c r="AU396" s="81"/>
      <c r="AV396" s="81"/>
      <c r="AW396" s="81"/>
      <c r="AX396" s="81"/>
      <c r="AY396" s="81"/>
      <c r="AZ396" s="81"/>
      <c r="BA396" s="81"/>
      <c r="BB396" s="81"/>
      <c r="BC396" s="81"/>
      <c r="BD396" s="81"/>
      <c r="BE396" s="81"/>
      <c r="BF396" s="81"/>
      <c r="BG396" s="81"/>
      <c r="BH396" s="81"/>
      <c r="BI396" s="81"/>
      <c r="BJ396" s="81"/>
      <c r="BK396" s="81"/>
      <c r="BL396" s="81"/>
      <c r="BM396" s="81"/>
      <c r="BN396" s="81"/>
      <c r="BO396" s="81"/>
      <c r="BP396" s="81"/>
      <c r="BQ396" s="81"/>
      <c r="BR396" s="81"/>
      <c r="BS396" s="81"/>
    </row>
    <row r="397" spans="1:71" hidden="1">
      <c r="A397" s="80"/>
      <c r="B397" s="80"/>
      <c r="C397" s="80"/>
      <c r="D397" s="83"/>
      <c r="E397" s="84"/>
      <c r="F397" s="84"/>
      <c r="G397" s="84"/>
      <c r="H397" s="84"/>
      <c r="I397" s="84"/>
      <c r="J397" s="84"/>
      <c r="K397" s="84"/>
      <c r="L397" s="84"/>
      <c r="M397" s="84"/>
      <c r="N397" s="84"/>
      <c r="O397" s="84"/>
      <c r="P397" s="84"/>
      <c r="Q397" s="84"/>
      <c r="R397" s="84"/>
      <c r="S397" s="84"/>
      <c r="T397" s="84"/>
      <c r="U397" s="84"/>
      <c r="V397" s="84"/>
      <c r="W397" s="84"/>
      <c r="X397" s="84"/>
      <c r="Y397" s="80"/>
      <c r="Z397" s="80"/>
      <c r="AA397" s="80"/>
      <c r="AB397" s="80"/>
      <c r="AC397" s="80"/>
      <c r="AD397" s="80"/>
      <c r="AE397" s="80"/>
      <c r="AF397" s="80"/>
      <c r="AG397" s="80"/>
      <c r="AH397" s="80"/>
      <c r="AI397" s="80"/>
      <c r="AJ397" s="80"/>
      <c r="AK397" s="80"/>
      <c r="AL397" s="80"/>
      <c r="AM397" s="80"/>
      <c r="AN397" s="80"/>
      <c r="AO397" s="80"/>
      <c r="AP397" s="80"/>
      <c r="AQ397" s="80"/>
      <c r="AR397" s="80"/>
      <c r="AS397" s="80"/>
      <c r="AT397" s="80"/>
      <c r="AU397" s="81"/>
      <c r="AV397" s="81"/>
      <c r="AW397" s="81"/>
      <c r="AX397" s="81"/>
      <c r="AY397" s="81"/>
      <c r="AZ397" s="81"/>
      <c r="BA397" s="81"/>
      <c r="BB397" s="81"/>
      <c r="BC397" s="81"/>
      <c r="BD397" s="81"/>
      <c r="BE397" s="81"/>
      <c r="BF397" s="81"/>
      <c r="BG397" s="81"/>
      <c r="BH397" s="81"/>
      <c r="BI397" s="81"/>
      <c r="BJ397" s="81"/>
      <c r="BK397" s="81"/>
      <c r="BL397" s="81"/>
      <c r="BM397" s="81"/>
      <c r="BN397" s="81"/>
      <c r="BO397" s="81"/>
      <c r="BP397" s="81"/>
      <c r="BQ397" s="81"/>
      <c r="BR397" s="81"/>
      <c r="BS397" s="81"/>
    </row>
    <row r="398" spans="1:71" hidden="1">
      <c r="A398" s="80"/>
      <c r="B398" s="80"/>
      <c r="C398" s="80"/>
      <c r="D398" s="83"/>
      <c r="E398" s="84"/>
      <c r="F398" s="84"/>
      <c r="G398" s="84"/>
      <c r="H398" s="84"/>
      <c r="I398" s="84"/>
      <c r="J398" s="84"/>
      <c r="K398" s="84"/>
      <c r="L398" s="84"/>
      <c r="M398" s="84"/>
      <c r="N398" s="84"/>
      <c r="O398" s="84"/>
      <c r="P398" s="84"/>
      <c r="Q398" s="84"/>
      <c r="R398" s="84"/>
      <c r="S398" s="84"/>
      <c r="T398" s="84"/>
      <c r="U398" s="84"/>
      <c r="V398" s="84"/>
      <c r="W398" s="84"/>
      <c r="X398" s="84"/>
      <c r="Y398" s="80"/>
      <c r="Z398" s="80"/>
      <c r="AA398" s="80"/>
      <c r="AB398" s="80"/>
      <c r="AC398" s="80"/>
      <c r="AD398" s="80"/>
      <c r="AE398" s="80"/>
      <c r="AF398" s="80"/>
      <c r="AG398" s="80"/>
      <c r="AH398" s="80"/>
      <c r="AI398" s="80"/>
      <c r="AJ398" s="80"/>
      <c r="AK398" s="80"/>
      <c r="AL398" s="80"/>
      <c r="AM398" s="80"/>
      <c r="AN398" s="80"/>
      <c r="AO398" s="80"/>
      <c r="AP398" s="80"/>
      <c r="AQ398" s="80"/>
      <c r="AR398" s="80"/>
      <c r="AS398" s="80"/>
      <c r="AT398" s="80"/>
      <c r="AU398" s="81"/>
      <c r="AV398" s="81"/>
      <c r="AW398" s="81"/>
      <c r="AX398" s="81"/>
      <c r="AY398" s="81"/>
      <c r="AZ398" s="81"/>
      <c r="BA398" s="81"/>
      <c r="BB398" s="81"/>
      <c r="BC398" s="81"/>
      <c r="BD398" s="81"/>
      <c r="BE398" s="81"/>
      <c r="BF398" s="81"/>
      <c r="BG398" s="81"/>
      <c r="BH398" s="81"/>
      <c r="BI398" s="81"/>
      <c r="BJ398" s="81"/>
      <c r="BK398" s="81"/>
      <c r="BL398" s="81"/>
      <c r="BM398" s="81"/>
      <c r="BN398" s="81"/>
      <c r="BO398" s="81"/>
      <c r="BP398" s="81"/>
      <c r="BQ398" s="81"/>
      <c r="BR398" s="81"/>
      <c r="BS398" s="81"/>
    </row>
    <row r="399" spans="1:71" hidden="1">
      <c r="A399" s="80"/>
      <c r="B399" s="80"/>
      <c r="C399" s="80"/>
      <c r="D399" s="83"/>
      <c r="E399" s="84"/>
      <c r="F399" s="84"/>
      <c r="G399" s="84"/>
      <c r="H399" s="84"/>
      <c r="I399" s="84"/>
      <c r="J399" s="84"/>
      <c r="K399" s="84"/>
      <c r="L399" s="84"/>
      <c r="M399" s="84"/>
      <c r="N399" s="84"/>
      <c r="O399" s="84"/>
      <c r="P399" s="84"/>
      <c r="Q399" s="84"/>
      <c r="R399" s="84"/>
      <c r="S399" s="84"/>
      <c r="T399" s="84"/>
      <c r="U399" s="84"/>
      <c r="V399" s="84"/>
      <c r="W399" s="84"/>
      <c r="X399" s="84"/>
      <c r="Y399" s="80"/>
      <c r="Z399" s="80"/>
      <c r="AA399" s="80"/>
      <c r="AB399" s="80"/>
      <c r="AC399" s="80"/>
      <c r="AD399" s="80"/>
      <c r="AE399" s="80"/>
      <c r="AF399" s="80"/>
      <c r="AG399" s="80"/>
      <c r="AH399" s="80"/>
      <c r="AI399" s="80"/>
      <c r="AJ399" s="80"/>
      <c r="AK399" s="80"/>
      <c r="AL399" s="80"/>
      <c r="AM399" s="80"/>
      <c r="AN399" s="80"/>
      <c r="AO399" s="80"/>
      <c r="AP399" s="80"/>
      <c r="AQ399" s="80"/>
      <c r="AR399" s="80"/>
      <c r="AS399" s="80"/>
      <c r="AT399" s="80"/>
      <c r="AU399" s="81"/>
      <c r="AV399" s="81"/>
      <c r="AW399" s="81"/>
      <c r="AX399" s="81"/>
      <c r="AY399" s="81"/>
      <c r="AZ399" s="81"/>
      <c r="BA399" s="81"/>
      <c r="BB399" s="81"/>
      <c r="BC399" s="81"/>
      <c r="BD399" s="81"/>
      <c r="BE399" s="81"/>
      <c r="BF399" s="81"/>
      <c r="BG399" s="81"/>
      <c r="BH399" s="81"/>
      <c r="BI399" s="81"/>
      <c r="BJ399" s="81"/>
      <c r="BK399" s="81"/>
      <c r="BL399" s="81"/>
      <c r="BM399" s="81"/>
      <c r="BN399" s="81"/>
      <c r="BO399" s="81"/>
      <c r="BP399" s="81"/>
      <c r="BQ399" s="81"/>
      <c r="BR399" s="81"/>
      <c r="BS399" s="81"/>
    </row>
    <row r="400" spans="1:71" hidden="1">
      <c r="A400" s="80"/>
      <c r="B400" s="80"/>
      <c r="C400" s="80"/>
      <c r="D400" s="83"/>
      <c r="E400" s="84"/>
      <c r="F400" s="84"/>
      <c r="G400" s="84"/>
      <c r="H400" s="84"/>
      <c r="I400" s="84"/>
      <c r="J400" s="84"/>
      <c r="K400" s="84"/>
      <c r="L400" s="84"/>
      <c r="M400" s="84"/>
      <c r="N400" s="84"/>
      <c r="O400" s="84"/>
      <c r="P400" s="84"/>
      <c r="Q400" s="84"/>
      <c r="R400" s="84"/>
      <c r="S400" s="84"/>
      <c r="T400" s="84"/>
      <c r="U400" s="84"/>
      <c r="V400" s="84"/>
      <c r="W400" s="84"/>
      <c r="X400" s="84"/>
      <c r="Y400" s="80"/>
      <c r="Z400" s="80"/>
      <c r="AA400" s="80"/>
      <c r="AB400" s="80"/>
      <c r="AC400" s="80"/>
      <c r="AD400" s="80"/>
      <c r="AE400" s="80"/>
      <c r="AF400" s="80"/>
      <c r="AG400" s="80"/>
      <c r="AH400" s="80"/>
      <c r="AI400" s="80"/>
      <c r="AJ400" s="80"/>
      <c r="AK400" s="80"/>
      <c r="AL400" s="80"/>
      <c r="AM400" s="80"/>
      <c r="AN400" s="80"/>
      <c r="AO400" s="80"/>
      <c r="AP400" s="80"/>
      <c r="AQ400" s="80"/>
      <c r="AR400" s="80"/>
      <c r="AS400" s="80"/>
      <c r="AT400" s="80"/>
      <c r="AU400" s="81"/>
      <c r="AV400" s="81"/>
      <c r="AW400" s="81"/>
      <c r="AX400" s="81"/>
      <c r="AY400" s="81"/>
      <c r="AZ400" s="81"/>
      <c r="BA400" s="81"/>
      <c r="BB400" s="81"/>
      <c r="BC400" s="81"/>
      <c r="BD400" s="81"/>
      <c r="BE400" s="81"/>
      <c r="BF400" s="81"/>
      <c r="BG400" s="81"/>
      <c r="BH400" s="81"/>
      <c r="BI400" s="81"/>
      <c r="BJ400" s="81"/>
      <c r="BK400" s="81"/>
      <c r="BL400" s="81"/>
      <c r="BM400" s="81"/>
      <c r="BN400" s="81"/>
      <c r="BO400" s="81"/>
      <c r="BP400" s="81"/>
      <c r="BQ400" s="81"/>
      <c r="BR400" s="81"/>
      <c r="BS400" s="81"/>
    </row>
    <row r="401" spans="1:71" hidden="1">
      <c r="A401" s="80"/>
      <c r="B401" s="80"/>
      <c r="C401" s="80"/>
      <c r="D401" s="83"/>
      <c r="E401" s="84"/>
      <c r="F401" s="84"/>
      <c r="G401" s="84"/>
      <c r="H401" s="84"/>
      <c r="I401" s="84"/>
      <c r="J401" s="84"/>
      <c r="K401" s="84"/>
      <c r="L401" s="84"/>
      <c r="M401" s="84"/>
      <c r="N401" s="84"/>
      <c r="O401" s="84"/>
      <c r="P401" s="84"/>
      <c r="Q401" s="84"/>
      <c r="R401" s="84"/>
      <c r="S401" s="84"/>
      <c r="T401" s="84"/>
      <c r="U401" s="84"/>
      <c r="V401" s="84"/>
      <c r="W401" s="84"/>
      <c r="X401" s="84"/>
      <c r="Y401" s="80"/>
      <c r="Z401" s="80"/>
      <c r="AA401" s="80"/>
      <c r="AB401" s="80"/>
      <c r="AC401" s="80"/>
      <c r="AD401" s="80"/>
      <c r="AE401" s="80"/>
      <c r="AF401" s="80"/>
      <c r="AG401" s="80"/>
      <c r="AH401" s="80"/>
      <c r="AI401" s="80"/>
      <c r="AJ401" s="80"/>
      <c r="AK401" s="80"/>
      <c r="AL401" s="80"/>
      <c r="AM401" s="80"/>
      <c r="AN401" s="80"/>
      <c r="AO401" s="80"/>
      <c r="AP401" s="80"/>
      <c r="AQ401" s="80"/>
      <c r="AR401" s="80"/>
      <c r="AS401" s="80"/>
      <c r="AT401" s="80"/>
      <c r="AU401" s="81"/>
      <c r="AV401" s="81"/>
      <c r="AW401" s="81"/>
      <c r="AX401" s="81"/>
      <c r="AY401" s="81"/>
      <c r="AZ401" s="81"/>
      <c r="BA401" s="81"/>
      <c r="BB401" s="81"/>
      <c r="BC401" s="81"/>
      <c r="BD401" s="81"/>
      <c r="BE401" s="81"/>
      <c r="BF401" s="81"/>
      <c r="BG401" s="81"/>
      <c r="BH401" s="81"/>
      <c r="BI401" s="81"/>
      <c r="BJ401" s="81"/>
      <c r="BK401" s="81"/>
      <c r="BL401" s="81"/>
      <c r="BM401" s="81"/>
      <c r="BN401" s="81"/>
      <c r="BO401" s="81"/>
      <c r="BP401" s="81"/>
      <c r="BQ401" s="81"/>
      <c r="BR401" s="81"/>
      <c r="BS401" s="81"/>
    </row>
    <row r="402" spans="1:71" hidden="1">
      <c r="A402" s="80"/>
      <c r="B402" s="80"/>
      <c r="C402" s="80"/>
      <c r="D402" s="83"/>
      <c r="E402" s="84"/>
      <c r="F402" s="84"/>
      <c r="G402" s="84"/>
      <c r="H402" s="84"/>
      <c r="I402" s="84"/>
      <c r="J402" s="84"/>
      <c r="K402" s="84"/>
      <c r="L402" s="84"/>
      <c r="M402" s="84"/>
      <c r="N402" s="84"/>
      <c r="O402" s="84"/>
      <c r="P402" s="84"/>
      <c r="Q402" s="84"/>
      <c r="R402" s="84"/>
      <c r="S402" s="84"/>
      <c r="T402" s="84"/>
      <c r="U402" s="84"/>
      <c r="V402" s="84"/>
      <c r="W402" s="84"/>
      <c r="X402" s="84"/>
      <c r="Y402" s="80"/>
      <c r="Z402" s="80"/>
      <c r="AA402" s="80"/>
      <c r="AB402" s="80"/>
      <c r="AC402" s="80"/>
      <c r="AD402" s="80"/>
      <c r="AE402" s="80"/>
      <c r="AF402" s="80"/>
      <c r="AG402" s="80"/>
      <c r="AH402" s="80"/>
      <c r="AI402" s="80"/>
      <c r="AJ402" s="80"/>
      <c r="AK402" s="80"/>
      <c r="AL402" s="80"/>
      <c r="AM402" s="80"/>
      <c r="AN402" s="80"/>
      <c r="AO402" s="80"/>
      <c r="AP402" s="80"/>
      <c r="AQ402" s="80"/>
      <c r="AR402" s="80"/>
      <c r="AS402" s="80"/>
      <c r="AT402" s="80"/>
      <c r="AU402" s="81"/>
      <c r="AV402" s="81"/>
      <c r="AW402" s="81"/>
      <c r="AX402" s="81"/>
      <c r="AY402" s="81"/>
      <c r="AZ402" s="81"/>
      <c r="BA402" s="81"/>
      <c r="BB402" s="81"/>
      <c r="BC402" s="81"/>
      <c r="BD402" s="81"/>
      <c r="BE402" s="81"/>
      <c r="BF402" s="81"/>
      <c r="BG402" s="81"/>
      <c r="BH402" s="81"/>
      <c r="BI402" s="81"/>
      <c r="BJ402" s="81"/>
      <c r="BK402" s="81"/>
      <c r="BL402" s="81"/>
      <c r="BM402" s="81"/>
      <c r="BN402" s="81"/>
      <c r="BO402" s="81"/>
      <c r="BP402" s="81"/>
      <c r="BQ402" s="81"/>
      <c r="BR402" s="81"/>
      <c r="BS402" s="81"/>
    </row>
    <row r="403" spans="1:71" hidden="1">
      <c r="A403" s="80"/>
      <c r="B403" s="80"/>
      <c r="C403" s="80"/>
      <c r="D403" s="83"/>
      <c r="E403" s="84"/>
      <c r="F403" s="84"/>
      <c r="G403" s="84"/>
      <c r="H403" s="84"/>
      <c r="I403" s="84"/>
      <c r="J403" s="84"/>
      <c r="K403" s="84"/>
      <c r="L403" s="84"/>
      <c r="M403" s="84"/>
      <c r="N403" s="84"/>
      <c r="O403" s="84"/>
      <c r="P403" s="84"/>
      <c r="Q403" s="84"/>
      <c r="R403" s="84"/>
      <c r="S403" s="84"/>
      <c r="T403" s="84"/>
      <c r="U403" s="84"/>
      <c r="V403" s="84"/>
      <c r="W403" s="84"/>
      <c r="X403" s="84"/>
      <c r="Y403" s="80"/>
      <c r="Z403" s="80"/>
      <c r="AA403" s="80"/>
      <c r="AB403" s="80"/>
      <c r="AC403" s="80"/>
      <c r="AD403" s="80"/>
      <c r="AE403" s="80"/>
      <c r="AF403" s="80"/>
      <c r="AG403" s="80"/>
      <c r="AH403" s="80"/>
      <c r="AI403" s="80"/>
      <c r="AJ403" s="80"/>
      <c r="AK403" s="80"/>
      <c r="AL403" s="80"/>
      <c r="AM403" s="80"/>
      <c r="AN403" s="80"/>
      <c r="AO403" s="80"/>
      <c r="AP403" s="80"/>
      <c r="AQ403" s="80"/>
      <c r="AR403" s="80"/>
      <c r="AS403" s="80"/>
      <c r="AT403" s="80"/>
      <c r="AU403" s="81"/>
      <c r="AV403" s="81"/>
      <c r="AW403" s="81"/>
      <c r="AX403" s="81"/>
      <c r="AY403" s="81"/>
      <c r="AZ403" s="81"/>
      <c r="BA403" s="81"/>
      <c r="BB403" s="81"/>
      <c r="BC403" s="81"/>
      <c r="BD403" s="81"/>
      <c r="BE403" s="81"/>
      <c r="BF403" s="81"/>
      <c r="BG403" s="81"/>
      <c r="BH403" s="81"/>
      <c r="BI403" s="81"/>
      <c r="BJ403" s="81"/>
      <c r="BK403" s="81"/>
      <c r="BL403" s="81"/>
      <c r="BM403" s="81"/>
      <c r="BN403" s="81"/>
      <c r="BO403" s="81"/>
      <c r="BP403" s="81"/>
      <c r="BQ403" s="81"/>
      <c r="BR403" s="81"/>
      <c r="BS403" s="81"/>
    </row>
    <row r="404" spans="1:71" hidden="1">
      <c r="A404" s="80"/>
      <c r="B404" s="80"/>
      <c r="C404" s="80"/>
      <c r="D404" s="83"/>
      <c r="E404" s="84"/>
      <c r="F404" s="84"/>
      <c r="G404" s="84"/>
      <c r="H404" s="84"/>
      <c r="I404" s="84"/>
      <c r="J404" s="84"/>
      <c r="K404" s="84"/>
      <c r="L404" s="84"/>
      <c r="M404" s="84"/>
      <c r="N404" s="84"/>
      <c r="O404" s="84"/>
      <c r="P404" s="84"/>
      <c r="Q404" s="84"/>
      <c r="R404" s="84"/>
      <c r="S404" s="84"/>
      <c r="T404" s="84"/>
      <c r="U404" s="84"/>
      <c r="V404" s="84"/>
      <c r="W404" s="84"/>
      <c r="X404" s="84"/>
      <c r="Y404" s="80"/>
      <c r="Z404" s="80"/>
      <c r="AA404" s="80"/>
      <c r="AB404" s="80"/>
      <c r="AC404" s="80"/>
      <c r="AD404" s="80"/>
      <c r="AE404" s="80"/>
      <c r="AF404" s="80"/>
      <c r="AG404" s="80"/>
      <c r="AH404" s="80"/>
      <c r="AI404" s="80"/>
      <c r="AJ404" s="80"/>
      <c r="AK404" s="80"/>
      <c r="AL404" s="80"/>
      <c r="AM404" s="80"/>
      <c r="AN404" s="80"/>
      <c r="AO404" s="80"/>
      <c r="AP404" s="80"/>
      <c r="AQ404" s="80"/>
      <c r="AR404" s="80"/>
      <c r="AS404" s="80"/>
      <c r="AT404" s="80"/>
      <c r="AU404" s="81"/>
      <c r="AV404" s="81"/>
      <c r="AW404" s="81"/>
      <c r="AX404" s="81"/>
      <c r="AY404" s="81"/>
      <c r="AZ404" s="81"/>
      <c r="BA404" s="81"/>
      <c r="BB404" s="81"/>
      <c r="BC404" s="81"/>
      <c r="BD404" s="81"/>
      <c r="BE404" s="81"/>
      <c r="BF404" s="81"/>
      <c r="BG404" s="81"/>
      <c r="BH404" s="81"/>
      <c r="BI404" s="81"/>
      <c r="BJ404" s="81"/>
      <c r="BK404" s="81"/>
      <c r="BL404" s="81"/>
      <c r="BM404" s="81"/>
      <c r="BN404" s="81"/>
      <c r="BO404" s="81"/>
      <c r="BP404" s="81"/>
      <c r="BQ404" s="81"/>
      <c r="BR404" s="81"/>
      <c r="BS404" s="81"/>
    </row>
    <row r="405" spans="1:71" hidden="1">
      <c r="A405" s="80"/>
      <c r="B405" s="80"/>
      <c r="C405" s="80"/>
      <c r="D405" s="83"/>
      <c r="E405" s="84"/>
      <c r="F405" s="84"/>
      <c r="G405" s="84"/>
      <c r="H405" s="84"/>
      <c r="I405" s="84"/>
      <c r="J405" s="84"/>
      <c r="K405" s="84"/>
      <c r="L405" s="84"/>
      <c r="M405" s="84"/>
      <c r="N405" s="84"/>
      <c r="O405" s="84"/>
      <c r="P405" s="84"/>
      <c r="Q405" s="84"/>
      <c r="R405" s="84"/>
      <c r="S405" s="84"/>
      <c r="T405" s="84"/>
      <c r="U405" s="84"/>
      <c r="V405" s="84"/>
      <c r="W405" s="84"/>
      <c r="X405" s="84"/>
      <c r="Y405" s="80"/>
      <c r="Z405" s="80"/>
      <c r="AA405" s="80"/>
      <c r="AB405" s="80"/>
      <c r="AC405" s="80"/>
      <c r="AD405" s="80"/>
      <c r="AE405" s="80"/>
      <c r="AF405" s="80"/>
      <c r="AG405" s="80"/>
      <c r="AH405" s="80"/>
      <c r="AI405" s="80"/>
      <c r="AJ405" s="80"/>
      <c r="AK405" s="80"/>
      <c r="AL405" s="80"/>
      <c r="AM405" s="80"/>
      <c r="AN405" s="80"/>
      <c r="AO405" s="80"/>
      <c r="AP405" s="80"/>
      <c r="AQ405" s="80"/>
      <c r="AR405" s="80"/>
      <c r="AS405" s="80"/>
      <c r="AT405" s="80"/>
      <c r="AU405" s="81"/>
      <c r="AV405" s="81"/>
      <c r="AW405" s="81"/>
      <c r="AX405" s="81"/>
      <c r="AY405" s="81"/>
      <c r="AZ405" s="81"/>
      <c r="BA405" s="81"/>
      <c r="BB405" s="81"/>
      <c r="BC405" s="81"/>
      <c r="BD405" s="81"/>
      <c r="BE405" s="81"/>
      <c r="BF405" s="81"/>
      <c r="BG405" s="81"/>
      <c r="BH405" s="81"/>
      <c r="BI405" s="81"/>
      <c r="BJ405" s="81"/>
      <c r="BK405" s="81"/>
      <c r="BL405" s="81"/>
      <c r="BM405" s="81"/>
      <c r="BN405" s="81"/>
      <c r="BO405" s="81"/>
      <c r="BP405" s="81"/>
      <c r="BQ405" s="81"/>
      <c r="BR405" s="81"/>
      <c r="BS405" s="81"/>
    </row>
    <row r="406" spans="1:71" hidden="1">
      <c r="A406" s="80"/>
      <c r="B406" s="80"/>
      <c r="C406" s="80"/>
      <c r="D406" s="83"/>
      <c r="E406" s="84"/>
      <c r="F406" s="84"/>
      <c r="G406" s="84"/>
      <c r="H406" s="84"/>
      <c r="I406" s="84"/>
      <c r="J406" s="84"/>
      <c r="K406" s="84"/>
      <c r="L406" s="84"/>
      <c r="M406" s="84"/>
      <c r="N406" s="84"/>
      <c r="O406" s="84"/>
      <c r="P406" s="84"/>
      <c r="Q406" s="84"/>
      <c r="R406" s="84"/>
      <c r="S406" s="84"/>
      <c r="T406" s="84"/>
      <c r="U406" s="84"/>
      <c r="V406" s="84"/>
      <c r="W406" s="84"/>
      <c r="X406" s="84"/>
      <c r="Y406" s="80"/>
      <c r="Z406" s="80"/>
      <c r="AA406" s="80"/>
      <c r="AB406" s="80"/>
      <c r="AC406" s="80"/>
      <c r="AD406" s="80"/>
      <c r="AE406" s="80"/>
      <c r="AF406" s="80"/>
      <c r="AG406" s="80"/>
      <c r="AH406" s="80"/>
      <c r="AI406" s="80"/>
      <c r="AJ406" s="80"/>
      <c r="AK406" s="80"/>
      <c r="AL406" s="80"/>
      <c r="AM406" s="80"/>
      <c r="AN406" s="80"/>
      <c r="AO406" s="80"/>
      <c r="AP406" s="80"/>
      <c r="AQ406" s="80"/>
      <c r="AR406" s="80"/>
      <c r="AS406" s="80"/>
      <c r="AT406" s="80"/>
      <c r="AU406" s="81"/>
      <c r="AV406" s="81"/>
      <c r="AW406" s="81"/>
      <c r="AX406" s="81"/>
      <c r="AY406" s="81"/>
      <c r="AZ406" s="81"/>
      <c r="BA406" s="81"/>
      <c r="BB406" s="81"/>
      <c r="BC406" s="81"/>
      <c r="BD406" s="81"/>
      <c r="BE406" s="81"/>
      <c r="BF406" s="81"/>
      <c r="BG406" s="81"/>
      <c r="BH406" s="81"/>
      <c r="BI406" s="81"/>
      <c r="BJ406" s="81"/>
      <c r="BK406" s="81"/>
      <c r="BL406" s="81"/>
      <c r="BM406" s="81"/>
      <c r="BN406" s="81"/>
      <c r="BO406" s="81"/>
      <c r="BP406" s="81"/>
      <c r="BQ406" s="81"/>
      <c r="BR406" s="81"/>
      <c r="BS406" s="81"/>
    </row>
    <row r="407" spans="1:71" hidden="1">
      <c r="A407" s="80"/>
      <c r="B407" s="80"/>
      <c r="C407" s="80"/>
      <c r="D407" s="83"/>
      <c r="E407" s="84"/>
      <c r="F407" s="84"/>
      <c r="G407" s="84"/>
      <c r="H407" s="84"/>
      <c r="I407" s="84"/>
      <c r="J407" s="84"/>
      <c r="K407" s="84"/>
      <c r="L407" s="84"/>
      <c r="M407" s="84"/>
      <c r="N407" s="84"/>
      <c r="O407" s="84"/>
      <c r="P407" s="84"/>
      <c r="Q407" s="84"/>
      <c r="R407" s="84"/>
      <c r="S407" s="84"/>
      <c r="T407" s="84"/>
      <c r="U407" s="84"/>
      <c r="V407" s="84"/>
      <c r="W407" s="84"/>
      <c r="X407" s="84"/>
      <c r="Y407" s="80"/>
      <c r="Z407" s="80"/>
      <c r="AA407" s="80"/>
      <c r="AB407" s="80"/>
      <c r="AC407" s="80"/>
      <c r="AD407" s="80"/>
      <c r="AE407" s="80"/>
      <c r="AF407" s="80"/>
      <c r="AG407" s="80"/>
      <c r="AH407" s="80"/>
      <c r="AI407" s="80"/>
      <c r="AJ407" s="80"/>
      <c r="AK407" s="80"/>
      <c r="AL407" s="80"/>
      <c r="AM407" s="80"/>
      <c r="AN407" s="80"/>
      <c r="AO407" s="80"/>
      <c r="AP407" s="80"/>
      <c r="AQ407" s="80"/>
      <c r="AR407" s="80"/>
      <c r="AS407" s="80"/>
      <c r="AT407" s="80"/>
      <c r="AU407" s="81"/>
      <c r="AV407" s="81"/>
      <c r="AW407" s="81"/>
      <c r="AX407" s="81"/>
      <c r="AY407" s="81"/>
      <c r="AZ407" s="81"/>
      <c r="BA407" s="81"/>
      <c r="BB407" s="81"/>
      <c r="BC407" s="81"/>
      <c r="BD407" s="81"/>
      <c r="BE407" s="81"/>
      <c r="BF407" s="81"/>
      <c r="BG407" s="81"/>
      <c r="BH407" s="81"/>
      <c r="BI407" s="81"/>
      <c r="BJ407" s="81"/>
      <c r="BK407" s="81"/>
      <c r="BL407" s="81"/>
      <c r="BM407" s="81"/>
      <c r="BN407" s="81"/>
      <c r="BO407" s="81"/>
      <c r="BP407" s="81"/>
      <c r="BQ407" s="81"/>
      <c r="BR407" s="81"/>
      <c r="BS407" s="81"/>
    </row>
    <row r="408" spans="1:71" hidden="1">
      <c r="A408" s="80"/>
      <c r="B408" s="80"/>
      <c r="C408" s="80"/>
      <c r="D408" s="83"/>
      <c r="E408" s="84"/>
      <c r="F408" s="84"/>
      <c r="G408" s="84"/>
      <c r="H408" s="84"/>
      <c r="I408" s="84"/>
      <c r="J408" s="84"/>
      <c r="K408" s="84"/>
      <c r="L408" s="84"/>
      <c r="M408" s="84"/>
      <c r="N408" s="84"/>
      <c r="O408" s="84"/>
      <c r="P408" s="84"/>
      <c r="Q408" s="84"/>
      <c r="R408" s="84"/>
      <c r="S408" s="84"/>
      <c r="T408" s="84"/>
      <c r="U408" s="84"/>
      <c r="V408" s="84"/>
      <c r="W408" s="84"/>
      <c r="X408" s="84"/>
      <c r="Y408" s="80"/>
      <c r="Z408" s="80"/>
      <c r="AA408" s="80"/>
      <c r="AB408" s="80"/>
      <c r="AC408" s="80"/>
      <c r="AD408" s="80"/>
      <c r="AE408" s="80"/>
      <c r="AF408" s="80"/>
      <c r="AG408" s="80"/>
      <c r="AH408" s="80"/>
      <c r="AI408" s="80"/>
      <c r="AJ408" s="80"/>
      <c r="AK408" s="80"/>
      <c r="AL408" s="80"/>
      <c r="AM408" s="80"/>
      <c r="AN408" s="80"/>
      <c r="AO408" s="80"/>
      <c r="AP408" s="80"/>
      <c r="AQ408" s="80"/>
      <c r="AR408" s="80"/>
      <c r="AS408" s="80"/>
      <c r="AT408" s="80"/>
      <c r="AU408" s="81"/>
      <c r="AV408" s="81"/>
      <c r="AW408" s="81"/>
      <c r="AX408" s="81"/>
      <c r="AY408" s="81"/>
      <c r="AZ408" s="81"/>
      <c r="BA408" s="81"/>
      <c r="BB408" s="81"/>
      <c r="BC408" s="81"/>
      <c r="BD408" s="81"/>
      <c r="BE408" s="81"/>
      <c r="BF408" s="81"/>
      <c r="BG408" s="81"/>
      <c r="BH408" s="81"/>
      <c r="BI408" s="81"/>
      <c r="BJ408" s="81"/>
      <c r="BK408" s="81"/>
      <c r="BL408" s="81"/>
      <c r="BM408" s="81"/>
      <c r="BN408" s="81"/>
      <c r="BO408" s="81"/>
      <c r="BP408" s="81"/>
      <c r="BQ408" s="81"/>
      <c r="BR408" s="81"/>
      <c r="BS408" s="81"/>
    </row>
    <row r="409" spans="1:71" hidden="1">
      <c r="A409" s="80"/>
      <c r="B409" s="80"/>
      <c r="C409" s="80"/>
      <c r="D409" s="83"/>
      <c r="E409" s="84"/>
      <c r="F409" s="84"/>
      <c r="G409" s="84"/>
      <c r="H409" s="84"/>
      <c r="I409" s="84"/>
      <c r="J409" s="84"/>
      <c r="K409" s="84"/>
      <c r="L409" s="84"/>
      <c r="M409" s="84"/>
      <c r="N409" s="84"/>
      <c r="O409" s="84"/>
      <c r="P409" s="84"/>
      <c r="Q409" s="84"/>
      <c r="R409" s="84"/>
      <c r="S409" s="84"/>
      <c r="T409" s="84"/>
      <c r="U409" s="84"/>
      <c r="V409" s="84"/>
      <c r="W409" s="84"/>
      <c r="X409" s="84"/>
      <c r="Y409" s="80"/>
      <c r="Z409" s="80"/>
      <c r="AA409" s="80"/>
      <c r="AB409" s="80"/>
      <c r="AC409" s="80"/>
      <c r="AD409" s="80"/>
      <c r="AE409" s="80"/>
      <c r="AF409" s="80"/>
      <c r="AG409" s="80"/>
      <c r="AH409" s="80"/>
      <c r="AI409" s="80"/>
      <c r="AJ409" s="80"/>
      <c r="AK409" s="80"/>
      <c r="AL409" s="80"/>
      <c r="AM409" s="80"/>
      <c r="AN409" s="80"/>
      <c r="AO409" s="80"/>
      <c r="AP409" s="80"/>
      <c r="AQ409" s="80"/>
      <c r="AR409" s="80"/>
      <c r="AS409" s="80"/>
      <c r="AT409" s="80"/>
      <c r="AU409" s="81"/>
      <c r="AV409" s="81"/>
      <c r="AW409" s="81"/>
      <c r="AX409" s="81"/>
      <c r="AY409" s="81"/>
      <c r="AZ409" s="81"/>
      <c r="BA409" s="81"/>
      <c r="BB409" s="81"/>
      <c r="BC409" s="81"/>
      <c r="BD409" s="81"/>
      <c r="BE409" s="81"/>
      <c r="BF409" s="81"/>
      <c r="BG409" s="81"/>
      <c r="BH409" s="81"/>
      <c r="BI409" s="81"/>
      <c r="BJ409" s="81"/>
      <c r="BK409" s="81"/>
      <c r="BL409" s="81"/>
      <c r="BM409" s="81"/>
      <c r="BN409" s="81"/>
      <c r="BO409" s="81"/>
      <c r="BP409" s="81"/>
      <c r="BQ409" s="81"/>
      <c r="BR409" s="81"/>
      <c r="BS409" s="81"/>
    </row>
    <row r="410" spans="1:71" hidden="1">
      <c r="A410" s="80"/>
      <c r="B410" s="80"/>
      <c r="C410" s="80"/>
      <c r="D410" s="83"/>
      <c r="E410" s="84"/>
      <c r="F410" s="84"/>
      <c r="G410" s="84"/>
      <c r="H410" s="84"/>
      <c r="I410" s="84"/>
      <c r="J410" s="84"/>
      <c r="K410" s="84"/>
      <c r="L410" s="84"/>
      <c r="M410" s="84"/>
      <c r="N410" s="84"/>
      <c r="O410" s="84"/>
      <c r="P410" s="84"/>
      <c r="Q410" s="84"/>
      <c r="R410" s="84"/>
      <c r="S410" s="84"/>
      <c r="T410" s="84"/>
      <c r="U410" s="84"/>
      <c r="V410" s="84"/>
      <c r="W410" s="84"/>
      <c r="X410" s="84"/>
      <c r="Y410" s="80"/>
      <c r="Z410" s="80"/>
      <c r="AA410" s="80"/>
      <c r="AB410" s="80"/>
      <c r="AC410" s="80"/>
      <c r="AD410" s="80"/>
      <c r="AE410" s="80"/>
      <c r="AF410" s="80"/>
      <c r="AG410" s="80"/>
      <c r="AH410" s="80"/>
      <c r="AI410" s="80"/>
      <c r="AJ410" s="80"/>
      <c r="AK410" s="80"/>
      <c r="AL410" s="80"/>
      <c r="AM410" s="80"/>
      <c r="AN410" s="80"/>
      <c r="AO410" s="80"/>
      <c r="AP410" s="80"/>
      <c r="AQ410" s="80"/>
      <c r="AR410" s="80"/>
      <c r="AS410" s="80"/>
      <c r="AT410" s="80"/>
      <c r="AU410" s="81"/>
      <c r="AV410" s="81"/>
      <c r="AW410" s="81"/>
      <c r="AX410" s="81"/>
      <c r="AY410" s="81"/>
      <c r="AZ410" s="81"/>
      <c r="BA410" s="81"/>
      <c r="BB410" s="81"/>
      <c r="BC410" s="81"/>
      <c r="BD410" s="81"/>
      <c r="BE410" s="81"/>
      <c r="BF410" s="81"/>
      <c r="BG410" s="81"/>
      <c r="BH410" s="81"/>
      <c r="BI410" s="81"/>
      <c r="BJ410" s="81"/>
      <c r="BK410" s="81"/>
      <c r="BL410" s="81"/>
      <c r="BM410" s="81"/>
      <c r="BN410" s="81"/>
      <c r="BO410" s="81"/>
      <c r="BP410" s="81"/>
      <c r="BQ410" s="81"/>
      <c r="BR410" s="81"/>
      <c r="BS410" s="81"/>
    </row>
    <row r="411" spans="1:71" hidden="1">
      <c r="A411" s="80"/>
      <c r="B411" s="80"/>
      <c r="C411" s="80"/>
      <c r="D411" s="83"/>
      <c r="E411" s="84"/>
      <c r="F411" s="84"/>
      <c r="G411" s="84"/>
      <c r="H411" s="84"/>
      <c r="I411" s="84"/>
      <c r="J411" s="84"/>
      <c r="K411" s="84"/>
      <c r="L411" s="84"/>
      <c r="M411" s="84"/>
      <c r="N411" s="84"/>
      <c r="O411" s="84"/>
      <c r="P411" s="84"/>
      <c r="Q411" s="84"/>
      <c r="R411" s="84"/>
      <c r="S411" s="84"/>
      <c r="T411" s="84"/>
      <c r="U411" s="84"/>
      <c r="V411" s="84"/>
      <c r="W411" s="84"/>
      <c r="X411" s="84"/>
      <c r="Y411" s="80"/>
      <c r="Z411" s="80"/>
      <c r="AA411" s="80"/>
      <c r="AB411" s="80"/>
      <c r="AC411" s="80"/>
      <c r="AD411" s="80"/>
      <c r="AE411" s="80"/>
      <c r="AF411" s="80"/>
      <c r="AG411" s="80"/>
      <c r="AH411" s="80"/>
      <c r="AI411" s="80"/>
      <c r="AJ411" s="80"/>
      <c r="AK411" s="80"/>
      <c r="AL411" s="80"/>
      <c r="AM411" s="80"/>
      <c r="AN411" s="80"/>
      <c r="AO411" s="80"/>
      <c r="AP411" s="80"/>
      <c r="AQ411" s="80"/>
      <c r="AR411" s="80"/>
      <c r="AS411" s="80"/>
      <c r="AT411" s="80"/>
      <c r="AU411" s="81"/>
      <c r="AV411" s="81"/>
      <c r="AW411" s="81"/>
      <c r="AX411" s="81"/>
      <c r="AY411" s="81"/>
      <c r="AZ411" s="81"/>
      <c r="BA411" s="81"/>
      <c r="BB411" s="81"/>
      <c r="BC411" s="81"/>
      <c r="BD411" s="81"/>
      <c r="BE411" s="81"/>
      <c r="BF411" s="81"/>
      <c r="BG411" s="81"/>
      <c r="BH411" s="81"/>
      <c r="BI411" s="81"/>
      <c r="BJ411" s="81"/>
      <c r="BK411" s="81"/>
      <c r="BL411" s="81"/>
      <c r="BM411" s="81"/>
      <c r="BN411" s="81"/>
      <c r="BO411" s="81"/>
      <c r="BP411" s="81"/>
      <c r="BQ411" s="81"/>
      <c r="BR411" s="81"/>
      <c r="BS411" s="81"/>
    </row>
    <row r="412" spans="1:71" hidden="1">
      <c r="A412" s="80"/>
      <c r="B412" s="80"/>
      <c r="C412" s="80"/>
      <c r="D412" s="83"/>
      <c r="E412" s="84"/>
      <c r="F412" s="84"/>
      <c r="G412" s="84"/>
      <c r="H412" s="84"/>
      <c r="I412" s="84"/>
      <c r="J412" s="84"/>
      <c r="K412" s="84"/>
      <c r="L412" s="84"/>
      <c r="M412" s="84"/>
      <c r="N412" s="84"/>
      <c r="O412" s="84"/>
      <c r="P412" s="84"/>
      <c r="Q412" s="84"/>
      <c r="R412" s="84"/>
      <c r="S412" s="84"/>
      <c r="T412" s="84"/>
      <c r="U412" s="84"/>
      <c r="V412" s="84"/>
      <c r="W412" s="84"/>
      <c r="X412" s="84"/>
      <c r="Y412" s="80"/>
      <c r="Z412" s="80"/>
      <c r="AA412" s="80"/>
      <c r="AB412" s="80"/>
      <c r="AC412" s="80"/>
      <c r="AD412" s="80"/>
      <c r="AE412" s="80"/>
      <c r="AF412" s="80"/>
      <c r="AG412" s="80"/>
      <c r="AH412" s="80"/>
      <c r="AI412" s="80"/>
      <c r="AJ412" s="80"/>
      <c r="AK412" s="80"/>
      <c r="AL412" s="80"/>
      <c r="AM412" s="80"/>
      <c r="AN412" s="80"/>
      <c r="AO412" s="80"/>
      <c r="AP412" s="80"/>
      <c r="AQ412" s="80"/>
      <c r="AR412" s="80"/>
      <c r="AS412" s="80"/>
      <c r="AT412" s="80"/>
      <c r="AU412" s="81"/>
      <c r="AV412" s="81"/>
      <c r="AW412" s="81"/>
      <c r="AX412" s="81"/>
      <c r="AY412" s="81"/>
      <c r="AZ412" s="81"/>
      <c r="BA412" s="81"/>
      <c r="BB412" s="81"/>
      <c r="BC412" s="81"/>
      <c r="BD412" s="81"/>
      <c r="BE412" s="81"/>
      <c r="BF412" s="81"/>
      <c r="BG412" s="81"/>
      <c r="BH412" s="81"/>
      <c r="BI412" s="81"/>
      <c r="BJ412" s="81"/>
      <c r="BK412" s="81"/>
      <c r="BL412" s="81"/>
      <c r="BM412" s="81"/>
      <c r="BN412" s="81"/>
      <c r="BO412" s="81"/>
      <c r="BP412" s="81"/>
      <c r="BQ412" s="81"/>
      <c r="BR412" s="81"/>
      <c r="BS412" s="81"/>
    </row>
    <row r="413" spans="1:71" hidden="1">
      <c r="A413" s="80"/>
      <c r="B413" s="80"/>
      <c r="C413" s="80"/>
      <c r="D413" s="83"/>
      <c r="E413" s="84"/>
      <c r="F413" s="84"/>
      <c r="G413" s="84"/>
      <c r="H413" s="84"/>
      <c r="I413" s="84"/>
      <c r="J413" s="84"/>
      <c r="K413" s="84"/>
      <c r="L413" s="84"/>
      <c r="M413" s="84"/>
      <c r="N413" s="84"/>
      <c r="O413" s="84"/>
      <c r="P413" s="84"/>
      <c r="Q413" s="84"/>
      <c r="R413" s="84"/>
      <c r="S413" s="84"/>
      <c r="T413" s="84"/>
      <c r="U413" s="84"/>
      <c r="V413" s="84"/>
      <c r="W413" s="84"/>
      <c r="X413" s="84"/>
      <c r="Y413" s="80"/>
      <c r="Z413" s="80"/>
      <c r="AA413" s="80"/>
      <c r="AB413" s="80"/>
      <c r="AC413" s="80"/>
      <c r="AD413" s="80"/>
      <c r="AE413" s="80"/>
      <c r="AF413" s="80"/>
      <c r="AG413" s="80"/>
      <c r="AH413" s="80"/>
      <c r="AI413" s="80"/>
      <c r="AJ413" s="80"/>
      <c r="AK413" s="80"/>
      <c r="AL413" s="80"/>
      <c r="AM413" s="80"/>
      <c r="AN413" s="80"/>
      <c r="AO413" s="80"/>
      <c r="AP413" s="80"/>
      <c r="AQ413" s="80"/>
      <c r="AR413" s="80"/>
      <c r="AS413" s="80"/>
      <c r="AT413" s="80"/>
      <c r="AU413" s="81"/>
      <c r="AV413" s="81"/>
      <c r="AW413" s="81"/>
      <c r="AX413" s="81"/>
      <c r="AY413" s="81"/>
      <c r="AZ413" s="81"/>
      <c r="BA413" s="81"/>
      <c r="BB413" s="81"/>
      <c r="BC413" s="81"/>
      <c r="BD413" s="81"/>
      <c r="BE413" s="81"/>
      <c r="BF413" s="81"/>
      <c r="BG413" s="81"/>
      <c r="BH413" s="81"/>
      <c r="BI413" s="81"/>
      <c r="BJ413" s="81"/>
      <c r="BK413" s="81"/>
      <c r="BL413" s="81"/>
      <c r="BM413" s="81"/>
      <c r="BN413" s="81"/>
      <c r="BO413" s="81"/>
      <c r="BP413" s="81"/>
      <c r="BQ413" s="81"/>
      <c r="BR413" s="81"/>
      <c r="BS413" s="81"/>
    </row>
    <row r="414" spans="1:71" hidden="1">
      <c r="A414" s="80"/>
      <c r="B414" s="80"/>
      <c r="C414" s="80"/>
      <c r="D414" s="83"/>
      <c r="E414" s="84"/>
      <c r="F414" s="84"/>
      <c r="G414" s="84"/>
      <c r="H414" s="84"/>
      <c r="I414" s="84"/>
      <c r="J414" s="84"/>
      <c r="K414" s="84"/>
      <c r="L414" s="84"/>
      <c r="M414" s="84"/>
      <c r="N414" s="84"/>
      <c r="O414" s="84"/>
      <c r="P414" s="84"/>
      <c r="Q414" s="84"/>
      <c r="R414" s="84"/>
      <c r="S414" s="84"/>
      <c r="T414" s="84"/>
      <c r="U414" s="84"/>
      <c r="V414" s="84"/>
      <c r="W414" s="84"/>
      <c r="X414" s="84"/>
      <c r="Y414" s="80"/>
      <c r="Z414" s="80"/>
      <c r="AA414" s="80"/>
      <c r="AB414" s="80"/>
      <c r="AC414" s="80"/>
      <c r="AD414" s="80"/>
      <c r="AE414" s="80"/>
      <c r="AF414" s="80"/>
      <c r="AG414" s="80"/>
      <c r="AH414" s="80"/>
      <c r="AI414" s="80"/>
      <c r="AJ414" s="80"/>
      <c r="AK414" s="80"/>
      <c r="AL414" s="80"/>
      <c r="AM414" s="80"/>
      <c r="AN414" s="80"/>
      <c r="AO414" s="80"/>
      <c r="AP414" s="80"/>
      <c r="AQ414" s="80"/>
      <c r="AR414" s="80"/>
      <c r="AS414" s="80"/>
      <c r="AT414" s="80"/>
      <c r="AU414" s="81"/>
      <c r="AV414" s="81"/>
      <c r="AW414" s="81"/>
      <c r="AX414" s="81"/>
      <c r="AY414" s="81"/>
      <c r="AZ414" s="81"/>
      <c r="BA414" s="81"/>
      <c r="BB414" s="81"/>
      <c r="BC414" s="81"/>
      <c r="BD414" s="81"/>
      <c r="BE414" s="81"/>
      <c r="BF414" s="81"/>
      <c r="BG414" s="81"/>
      <c r="BH414" s="81"/>
      <c r="BI414" s="81"/>
      <c r="BJ414" s="81"/>
      <c r="BK414" s="81"/>
      <c r="BL414" s="81"/>
      <c r="BM414" s="81"/>
      <c r="BN414" s="81"/>
      <c r="BO414" s="81"/>
      <c r="BP414" s="81"/>
      <c r="BQ414" s="81"/>
      <c r="BR414" s="81"/>
      <c r="BS414" s="81"/>
    </row>
    <row r="415" spans="1:71" hidden="1">
      <c r="A415" s="80"/>
      <c r="B415" s="80"/>
      <c r="C415" s="80"/>
      <c r="D415" s="83"/>
      <c r="E415" s="84"/>
      <c r="F415" s="84"/>
      <c r="G415" s="84"/>
      <c r="H415" s="84"/>
      <c r="I415" s="84"/>
      <c r="J415" s="84"/>
      <c r="K415" s="84"/>
      <c r="L415" s="84"/>
      <c r="M415" s="84"/>
      <c r="N415" s="84"/>
      <c r="O415" s="84"/>
      <c r="P415" s="84"/>
      <c r="Q415" s="84"/>
      <c r="R415" s="84"/>
      <c r="S415" s="84"/>
      <c r="T415" s="84"/>
      <c r="U415" s="84"/>
      <c r="V415" s="84"/>
      <c r="W415" s="84"/>
      <c r="X415" s="84"/>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1"/>
      <c r="AV415" s="81"/>
      <c r="AW415" s="81"/>
      <c r="AX415" s="81"/>
      <c r="AY415" s="81"/>
      <c r="AZ415" s="81"/>
      <c r="BA415" s="81"/>
      <c r="BB415" s="81"/>
      <c r="BC415" s="81"/>
      <c r="BD415" s="81"/>
      <c r="BE415" s="81"/>
      <c r="BF415" s="81"/>
      <c r="BG415" s="81"/>
      <c r="BH415" s="81"/>
      <c r="BI415" s="81"/>
      <c r="BJ415" s="81"/>
      <c r="BK415" s="81"/>
      <c r="BL415" s="81"/>
      <c r="BM415" s="81"/>
      <c r="BN415" s="81"/>
      <c r="BO415" s="81"/>
      <c r="BP415" s="81"/>
      <c r="BQ415" s="81"/>
      <c r="BR415" s="81"/>
      <c r="BS415" s="81"/>
    </row>
    <row r="416" spans="1:71" hidden="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c r="AU416" s="81"/>
      <c r="AV416" s="81"/>
      <c r="AW416" s="81"/>
      <c r="AX416" s="81"/>
      <c r="AY416" s="81"/>
      <c r="AZ416" s="81"/>
      <c r="BA416" s="81"/>
      <c r="BB416" s="81"/>
      <c r="BC416" s="81"/>
      <c r="BD416" s="81"/>
      <c r="BE416" s="81"/>
      <c r="BF416" s="81"/>
      <c r="BG416" s="81"/>
      <c r="BH416" s="81"/>
      <c r="BI416" s="81"/>
      <c r="BJ416" s="81"/>
      <c r="BK416" s="81"/>
      <c r="BL416" s="81"/>
      <c r="BM416" s="81"/>
      <c r="BN416" s="81"/>
      <c r="BO416" s="81"/>
      <c r="BP416" s="81"/>
      <c r="BQ416" s="81"/>
      <c r="BR416" s="81"/>
      <c r="BS416" s="81"/>
    </row>
    <row r="417" spans="1:71" hidden="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c r="AU417" s="81"/>
      <c r="AV417" s="81"/>
      <c r="AW417" s="81"/>
      <c r="AX417" s="81"/>
      <c r="AY417" s="81"/>
      <c r="AZ417" s="81"/>
      <c r="BA417" s="81"/>
      <c r="BB417" s="81"/>
      <c r="BC417" s="81"/>
      <c r="BD417" s="81"/>
      <c r="BE417" s="81"/>
      <c r="BF417" s="81"/>
      <c r="BG417" s="81"/>
      <c r="BH417" s="81"/>
      <c r="BI417" s="81"/>
      <c r="BJ417" s="81"/>
      <c r="BK417" s="81"/>
      <c r="BL417" s="81"/>
      <c r="BM417" s="81"/>
      <c r="BN417" s="81"/>
      <c r="BO417" s="81"/>
      <c r="BP417" s="81"/>
      <c r="BQ417" s="81"/>
      <c r="BR417" s="81"/>
      <c r="BS417" s="81"/>
    </row>
    <row r="418" spans="1:71" hidden="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c r="AU418" s="81"/>
      <c r="AV418" s="81"/>
      <c r="AW418" s="81"/>
      <c r="AX418" s="81"/>
      <c r="AY418" s="81"/>
      <c r="AZ418" s="81"/>
      <c r="BA418" s="81"/>
      <c r="BB418" s="81"/>
      <c r="BC418" s="81"/>
      <c r="BD418" s="81"/>
      <c r="BE418" s="81"/>
      <c r="BF418" s="81"/>
      <c r="BG418" s="81"/>
      <c r="BH418" s="81"/>
      <c r="BI418" s="81"/>
      <c r="BJ418" s="81"/>
      <c r="BK418" s="81"/>
      <c r="BL418" s="81"/>
      <c r="BM418" s="81"/>
      <c r="BN418" s="81"/>
      <c r="BO418" s="81"/>
      <c r="BP418" s="81"/>
      <c r="BQ418" s="81"/>
      <c r="BR418" s="81"/>
      <c r="BS418" s="81"/>
    </row>
    <row r="419" spans="1:71" hidden="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idden="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idden="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idden="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idden="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idden="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idden="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idden="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idden="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idden="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idden="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idden="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idden="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idden="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idden="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idden="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idden="1">
      <c r="A435" s="11"/>
      <c r="B435" s="11"/>
      <c r="C435" s="11"/>
      <c r="D435" s="85"/>
      <c r="E435" s="86"/>
      <c r="F435" s="86"/>
      <c r="G435" s="86"/>
      <c r="H435" s="86"/>
      <c r="I435" s="86"/>
      <c r="J435" s="86"/>
      <c r="K435" s="86"/>
      <c r="L435" s="86"/>
      <c r="M435" s="86"/>
      <c r="N435" s="86"/>
      <c r="O435" s="86"/>
      <c r="P435" s="86"/>
      <c r="Q435" s="86"/>
      <c r="R435" s="86"/>
      <c r="S435" s="86"/>
      <c r="T435" s="86"/>
      <c r="U435" s="86"/>
      <c r="V435" s="86"/>
      <c r="W435" s="86"/>
      <c r="X435" s="86"/>
    </row>
    <row r="436" spans="1:71" hidden="1">
      <c r="A436" s="11"/>
      <c r="B436" s="11"/>
      <c r="C436" s="11"/>
      <c r="D436" s="85"/>
      <c r="E436" s="86"/>
      <c r="F436" s="86"/>
      <c r="G436" s="86"/>
      <c r="H436" s="86"/>
      <c r="I436" s="86"/>
      <c r="J436" s="86"/>
      <c r="K436" s="86"/>
      <c r="L436" s="86"/>
      <c r="M436" s="86"/>
      <c r="N436" s="86"/>
      <c r="O436" s="86"/>
      <c r="P436" s="86"/>
      <c r="Q436" s="86"/>
      <c r="R436" s="86"/>
      <c r="S436" s="86"/>
      <c r="T436" s="86"/>
      <c r="U436" s="86"/>
      <c r="V436" s="86"/>
      <c r="W436" s="86"/>
      <c r="X436" s="86"/>
    </row>
    <row r="437" spans="1:71" hidden="1">
      <c r="A437" s="11"/>
      <c r="B437" s="11"/>
      <c r="C437" s="11"/>
      <c r="D437" s="85"/>
      <c r="E437" s="86"/>
      <c r="F437" s="86"/>
      <c r="G437" s="86"/>
      <c r="H437" s="86"/>
      <c r="I437" s="86"/>
      <c r="J437" s="86"/>
      <c r="K437" s="86"/>
      <c r="L437" s="86"/>
      <c r="M437" s="86"/>
      <c r="N437" s="86"/>
      <c r="O437" s="86"/>
      <c r="P437" s="86"/>
      <c r="Q437" s="86"/>
      <c r="R437" s="86"/>
      <c r="S437" s="86"/>
      <c r="T437" s="86"/>
      <c r="U437" s="86"/>
      <c r="V437" s="86"/>
      <c r="W437" s="86"/>
      <c r="X437" s="86"/>
      <c r="Y437" s="14"/>
      <c r="Z437" s="14"/>
      <c r="AA437" s="14"/>
      <c r="AB437" s="14"/>
      <c r="AC437" s="14"/>
      <c r="AD437" s="14"/>
      <c r="AE437" s="14"/>
      <c r="AF437" s="14"/>
      <c r="AG437" s="14"/>
      <c r="AH437" s="14"/>
      <c r="AI437" s="14"/>
      <c r="AJ437" s="14"/>
      <c r="AK437" s="14"/>
      <c r="AL437" s="14"/>
      <c r="AM437" s="14"/>
      <c r="AN437" s="14"/>
      <c r="AO437" s="14"/>
      <c r="AP437" s="14"/>
      <c r="AQ437" s="14"/>
      <c r="AR437" s="14"/>
      <c r="AS437" s="14"/>
      <c r="AT437" s="14"/>
    </row>
    <row r="438" spans="1:71" hidden="1">
      <c r="A438" s="11"/>
      <c r="B438" s="11"/>
      <c r="C438" s="11"/>
      <c r="D438" s="85"/>
      <c r="E438" s="86"/>
      <c r="F438" s="86"/>
      <c r="G438" s="86"/>
      <c r="H438" s="86"/>
      <c r="I438" s="86"/>
      <c r="J438" s="86"/>
      <c r="K438" s="86"/>
      <c r="L438" s="86"/>
      <c r="M438" s="86"/>
      <c r="N438" s="86"/>
      <c r="O438" s="86"/>
      <c r="P438" s="86"/>
      <c r="Q438" s="86"/>
      <c r="R438" s="86"/>
      <c r="S438" s="86"/>
      <c r="T438" s="86"/>
      <c r="U438" s="86"/>
      <c r="V438" s="86"/>
      <c r="W438" s="86"/>
      <c r="X438" s="86"/>
      <c r="Y438" s="14"/>
      <c r="Z438" s="14"/>
      <c r="AA438" s="14"/>
      <c r="AB438" s="14"/>
      <c r="AC438" s="14"/>
      <c r="AD438" s="14"/>
      <c r="AE438" s="14"/>
      <c r="AF438" s="14"/>
      <c r="AG438" s="14"/>
      <c r="AH438" s="14"/>
      <c r="AI438" s="14"/>
      <c r="AJ438" s="14"/>
      <c r="AK438" s="14"/>
      <c r="AL438" s="14"/>
      <c r="AM438" s="14"/>
      <c r="AN438" s="14"/>
      <c r="AO438" s="14"/>
      <c r="AP438" s="14"/>
      <c r="AQ438" s="14"/>
      <c r="AR438" s="14"/>
      <c r="AS438" s="14"/>
      <c r="AT438" s="14"/>
    </row>
    <row r="439" spans="1:71" hidden="1">
      <c r="A439" s="11"/>
      <c r="B439" s="11"/>
      <c r="C439" s="11"/>
      <c r="D439" s="85"/>
      <c r="E439" s="86"/>
      <c r="F439" s="86"/>
      <c r="G439" s="86"/>
      <c r="H439" s="86"/>
      <c r="I439" s="86"/>
      <c r="J439" s="86"/>
      <c r="K439" s="86"/>
      <c r="L439" s="86"/>
      <c r="M439" s="86"/>
      <c r="N439" s="86"/>
      <c r="O439" s="86"/>
      <c r="P439" s="86"/>
      <c r="Q439" s="86"/>
      <c r="R439" s="86"/>
      <c r="S439" s="86"/>
      <c r="T439" s="86"/>
      <c r="U439" s="86"/>
      <c r="V439" s="86"/>
      <c r="W439" s="86"/>
      <c r="X439" s="86"/>
      <c r="Y439" s="14"/>
      <c r="Z439" s="14"/>
      <c r="AA439" s="14"/>
      <c r="AB439" s="14"/>
      <c r="AC439" s="14"/>
      <c r="AD439" s="14"/>
      <c r="AE439" s="14"/>
      <c r="AF439" s="14"/>
      <c r="AG439" s="14"/>
      <c r="AH439" s="14"/>
      <c r="AI439" s="14"/>
      <c r="AJ439" s="14"/>
      <c r="AK439" s="14"/>
      <c r="AL439" s="14"/>
      <c r="AM439" s="14"/>
      <c r="AN439" s="14"/>
      <c r="AO439" s="14"/>
      <c r="AP439" s="14"/>
      <c r="AQ439" s="14"/>
      <c r="AR439" s="14"/>
      <c r="AS439" s="14"/>
      <c r="AT439" s="14"/>
    </row>
    <row r="440" spans="1:71" hidden="1">
      <c r="A440" s="11"/>
      <c r="B440" s="11"/>
      <c r="C440" s="11"/>
      <c r="D440" s="85"/>
      <c r="E440" s="86"/>
      <c r="F440" s="86"/>
      <c r="G440" s="86"/>
      <c r="H440" s="86"/>
      <c r="I440" s="86"/>
      <c r="J440" s="86"/>
      <c r="K440" s="86"/>
      <c r="L440" s="86"/>
      <c r="M440" s="86"/>
      <c r="N440" s="86"/>
      <c r="O440" s="86"/>
      <c r="P440" s="86"/>
      <c r="Q440" s="86"/>
      <c r="R440" s="86"/>
      <c r="S440" s="86"/>
      <c r="T440" s="86"/>
      <c r="U440" s="86"/>
      <c r="V440" s="86"/>
      <c r="W440" s="86"/>
      <c r="X440" s="86"/>
      <c r="Y440" s="14"/>
      <c r="Z440" s="14"/>
      <c r="AA440" s="14"/>
      <c r="AB440" s="14"/>
      <c r="AC440" s="14"/>
      <c r="AD440" s="14"/>
      <c r="AE440" s="14"/>
      <c r="AF440" s="14"/>
      <c r="AG440" s="14"/>
      <c r="AH440" s="14"/>
      <c r="AI440" s="14"/>
      <c r="AJ440" s="14"/>
      <c r="AK440" s="14"/>
      <c r="AL440" s="14"/>
      <c r="AM440" s="14"/>
      <c r="AN440" s="14"/>
      <c r="AO440" s="14"/>
      <c r="AP440" s="14"/>
      <c r="AQ440" s="14"/>
      <c r="AR440" s="14"/>
      <c r="AS440" s="14"/>
      <c r="AT440" s="14"/>
    </row>
    <row r="441" spans="1:71" hidden="1">
      <c r="A441" s="11"/>
      <c r="B441" s="11"/>
      <c r="C441" s="11"/>
      <c r="D441" s="85"/>
      <c r="E441" s="86"/>
      <c r="F441" s="86"/>
      <c r="G441" s="86"/>
      <c r="H441" s="86"/>
      <c r="I441" s="86"/>
      <c r="J441" s="86"/>
      <c r="K441" s="86"/>
      <c r="L441" s="86"/>
      <c r="M441" s="86"/>
      <c r="N441" s="86"/>
      <c r="O441" s="86"/>
      <c r="P441" s="86"/>
      <c r="Q441" s="86"/>
      <c r="R441" s="86"/>
      <c r="S441" s="86"/>
      <c r="T441" s="86"/>
      <c r="U441" s="86"/>
      <c r="V441" s="86"/>
      <c r="W441" s="86"/>
      <c r="X441" s="86"/>
      <c r="Y441" s="14"/>
      <c r="Z441" s="14"/>
      <c r="AA441" s="14"/>
      <c r="AB441" s="14"/>
      <c r="AC441" s="14"/>
      <c r="AD441" s="14"/>
      <c r="AE441" s="14"/>
      <c r="AF441" s="14"/>
      <c r="AG441" s="14"/>
      <c r="AH441" s="14"/>
      <c r="AI441" s="14"/>
      <c r="AJ441" s="14"/>
      <c r="AK441" s="14"/>
      <c r="AL441" s="14"/>
      <c r="AM441" s="14"/>
      <c r="AN441" s="14"/>
      <c r="AO441" s="14"/>
      <c r="AP441" s="14"/>
      <c r="AQ441" s="14"/>
      <c r="AR441" s="14"/>
      <c r="AS441" s="14"/>
      <c r="AT441" s="14"/>
    </row>
    <row r="442" spans="1:71" hidden="1">
      <c r="A442" s="11"/>
      <c r="B442" s="11"/>
      <c r="C442" s="11"/>
      <c r="D442" s="85"/>
      <c r="E442" s="86"/>
      <c r="F442" s="86"/>
      <c r="G442" s="86"/>
      <c r="H442" s="86"/>
      <c r="I442" s="86"/>
      <c r="J442" s="86"/>
      <c r="K442" s="86"/>
      <c r="L442" s="86"/>
      <c r="M442" s="86"/>
      <c r="N442" s="86"/>
      <c r="O442" s="86"/>
      <c r="P442" s="86"/>
      <c r="Q442" s="86"/>
      <c r="R442" s="86"/>
      <c r="S442" s="86"/>
      <c r="T442" s="86"/>
      <c r="U442" s="86"/>
      <c r="V442" s="86"/>
      <c r="W442" s="86"/>
      <c r="X442" s="86"/>
      <c r="Y442" s="14"/>
      <c r="Z442" s="14"/>
      <c r="AA442" s="14"/>
      <c r="AB442" s="14"/>
      <c r="AC442" s="14"/>
      <c r="AD442" s="14"/>
      <c r="AE442" s="14"/>
      <c r="AF442" s="14"/>
      <c r="AG442" s="14"/>
      <c r="AH442" s="14"/>
      <c r="AI442" s="14"/>
      <c r="AJ442" s="14"/>
      <c r="AK442" s="14"/>
      <c r="AL442" s="14"/>
      <c r="AM442" s="14"/>
      <c r="AN442" s="14"/>
      <c r="AO442" s="14"/>
      <c r="AP442" s="14"/>
      <c r="AQ442" s="14"/>
      <c r="AR442" s="14"/>
      <c r="AS442" s="14"/>
      <c r="AT442" s="14"/>
    </row>
    <row r="443" spans="1:71" hidden="1">
      <c r="A443" s="11"/>
      <c r="B443" s="11"/>
      <c r="C443" s="11"/>
      <c r="D443" s="85"/>
      <c r="E443" s="86"/>
      <c r="F443" s="86"/>
      <c r="G443" s="86"/>
      <c r="H443" s="86"/>
      <c r="I443" s="86"/>
      <c r="J443" s="86"/>
      <c r="K443" s="86"/>
      <c r="L443" s="86"/>
      <c r="M443" s="86"/>
      <c r="N443" s="86"/>
      <c r="O443" s="86"/>
      <c r="P443" s="86"/>
      <c r="Q443" s="86"/>
      <c r="R443" s="86"/>
      <c r="S443" s="86"/>
      <c r="T443" s="86"/>
      <c r="U443" s="86"/>
      <c r="V443" s="86"/>
      <c r="W443" s="86"/>
      <c r="X443" s="86"/>
      <c r="Y443" s="14"/>
      <c r="Z443" s="14"/>
      <c r="AA443" s="14"/>
      <c r="AB443" s="14"/>
      <c r="AC443" s="14"/>
      <c r="AD443" s="14"/>
      <c r="AE443" s="14"/>
      <c r="AF443" s="14"/>
      <c r="AG443" s="14"/>
      <c r="AH443" s="14"/>
      <c r="AI443" s="14"/>
      <c r="AJ443" s="14"/>
      <c r="AK443" s="14"/>
      <c r="AL443" s="14"/>
      <c r="AM443" s="14"/>
      <c r="AN443" s="14"/>
      <c r="AO443" s="14"/>
      <c r="AP443" s="14"/>
      <c r="AQ443" s="14"/>
      <c r="AR443" s="14"/>
      <c r="AS443" s="14"/>
      <c r="AT443" s="14"/>
    </row>
    <row r="444" spans="1:71" hidden="1">
      <c r="A444" s="11"/>
      <c r="B444" s="11"/>
      <c r="C444" s="11"/>
      <c r="D444" s="85"/>
      <c r="E444" s="86"/>
      <c r="F444" s="86"/>
      <c r="G444" s="86"/>
      <c r="H444" s="86"/>
      <c r="I444" s="86"/>
      <c r="J444" s="86"/>
      <c r="K444" s="86"/>
      <c r="L444" s="86"/>
      <c r="M444" s="86"/>
      <c r="N444" s="86"/>
      <c r="O444" s="86"/>
      <c r="P444" s="86"/>
      <c r="Q444" s="86"/>
      <c r="R444" s="86"/>
      <c r="S444" s="86"/>
      <c r="T444" s="86"/>
      <c r="U444" s="86"/>
      <c r="V444" s="86"/>
      <c r="W444" s="86"/>
      <c r="X444" s="86"/>
      <c r="Y444" s="14"/>
      <c r="Z444" s="14"/>
      <c r="AA444" s="14"/>
      <c r="AB444" s="14"/>
      <c r="AC444" s="14"/>
      <c r="AD444" s="14"/>
      <c r="AE444" s="14"/>
      <c r="AF444" s="14"/>
      <c r="AG444" s="14"/>
      <c r="AH444" s="14"/>
      <c r="AI444" s="14"/>
      <c r="AJ444" s="14"/>
      <c r="AK444" s="14"/>
      <c r="AL444" s="14"/>
      <c r="AM444" s="14"/>
      <c r="AN444" s="14"/>
      <c r="AO444" s="14"/>
      <c r="AP444" s="14"/>
      <c r="AQ444" s="14"/>
      <c r="AR444" s="14"/>
      <c r="AS444" s="14"/>
      <c r="AT444" s="14"/>
    </row>
    <row r="445" spans="1:71" hidden="1">
      <c r="A445" s="11"/>
      <c r="B445" s="11"/>
      <c r="C445" s="11"/>
      <c r="D445" s="85"/>
      <c r="E445" s="86"/>
      <c r="F445" s="86"/>
      <c r="G445" s="86"/>
      <c r="H445" s="86"/>
      <c r="I445" s="86"/>
      <c r="J445" s="86"/>
      <c r="K445" s="86"/>
      <c r="L445" s="86"/>
      <c r="M445" s="86"/>
      <c r="N445" s="86"/>
      <c r="O445" s="86"/>
      <c r="P445" s="86"/>
      <c r="Q445" s="86"/>
      <c r="R445" s="86"/>
      <c r="S445" s="86"/>
      <c r="T445" s="86"/>
      <c r="U445" s="86"/>
      <c r="V445" s="86"/>
      <c r="W445" s="86"/>
      <c r="X445" s="86"/>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row>
    <row r="446" spans="1:71" hidden="1">
      <c r="A446" s="11"/>
      <c r="B446" s="11"/>
      <c r="C446" s="11"/>
      <c r="D446" s="85"/>
      <c r="E446" s="86"/>
      <c r="F446" s="86"/>
      <c r="G446" s="86"/>
      <c r="H446" s="86"/>
      <c r="I446" s="86"/>
      <c r="J446" s="86"/>
      <c r="K446" s="86"/>
      <c r="L446" s="86"/>
      <c r="M446" s="86"/>
      <c r="N446" s="86"/>
      <c r="O446" s="86"/>
      <c r="P446" s="86"/>
      <c r="Q446" s="86"/>
      <c r="R446" s="86"/>
      <c r="S446" s="86"/>
      <c r="T446" s="86"/>
      <c r="U446" s="86"/>
      <c r="V446" s="86"/>
      <c r="W446" s="86"/>
      <c r="X446" s="86"/>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row>
    <row r="447" spans="1:71" hidden="1">
      <c r="A447" s="11"/>
      <c r="B447" s="11"/>
      <c r="C447" s="11"/>
      <c r="D447" s="85"/>
      <c r="E447" s="86"/>
      <c r="F447" s="86"/>
      <c r="G447" s="86"/>
      <c r="H447" s="86"/>
      <c r="I447" s="86"/>
      <c r="J447" s="86"/>
      <c r="K447" s="86"/>
      <c r="L447" s="86"/>
      <c r="M447" s="86"/>
      <c r="N447" s="86"/>
      <c r="O447" s="86"/>
      <c r="P447" s="86"/>
      <c r="Q447" s="86"/>
      <c r="R447" s="86"/>
      <c r="S447" s="86"/>
      <c r="T447" s="86"/>
      <c r="U447" s="86"/>
      <c r="V447" s="86"/>
      <c r="W447" s="86"/>
      <c r="X447" s="86"/>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row>
    <row r="448" spans="1:71" hidden="1">
      <c r="A448" s="11"/>
      <c r="B448" s="11"/>
      <c r="C448" s="11"/>
      <c r="D448" s="85"/>
      <c r="E448" s="86"/>
      <c r="F448" s="86"/>
      <c r="G448" s="86"/>
      <c r="H448" s="86"/>
      <c r="I448" s="86"/>
      <c r="J448" s="86"/>
      <c r="K448" s="86"/>
      <c r="L448" s="86"/>
      <c r="M448" s="86"/>
      <c r="N448" s="86"/>
      <c r="O448" s="86"/>
      <c r="P448" s="86"/>
      <c r="Q448" s="86"/>
      <c r="R448" s="86"/>
      <c r="S448" s="86"/>
      <c r="T448" s="86"/>
      <c r="U448" s="86"/>
      <c r="V448" s="86"/>
      <c r="W448" s="86"/>
      <c r="X448" s="86"/>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row>
    <row r="449" spans="1:46" hidden="1">
      <c r="A449" s="11"/>
      <c r="B449" s="11"/>
      <c r="C449" s="11"/>
      <c r="D449" s="85"/>
      <c r="E449" s="86"/>
      <c r="F449" s="86"/>
      <c r="G449" s="86"/>
      <c r="H449" s="86"/>
      <c r="I449" s="86"/>
      <c r="J449" s="86"/>
      <c r="K449" s="86"/>
      <c r="L449" s="86"/>
      <c r="M449" s="86"/>
      <c r="N449" s="86"/>
      <c r="O449" s="86"/>
      <c r="P449" s="86"/>
      <c r="Q449" s="86"/>
      <c r="R449" s="86"/>
      <c r="S449" s="86"/>
      <c r="T449" s="86"/>
      <c r="U449" s="86"/>
      <c r="V449" s="86"/>
      <c r="W449" s="86"/>
      <c r="X449" s="86"/>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row>
    <row r="450" spans="1:46" hidden="1">
      <c r="A450" s="11"/>
      <c r="B450" s="11"/>
      <c r="C450" s="11"/>
      <c r="D450" s="85"/>
      <c r="E450" s="86"/>
      <c r="F450" s="86"/>
      <c r="G450" s="86"/>
      <c r="H450" s="86"/>
      <c r="I450" s="86"/>
      <c r="J450" s="86"/>
      <c r="K450" s="86"/>
      <c r="L450" s="86"/>
      <c r="M450" s="86"/>
      <c r="N450" s="86"/>
      <c r="O450" s="86"/>
      <c r="P450" s="86"/>
      <c r="Q450" s="86"/>
      <c r="R450" s="86"/>
      <c r="S450" s="86"/>
      <c r="T450" s="86"/>
      <c r="U450" s="86"/>
      <c r="V450" s="86"/>
      <c r="W450" s="86"/>
      <c r="X450" s="86"/>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row>
    <row r="451" spans="1:46" hidden="1">
      <c r="A451" s="11"/>
      <c r="B451" s="11"/>
      <c r="C451" s="11"/>
      <c r="D451" s="85"/>
      <c r="E451" s="86"/>
      <c r="F451" s="86"/>
      <c r="G451" s="86"/>
      <c r="H451" s="86"/>
      <c r="I451" s="86"/>
      <c r="J451" s="86"/>
      <c r="K451" s="86"/>
      <c r="L451" s="86"/>
      <c r="M451" s="86"/>
      <c r="N451" s="86"/>
      <c r="O451" s="86"/>
      <c r="P451" s="86"/>
      <c r="Q451" s="86"/>
      <c r="R451" s="86"/>
      <c r="S451" s="86"/>
      <c r="T451" s="86"/>
      <c r="U451" s="86"/>
      <c r="V451" s="86"/>
      <c r="W451" s="86"/>
      <c r="X451" s="86"/>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row>
    <row r="452" spans="1:46" hidden="1">
      <c r="A452" s="11"/>
      <c r="B452" s="11"/>
      <c r="C452" s="11"/>
      <c r="D452" s="85"/>
      <c r="E452" s="86"/>
      <c r="F452" s="86"/>
      <c r="G452" s="86"/>
      <c r="H452" s="86"/>
      <c r="I452" s="86"/>
      <c r="J452" s="86"/>
      <c r="K452" s="86"/>
      <c r="L452" s="86"/>
      <c r="M452" s="86"/>
      <c r="N452" s="86"/>
      <c r="O452" s="86"/>
      <c r="P452" s="86"/>
      <c r="Q452" s="86"/>
      <c r="R452" s="86"/>
      <c r="S452" s="86"/>
      <c r="T452" s="86"/>
      <c r="U452" s="86"/>
      <c r="V452" s="86"/>
      <c r="W452" s="86"/>
      <c r="X452" s="86"/>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row>
    <row r="453" spans="1:46" hidden="1">
      <c r="A453" s="11"/>
      <c r="B453" s="11"/>
      <c r="C453" s="11"/>
      <c r="D453" s="85"/>
      <c r="E453" s="86"/>
      <c r="F453" s="86"/>
      <c r="G453" s="86"/>
      <c r="H453" s="86"/>
      <c r="I453" s="86"/>
      <c r="J453" s="86"/>
      <c r="K453" s="86"/>
      <c r="L453" s="86"/>
      <c r="M453" s="86"/>
      <c r="N453" s="86"/>
      <c r="O453" s="86"/>
      <c r="P453" s="86"/>
      <c r="Q453" s="86"/>
      <c r="R453" s="86"/>
      <c r="S453" s="86"/>
      <c r="T453" s="86"/>
      <c r="U453" s="86"/>
      <c r="V453" s="86"/>
      <c r="W453" s="86"/>
      <c r="X453" s="86"/>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row>
    <row r="454" spans="1:46" hidden="1">
      <c r="A454" s="11"/>
      <c r="B454" s="11"/>
      <c r="C454" s="11"/>
      <c r="D454" s="85"/>
      <c r="E454" s="86"/>
      <c r="F454" s="86"/>
      <c r="G454" s="86"/>
      <c r="H454" s="86"/>
      <c r="I454" s="86"/>
      <c r="J454" s="86"/>
      <c r="K454" s="86"/>
      <c r="L454" s="86"/>
      <c r="M454" s="86"/>
      <c r="N454" s="86"/>
      <c r="O454" s="86"/>
      <c r="P454" s="86"/>
      <c r="Q454" s="86"/>
      <c r="R454" s="86"/>
      <c r="S454" s="86"/>
      <c r="T454" s="86"/>
      <c r="U454" s="86"/>
      <c r="V454" s="86"/>
      <c r="W454" s="86"/>
      <c r="X454" s="86"/>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row>
    <row r="455" spans="1:46" hidden="1">
      <c r="A455" s="11"/>
      <c r="B455" s="11"/>
      <c r="C455" s="11"/>
      <c r="D455" s="85"/>
      <c r="E455" s="86"/>
      <c r="F455" s="86"/>
      <c r="G455" s="86"/>
      <c r="H455" s="86"/>
      <c r="I455" s="86"/>
      <c r="J455" s="86"/>
      <c r="K455" s="86"/>
      <c r="L455" s="86"/>
      <c r="M455" s="86"/>
      <c r="N455" s="86"/>
      <c r="O455" s="86"/>
      <c r="P455" s="86"/>
      <c r="Q455" s="86"/>
      <c r="R455" s="86"/>
      <c r="S455" s="86"/>
      <c r="T455" s="86"/>
      <c r="U455" s="86"/>
      <c r="V455" s="86"/>
      <c r="W455" s="86"/>
      <c r="X455" s="86"/>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row>
    <row r="456" spans="1:46" hidden="1">
      <c r="A456" s="11"/>
      <c r="B456" s="11"/>
      <c r="C456" s="11"/>
      <c r="D456" s="85"/>
      <c r="E456" s="86"/>
      <c r="F456" s="86"/>
      <c r="G456" s="86"/>
      <c r="H456" s="86"/>
      <c r="I456" s="86"/>
      <c r="J456" s="86"/>
      <c r="K456" s="86"/>
      <c r="L456" s="86"/>
      <c r="M456" s="86"/>
      <c r="N456" s="86"/>
      <c r="O456" s="86"/>
      <c r="P456" s="86"/>
      <c r="Q456" s="86"/>
      <c r="R456" s="86"/>
      <c r="S456" s="86"/>
      <c r="T456" s="86"/>
      <c r="U456" s="86"/>
      <c r="V456" s="86"/>
      <c r="W456" s="86"/>
      <c r="X456" s="86"/>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row>
    <row r="457" spans="1:46" hidden="1">
      <c r="A457" s="11"/>
      <c r="B457" s="11"/>
      <c r="C457" s="11"/>
      <c r="D457" s="85"/>
      <c r="E457" s="86"/>
      <c r="F457" s="86"/>
      <c r="G457" s="86"/>
      <c r="H457" s="86"/>
      <c r="I457" s="86"/>
      <c r="J457" s="86"/>
      <c r="K457" s="86"/>
      <c r="L457" s="86"/>
      <c r="M457" s="86"/>
      <c r="N457" s="86"/>
      <c r="O457" s="86"/>
      <c r="P457" s="86"/>
      <c r="Q457" s="86"/>
      <c r="R457" s="86"/>
      <c r="S457" s="86"/>
      <c r="T457" s="86"/>
      <c r="U457" s="86"/>
      <c r="V457" s="86"/>
      <c r="W457" s="86"/>
      <c r="X457" s="86"/>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row>
    <row r="458" spans="1:46" hidden="1">
      <c r="A458" s="11"/>
      <c r="B458" s="11"/>
      <c r="C458" s="11"/>
      <c r="D458" s="85"/>
      <c r="E458" s="86"/>
      <c r="F458" s="86"/>
      <c r="G458" s="86"/>
      <c r="H458" s="86"/>
      <c r="I458" s="86"/>
      <c r="J458" s="86"/>
      <c r="K458" s="86"/>
      <c r="L458" s="86"/>
      <c r="M458" s="86"/>
      <c r="N458" s="86"/>
      <c r="O458" s="86"/>
      <c r="P458" s="86"/>
      <c r="Q458" s="86"/>
      <c r="R458" s="86"/>
      <c r="S458" s="86"/>
      <c r="T458" s="86"/>
      <c r="U458" s="86"/>
      <c r="V458" s="86"/>
      <c r="W458" s="86"/>
      <c r="X458" s="86"/>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row>
    <row r="459" spans="1:46" hidden="1">
      <c r="A459" s="11"/>
      <c r="B459" s="11"/>
      <c r="C459" s="11"/>
      <c r="D459" s="85"/>
      <c r="E459" s="86"/>
      <c r="F459" s="86"/>
      <c r="G459" s="86"/>
      <c r="H459" s="86"/>
      <c r="I459" s="86"/>
      <c r="J459" s="86"/>
      <c r="K459" s="86"/>
      <c r="L459" s="86"/>
      <c r="M459" s="86"/>
      <c r="N459" s="86"/>
      <c r="O459" s="86"/>
      <c r="P459" s="86"/>
      <c r="Q459" s="86"/>
      <c r="R459" s="86"/>
      <c r="S459" s="86"/>
      <c r="T459" s="86"/>
      <c r="U459" s="86"/>
      <c r="V459" s="86"/>
      <c r="W459" s="86"/>
      <c r="X459" s="86"/>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row>
    <row r="460" spans="1:46" hidden="1">
      <c r="A460" s="11"/>
      <c r="B460" s="11"/>
      <c r="C460" s="11"/>
      <c r="D460" s="85"/>
      <c r="E460" s="86"/>
      <c r="F460" s="86"/>
      <c r="G460" s="86"/>
      <c r="H460" s="86"/>
      <c r="I460" s="86"/>
      <c r="J460" s="86"/>
      <c r="K460" s="86"/>
      <c r="L460" s="86"/>
      <c r="M460" s="86"/>
      <c r="N460" s="86"/>
      <c r="O460" s="86"/>
      <c r="P460" s="86"/>
      <c r="Q460" s="86"/>
      <c r="R460" s="86"/>
      <c r="S460" s="86"/>
      <c r="T460" s="86"/>
      <c r="U460" s="86"/>
      <c r="V460" s="86"/>
      <c r="W460" s="86"/>
      <c r="X460" s="86"/>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row>
    <row r="461" spans="1:46" hidden="1">
      <c r="A461" s="11"/>
      <c r="B461" s="11"/>
      <c r="C461" s="11"/>
      <c r="D461" s="85"/>
      <c r="E461" s="86"/>
      <c r="F461" s="86"/>
      <c r="G461" s="86"/>
      <c r="H461" s="86"/>
      <c r="I461" s="86"/>
      <c r="J461" s="86"/>
      <c r="K461" s="86"/>
      <c r="L461" s="86"/>
      <c r="M461" s="86"/>
      <c r="N461" s="86"/>
      <c r="O461" s="86"/>
      <c r="P461" s="86"/>
      <c r="Q461" s="86"/>
      <c r="R461" s="86"/>
      <c r="S461" s="86"/>
      <c r="T461" s="86"/>
      <c r="U461" s="86"/>
      <c r="V461" s="86"/>
      <c r="W461" s="86"/>
      <c r="X461" s="86"/>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row>
    <row r="462" spans="1:46" hidden="1">
      <c r="A462" s="11"/>
      <c r="B462" s="11"/>
      <c r="C462" s="11"/>
      <c r="D462" s="85"/>
      <c r="E462" s="86"/>
      <c r="F462" s="86"/>
      <c r="G462" s="86"/>
      <c r="H462" s="86"/>
      <c r="I462" s="86"/>
      <c r="J462" s="86"/>
      <c r="K462" s="86"/>
      <c r="L462" s="86"/>
      <c r="M462" s="86"/>
      <c r="N462" s="86"/>
      <c r="O462" s="86"/>
      <c r="P462" s="86"/>
      <c r="Q462" s="86"/>
      <c r="R462" s="86"/>
      <c r="S462" s="86"/>
      <c r="T462" s="86"/>
      <c r="U462" s="86"/>
      <c r="V462" s="86"/>
      <c r="W462" s="86"/>
      <c r="X462" s="86"/>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row>
    <row r="463" spans="1:46" hidden="1">
      <c r="A463" s="11"/>
      <c r="B463" s="11"/>
      <c r="C463" s="11"/>
      <c r="D463" s="85"/>
      <c r="E463" s="86"/>
      <c r="F463" s="86"/>
      <c r="G463" s="86"/>
      <c r="H463" s="86"/>
      <c r="I463" s="86"/>
      <c r="J463" s="86"/>
      <c r="K463" s="86"/>
      <c r="L463" s="86"/>
      <c r="M463" s="86"/>
      <c r="N463" s="86"/>
      <c r="O463" s="86"/>
      <c r="P463" s="86"/>
      <c r="Q463" s="86"/>
      <c r="R463" s="86"/>
      <c r="S463" s="86"/>
      <c r="T463" s="86"/>
      <c r="U463" s="86"/>
      <c r="V463" s="86"/>
      <c r="W463" s="86"/>
      <c r="X463" s="86"/>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row>
    <row r="464" spans="1:46" hidden="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row>
    <row r="465" spans="1:46" hidden="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row>
    <row r="466" spans="1:46" hidden="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idden="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idden="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idden="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idden="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idden="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idden="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idden="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idden="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idden="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idden="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idden="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idden="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idden="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idden="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idden="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idden="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idden="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idden="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idden="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idden="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idden="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idden="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idden="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idden="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idden="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sheetData>
  <sheetProtection sheet="1" scenarios="1" formatColumns="0"/>
  <protectedRanges>
    <protectedRange sqref="E46:W46" name="Evalueringsperiode"/>
    <protectedRange sqref="W64:W65 W57:W61 W51:W55 W49 W45:W47 W39:W40 W32:W34 W26:W30 W24 W18:W19 W15 W12 W8:W10 U64:U65 U57:U61 U51:U55 U49 U45:U47 U39:U40 U32:U34 U26:U30 U24 U18:U19 U15 U12" name="Input"/>
  </protectedRanges>
  <mergeCells count="14">
    <mergeCell ref="B69:D69"/>
    <mergeCell ref="B3:C3"/>
    <mergeCell ref="S67:X67"/>
    <mergeCell ref="B6:E6"/>
    <mergeCell ref="B37:D37"/>
    <mergeCell ref="B43:D43"/>
    <mergeCell ref="G67:H67"/>
    <mergeCell ref="E67:F67"/>
    <mergeCell ref="C67:D67"/>
    <mergeCell ref="K67:L67"/>
    <mergeCell ref="M67:N67"/>
    <mergeCell ref="O67:P67"/>
    <mergeCell ref="Q67:R67"/>
    <mergeCell ref="B44:D44"/>
  </mergeCells>
  <conditionalFormatting sqref="F24:S24 B24:D24 B22:X23 B35:X35 V31:V34 B28:T34 X24:X34 T24:U27 B25:S27 V24:V28 W24:W27">
    <cfRule type="expression" dxfId="275" priority="201">
      <formula>$E$24="nej"</formula>
    </cfRule>
  </conditionalFormatting>
  <conditionalFormatting sqref="V27:V28 E27:E28">
    <cfRule type="expression" dxfId="274" priority="200">
      <formula>$E$26="nej"</formula>
    </cfRule>
  </conditionalFormatting>
  <conditionalFormatting sqref="E29:E30 W29:W30">
    <cfRule type="expression" dxfId="273" priority="199">
      <formula>$E$26="ja"</formula>
    </cfRule>
  </conditionalFormatting>
  <conditionalFormatting sqref="E33">
    <cfRule type="expression" dxfId="272" priority="198">
      <formula>$E$32="nej"</formula>
    </cfRule>
  </conditionalFormatting>
  <conditionalFormatting sqref="E34">
    <cfRule type="expression" dxfId="271" priority="197">
      <formula>$E$32="ja"</formula>
    </cfRule>
  </conditionalFormatting>
  <conditionalFormatting sqref="V31">
    <cfRule type="expression" dxfId="270" priority="196">
      <formula>$E$26="nej"</formula>
    </cfRule>
  </conditionalFormatting>
  <conditionalFormatting sqref="G29:G30">
    <cfRule type="expression" dxfId="269" priority="192">
      <formula>$E$26="ja"</formula>
    </cfRule>
  </conditionalFormatting>
  <conditionalFormatting sqref="G27:G28">
    <cfRule type="expression" dxfId="268" priority="191">
      <formula>$E$26="nej"</formula>
    </cfRule>
  </conditionalFormatting>
  <conditionalFormatting sqref="I29:I30">
    <cfRule type="expression" dxfId="267" priority="190">
      <formula>$E$26="ja"</formula>
    </cfRule>
  </conditionalFormatting>
  <conditionalFormatting sqref="I27:I28">
    <cfRule type="expression" dxfId="266" priority="189">
      <formula>$E$26="nej"</formula>
    </cfRule>
  </conditionalFormatting>
  <conditionalFormatting sqref="K29:K30">
    <cfRule type="expression" dxfId="265" priority="188">
      <formula>$E$26="ja"</formula>
    </cfRule>
  </conditionalFormatting>
  <conditionalFormatting sqref="K27:K28">
    <cfRule type="expression" dxfId="264" priority="187">
      <formula>$E$26="nej"</formula>
    </cfRule>
  </conditionalFormatting>
  <conditionalFormatting sqref="M29:M30">
    <cfRule type="expression" dxfId="263" priority="186">
      <formula>$E$26="ja"</formula>
    </cfRule>
  </conditionalFormatting>
  <conditionalFormatting sqref="M27:M28">
    <cfRule type="expression" dxfId="262" priority="185">
      <formula>$E$26="nej"</formula>
    </cfRule>
  </conditionalFormatting>
  <conditionalFormatting sqref="O29:O30">
    <cfRule type="expression" dxfId="261" priority="184">
      <formula>$E$26="ja"</formula>
    </cfRule>
  </conditionalFormatting>
  <conditionalFormatting sqref="O27:O28">
    <cfRule type="expression" dxfId="260" priority="183">
      <formula>$E$26="nej"</formula>
    </cfRule>
  </conditionalFormatting>
  <conditionalFormatting sqref="Q29:Q30">
    <cfRule type="expression" dxfId="259" priority="182">
      <formula>$E$26="ja"</formula>
    </cfRule>
  </conditionalFormatting>
  <conditionalFormatting sqref="Q27:Q28">
    <cfRule type="expression" dxfId="258" priority="181">
      <formula>$E$26="nej"</formula>
    </cfRule>
  </conditionalFormatting>
  <conditionalFormatting sqref="S29:S30">
    <cfRule type="expression" dxfId="257" priority="180">
      <formula>$E$26="ja"</formula>
    </cfRule>
  </conditionalFormatting>
  <conditionalFormatting sqref="S27:S28">
    <cfRule type="expression" dxfId="256" priority="179">
      <formula>$E$26="nej"</formula>
    </cfRule>
  </conditionalFormatting>
  <conditionalFormatting sqref="I27:I28">
    <cfRule type="expression" dxfId="255" priority="178">
      <formula>$E$26="nej"</formula>
    </cfRule>
  </conditionalFormatting>
  <conditionalFormatting sqref="I31">
    <cfRule type="expression" dxfId="254" priority="177">
      <formula>$E$26="nej"</formula>
    </cfRule>
  </conditionalFormatting>
  <conditionalFormatting sqref="I31">
    <cfRule type="expression" dxfId="253" priority="176">
      <formula>$E$26="nej"</formula>
    </cfRule>
  </conditionalFormatting>
  <conditionalFormatting sqref="I29:I30">
    <cfRule type="expression" dxfId="252" priority="175">
      <formula>$E$26="ja"</formula>
    </cfRule>
  </conditionalFormatting>
  <conditionalFormatting sqref="I27:I28">
    <cfRule type="expression" dxfId="251" priority="174">
      <formula>$E$26="nej"</formula>
    </cfRule>
  </conditionalFormatting>
  <conditionalFormatting sqref="I29:I30">
    <cfRule type="expression" dxfId="250" priority="173">
      <formula>$E$26="ja"</formula>
    </cfRule>
  </conditionalFormatting>
  <conditionalFormatting sqref="I27:I28">
    <cfRule type="expression" dxfId="249" priority="172">
      <formula>$E$26="nej"</formula>
    </cfRule>
  </conditionalFormatting>
  <conditionalFormatting sqref="K29:K30">
    <cfRule type="expression" dxfId="248" priority="171">
      <formula>$E$26="ja"</formula>
    </cfRule>
  </conditionalFormatting>
  <conditionalFormatting sqref="K27:K28">
    <cfRule type="expression" dxfId="247" priority="170">
      <formula>$E$26="nej"</formula>
    </cfRule>
  </conditionalFormatting>
  <conditionalFormatting sqref="M29:M30">
    <cfRule type="expression" dxfId="246" priority="169">
      <formula>$E$26="ja"</formula>
    </cfRule>
  </conditionalFormatting>
  <conditionalFormatting sqref="M27:M28">
    <cfRule type="expression" dxfId="245" priority="168">
      <formula>$E$26="nej"</formula>
    </cfRule>
  </conditionalFormatting>
  <conditionalFormatting sqref="O29:O30">
    <cfRule type="expression" dxfId="244" priority="167">
      <formula>$E$26="ja"</formula>
    </cfRule>
  </conditionalFormatting>
  <conditionalFormatting sqref="O27:O28">
    <cfRule type="expression" dxfId="243" priority="166">
      <formula>$E$26="nej"</formula>
    </cfRule>
  </conditionalFormatting>
  <conditionalFormatting sqref="Q29:Q30">
    <cfRule type="expression" dxfId="242" priority="165">
      <formula>$E$26="ja"</formula>
    </cfRule>
  </conditionalFormatting>
  <conditionalFormatting sqref="Q27:Q28">
    <cfRule type="expression" dxfId="241" priority="164">
      <formula>$E$26="nej"</formula>
    </cfRule>
  </conditionalFormatting>
  <conditionalFormatting sqref="S29:S30">
    <cfRule type="expression" dxfId="240" priority="163">
      <formula>$E$26="ja"</formula>
    </cfRule>
  </conditionalFormatting>
  <conditionalFormatting sqref="S27:S28">
    <cfRule type="expression" dxfId="239" priority="162">
      <formula>$E$26="nej"</formula>
    </cfRule>
  </conditionalFormatting>
  <conditionalFormatting sqref="U29:U34">
    <cfRule type="expression" dxfId="238" priority="139">
      <formula>$E$24="nej"</formula>
    </cfRule>
  </conditionalFormatting>
  <conditionalFormatting sqref="U29:U30">
    <cfRule type="expression" dxfId="237" priority="138">
      <formula>$E$26="ja"</formula>
    </cfRule>
  </conditionalFormatting>
  <conditionalFormatting sqref="U27">
    <cfRule type="expression" dxfId="236" priority="137">
      <formula>$E$26="nej"</formula>
    </cfRule>
  </conditionalFormatting>
  <conditionalFormatting sqref="U29:U30">
    <cfRule type="expression" dxfId="235" priority="136">
      <formula>$E$26="ja"</formula>
    </cfRule>
  </conditionalFormatting>
  <conditionalFormatting sqref="U27">
    <cfRule type="expression" dxfId="234" priority="135">
      <formula>$E$26="nej"</formula>
    </cfRule>
  </conditionalFormatting>
  <conditionalFormatting sqref="W29:W34">
    <cfRule type="expression" dxfId="233" priority="134">
      <formula>$E$24="nej"</formula>
    </cfRule>
  </conditionalFormatting>
  <conditionalFormatting sqref="W29:W30">
    <cfRule type="expression" dxfId="232" priority="133">
      <formula>$E$26="ja"</formula>
    </cfRule>
  </conditionalFormatting>
  <conditionalFormatting sqref="W27">
    <cfRule type="expression" dxfId="231" priority="132">
      <formula>$E$26="nej"</formula>
    </cfRule>
  </conditionalFormatting>
  <conditionalFormatting sqref="W29:W30">
    <cfRule type="expression" dxfId="230" priority="131">
      <formula>$E$26="ja"</formula>
    </cfRule>
  </conditionalFormatting>
  <conditionalFormatting sqref="W27">
    <cfRule type="expression" dxfId="229" priority="130">
      <formula>$E$26="nej"</formula>
    </cfRule>
  </conditionalFormatting>
  <conditionalFormatting sqref="E52:E53">
    <cfRule type="expression" dxfId="228" priority="114">
      <formula>$E$51="nej"</formula>
    </cfRule>
  </conditionalFormatting>
  <conditionalFormatting sqref="E54:E55">
    <cfRule type="expression" dxfId="227" priority="113">
      <formula>$E$51="ja"</formula>
    </cfRule>
  </conditionalFormatting>
  <conditionalFormatting sqref="E58:E59">
    <cfRule type="expression" dxfId="226" priority="112">
      <formula>$E$57="nej"</formula>
    </cfRule>
  </conditionalFormatting>
  <conditionalFormatting sqref="E60:E61">
    <cfRule type="expression" dxfId="225" priority="111">
      <formula>$E$57="ja"</formula>
    </cfRule>
  </conditionalFormatting>
  <conditionalFormatting sqref="M52:M53">
    <cfRule type="expression" dxfId="224" priority="46">
      <formula>$E$51="nej"</formula>
    </cfRule>
  </conditionalFormatting>
  <conditionalFormatting sqref="M54:M55">
    <cfRule type="expression" dxfId="223" priority="45">
      <formula>$E$51="ja"</formula>
    </cfRule>
  </conditionalFormatting>
  <conditionalFormatting sqref="M58:M59">
    <cfRule type="expression" dxfId="222" priority="44">
      <formula>$E$57="nej"</formula>
    </cfRule>
  </conditionalFormatting>
  <conditionalFormatting sqref="M60:M61">
    <cfRule type="expression" dxfId="221" priority="43">
      <formula>$E$57="ja"</formula>
    </cfRule>
  </conditionalFormatting>
  <conditionalFormatting sqref="O52:O53">
    <cfRule type="expression" dxfId="220" priority="40">
      <formula>$E$51="nej"</formula>
    </cfRule>
  </conditionalFormatting>
  <conditionalFormatting sqref="O54:O55">
    <cfRule type="expression" dxfId="219" priority="39">
      <formula>$E$51="ja"</formula>
    </cfRule>
  </conditionalFormatting>
  <conditionalFormatting sqref="O58:O59">
    <cfRule type="expression" dxfId="218" priority="38">
      <formula>$E$57="nej"</formula>
    </cfRule>
  </conditionalFormatting>
  <conditionalFormatting sqref="O60:O61">
    <cfRule type="expression" dxfId="217" priority="37">
      <formula>$E$57="ja"</formula>
    </cfRule>
  </conditionalFormatting>
  <conditionalFormatting sqref="K52:K53">
    <cfRule type="expression" dxfId="216" priority="52">
      <formula>$E$51="nej"</formula>
    </cfRule>
  </conditionalFormatting>
  <conditionalFormatting sqref="K54:K55">
    <cfRule type="expression" dxfId="215" priority="51">
      <formula>$E$51="ja"</formula>
    </cfRule>
  </conditionalFormatting>
  <conditionalFormatting sqref="K58:K59">
    <cfRule type="expression" dxfId="214" priority="50">
      <formula>$E$57="nej"</formula>
    </cfRule>
  </conditionalFormatting>
  <conditionalFormatting sqref="K60:K61">
    <cfRule type="expression" dxfId="213" priority="49">
      <formula>$E$57="ja"</formula>
    </cfRule>
  </conditionalFormatting>
  <conditionalFormatting sqref="E51:E55">
    <cfRule type="expression" dxfId="212" priority="66">
      <formula>E$49="Diesel"</formula>
    </cfRule>
  </conditionalFormatting>
  <conditionalFormatting sqref="E57:E61">
    <cfRule type="expression" dxfId="211" priority="65">
      <formula>E$49="benzin"</formula>
    </cfRule>
  </conditionalFormatting>
  <conditionalFormatting sqref="G52:G53">
    <cfRule type="expression" dxfId="210" priority="64">
      <formula>$E$51="nej"</formula>
    </cfRule>
  </conditionalFormatting>
  <conditionalFormatting sqref="G54:G55">
    <cfRule type="expression" dxfId="209" priority="63">
      <formula>$E$51="ja"</formula>
    </cfRule>
  </conditionalFormatting>
  <conditionalFormatting sqref="G58:G59">
    <cfRule type="expression" dxfId="208" priority="62">
      <formula>$E$57="nej"</formula>
    </cfRule>
  </conditionalFormatting>
  <conditionalFormatting sqref="G60:G61">
    <cfRule type="expression" dxfId="207" priority="61">
      <formula>$E$57="ja"</formula>
    </cfRule>
  </conditionalFormatting>
  <conditionalFormatting sqref="G51:G55">
    <cfRule type="expression" dxfId="206" priority="60">
      <formula>G$49="Diesel"</formula>
    </cfRule>
  </conditionalFormatting>
  <conditionalFormatting sqref="G57:G61">
    <cfRule type="expression" dxfId="205" priority="59">
      <formula>G$49="benzin"</formula>
    </cfRule>
  </conditionalFormatting>
  <conditionalFormatting sqref="I52:I53">
    <cfRule type="expression" dxfId="204" priority="58">
      <formula>$E$51="nej"</formula>
    </cfRule>
  </conditionalFormatting>
  <conditionalFormatting sqref="I54:I55">
    <cfRule type="expression" dxfId="203" priority="57">
      <formula>$E$51="ja"</formula>
    </cfRule>
  </conditionalFormatting>
  <conditionalFormatting sqref="I58:I59">
    <cfRule type="expression" dxfId="202" priority="56">
      <formula>$E$57="nej"</formula>
    </cfRule>
  </conditionalFormatting>
  <conditionalFormatting sqref="I60:I61">
    <cfRule type="expression" dxfId="201" priority="55">
      <formula>$E$57="ja"</formula>
    </cfRule>
  </conditionalFormatting>
  <conditionalFormatting sqref="I51:I55">
    <cfRule type="expression" dxfId="200" priority="54">
      <formula>I$49="Diesel"</formula>
    </cfRule>
  </conditionalFormatting>
  <conditionalFormatting sqref="I57:I61">
    <cfRule type="expression" dxfId="199" priority="53">
      <formula>I$49="benzin"</formula>
    </cfRule>
  </conditionalFormatting>
  <conditionalFormatting sqref="K51:K55">
    <cfRule type="expression" dxfId="198" priority="48">
      <formula>K$49="Diesel"</formula>
    </cfRule>
  </conditionalFormatting>
  <conditionalFormatting sqref="K57:K61">
    <cfRule type="expression" dxfId="197" priority="47">
      <formula>K$49="benzin"</formula>
    </cfRule>
  </conditionalFormatting>
  <conditionalFormatting sqref="M51:M55">
    <cfRule type="expression" dxfId="196" priority="42">
      <formula>M$49="Diesel"</formula>
    </cfRule>
  </conditionalFormatting>
  <conditionalFormatting sqref="M57:M61">
    <cfRule type="expression" dxfId="195" priority="41">
      <formula>M$49="benzin"</formula>
    </cfRule>
  </conditionalFormatting>
  <conditionalFormatting sqref="O51:O55">
    <cfRule type="expression" dxfId="194" priority="36">
      <formula>O$49="Diesel"</formula>
    </cfRule>
  </conditionalFormatting>
  <conditionalFormatting sqref="O57:O61">
    <cfRule type="expression" dxfId="193" priority="35">
      <formula>O$49="benzin"</formula>
    </cfRule>
  </conditionalFormatting>
  <conditionalFormatting sqref="Q52:Q53">
    <cfRule type="expression" dxfId="192" priority="34">
      <formula>$E$51="nej"</formula>
    </cfRule>
  </conditionalFormatting>
  <conditionalFormatting sqref="Q54:Q55">
    <cfRule type="expression" dxfId="191" priority="33">
      <formula>$E$51="ja"</formula>
    </cfRule>
  </conditionalFormatting>
  <conditionalFormatting sqref="Q58:Q59">
    <cfRule type="expression" dxfId="190" priority="32">
      <formula>$E$57="nej"</formula>
    </cfRule>
  </conditionalFormatting>
  <conditionalFormatting sqref="Q60:Q61">
    <cfRule type="expression" dxfId="189" priority="31">
      <formula>$E$57="ja"</formula>
    </cfRule>
  </conditionalFormatting>
  <conditionalFormatting sqref="Q51:Q55">
    <cfRule type="expression" dxfId="188" priority="30">
      <formula>Q$49="Diesel"</formula>
    </cfRule>
  </conditionalFormatting>
  <conditionalFormatting sqref="Q57:Q61">
    <cfRule type="expression" dxfId="187" priority="29">
      <formula>Q$49="benzin"</formula>
    </cfRule>
  </conditionalFormatting>
  <conditionalFormatting sqref="S52:S53">
    <cfRule type="expression" dxfId="186" priority="28">
      <formula>$E$51="nej"</formula>
    </cfRule>
  </conditionalFormatting>
  <conditionalFormatting sqref="S54:S55">
    <cfRule type="expression" dxfId="185" priority="27">
      <formula>$E$51="ja"</formula>
    </cfRule>
  </conditionalFormatting>
  <conditionalFormatting sqref="S58:S59">
    <cfRule type="expression" dxfId="184" priority="26">
      <formula>$E$57="nej"</formula>
    </cfRule>
  </conditionalFormatting>
  <conditionalFormatting sqref="S60:S61">
    <cfRule type="expression" dxfId="183" priority="25">
      <formula>$E$57="ja"</formula>
    </cfRule>
  </conditionalFormatting>
  <conditionalFormatting sqref="S51:S55">
    <cfRule type="expression" dxfId="182" priority="24">
      <formula>S$49="Diesel"</formula>
    </cfRule>
  </conditionalFormatting>
  <conditionalFormatting sqref="S57:S61">
    <cfRule type="expression" dxfId="181" priority="23">
      <formula>S$49="benzin"</formula>
    </cfRule>
  </conditionalFormatting>
  <conditionalFormatting sqref="U52:U53">
    <cfRule type="expression" dxfId="180" priority="22">
      <formula>$E$51="nej"</formula>
    </cfRule>
  </conditionalFormatting>
  <conditionalFormatting sqref="U54:U55">
    <cfRule type="expression" dxfId="179" priority="21">
      <formula>$E$51="ja"</formula>
    </cfRule>
  </conditionalFormatting>
  <conditionalFormatting sqref="U58:U59">
    <cfRule type="expression" dxfId="178" priority="20">
      <formula>$E$57="nej"</formula>
    </cfRule>
  </conditionalFormatting>
  <conditionalFormatting sqref="U60:U61">
    <cfRule type="expression" dxfId="177" priority="19">
      <formula>$E$57="ja"</formula>
    </cfRule>
  </conditionalFormatting>
  <conditionalFormatting sqref="U51:U55">
    <cfRule type="expression" dxfId="176" priority="18">
      <formula>U$49="Diesel"</formula>
    </cfRule>
  </conditionalFormatting>
  <conditionalFormatting sqref="U57:U61">
    <cfRule type="expression" dxfId="175" priority="17">
      <formula>U$49="benzin"</formula>
    </cfRule>
  </conditionalFormatting>
  <conditionalFormatting sqref="W52:W53">
    <cfRule type="expression" dxfId="174" priority="16">
      <formula>$E$51="nej"</formula>
    </cfRule>
  </conditionalFormatting>
  <conditionalFormatting sqref="W54:W55">
    <cfRule type="expression" dxfId="173" priority="15">
      <formula>$E$51="ja"</formula>
    </cfRule>
  </conditionalFormatting>
  <conditionalFormatting sqref="W58:W59">
    <cfRule type="expression" dxfId="172" priority="14">
      <formula>$E$57="nej"</formula>
    </cfRule>
  </conditionalFormatting>
  <conditionalFormatting sqref="W60:W61">
    <cfRule type="expression" dxfId="171" priority="13">
      <formula>$E$57="ja"</formula>
    </cfRule>
  </conditionalFormatting>
  <conditionalFormatting sqref="W51:W55">
    <cfRule type="expression" dxfId="170" priority="12">
      <formula>W$49="Diesel"</formula>
    </cfRule>
  </conditionalFormatting>
  <conditionalFormatting sqref="W57:W61">
    <cfRule type="expression" dxfId="169" priority="11">
      <formula>W$49="benzin"</formula>
    </cfRule>
  </conditionalFormatting>
  <conditionalFormatting sqref="I28">
    <cfRule type="expression" dxfId="168" priority="10">
      <formula>$E$26="nej"</formula>
    </cfRule>
  </conditionalFormatting>
  <conditionalFormatting sqref="K28">
    <cfRule type="expression" dxfId="167" priority="9">
      <formula>$E$26="nej"</formula>
    </cfRule>
  </conditionalFormatting>
  <conditionalFormatting sqref="M28">
    <cfRule type="expression" dxfId="166" priority="8">
      <formula>$E$26="nej"</formula>
    </cfRule>
  </conditionalFormatting>
  <conditionalFormatting sqref="O28">
    <cfRule type="expression" dxfId="165" priority="7">
      <formula>$E$26="nej"</formula>
    </cfRule>
  </conditionalFormatting>
  <conditionalFormatting sqref="Q28">
    <cfRule type="expression" dxfId="164" priority="6">
      <formula>$E$26="nej"</formula>
    </cfRule>
  </conditionalFormatting>
  <conditionalFormatting sqref="S28">
    <cfRule type="expression" dxfId="163" priority="5">
      <formula>$E$26="nej"</formula>
    </cfRule>
  </conditionalFormatting>
  <conditionalFormatting sqref="U28">
    <cfRule type="expression" dxfId="162" priority="4">
      <formula>$E$24="nej"</formula>
    </cfRule>
  </conditionalFormatting>
  <conditionalFormatting sqref="U28">
    <cfRule type="expression" dxfId="161" priority="3">
      <formula>$E$26="nej"</formula>
    </cfRule>
  </conditionalFormatting>
  <conditionalFormatting sqref="W28">
    <cfRule type="expression" dxfId="160" priority="2">
      <formula>$E$24="nej"</formula>
    </cfRule>
  </conditionalFormatting>
  <conditionalFormatting sqref="W28">
    <cfRule type="expression" dxfId="159" priority="1">
      <formula>$E$26="nej"</formula>
    </cfRule>
  </conditionalFormatting>
  <dataValidations count="5">
    <dataValidation type="decimal" operator="greaterThanOrEqual" allowBlank="1" showInputMessage="1" showErrorMessage="1" error="Indtast et positivt tal" sqref="E39:E40 G39:G40 K39:K40 I39:I40 O39:O40 M39:M40 Q39:Q40 W39:W40 S39:S40 U39:U40 Q12:Q13 O12:O13 M12:M13 K12:K13 I12:I13 G12:G13 E12:E13 U12:U13 W12:W13 S12:S13 U15:U19 S15:S19 W15:W19 E15:E19 G15:G19 I15:I19 K15:K19 M15:M19 O15:O19 Q15:Q19" xr:uid="{00000000-0002-0000-0100-000000000000}">
      <formula1>0</formula1>
    </dataValidation>
    <dataValidation type="decimal" allowBlank="1" showInputMessage="1" showErrorMessage="1" error="Indtast et tal mellem 0 og 10" sqref="E55 E47 U55 G55 I55 K55 M55 O55 Q55 S55 W55" xr:uid="{00000000-0002-0000-0100-000002000000}">
      <formula1>0</formula1>
      <formula2>10</formula2>
    </dataValidation>
    <dataValidation type="decimal" allowBlank="1" showInputMessage="1" showErrorMessage="1" error="Indtast et tal mellem 0 og 25" sqref="E46" xr:uid="{00000000-0002-0000-0100-000003000000}">
      <formula1>0</formula1>
      <formula2>25</formula2>
    </dataValidation>
    <dataValidation allowBlank="1" showInputMessage="1" showErrorMessage="1" errorTitle="Elpris" error="Indtast et tal mellem 0 og 10" sqref="O52:O54 E52:E54 U52:U54 G52:G54 I52:I54 K52:K54 S52:S54 M52:M54 Q52:Q54 W52:W54" xr:uid="{C2B0E536-56C8-4BA5-805D-FD232E1AF94D}"/>
    <dataValidation type="custom" allowBlank="1" showInputMessage="1" showErrorMessage="1" error="Sum af tid i alle tre tilstande må ikke overstige 100%" sqref="G63 O63 M63 K63 I63 E63 Q63 W63 S63 U63" xr:uid="{33DA8E60-294D-4A2D-B5FD-49A7D1226F69}">
      <formula1>SUM(E$71:E$75)&lt;=100</formula1>
    </dataValidation>
  </dataValidations>
  <pageMargins left="0.25" right="0.25" top="0.75" bottom="0.75" header="0.3" footer="0.3"/>
  <pageSetup paperSize="8" scale="95" orientation="portrait" verticalDpi="300" r:id="rId1"/>
  <ignoredErrors>
    <ignoredError sqref="H39 F76 H76 J76 L76 N76 P76 R76 J39 L39 N39 P39 R39" unlockedFormula="1"/>
  </ignoredErrors>
  <drawing r:id="rId2"/>
  <extLst>
    <ext xmlns:x14="http://schemas.microsoft.com/office/spreadsheetml/2009/9/main" uri="{CCE6A557-97BC-4b89-ADB6-D9C93CAAB3DF}">
      <x14:dataValidations xmlns:xm="http://schemas.microsoft.com/office/excel/2006/main" count="3">
        <x14:dataValidation type="list" operator="greaterThanOrEqual" allowBlank="1" showInputMessage="1" showErrorMessage="1" error="Indtast et positivt tal" xr:uid="{2920E6CC-4F5E-41F5-BA4B-579E7DA2D266}">
          <x14:formula1>
            <xm:f>Fremskrivninger!$P$2:$P$3</xm:f>
          </x14:formula1>
          <xm:sqref>U24 S24 S26 S32 U32 Q24 O24 M24 K24 I24 G24 E24 E32 G32 Q32 I32 K32 M32 O32 E26 E51 G26 Q26 I26 K26 M26 O26 W24 W26 W32 U26 E57 U51 U57 G51 G57 I51 I57 K51 K57 M51 M57 O51 O57 Q51 Q57 S51 S57 W51 W57</xm:sqref>
        </x14:dataValidation>
        <x14:dataValidation type="list" allowBlank="1" showInputMessage="1" showErrorMessage="1" errorTitle="Tidsperiode" error="Indtast et tal mellem 0 og 40" xr:uid="{F31262C5-57E1-4A3F-8D94-0A3191C1E425}">
          <x14:formula1>
            <xm:f>Fremskrivninger!$A$9:$A$38</xm:f>
          </x14:formula1>
          <xm:sqref>E45 G45 I45 K45 M45 O45 Q45 W45 S45 U45</xm:sqref>
        </x14:dataValidation>
        <x14:dataValidation type="list" operator="greaterThanOrEqual" allowBlank="1" showInputMessage="1" showErrorMessage="1" error="Indtast et positivt tal" xr:uid="{2A0A14E2-C5D6-4515-AE69-2AF5D5A1ACE7}">
          <x14:formula1>
            <xm:f>'IB - B&amp;D&amp;H'!$AA$1:$AA$3</xm:f>
          </x14:formula1>
          <xm:sqref>E49 W49 U49 I49 K49 M49 O49 Q49 S49 G49</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sheetPr>
  <dimension ref="A1:AA206"/>
  <sheetViews>
    <sheetView topLeftCell="A64" zoomScaleNormal="100" workbookViewId="0">
      <selection activeCell="E48" sqref="E48"/>
    </sheetView>
  </sheetViews>
  <sheetFormatPr defaultColWidth="9.140625" defaultRowHeight="15" outlineLevelRow="1"/>
  <cols>
    <col min="1" max="1" width="9.140625" style="2"/>
    <col min="2" max="2" width="14.140625" style="2" customWidth="1"/>
    <col min="3" max="3" width="17.42578125" style="2" customWidth="1"/>
    <col min="4" max="4" width="20" style="2" customWidth="1"/>
    <col min="5" max="5" width="22.7109375" style="2" customWidth="1"/>
    <col min="6" max="6" width="9.140625" style="2"/>
    <col min="7" max="7" width="9.42578125" style="2" bestFit="1" customWidth="1"/>
    <col min="8" max="8" width="9.140625" style="2"/>
    <col min="9" max="9" width="9.42578125" style="2" bestFit="1" customWidth="1"/>
    <col min="10" max="10" width="9.140625" style="2"/>
    <col min="11" max="11" width="11.7109375" style="2" customWidth="1"/>
    <col min="12" max="12" width="9.140625" style="2"/>
    <col min="13" max="13" width="9.42578125" style="2" bestFit="1" customWidth="1"/>
    <col min="14" max="14" width="9.140625" style="2"/>
    <col min="15" max="15" width="9.42578125" style="2" bestFit="1" customWidth="1"/>
    <col min="16" max="16" width="9.140625" style="2"/>
    <col min="17" max="17" width="9.42578125" style="2" bestFit="1" customWidth="1"/>
    <col min="18" max="18" width="9.140625" style="2"/>
    <col min="19" max="19" width="9.42578125" style="2" bestFit="1" customWidth="1"/>
    <col min="20" max="24" width="9.140625" style="2"/>
    <col min="25" max="25" width="13" style="2" customWidth="1"/>
    <col min="26" max="26" width="20.140625" style="2" customWidth="1"/>
    <col min="27" max="16384" width="9.140625" style="2"/>
  </cols>
  <sheetData>
    <row r="1" spans="1:27">
      <c r="AA1" s="444" t="s">
        <v>125</v>
      </c>
    </row>
    <row r="2" spans="1:27">
      <c r="A2" s="146" t="s">
        <v>26</v>
      </c>
      <c r="E2" s="498" t="str">
        <f>E25</f>
        <v>PRODUKT 1</v>
      </c>
      <c r="F2" s="498"/>
      <c r="G2" s="498" t="str">
        <f t="shared" ref="G2:W2" si="0">G25</f>
        <v>PRODUKT 2</v>
      </c>
      <c r="H2" s="498"/>
      <c r="I2" s="498" t="str">
        <f t="shared" si="0"/>
        <v>PRODUKT 3</v>
      </c>
      <c r="J2" s="498"/>
      <c r="K2" s="498" t="str">
        <f t="shared" si="0"/>
        <v>PRODUKT 4</v>
      </c>
      <c r="L2" s="498"/>
      <c r="M2" s="498" t="str">
        <f t="shared" si="0"/>
        <v>PRODUKT 5</v>
      </c>
      <c r="N2" s="498"/>
      <c r="O2" s="498" t="str">
        <f t="shared" si="0"/>
        <v>PRODUKT 6</v>
      </c>
      <c r="P2" s="498"/>
      <c r="Q2" s="498" t="str">
        <f t="shared" si="0"/>
        <v>PRODUKT 7</v>
      </c>
      <c r="R2" s="498"/>
      <c r="S2" s="498" t="str">
        <f t="shared" si="0"/>
        <v>PRODUKT 8</v>
      </c>
      <c r="T2" s="498"/>
      <c r="U2" s="498" t="str">
        <f t="shared" si="0"/>
        <v>PRODUKT 9</v>
      </c>
      <c r="V2" s="498"/>
      <c r="W2" s="498" t="str">
        <f t="shared" si="0"/>
        <v>PRODUKT 10</v>
      </c>
      <c r="AA2" s="445" t="s">
        <v>107</v>
      </c>
    </row>
    <row r="3" spans="1:27">
      <c r="A3" s="291" t="s">
        <v>20</v>
      </c>
      <c r="B3" s="292"/>
      <c r="C3" s="293" t="s">
        <v>186</v>
      </c>
      <c r="D3" s="293" t="s">
        <v>187</v>
      </c>
      <c r="E3" s="149"/>
      <c r="F3" s="149"/>
      <c r="G3" s="149"/>
      <c r="H3" s="149"/>
      <c r="I3" s="149"/>
      <c r="J3" s="149"/>
      <c r="K3" s="149"/>
      <c r="L3" s="149"/>
      <c r="M3" s="149"/>
      <c r="N3" s="149"/>
      <c r="O3" s="149"/>
      <c r="P3" s="149"/>
      <c r="Q3" s="149"/>
      <c r="R3" s="149"/>
      <c r="S3" s="149"/>
      <c r="U3" s="149"/>
      <c r="W3" s="149"/>
      <c r="AA3" s="445" t="s">
        <v>108</v>
      </c>
    </row>
    <row r="4" spans="1:27">
      <c r="A4" s="294">
        <v>1</v>
      </c>
      <c r="B4" s="273"/>
      <c r="C4" s="295">
        <f>IF('Benzin - diesel - hybrid'!$E$51="ja",'Benzin - diesel - hybrid'!$E$52,'Benzin - diesel - hybrid'!$E$54)</f>
        <v>8.7367999999999988</v>
      </c>
      <c r="D4" s="295">
        <f>IF('Benzin - diesel - hybrid'!$E$57="ja",'Benzin - diesel - hybrid'!$E$58,'Benzin - diesel - hybrid'!$E$60)</f>
        <v>7.6283999999999992</v>
      </c>
      <c r="E4" s="299">
        <f>IFERROR('Benzin - diesel - hybrid'!E$39*('Benzin - diesel - hybrid'!E$40/'Benzin - diesel - hybrid'!E$15)*IF('Benzin - diesel - hybrid'!E$49="Benzin",$C4,IF('Benzin - diesel - hybrid'!E$49="Diesel",D4,0))*(1+'Benzin - diesel - hybrid'!E$47)^-$A4,0)</f>
        <v>0</v>
      </c>
      <c r="F4" s="299"/>
      <c r="G4" s="299">
        <f>IFERROR('Benzin - diesel - hybrid'!G$39*('Benzin - diesel - hybrid'!G$40/'Benzin - diesel - hybrid'!G$15)*IF('Benzin - diesel - hybrid'!G$49="Benzin",$C4,IF('Benzin - diesel - hybrid'!G$49="Diesel",F4,0))*(1+'Benzin - diesel - hybrid'!G$47)^-$A4,0)</f>
        <v>0</v>
      </c>
      <c r="H4" s="299"/>
      <c r="I4" s="299">
        <f>IFERROR('Benzin - diesel - hybrid'!I$39*('Benzin - diesel - hybrid'!I$40/'Benzin - diesel - hybrid'!I$15)*IF('Benzin - diesel - hybrid'!I$49="Benzin",$C4,IF('Benzin - diesel - hybrid'!I$49="Diesel",H4,0))*(1+'Benzin - diesel - hybrid'!I$47)^-$A4,0)</f>
        <v>0</v>
      </c>
      <c r="J4" s="299"/>
      <c r="K4" s="299">
        <f>IFERROR('Benzin - diesel - hybrid'!K$39*('Benzin - diesel - hybrid'!K$40/'Benzin - diesel - hybrid'!K$15)*IF('Benzin - diesel - hybrid'!K$49="Benzin",$C4,IF('Benzin - diesel - hybrid'!K$49="Diesel",J4,0))*(1+'Benzin - diesel - hybrid'!K$47)^-$A4,0)</f>
        <v>0</v>
      </c>
      <c r="L4" s="299"/>
      <c r="M4" s="299">
        <f>IFERROR('Benzin - diesel - hybrid'!M$39*('Benzin - diesel - hybrid'!M$40/'Benzin - diesel - hybrid'!M$15)*IF('Benzin - diesel - hybrid'!M$49="Benzin",$C4,IF('Benzin - diesel - hybrid'!M$49="Diesel",L4,0))*(1+'Benzin - diesel - hybrid'!M$47)^-$A4,0)</f>
        <v>0</v>
      </c>
      <c r="N4" s="299"/>
      <c r="O4" s="299">
        <f>IFERROR('Benzin - diesel - hybrid'!O$39*('Benzin - diesel - hybrid'!O$40/'Benzin - diesel - hybrid'!O$15)*IF('Benzin - diesel - hybrid'!O$49="Benzin",$C4,IF('Benzin - diesel - hybrid'!O$49="Diesel",N4,0))*(1+'Benzin - diesel - hybrid'!O$47)^-$A4,0)</f>
        <v>0</v>
      </c>
      <c r="P4" s="299"/>
      <c r="Q4" s="299">
        <f>IFERROR('Benzin - diesel - hybrid'!Q$39*('Benzin - diesel - hybrid'!Q$40/'Benzin - diesel - hybrid'!Q$15)*IF('Benzin - diesel - hybrid'!Q$49="Benzin",$C4,IF('Benzin - diesel - hybrid'!Q$49="Diesel",P4,0))*(1+'Benzin - diesel - hybrid'!Q$47)^-$A4,0)</f>
        <v>0</v>
      </c>
      <c r="R4" s="299"/>
      <c r="S4" s="299">
        <f>IFERROR('Benzin - diesel - hybrid'!S$39*('Benzin - diesel - hybrid'!S$40/'Benzin - diesel - hybrid'!S$15)*IF('Benzin - diesel - hybrid'!S$49="Benzin",$C4,IF('Benzin - diesel - hybrid'!S$49="Diesel",R4,0))*(1+'Benzin - diesel - hybrid'!S$47)^-$A4,0)</f>
        <v>0</v>
      </c>
      <c r="U4" s="299">
        <f>IFERROR('Benzin - diesel - hybrid'!U$39*('Benzin - diesel - hybrid'!U$40/'Benzin - diesel - hybrid'!U$15)*IF('Benzin - diesel - hybrid'!U$49="Benzin",$C4,IF('Benzin - diesel - hybrid'!U$49="Diesel",T4,0))*(1+'Benzin - diesel - hybrid'!U$47)^-$A4,0)</f>
        <v>0</v>
      </c>
      <c r="W4" s="299">
        <f>IFERROR('Benzin - diesel - hybrid'!W$39*('Benzin - diesel - hybrid'!W$40/'Benzin - diesel - hybrid'!W$15)*IF('Benzin - diesel - hybrid'!W$49="Benzin",$C4,IF('Benzin - diesel - hybrid'!W$49="Diesel",V4,0))*(1+'Benzin - diesel - hybrid'!W$47)^-$A4,0)</f>
        <v>0</v>
      </c>
    </row>
    <row r="5" spans="1:27">
      <c r="A5" s="294">
        <f t="shared" ref="A5:A23" si="1">A4+1</f>
        <v>2</v>
      </c>
      <c r="B5" s="273"/>
      <c r="C5" s="295">
        <f>((C4-Fremskrivninger!E48)*(1+IF('Benzin - diesel - hybrid'!$E$51="ja",'Benzin - diesel - hybrid'!$E$53,'Benzin - diesel - hybrid'!$E$55))+Fremskrivninger!E48)</f>
        <v>8.7934675200000001</v>
      </c>
      <c r="D5" s="295">
        <f>((D4-Fremskrivninger!E92)*(1+IF('Benzin - diesel - hybrid'!$E$57="ja",'Benzin - diesel - hybrid'!$E$59,'Benzin - diesel - hybrid'!$E$61))+Fremskrivninger!E92)</f>
        <v>7.6920317999999988</v>
      </c>
      <c r="E5" s="299">
        <f>IFERROR('Benzin - diesel - hybrid'!E$39*('Benzin - diesel - hybrid'!E$40/'Benzin - diesel - hybrid'!E$15)*IF('Benzin - diesel - hybrid'!E$49="Benzin",$C5,IF('Benzin - diesel - hybrid'!E$49="Diesel",D5,0))*(1+'Benzin - diesel - hybrid'!E$47)^-$A5,0)</f>
        <v>0</v>
      </c>
      <c r="F5" s="299"/>
      <c r="G5" s="299">
        <f>IFERROR('Benzin - diesel - hybrid'!G$39*('Benzin - diesel - hybrid'!G$40/'Benzin - diesel - hybrid'!G$15)*IF('Benzin - diesel - hybrid'!G$49="Benzin",$C5,IF('Benzin - diesel - hybrid'!G$49="Diesel",F5,0))*(1+'Benzin - diesel - hybrid'!G$47)^-$A5,0)</f>
        <v>0</v>
      </c>
      <c r="H5" s="299"/>
      <c r="I5" s="299">
        <f>IFERROR('Benzin - diesel - hybrid'!I$39*('Benzin - diesel - hybrid'!I$40/'Benzin - diesel - hybrid'!I$15)*IF('Benzin - diesel - hybrid'!I$49="Benzin",$C5,IF('Benzin - diesel - hybrid'!I$49="Diesel",H5,0))*(1+'Benzin - diesel - hybrid'!I$47)^-$A5,0)</f>
        <v>0</v>
      </c>
      <c r="J5" s="299"/>
      <c r="K5" s="299">
        <f>IFERROR('Benzin - diesel - hybrid'!K$39*('Benzin - diesel - hybrid'!K$40/'Benzin - diesel - hybrid'!K$15)*IF('Benzin - diesel - hybrid'!K$49="Benzin",$C5,IF('Benzin - diesel - hybrid'!K$49="Diesel",J5,0))*(1+'Benzin - diesel - hybrid'!K$47)^-$A5,0)</f>
        <v>0</v>
      </c>
      <c r="L5" s="299"/>
      <c r="M5" s="299">
        <f>IFERROR('Benzin - diesel - hybrid'!M$39*('Benzin - diesel - hybrid'!M$40/'Benzin - diesel - hybrid'!M$15)*IF('Benzin - diesel - hybrid'!M$49="Benzin",$C5,IF('Benzin - diesel - hybrid'!M$49="Diesel",L5,0))*(1+'Benzin - diesel - hybrid'!M$47)^-$A5,0)</f>
        <v>0</v>
      </c>
      <c r="N5" s="299"/>
      <c r="O5" s="299">
        <f>IFERROR('Benzin - diesel - hybrid'!O$39*('Benzin - diesel - hybrid'!O$40/'Benzin - diesel - hybrid'!O$15)*IF('Benzin - diesel - hybrid'!O$49="Benzin",$C5,IF('Benzin - diesel - hybrid'!O$49="Diesel",N5,0))*(1+'Benzin - diesel - hybrid'!O$47)^-$A5,0)</f>
        <v>0</v>
      </c>
      <c r="P5" s="299"/>
      <c r="Q5" s="299">
        <f>IFERROR('Benzin - diesel - hybrid'!Q$39*('Benzin - diesel - hybrid'!Q$40/'Benzin - diesel - hybrid'!Q$15)*IF('Benzin - diesel - hybrid'!Q$49="Benzin",$C5,IF('Benzin - diesel - hybrid'!Q$49="Diesel",P5,0))*(1+'Benzin - diesel - hybrid'!Q$47)^-$A5,0)</f>
        <v>0</v>
      </c>
      <c r="R5" s="299"/>
      <c r="S5" s="299">
        <f>IFERROR('Benzin - diesel - hybrid'!S$39*('Benzin - diesel - hybrid'!S$40/'Benzin - diesel - hybrid'!S$15)*IF('Benzin - diesel - hybrid'!S$49="Benzin",$C5,IF('Benzin - diesel - hybrid'!S$49="Diesel",R5,0))*(1+'Benzin - diesel - hybrid'!S$47)^-$A5,0)</f>
        <v>0</v>
      </c>
      <c r="U5" s="299">
        <f>IFERROR('Benzin - diesel - hybrid'!U$39*('Benzin - diesel - hybrid'!U$40/'Benzin - diesel - hybrid'!U$15)*IF('Benzin - diesel - hybrid'!U$49="Benzin",$C5,IF('Benzin - diesel - hybrid'!U$49="Diesel",T5,0))*(1+'Benzin - diesel - hybrid'!U$47)^-$A5,0)</f>
        <v>0</v>
      </c>
      <c r="W5" s="299">
        <f>IFERROR('Benzin - diesel - hybrid'!W$39*('Benzin - diesel - hybrid'!W$40/'Benzin - diesel - hybrid'!W$15)*IF('Benzin - diesel - hybrid'!W$49="Benzin",$C5,IF('Benzin - diesel - hybrid'!W$49="Diesel",V5,0))*(1+'Benzin - diesel - hybrid'!W$47)^-$A5,0)</f>
        <v>0</v>
      </c>
    </row>
    <row r="6" spans="1:27">
      <c r="A6" s="294">
        <f t="shared" si="1"/>
        <v>3</v>
      </c>
      <c r="B6" s="273"/>
      <c r="C6" s="295">
        <f>((C5-Fremskrivninger!E49)*(1+IF('Benzin - diesel - hybrid'!$E$51="ja",'Benzin - diesel - hybrid'!$E$53,'Benzin - diesel - hybrid'!$E$55))+Fremskrivninger!E49)</f>
        <v>8.8509227185280004</v>
      </c>
      <c r="D6" s="295">
        <f>((D5-Fremskrivninger!E93)*(1+IF('Benzin - diesel - hybrid'!$E$57="ja",'Benzin - diesel - hybrid'!$E$59,'Benzin - diesel - hybrid'!$E$61))+Fremskrivninger!E93)</f>
        <v>7.7565862610999989</v>
      </c>
      <c r="E6" s="299">
        <f>IFERROR('Benzin - diesel - hybrid'!E$39*('Benzin - diesel - hybrid'!E$40/'Benzin - diesel - hybrid'!E$15)*IF('Benzin - diesel - hybrid'!E$49="Benzin",$C6,IF('Benzin - diesel - hybrid'!E$49="Diesel",D6,0))*(1+'Benzin - diesel - hybrid'!E$47)^-$A6,0)</f>
        <v>0</v>
      </c>
      <c r="F6" s="299"/>
      <c r="G6" s="299">
        <f>IFERROR('Benzin - diesel - hybrid'!G$39*('Benzin - diesel - hybrid'!G$40/'Benzin - diesel - hybrid'!G$15)*IF('Benzin - diesel - hybrid'!G$49="Benzin",$C6,IF('Benzin - diesel - hybrid'!G$49="Diesel",F6,0))*(1+'Benzin - diesel - hybrid'!G$47)^-$A6,0)</f>
        <v>0</v>
      </c>
      <c r="H6" s="299"/>
      <c r="I6" s="299">
        <f>IFERROR('Benzin - diesel - hybrid'!I$39*('Benzin - diesel - hybrid'!I$40/'Benzin - diesel - hybrid'!I$15)*IF('Benzin - diesel - hybrid'!I$49="Benzin",$C6,IF('Benzin - diesel - hybrid'!I$49="Diesel",H6,0))*(1+'Benzin - diesel - hybrid'!I$47)^-$A6,0)</f>
        <v>0</v>
      </c>
      <c r="J6" s="299"/>
      <c r="K6" s="299">
        <f>IFERROR('Benzin - diesel - hybrid'!K$39*('Benzin - diesel - hybrid'!K$40/'Benzin - diesel - hybrid'!K$15)*IF('Benzin - diesel - hybrid'!K$49="Benzin",$C6,IF('Benzin - diesel - hybrid'!K$49="Diesel",J6,0))*(1+'Benzin - diesel - hybrid'!K$47)^-$A6,0)</f>
        <v>0</v>
      </c>
      <c r="L6" s="299"/>
      <c r="M6" s="299">
        <f>IFERROR('Benzin - diesel - hybrid'!M$39*('Benzin - diesel - hybrid'!M$40/'Benzin - diesel - hybrid'!M$15)*IF('Benzin - diesel - hybrid'!M$49="Benzin",$C6,IF('Benzin - diesel - hybrid'!M$49="Diesel",L6,0))*(1+'Benzin - diesel - hybrid'!M$47)^-$A6,0)</f>
        <v>0</v>
      </c>
      <c r="N6" s="299"/>
      <c r="O6" s="299">
        <f>IFERROR('Benzin - diesel - hybrid'!O$39*('Benzin - diesel - hybrid'!O$40/'Benzin - diesel - hybrid'!O$15)*IF('Benzin - diesel - hybrid'!O$49="Benzin",$C6,IF('Benzin - diesel - hybrid'!O$49="Diesel",N6,0))*(1+'Benzin - diesel - hybrid'!O$47)^-$A6,0)</f>
        <v>0</v>
      </c>
      <c r="P6" s="299"/>
      <c r="Q6" s="299">
        <f>IFERROR('Benzin - diesel - hybrid'!Q$39*('Benzin - diesel - hybrid'!Q$40/'Benzin - diesel - hybrid'!Q$15)*IF('Benzin - diesel - hybrid'!Q$49="Benzin",$C6,IF('Benzin - diesel - hybrid'!Q$49="Diesel",P6,0))*(1+'Benzin - diesel - hybrid'!Q$47)^-$A6,0)</f>
        <v>0</v>
      </c>
      <c r="R6" s="299"/>
      <c r="S6" s="299">
        <f>IFERROR('Benzin - diesel - hybrid'!S$39*('Benzin - diesel - hybrid'!S$40/'Benzin - diesel - hybrid'!S$15)*IF('Benzin - diesel - hybrid'!S$49="Benzin",$C6,IF('Benzin - diesel - hybrid'!S$49="Diesel",R6,0))*(1+'Benzin - diesel - hybrid'!S$47)^-$A6,0)</f>
        <v>0</v>
      </c>
      <c r="U6" s="299">
        <f>IFERROR('Benzin - diesel - hybrid'!U$39*('Benzin - diesel - hybrid'!U$40/'Benzin - diesel - hybrid'!U$15)*IF('Benzin - diesel - hybrid'!U$49="Benzin",$C6,IF('Benzin - diesel - hybrid'!U$49="Diesel",T6,0))*(1+'Benzin - diesel - hybrid'!U$47)^-$A6,0)</f>
        <v>0</v>
      </c>
      <c r="W6" s="299">
        <f>IFERROR('Benzin - diesel - hybrid'!W$39*('Benzin - diesel - hybrid'!W$40/'Benzin - diesel - hybrid'!W$15)*IF('Benzin - diesel - hybrid'!W$49="Benzin",$C6,IF('Benzin - diesel - hybrid'!W$49="Diesel",V6,0))*(1+'Benzin - diesel - hybrid'!W$47)^-$A6,0)</f>
        <v>0</v>
      </c>
    </row>
    <row r="7" spans="1:27">
      <c r="A7" s="294">
        <f t="shared" si="1"/>
        <v>4</v>
      </c>
      <c r="B7" s="273"/>
      <c r="C7" s="295">
        <f>((C6-Fremskrivninger!E50)*(1+IF('Benzin - diesel - hybrid'!$E$51="ja",'Benzin - diesel - hybrid'!$E$53,'Benzin - diesel - hybrid'!$E$55))+Fremskrivninger!E50)</f>
        <v>8.9091765443155388</v>
      </c>
      <c r="D7" s="295">
        <f>((D6-Fremskrivninger!E94)*(1+IF('Benzin - diesel - hybrid'!$E$57="ja",'Benzin - diesel - hybrid'!$E$59,'Benzin - diesel - hybrid'!$E$61))+Fremskrivninger!E94)</f>
        <v>7.822076761885949</v>
      </c>
      <c r="E7" s="299">
        <f>IFERROR('Benzin - diesel - hybrid'!E$39*('Benzin - diesel - hybrid'!E$40/'Benzin - diesel - hybrid'!E$15)*IF('Benzin - diesel - hybrid'!E$49="Benzin",$C7,IF('Benzin - diesel - hybrid'!E$49="Diesel",D7,0))*(1+'Benzin - diesel - hybrid'!E$47)^-$A7,0)</f>
        <v>0</v>
      </c>
      <c r="F7" s="299"/>
      <c r="G7" s="299">
        <f>IFERROR('Benzin - diesel - hybrid'!G$39*('Benzin - diesel - hybrid'!G$40/'Benzin - diesel - hybrid'!G$15)*IF('Benzin - diesel - hybrid'!G$49="Benzin",$C7,IF('Benzin - diesel - hybrid'!G$49="Diesel",F7,0))*(1+'Benzin - diesel - hybrid'!G$47)^-$A7,0)</f>
        <v>0</v>
      </c>
      <c r="H7" s="299"/>
      <c r="I7" s="299">
        <f>IFERROR('Benzin - diesel - hybrid'!I$39*('Benzin - diesel - hybrid'!I$40/'Benzin - diesel - hybrid'!I$15)*IF('Benzin - diesel - hybrid'!I$49="Benzin",$C7,IF('Benzin - diesel - hybrid'!I$49="Diesel",H7,0))*(1+'Benzin - diesel - hybrid'!I$47)^-$A7,0)</f>
        <v>0</v>
      </c>
      <c r="J7" s="299"/>
      <c r="K7" s="299">
        <f>IFERROR('Benzin - diesel - hybrid'!K$39*('Benzin - diesel - hybrid'!K$40/'Benzin - diesel - hybrid'!K$15)*IF('Benzin - diesel - hybrid'!K$49="Benzin",$C7,IF('Benzin - diesel - hybrid'!K$49="Diesel",J7,0))*(1+'Benzin - diesel - hybrid'!K$47)^-$A7,0)</f>
        <v>0</v>
      </c>
      <c r="L7" s="299"/>
      <c r="M7" s="299">
        <f>IFERROR('Benzin - diesel - hybrid'!M$39*('Benzin - diesel - hybrid'!M$40/'Benzin - diesel - hybrid'!M$15)*IF('Benzin - diesel - hybrid'!M$49="Benzin",$C7,IF('Benzin - diesel - hybrid'!M$49="Diesel",L7,0))*(1+'Benzin - diesel - hybrid'!M$47)^-$A7,0)</f>
        <v>0</v>
      </c>
      <c r="N7" s="299"/>
      <c r="O7" s="299">
        <f>IFERROR('Benzin - diesel - hybrid'!O$39*('Benzin - diesel - hybrid'!O$40/'Benzin - diesel - hybrid'!O$15)*IF('Benzin - diesel - hybrid'!O$49="Benzin",$C7,IF('Benzin - diesel - hybrid'!O$49="Diesel",N7,0))*(1+'Benzin - diesel - hybrid'!O$47)^-$A7,0)</f>
        <v>0</v>
      </c>
      <c r="P7" s="299"/>
      <c r="Q7" s="299">
        <f>IFERROR('Benzin - diesel - hybrid'!Q$39*('Benzin - diesel - hybrid'!Q$40/'Benzin - diesel - hybrid'!Q$15)*IF('Benzin - diesel - hybrid'!Q$49="Benzin",$C7,IF('Benzin - diesel - hybrid'!Q$49="Diesel",P7,0))*(1+'Benzin - diesel - hybrid'!Q$47)^-$A7,0)</f>
        <v>0</v>
      </c>
      <c r="R7" s="299"/>
      <c r="S7" s="299">
        <f>IFERROR('Benzin - diesel - hybrid'!S$39*('Benzin - diesel - hybrid'!S$40/'Benzin - diesel - hybrid'!S$15)*IF('Benzin - diesel - hybrid'!S$49="Benzin",$C7,IF('Benzin - diesel - hybrid'!S$49="Diesel",R7,0))*(1+'Benzin - diesel - hybrid'!S$47)^-$A7,0)</f>
        <v>0</v>
      </c>
      <c r="U7" s="299">
        <f>IFERROR('Benzin - diesel - hybrid'!U$39*('Benzin - diesel - hybrid'!U$40/'Benzin - diesel - hybrid'!U$15)*IF('Benzin - diesel - hybrid'!U$49="Benzin",$C7,IF('Benzin - diesel - hybrid'!U$49="Diesel",T7,0))*(1+'Benzin - diesel - hybrid'!U$47)^-$A7,0)</f>
        <v>0</v>
      </c>
      <c r="W7" s="299">
        <f>IFERROR('Benzin - diesel - hybrid'!W$39*('Benzin - diesel - hybrid'!W$40/'Benzin - diesel - hybrid'!W$15)*IF('Benzin - diesel - hybrid'!W$49="Benzin",$C7,IF('Benzin - diesel - hybrid'!W$49="Diesel",V7,0))*(1+'Benzin - diesel - hybrid'!W$47)^-$A7,0)</f>
        <v>0</v>
      </c>
    </row>
    <row r="8" spans="1:27">
      <c r="A8" s="294">
        <f t="shared" si="1"/>
        <v>5</v>
      </c>
      <c r="B8" s="273"/>
      <c r="C8" s="295">
        <f>((C7-Fremskrivninger!E51)*(1+IF('Benzin - diesel - hybrid'!$E$51="ja",'Benzin - diesel - hybrid'!$E$53,'Benzin - diesel - hybrid'!$E$55))+Fremskrivninger!E51)</f>
        <v>8.9682400982815249</v>
      </c>
      <c r="D8" s="295">
        <f>((D7-Fremskrivninger!E95)*(1+IF('Benzin - diesel - hybrid'!$E$57="ja",'Benzin - diesel - hybrid'!$E$59,'Benzin - diesel - hybrid'!$E$61))+Fremskrivninger!E95)</f>
        <v>7.8885168749332948</v>
      </c>
      <c r="E8" s="299">
        <f>IFERROR('Benzin - diesel - hybrid'!E$39*('Benzin - diesel - hybrid'!E$40/'Benzin - diesel - hybrid'!E$15)*IF('Benzin - diesel - hybrid'!E$49="Benzin",$C8,IF('Benzin - diesel - hybrid'!E$49="Diesel",D8,0))*(1+'Benzin - diesel - hybrid'!E$47)^-$A8,0)</f>
        <v>0</v>
      </c>
      <c r="F8" s="299"/>
      <c r="G8" s="299">
        <f>IFERROR('Benzin - diesel - hybrid'!G$39*('Benzin - diesel - hybrid'!G$40/'Benzin - diesel - hybrid'!G$15)*IF('Benzin - diesel - hybrid'!G$49="Benzin",$C8,IF('Benzin - diesel - hybrid'!G$49="Diesel",F8,0))*(1+'Benzin - diesel - hybrid'!G$47)^-$A8,0)</f>
        <v>0</v>
      </c>
      <c r="H8" s="299"/>
      <c r="I8" s="299">
        <f>IFERROR('Benzin - diesel - hybrid'!I$39*('Benzin - diesel - hybrid'!I$40/'Benzin - diesel - hybrid'!I$15)*IF('Benzin - diesel - hybrid'!I$49="Benzin",$C8,IF('Benzin - diesel - hybrid'!I$49="Diesel",H8,0))*(1+'Benzin - diesel - hybrid'!I$47)^-$A8,0)</f>
        <v>0</v>
      </c>
      <c r="J8" s="299"/>
      <c r="K8" s="299">
        <f>IFERROR('Benzin - diesel - hybrid'!K$39*('Benzin - diesel - hybrid'!K$40/'Benzin - diesel - hybrid'!K$15)*IF('Benzin - diesel - hybrid'!K$49="Benzin",$C8,IF('Benzin - diesel - hybrid'!K$49="Diesel",J8,0))*(1+'Benzin - diesel - hybrid'!K$47)^-$A8,0)</f>
        <v>0</v>
      </c>
      <c r="L8" s="299"/>
      <c r="M8" s="299">
        <f>IFERROR('Benzin - diesel - hybrid'!M$39*('Benzin - diesel - hybrid'!M$40/'Benzin - diesel - hybrid'!M$15)*IF('Benzin - diesel - hybrid'!M$49="Benzin",$C8,IF('Benzin - diesel - hybrid'!M$49="Diesel",L8,0))*(1+'Benzin - diesel - hybrid'!M$47)^-$A8,0)</f>
        <v>0</v>
      </c>
      <c r="N8" s="299"/>
      <c r="O8" s="299">
        <f>IFERROR('Benzin - diesel - hybrid'!O$39*('Benzin - diesel - hybrid'!O$40/'Benzin - diesel - hybrid'!O$15)*IF('Benzin - diesel - hybrid'!O$49="Benzin",$C8,IF('Benzin - diesel - hybrid'!O$49="Diesel",N8,0))*(1+'Benzin - diesel - hybrid'!O$47)^-$A8,0)</f>
        <v>0</v>
      </c>
      <c r="P8" s="299"/>
      <c r="Q8" s="299">
        <f>IFERROR('Benzin - diesel - hybrid'!Q$39*('Benzin - diesel - hybrid'!Q$40/'Benzin - diesel - hybrid'!Q$15)*IF('Benzin - diesel - hybrid'!Q$49="Benzin",$C8,IF('Benzin - diesel - hybrid'!Q$49="Diesel",P8,0))*(1+'Benzin - diesel - hybrid'!Q$47)^-$A8,0)</f>
        <v>0</v>
      </c>
      <c r="R8" s="299"/>
      <c r="S8" s="299">
        <f>IFERROR('Benzin - diesel - hybrid'!S$39*('Benzin - diesel - hybrid'!S$40/'Benzin - diesel - hybrid'!S$15)*IF('Benzin - diesel - hybrid'!S$49="Benzin",$C8,IF('Benzin - diesel - hybrid'!S$49="Diesel",R8,0))*(1+'Benzin - diesel - hybrid'!S$47)^-$A8,0)</f>
        <v>0</v>
      </c>
      <c r="U8" s="299">
        <f>IFERROR('Benzin - diesel - hybrid'!U$39*('Benzin - diesel - hybrid'!U$40/'Benzin - diesel - hybrid'!U$15)*IF('Benzin - diesel - hybrid'!U$49="Benzin",$C8,IF('Benzin - diesel - hybrid'!U$49="Diesel",T8,0))*(1+'Benzin - diesel - hybrid'!U$47)^-$A8,0)</f>
        <v>0</v>
      </c>
      <c r="W8" s="299">
        <f>IFERROR('Benzin - diesel - hybrid'!W$39*('Benzin - diesel - hybrid'!W$40/'Benzin - diesel - hybrid'!W$15)*IF('Benzin - diesel - hybrid'!W$49="Benzin",$C8,IF('Benzin - diesel - hybrid'!W$49="Diesel",V8,0))*(1+'Benzin - diesel - hybrid'!W$47)^-$A8,0)</f>
        <v>0</v>
      </c>
    </row>
    <row r="9" spans="1:27">
      <c r="A9" s="294">
        <f t="shared" si="1"/>
        <v>6</v>
      </c>
      <c r="B9" s="273"/>
      <c r="C9" s="295">
        <f>((C8-Fremskrivninger!E52)*(1+IF('Benzin - diesel - hybrid'!$E$51="ja",'Benzin - diesel - hybrid'!$E$53,'Benzin - diesel - hybrid'!$E$55))+Fremskrivninger!E52)</f>
        <v>9.0281246356476395</v>
      </c>
      <c r="D9" s="295">
        <f>((D8-Fremskrivninger!E96)*(1+IF('Benzin - diesel - hybrid'!$E$57="ja",'Benzin - diesel - hybrid'!$E$59,'Benzin - diesel - hybrid'!$E$61))+Fremskrivninger!E96)</f>
        <v>7.9559203696198271</v>
      </c>
      <c r="E9" s="299">
        <f>IFERROR('Benzin - diesel - hybrid'!E$39*('Benzin - diesel - hybrid'!E$40/'Benzin - diesel - hybrid'!E$15)*IF('Benzin - diesel - hybrid'!E$49="Benzin",$C9,IF('Benzin - diesel - hybrid'!E$49="Diesel",D9,0))*(1+'Benzin - diesel - hybrid'!E$47)^-$A9,0)</f>
        <v>0</v>
      </c>
      <c r="F9" s="299"/>
      <c r="G9" s="299">
        <f>IFERROR('Benzin - diesel - hybrid'!G$39*('Benzin - diesel - hybrid'!G$40/'Benzin - diesel - hybrid'!G$15)*IF('Benzin - diesel - hybrid'!G$49="Benzin",$C9,IF('Benzin - diesel - hybrid'!G$49="Diesel",F9,0))*(1+'Benzin - diesel - hybrid'!G$47)^-$A9,0)</f>
        <v>0</v>
      </c>
      <c r="H9" s="299"/>
      <c r="I9" s="299">
        <f>IFERROR('Benzin - diesel - hybrid'!I$39*('Benzin - diesel - hybrid'!I$40/'Benzin - diesel - hybrid'!I$15)*IF('Benzin - diesel - hybrid'!I$49="Benzin",$C9,IF('Benzin - diesel - hybrid'!I$49="Diesel",H9,0))*(1+'Benzin - diesel - hybrid'!I$47)^-$A9,0)</f>
        <v>0</v>
      </c>
      <c r="J9" s="299"/>
      <c r="K9" s="299">
        <f>IFERROR('Benzin - diesel - hybrid'!K$39*('Benzin - diesel - hybrid'!K$40/'Benzin - diesel - hybrid'!K$15)*IF('Benzin - diesel - hybrid'!K$49="Benzin",$C9,IF('Benzin - diesel - hybrid'!K$49="Diesel",J9,0))*(1+'Benzin - diesel - hybrid'!K$47)^-$A9,0)</f>
        <v>0</v>
      </c>
      <c r="L9" s="299"/>
      <c r="M9" s="299">
        <f>IFERROR('Benzin - diesel - hybrid'!M$39*('Benzin - diesel - hybrid'!M$40/'Benzin - diesel - hybrid'!M$15)*IF('Benzin - diesel - hybrid'!M$49="Benzin",$C9,IF('Benzin - diesel - hybrid'!M$49="Diesel",L9,0))*(1+'Benzin - diesel - hybrid'!M$47)^-$A9,0)</f>
        <v>0</v>
      </c>
      <c r="N9" s="299"/>
      <c r="O9" s="299">
        <f>IFERROR('Benzin - diesel - hybrid'!O$39*('Benzin - diesel - hybrid'!O$40/'Benzin - diesel - hybrid'!O$15)*IF('Benzin - diesel - hybrid'!O$49="Benzin",$C9,IF('Benzin - diesel - hybrid'!O$49="Diesel",N9,0))*(1+'Benzin - diesel - hybrid'!O$47)^-$A9,0)</f>
        <v>0</v>
      </c>
      <c r="P9" s="299"/>
      <c r="Q9" s="299">
        <f>IFERROR('Benzin - diesel - hybrid'!Q$39*('Benzin - diesel - hybrid'!Q$40/'Benzin - diesel - hybrid'!Q$15)*IF('Benzin - diesel - hybrid'!Q$49="Benzin",$C9,IF('Benzin - diesel - hybrid'!Q$49="Diesel",P9,0))*(1+'Benzin - diesel - hybrid'!Q$47)^-$A9,0)</f>
        <v>0</v>
      </c>
      <c r="R9" s="299"/>
      <c r="S9" s="299">
        <f>IFERROR('Benzin - diesel - hybrid'!S$39*('Benzin - diesel - hybrid'!S$40/'Benzin - diesel - hybrid'!S$15)*IF('Benzin - diesel - hybrid'!S$49="Benzin",$C9,IF('Benzin - diesel - hybrid'!S$49="Diesel",R9,0))*(1+'Benzin - diesel - hybrid'!S$47)^-$A9,0)</f>
        <v>0</v>
      </c>
      <c r="U9" s="299">
        <f>IFERROR('Benzin - diesel - hybrid'!U$39*('Benzin - diesel - hybrid'!U$40/'Benzin - diesel - hybrid'!U$15)*IF('Benzin - diesel - hybrid'!U$49="Benzin",$C9,IF('Benzin - diesel - hybrid'!U$49="Diesel",T9,0))*(1+'Benzin - diesel - hybrid'!U$47)^-$A9,0)</f>
        <v>0</v>
      </c>
      <c r="W9" s="299">
        <f>IFERROR('Benzin - diesel - hybrid'!W$39*('Benzin - diesel - hybrid'!W$40/'Benzin - diesel - hybrid'!W$15)*IF('Benzin - diesel - hybrid'!W$49="Benzin",$C9,IF('Benzin - diesel - hybrid'!W$49="Diesel",V9,0))*(1+'Benzin - diesel - hybrid'!W$47)^-$A9,0)</f>
        <v>0</v>
      </c>
    </row>
    <row r="10" spans="1:27">
      <c r="A10" s="294">
        <f t="shared" si="1"/>
        <v>7</v>
      </c>
      <c r="B10" s="273"/>
      <c r="C10" s="295">
        <f>((C9-Fremskrivninger!E53)*(1+IF('Benzin - diesel - hybrid'!$E$51="ja",'Benzin - diesel - hybrid'!$E$53,'Benzin - diesel - hybrid'!$E$55))+Fremskrivninger!E53)</f>
        <v>9.0888415680831418</v>
      </c>
      <c r="D10" s="295">
        <f>((D9-Fremskrivninger!E97)*(1+IF('Benzin - diesel - hybrid'!$E$57="ja",'Benzin - diesel - hybrid'!$E$59,'Benzin - diesel - hybrid'!$E$61))+Fremskrivninger!E97)</f>
        <v>8.0243012149793138</v>
      </c>
      <c r="E10" s="299">
        <f>IFERROR('Benzin - diesel - hybrid'!E$39*('Benzin - diesel - hybrid'!E$40/'Benzin - diesel - hybrid'!E$15)*IF('Benzin - diesel - hybrid'!E$49="Benzin",$C10,IF('Benzin - diesel - hybrid'!E$49="Diesel",D10,0))*(1+'Benzin - diesel - hybrid'!E$47)^-$A10,0)</f>
        <v>0</v>
      </c>
      <c r="F10" s="299"/>
      <c r="G10" s="299">
        <f>IFERROR('Benzin - diesel - hybrid'!G$39*('Benzin - diesel - hybrid'!G$40/'Benzin - diesel - hybrid'!G$15)*IF('Benzin - diesel - hybrid'!G$49="Benzin",$C10,IF('Benzin - diesel - hybrid'!G$49="Diesel",F10,0))*(1+'Benzin - diesel - hybrid'!G$47)^-$A10,0)</f>
        <v>0</v>
      </c>
      <c r="H10" s="299"/>
      <c r="I10" s="299">
        <f>IFERROR('Benzin - diesel - hybrid'!I$39*('Benzin - diesel - hybrid'!I$40/'Benzin - diesel - hybrid'!I$15)*IF('Benzin - diesel - hybrid'!I$49="Benzin",$C10,IF('Benzin - diesel - hybrid'!I$49="Diesel",H10,0))*(1+'Benzin - diesel - hybrid'!I$47)^-$A10,0)</f>
        <v>0</v>
      </c>
      <c r="J10" s="299"/>
      <c r="K10" s="299">
        <f>IFERROR('Benzin - diesel - hybrid'!K$39*('Benzin - diesel - hybrid'!K$40/'Benzin - diesel - hybrid'!K$15)*IF('Benzin - diesel - hybrid'!K$49="Benzin",$C10,IF('Benzin - diesel - hybrid'!K$49="Diesel",J10,0))*(1+'Benzin - diesel - hybrid'!K$47)^-$A10,0)</f>
        <v>0</v>
      </c>
      <c r="L10" s="299"/>
      <c r="M10" s="299">
        <f>IFERROR('Benzin - diesel - hybrid'!M$39*('Benzin - diesel - hybrid'!M$40/'Benzin - diesel - hybrid'!M$15)*IF('Benzin - diesel - hybrid'!M$49="Benzin",$C10,IF('Benzin - diesel - hybrid'!M$49="Diesel",L10,0))*(1+'Benzin - diesel - hybrid'!M$47)^-$A10,0)</f>
        <v>0</v>
      </c>
      <c r="N10" s="299"/>
      <c r="O10" s="299">
        <f>IFERROR('Benzin - diesel - hybrid'!O$39*('Benzin - diesel - hybrid'!O$40/'Benzin - diesel - hybrid'!O$15)*IF('Benzin - diesel - hybrid'!O$49="Benzin",$C10,IF('Benzin - diesel - hybrid'!O$49="Diesel",N10,0))*(1+'Benzin - diesel - hybrid'!O$47)^-$A10,0)</f>
        <v>0</v>
      </c>
      <c r="P10" s="299"/>
      <c r="Q10" s="299">
        <f>IFERROR('Benzin - diesel - hybrid'!Q$39*('Benzin - diesel - hybrid'!Q$40/'Benzin - diesel - hybrid'!Q$15)*IF('Benzin - diesel - hybrid'!Q$49="Benzin",$C10,IF('Benzin - diesel - hybrid'!Q$49="Diesel",P10,0))*(1+'Benzin - diesel - hybrid'!Q$47)^-$A10,0)</f>
        <v>0</v>
      </c>
      <c r="R10" s="299"/>
      <c r="S10" s="299">
        <f>IFERROR('Benzin - diesel - hybrid'!S$39*('Benzin - diesel - hybrid'!S$40/'Benzin - diesel - hybrid'!S$15)*IF('Benzin - diesel - hybrid'!S$49="Benzin",$C10,IF('Benzin - diesel - hybrid'!S$49="Diesel",R10,0))*(1+'Benzin - diesel - hybrid'!S$47)^-$A10,0)</f>
        <v>0</v>
      </c>
      <c r="U10" s="299">
        <f>IFERROR('Benzin - diesel - hybrid'!U$39*('Benzin - diesel - hybrid'!U$40/'Benzin - diesel - hybrid'!U$15)*IF('Benzin - diesel - hybrid'!U$49="Benzin",$C10,IF('Benzin - diesel - hybrid'!U$49="Diesel",T10,0))*(1+'Benzin - diesel - hybrid'!U$47)^-$A10,0)</f>
        <v>0</v>
      </c>
      <c r="W10" s="299">
        <f>IFERROR('Benzin - diesel - hybrid'!W$39*('Benzin - diesel - hybrid'!W$40/'Benzin - diesel - hybrid'!W$15)*IF('Benzin - diesel - hybrid'!W$49="Benzin",$C10,IF('Benzin - diesel - hybrid'!W$49="Diesel",V10,0))*(1+'Benzin - diesel - hybrid'!W$47)^-$A10,0)</f>
        <v>0</v>
      </c>
    </row>
    <row r="11" spans="1:27">
      <c r="A11" s="294">
        <f t="shared" si="1"/>
        <v>8</v>
      </c>
      <c r="B11" s="273"/>
      <c r="C11" s="295">
        <f>((C10-Fremskrivninger!E54)*(1+IF('Benzin - diesel - hybrid'!$E$51="ja",'Benzin - diesel - hybrid'!$E$53,'Benzin - diesel - hybrid'!$E$55))+Fremskrivninger!E54)</f>
        <v>9.1504024658794982</v>
      </c>
      <c r="D11" s="295">
        <f>((D10-Fremskrivninger!E98)*(1+IF('Benzin - diesel - hybrid'!$E$57="ja",'Benzin - diesel - hybrid'!$E$59,'Benzin - diesel - hybrid'!$E$61))+Fremskrivninger!E98)</f>
        <v>8.093673582596514</v>
      </c>
      <c r="E11" s="299">
        <f>IFERROR('Benzin - diesel - hybrid'!E$39*('Benzin - diesel - hybrid'!E$40/'Benzin - diesel - hybrid'!E$15)*IF('Benzin - diesel - hybrid'!E$49="Benzin",$C11,IF('Benzin - diesel - hybrid'!E$49="Diesel",D11,0))*(1+'Benzin - diesel - hybrid'!E$47)^-$A11,0)</f>
        <v>0</v>
      </c>
      <c r="F11" s="299"/>
      <c r="G11" s="299">
        <f>IFERROR('Benzin - diesel - hybrid'!G$39*('Benzin - diesel - hybrid'!G$40/'Benzin - diesel - hybrid'!G$15)*IF('Benzin - diesel - hybrid'!G$49="Benzin",$C11,IF('Benzin - diesel - hybrid'!G$49="Diesel",F11,0))*(1+'Benzin - diesel - hybrid'!G$47)^-$A11,0)</f>
        <v>0</v>
      </c>
      <c r="H11" s="299"/>
      <c r="I11" s="299">
        <f>IFERROR('Benzin - diesel - hybrid'!I$39*('Benzin - diesel - hybrid'!I$40/'Benzin - diesel - hybrid'!I$15)*IF('Benzin - diesel - hybrid'!I$49="Benzin",$C11,IF('Benzin - diesel - hybrid'!I$49="Diesel",H11,0))*(1+'Benzin - diesel - hybrid'!I$47)^-$A11,0)</f>
        <v>0</v>
      </c>
      <c r="J11" s="299"/>
      <c r="K11" s="299">
        <f>IFERROR('Benzin - diesel - hybrid'!K$39*('Benzin - diesel - hybrid'!K$40/'Benzin - diesel - hybrid'!K$15)*IF('Benzin - diesel - hybrid'!K$49="Benzin",$C11,IF('Benzin - diesel - hybrid'!K$49="Diesel",J11,0))*(1+'Benzin - diesel - hybrid'!K$47)^-$A11,0)</f>
        <v>0</v>
      </c>
      <c r="L11" s="299"/>
      <c r="M11" s="299">
        <f>IFERROR('Benzin - diesel - hybrid'!M$39*('Benzin - diesel - hybrid'!M$40/'Benzin - diesel - hybrid'!M$15)*IF('Benzin - diesel - hybrid'!M$49="Benzin",$C11,IF('Benzin - diesel - hybrid'!M$49="Diesel",L11,0))*(1+'Benzin - diesel - hybrid'!M$47)^-$A11,0)</f>
        <v>0</v>
      </c>
      <c r="N11" s="299"/>
      <c r="O11" s="299">
        <f>IFERROR('Benzin - diesel - hybrid'!O$39*('Benzin - diesel - hybrid'!O$40/'Benzin - diesel - hybrid'!O$15)*IF('Benzin - diesel - hybrid'!O$49="Benzin",$C11,IF('Benzin - diesel - hybrid'!O$49="Diesel",N11,0))*(1+'Benzin - diesel - hybrid'!O$47)^-$A11,0)</f>
        <v>0</v>
      </c>
      <c r="P11" s="299"/>
      <c r="Q11" s="299">
        <f>IFERROR('Benzin - diesel - hybrid'!Q$39*('Benzin - diesel - hybrid'!Q$40/'Benzin - diesel - hybrid'!Q$15)*IF('Benzin - diesel - hybrid'!Q$49="Benzin",$C11,IF('Benzin - diesel - hybrid'!Q$49="Diesel",P11,0))*(1+'Benzin - diesel - hybrid'!Q$47)^-$A11,0)</f>
        <v>0</v>
      </c>
      <c r="R11" s="299"/>
      <c r="S11" s="299">
        <f>IFERROR('Benzin - diesel - hybrid'!S$39*('Benzin - diesel - hybrid'!S$40/'Benzin - diesel - hybrid'!S$15)*IF('Benzin - diesel - hybrid'!S$49="Benzin",$C11,IF('Benzin - diesel - hybrid'!S$49="Diesel",R11,0))*(1+'Benzin - diesel - hybrid'!S$47)^-$A11,0)</f>
        <v>0</v>
      </c>
      <c r="U11" s="299">
        <f>IFERROR('Benzin - diesel - hybrid'!U$39*('Benzin - diesel - hybrid'!U$40/'Benzin - diesel - hybrid'!U$15)*IF('Benzin - diesel - hybrid'!U$49="Benzin",$C11,IF('Benzin - diesel - hybrid'!U$49="Diesel",T11,0))*(1+'Benzin - diesel - hybrid'!U$47)^-$A11,0)</f>
        <v>0</v>
      </c>
      <c r="W11" s="299">
        <f>IFERROR('Benzin - diesel - hybrid'!W$39*('Benzin - diesel - hybrid'!W$40/'Benzin - diesel - hybrid'!W$15)*IF('Benzin - diesel - hybrid'!W$49="Benzin",$C11,IF('Benzin - diesel - hybrid'!W$49="Diesel",V11,0))*(1+'Benzin - diesel - hybrid'!W$47)^-$A11,0)</f>
        <v>0</v>
      </c>
    </row>
    <row r="12" spans="1:27">
      <c r="A12" s="294">
        <f t="shared" si="1"/>
        <v>9</v>
      </c>
      <c r="B12" s="273"/>
      <c r="C12" s="295">
        <f>((C11-Fremskrivninger!E55)*(1+IF('Benzin - diesel - hybrid'!$E$51="ja",'Benzin - diesel - hybrid'!$E$53,'Benzin - diesel - hybrid'!$E$55))+Fremskrivninger!E55)</f>
        <v>9.2128190601552227</v>
      </c>
      <c r="D12" s="295">
        <f>((D11-Fremskrivninger!E99)*(1+IF('Benzin - diesel - hybrid'!$E$57="ja",'Benzin - diesel - hybrid'!$E$59,'Benzin - diesel - hybrid'!$E$61))+Fremskrivninger!E99)</f>
        <v>8.1640518495441636</v>
      </c>
      <c r="E12" s="299">
        <f>IFERROR('Benzin - diesel - hybrid'!E$39*('Benzin - diesel - hybrid'!E$40/'Benzin - diesel - hybrid'!E$15)*IF('Benzin - diesel - hybrid'!E$49="Benzin",$C12,IF('Benzin - diesel - hybrid'!E$49="Diesel",D12,0))*(1+'Benzin - diesel - hybrid'!E$47)^-$A12,0)</f>
        <v>0</v>
      </c>
      <c r="F12" s="299"/>
      <c r="G12" s="299">
        <f>IFERROR('Benzin - diesel - hybrid'!G$39*('Benzin - diesel - hybrid'!G$40/'Benzin - diesel - hybrid'!G$15)*IF('Benzin - diesel - hybrid'!G$49="Benzin",$C12,IF('Benzin - diesel - hybrid'!G$49="Diesel",F12,0))*(1+'Benzin - diesel - hybrid'!G$47)^-$A12,0)</f>
        <v>0</v>
      </c>
      <c r="H12" s="299"/>
      <c r="I12" s="299">
        <f>IFERROR('Benzin - diesel - hybrid'!I$39*('Benzin - diesel - hybrid'!I$40/'Benzin - diesel - hybrid'!I$15)*IF('Benzin - diesel - hybrid'!I$49="Benzin",$C12,IF('Benzin - diesel - hybrid'!I$49="Diesel",H12,0))*(1+'Benzin - diesel - hybrid'!I$47)^-$A12,0)</f>
        <v>0</v>
      </c>
      <c r="J12" s="299"/>
      <c r="K12" s="299">
        <f>IFERROR('Benzin - diesel - hybrid'!K$39*('Benzin - diesel - hybrid'!K$40/'Benzin - diesel - hybrid'!K$15)*IF('Benzin - diesel - hybrid'!K$49="Benzin",$C12,IF('Benzin - diesel - hybrid'!K$49="Diesel",J12,0))*(1+'Benzin - diesel - hybrid'!K$47)^-$A12,0)</f>
        <v>0</v>
      </c>
      <c r="L12" s="299"/>
      <c r="M12" s="299">
        <f>IFERROR('Benzin - diesel - hybrid'!M$39*('Benzin - diesel - hybrid'!M$40/'Benzin - diesel - hybrid'!M$15)*IF('Benzin - diesel - hybrid'!M$49="Benzin",$C12,IF('Benzin - diesel - hybrid'!M$49="Diesel",L12,0))*(1+'Benzin - diesel - hybrid'!M$47)^-$A12,0)</f>
        <v>0</v>
      </c>
      <c r="N12" s="299"/>
      <c r="O12" s="299">
        <f>IFERROR('Benzin - diesel - hybrid'!O$39*('Benzin - diesel - hybrid'!O$40/'Benzin - diesel - hybrid'!O$15)*IF('Benzin - diesel - hybrid'!O$49="Benzin",$C12,IF('Benzin - diesel - hybrid'!O$49="Diesel",N12,0))*(1+'Benzin - diesel - hybrid'!O$47)^-$A12,0)</f>
        <v>0</v>
      </c>
      <c r="P12" s="299"/>
      <c r="Q12" s="299">
        <f>IFERROR('Benzin - diesel - hybrid'!Q$39*('Benzin - diesel - hybrid'!Q$40/'Benzin - diesel - hybrid'!Q$15)*IF('Benzin - diesel - hybrid'!Q$49="Benzin",$C12,IF('Benzin - diesel - hybrid'!Q$49="Diesel",P12,0))*(1+'Benzin - diesel - hybrid'!Q$47)^-$A12,0)</f>
        <v>0</v>
      </c>
      <c r="R12" s="299"/>
      <c r="S12" s="299">
        <f>IFERROR('Benzin - diesel - hybrid'!S$39*('Benzin - diesel - hybrid'!S$40/'Benzin - diesel - hybrid'!S$15)*IF('Benzin - diesel - hybrid'!S$49="Benzin",$C12,IF('Benzin - diesel - hybrid'!S$49="Diesel",R12,0))*(1+'Benzin - diesel - hybrid'!S$47)^-$A12,0)</f>
        <v>0</v>
      </c>
      <c r="U12" s="299">
        <f>IFERROR('Benzin - diesel - hybrid'!U$39*('Benzin - diesel - hybrid'!U$40/'Benzin - diesel - hybrid'!U$15)*IF('Benzin - diesel - hybrid'!U$49="Benzin",$C12,IF('Benzin - diesel - hybrid'!U$49="Diesel",T12,0))*(1+'Benzin - diesel - hybrid'!U$47)^-$A12,0)</f>
        <v>0</v>
      </c>
      <c r="W12" s="299">
        <f>IFERROR('Benzin - diesel - hybrid'!W$39*('Benzin - diesel - hybrid'!W$40/'Benzin - diesel - hybrid'!W$15)*IF('Benzin - diesel - hybrid'!W$49="Benzin",$C12,IF('Benzin - diesel - hybrid'!W$49="Diesel",V12,0))*(1+'Benzin - diesel - hybrid'!W$47)^-$A12,0)</f>
        <v>0</v>
      </c>
    </row>
    <row r="13" spans="1:27">
      <c r="A13" s="294">
        <f t="shared" si="1"/>
        <v>10</v>
      </c>
      <c r="B13" s="273"/>
      <c r="C13" s="295">
        <f>((C12-Fremskrivninger!E56)*(1+IF('Benzin - diesel - hybrid'!$E$51="ja",'Benzin - diesel - hybrid'!$E$53,'Benzin - diesel - hybrid'!$E$55))+Fremskrivninger!E56)</f>
        <v>9.276103245091381</v>
      </c>
      <c r="D13" s="295">
        <f>((D12-Fremskrivninger!E100)*(1+IF('Benzin - diesel - hybrid'!$E$57="ja",'Benzin - diesel - hybrid'!$E$59,'Benzin - diesel - hybrid'!$E$61))+Fremskrivninger!E100)</f>
        <v>8.2354506013625528</v>
      </c>
      <c r="E13" s="299">
        <f>IFERROR('Benzin - diesel - hybrid'!E$39*('Benzin - diesel - hybrid'!E$40/'Benzin - diesel - hybrid'!E$15)*IF('Benzin - diesel - hybrid'!E$49="Benzin",$C13,IF('Benzin - diesel - hybrid'!E$49="Diesel",D13,0))*(1+'Benzin - diesel - hybrid'!E$47)^-$A13,0)</f>
        <v>0</v>
      </c>
      <c r="F13" s="299"/>
      <c r="G13" s="299">
        <f>IFERROR('Benzin - diesel - hybrid'!G$39*('Benzin - diesel - hybrid'!G$40/'Benzin - diesel - hybrid'!G$15)*IF('Benzin - diesel - hybrid'!G$49="Benzin",$C13,IF('Benzin - diesel - hybrid'!G$49="Diesel",F13,0))*(1+'Benzin - diesel - hybrid'!G$47)^-$A13,0)</f>
        <v>0</v>
      </c>
      <c r="H13" s="299"/>
      <c r="I13" s="299">
        <f>IFERROR('Benzin - diesel - hybrid'!I$39*('Benzin - diesel - hybrid'!I$40/'Benzin - diesel - hybrid'!I$15)*IF('Benzin - diesel - hybrid'!I$49="Benzin",$C13,IF('Benzin - diesel - hybrid'!I$49="Diesel",H13,0))*(1+'Benzin - diesel - hybrid'!I$47)^-$A13,0)</f>
        <v>0</v>
      </c>
      <c r="J13" s="299"/>
      <c r="K13" s="299">
        <f>IFERROR('Benzin - diesel - hybrid'!K$39*('Benzin - diesel - hybrid'!K$40/'Benzin - diesel - hybrid'!K$15)*IF('Benzin - diesel - hybrid'!K$49="Benzin",$C13,IF('Benzin - diesel - hybrid'!K$49="Diesel",J13,0))*(1+'Benzin - diesel - hybrid'!K$47)^-$A13,0)</f>
        <v>0</v>
      </c>
      <c r="L13" s="299"/>
      <c r="M13" s="299">
        <f>IFERROR('Benzin - diesel - hybrid'!M$39*('Benzin - diesel - hybrid'!M$40/'Benzin - diesel - hybrid'!M$15)*IF('Benzin - diesel - hybrid'!M$49="Benzin",$C13,IF('Benzin - diesel - hybrid'!M$49="Diesel",L13,0))*(1+'Benzin - diesel - hybrid'!M$47)^-$A13,0)</f>
        <v>0</v>
      </c>
      <c r="N13" s="299"/>
      <c r="O13" s="299">
        <f>IFERROR('Benzin - diesel - hybrid'!O$39*('Benzin - diesel - hybrid'!O$40/'Benzin - diesel - hybrid'!O$15)*IF('Benzin - diesel - hybrid'!O$49="Benzin",$C13,IF('Benzin - diesel - hybrid'!O$49="Diesel",N13,0))*(1+'Benzin - diesel - hybrid'!O$47)^-$A13,0)</f>
        <v>0</v>
      </c>
      <c r="P13" s="299"/>
      <c r="Q13" s="299">
        <f>IFERROR('Benzin - diesel - hybrid'!Q$39*('Benzin - diesel - hybrid'!Q$40/'Benzin - diesel - hybrid'!Q$15)*IF('Benzin - diesel - hybrid'!Q$49="Benzin",$C13,IF('Benzin - diesel - hybrid'!Q$49="Diesel",P13,0))*(1+'Benzin - diesel - hybrid'!Q$47)^-$A13,0)</f>
        <v>0</v>
      </c>
      <c r="R13" s="299"/>
      <c r="S13" s="299">
        <f>IFERROR('Benzin - diesel - hybrid'!S$39*('Benzin - diesel - hybrid'!S$40/'Benzin - diesel - hybrid'!S$15)*IF('Benzin - diesel - hybrid'!S$49="Benzin",$C13,IF('Benzin - diesel - hybrid'!S$49="Diesel",R13,0))*(1+'Benzin - diesel - hybrid'!S$47)^-$A13,0)</f>
        <v>0</v>
      </c>
      <c r="U13" s="299">
        <f>IFERROR('Benzin - diesel - hybrid'!U$39*('Benzin - diesel - hybrid'!U$40/'Benzin - diesel - hybrid'!U$15)*IF('Benzin - diesel - hybrid'!U$49="Benzin",$C13,IF('Benzin - diesel - hybrid'!U$49="Diesel",T13,0))*(1+'Benzin - diesel - hybrid'!U$47)^-$A13,0)</f>
        <v>0</v>
      </c>
      <c r="W13" s="299">
        <f>IFERROR('Benzin - diesel - hybrid'!W$39*('Benzin - diesel - hybrid'!W$40/'Benzin - diesel - hybrid'!W$15)*IF('Benzin - diesel - hybrid'!W$49="Benzin",$C13,IF('Benzin - diesel - hybrid'!W$49="Diesel",V13,0))*(1+'Benzin - diesel - hybrid'!W$47)^-$A13,0)</f>
        <v>0</v>
      </c>
    </row>
    <row r="14" spans="1:27">
      <c r="A14" s="294">
        <f t="shared" si="1"/>
        <v>11</v>
      </c>
      <c r="B14" s="273"/>
      <c r="C14" s="295">
        <f>((C13-Fremskrivninger!E57)*(1+IF('Benzin - diesel - hybrid'!$E$51="ja",'Benzin - diesel - hybrid'!$E$53,'Benzin - diesel - hybrid'!$E$55))+Fremskrivninger!E57)</f>
        <v>9.3402670801981511</v>
      </c>
      <c r="D14" s="295">
        <f>((D13-Fremskrivninger!E101)*(1+IF('Benzin - diesel - hybrid'!$E$57="ja",'Benzin - diesel - hybrid'!$E$59,'Benzin - diesel - hybrid'!$E$61))+Fremskrivninger!E101)</f>
        <v>8.3078846350823099</v>
      </c>
      <c r="E14" s="299">
        <f>IFERROR('Benzin - diesel - hybrid'!E$39*('Benzin - diesel - hybrid'!E$40/'Benzin - diesel - hybrid'!E$15)*IF('Benzin - diesel - hybrid'!E$49="Benzin",$C14,IF('Benzin - diesel - hybrid'!E$49="Diesel",D14,0))*(1+'Benzin - diesel - hybrid'!E$47)^-$A14,0)</f>
        <v>0</v>
      </c>
      <c r="F14" s="299"/>
      <c r="G14" s="299">
        <f>IFERROR('Benzin - diesel - hybrid'!G$39*('Benzin - diesel - hybrid'!G$40/'Benzin - diesel - hybrid'!G$15)*IF('Benzin - diesel - hybrid'!G$49="Benzin",$C14,IF('Benzin - diesel - hybrid'!G$49="Diesel",F14,0))*(1+'Benzin - diesel - hybrid'!G$47)^-$A14,0)</f>
        <v>0</v>
      </c>
      <c r="H14" s="299"/>
      <c r="I14" s="299">
        <f>IFERROR('Benzin - diesel - hybrid'!I$39*('Benzin - diesel - hybrid'!I$40/'Benzin - diesel - hybrid'!I$15)*IF('Benzin - diesel - hybrid'!I$49="Benzin",$C14,IF('Benzin - diesel - hybrid'!I$49="Diesel",H14,0))*(1+'Benzin - diesel - hybrid'!I$47)^-$A14,0)</f>
        <v>0</v>
      </c>
      <c r="J14" s="299"/>
      <c r="K14" s="299">
        <f>IFERROR('Benzin - diesel - hybrid'!K$39*('Benzin - diesel - hybrid'!K$40/'Benzin - diesel - hybrid'!K$15)*IF('Benzin - diesel - hybrid'!K$49="Benzin",$C14,IF('Benzin - diesel - hybrid'!K$49="Diesel",J14,0))*(1+'Benzin - diesel - hybrid'!K$47)^-$A14,0)</f>
        <v>0</v>
      </c>
      <c r="L14" s="299"/>
      <c r="M14" s="299">
        <f>IFERROR('Benzin - diesel - hybrid'!M$39*('Benzin - diesel - hybrid'!M$40/'Benzin - diesel - hybrid'!M$15)*IF('Benzin - diesel - hybrid'!M$49="Benzin",$C14,IF('Benzin - diesel - hybrid'!M$49="Diesel",L14,0))*(1+'Benzin - diesel - hybrid'!M$47)^-$A14,0)</f>
        <v>0</v>
      </c>
      <c r="N14" s="299"/>
      <c r="O14" s="299">
        <f>IFERROR('Benzin - diesel - hybrid'!O$39*('Benzin - diesel - hybrid'!O$40/'Benzin - diesel - hybrid'!O$15)*IF('Benzin - diesel - hybrid'!O$49="Benzin",$C14,IF('Benzin - diesel - hybrid'!O$49="Diesel",N14,0))*(1+'Benzin - diesel - hybrid'!O$47)^-$A14,0)</f>
        <v>0</v>
      </c>
      <c r="P14" s="299"/>
      <c r="Q14" s="299">
        <f>IFERROR('Benzin - diesel - hybrid'!Q$39*('Benzin - diesel - hybrid'!Q$40/'Benzin - diesel - hybrid'!Q$15)*IF('Benzin - diesel - hybrid'!Q$49="Benzin",$C14,IF('Benzin - diesel - hybrid'!Q$49="Diesel",P14,0))*(1+'Benzin - diesel - hybrid'!Q$47)^-$A14,0)</f>
        <v>0</v>
      </c>
      <c r="R14" s="299"/>
      <c r="S14" s="299">
        <f>IFERROR('Benzin - diesel - hybrid'!S$39*('Benzin - diesel - hybrid'!S$40/'Benzin - diesel - hybrid'!S$15)*IF('Benzin - diesel - hybrid'!S$49="Benzin",$C14,IF('Benzin - diesel - hybrid'!S$49="Diesel",R14,0))*(1+'Benzin - diesel - hybrid'!S$47)^-$A14,0)</f>
        <v>0</v>
      </c>
      <c r="U14" s="299">
        <f>IFERROR('Benzin - diesel - hybrid'!U$39*('Benzin - diesel - hybrid'!U$40/'Benzin - diesel - hybrid'!U$15)*IF('Benzin - diesel - hybrid'!U$49="Benzin",$C14,IF('Benzin - diesel - hybrid'!U$49="Diesel",T14,0))*(1+'Benzin - diesel - hybrid'!U$47)^-$A14,0)</f>
        <v>0</v>
      </c>
      <c r="W14" s="299">
        <f>IFERROR('Benzin - diesel - hybrid'!W$39*('Benzin - diesel - hybrid'!W$40/'Benzin - diesel - hybrid'!W$15)*IF('Benzin - diesel - hybrid'!W$49="Benzin",$C14,IF('Benzin - diesel - hybrid'!W$49="Diesel",V14,0))*(1+'Benzin - diesel - hybrid'!W$47)^-$A14,0)</f>
        <v>0</v>
      </c>
    </row>
    <row r="15" spans="1:27">
      <c r="A15" s="294">
        <f t="shared" si="1"/>
        <v>12</v>
      </c>
      <c r="B15" s="273"/>
      <c r="C15" s="295">
        <f>((C14-Fremskrivninger!E58)*(1+IF('Benzin - diesel - hybrid'!$E$51="ja",'Benzin - diesel - hybrid'!$E$53,'Benzin - diesel - hybrid'!$E$55))+Fremskrivninger!E58)</f>
        <v>9.4053227926129068</v>
      </c>
      <c r="D15" s="295">
        <f>((D14-Fremskrivninger!E102)*(1+IF('Benzin - diesel - hybrid'!$E$57="ja",'Benzin - diesel - hybrid'!$E$59,'Benzin - diesel - hybrid'!$E$61))+Fremskrivninger!E102)</f>
        <v>8.3813689622910026</v>
      </c>
      <c r="E15" s="299">
        <f>IFERROR('Benzin - diesel - hybrid'!E$39*('Benzin - diesel - hybrid'!E$40/'Benzin - diesel - hybrid'!E$15)*IF('Benzin - diesel - hybrid'!E$49="Benzin",$C15,IF('Benzin - diesel - hybrid'!E$49="Diesel",D15,0))*(1+'Benzin - diesel - hybrid'!E$47)^-$A15,0)</f>
        <v>0</v>
      </c>
      <c r="F15" s="299"/>
      <c r="G15" s="299">
        <f>IFERROR('Benzin - diesel - hybrid'!G$39*('Benzin - diesel - hybrid'!G$40/'Benzin - diesel - hybrid'!G$15)*IF('Benzin - diesel - hybrid'!G$49="Benzin",$C15,IF('Benzin - diesel - hybrid'!G$49="Diesel",F15,0))*(1+'Benzin - diesel - hybrid'!G$47)^-$A15,0)</f>
        <v>0</v>
      </c>
      <c r="H15" s="299"/>
      <c r="I15" s="299">
        <f>IFERROR('Benzin - diesel - hybrid'!I$39*('Benzin - diesel - hybrid'!I$40/'Benzin - diesel - hybrid'!I$15)*IF('Benzin - diesel - hybrid'!I$49="Benzin",$C15,IF('Benzin - diesel - hybrid'!I$49="Diesel",H15,0))*(1+'Benzin - diesel - hybrid'!I$47)^-$A15,0)</f>
        <v>0</v>
      </c>
      <c r="J15" s="299"/>
      <c r="K15" s="299">
        <f>IFERROR('Benzin - diesel - hybrid'!K$39*('Benzin - diesel - hybrid'!K$40/'Benzin - diesel - hybrid'!K$15)*IF('Benzin - diesel - hybrid'!K$49="Benzin",$C15,IF('Benzin - diesel - hybrid'!K$49="Diesel",J15,0))*(1+'Benzin - diesel - hybrid'!K$47)^-$A15,0)</f>
        <v>0</v>
      </c>
      <c r="L15" s="299"/>
      <c r="M15" s="299">
        <f>IFERROR('Benzin - diesel - hybrid'!M$39*('Benzin - diesel - hybrid'!M$40/'Benzin - diesel - hybrid'!M$15)*IF('Benzin - diesel - hybrid'!M$49="Benzin",$C15,IF('Benzin - diesel - hybrid'!M$49="Diesel",L15,0))*(1+'Benzin - diesel - hybrid'!M$47)^-$A15,0)</f>
        <v>0</v>
      </c>
      <c r="N15" s="299"/>
      <c r="O15" s="299">
        <f>IFERROR('Benzin - diesel - hybrid'!O$39*('Benzin - diesel - hybrid'!O$40/'Benzin - diesel - hybrid'!O$15)*IF('Benzin - diesel - hybrid'!O$49="Benzin",$C15,IF('Benzin - diesel - hybrid'!O$49="Diesel",N15,0))*(1+'Benzin - diesel - hybrid'!O$47)^-$A15,0)</f>
        <v>0</v>
      </c>
      <c r="P15" s="299"/>
      <c r="Q15" s="299">
        <f>IFERROR('Benzin - diesel - hybrid'!Q$39*('Benzin - diesel - hybrid'!Q$40/'Benzin - diesel - hybrid'!Q$15)*IF('Benzin - diesel - hybrid'!Q$49="Benzin",$C15,IF('Benzin - diesel - hybrid'!Q$49="Diesel",P15,0))*(1+'Benzin - diesel - hybrid'!Q$47)^-$A15,0)</f>
        <v>0</v>
      </c>
      <c r="R15" s="299"/>
      <c r="S15" s="299">
        <f>IFERROR('Benzin - diesel - hybrid'!S$39*('Benzin - diesel - hybrid'!S$40/'Benzin - diesel - hybrid'!S$15)*IF('Benzin - diesel - hybrid'!S$49="Benzin",$C15,IF('Benzin - diesel - hybrid'!S$49="Diesel",R15,0))*(1+'Benzin - diesel - hybrid'!S$47)^-$A15,0)</f>
        <v>0</v>
      </c>
      <c r="U15" s="299">
        <f>IFERROR('Benzin - diesel - hybrid'!U$39*('Benzin - diesel - hybrid'!U$40/'Benzin - diesel - hybrid'!U$15)*IF('Benzin - diesel - hybrid'!U$49="Benzin",$C15,IF('Benzin - diesel - hybrid'!U$49="Diesel",T15,0))*(1+'Benzin - diesel - hybrid'!U$47)^-$A15,0)</f>
        <v>0</v>
      </c>
      <c r="W15" s="299">
        <f>IFERROR('Benzin - diesel - hybrid'!W$39*('Benzin - diesel - hybrid'!W$40/'Benzin - diesel - hybrid'!W$15)*IF('Benzin - diesel - hybrid'!W$49="Benzin",$C15,IF('Benzin - diesel - hybrid'!W$49="Diesel",V15,0))*(1+'Benzin - diesel - hybrid'!W$47)^-$A15,0)</f>
        <v>0</v>
      </c>
    </row>
    <row r="16" spans="1:27">
      <c r="A16" s="294">
        <f t="shared" si="1"/>
        <v>13</v>
      </c>
      <c r="B16" s="273"/>
      <c r="C16" s="295">
        <f>((C15-Fremskrivninger!E59)*(1+IF('Benzin - diesel - hybrid'!$E$51="ja",'Benzin - diesel - hybrid'!$E$53,'Benzin - diesel - hybrid'!$E$55))+Fremskrivninger!E59)</f>
        <v>9.4712827794302257</v>
      </c>
      <c r="D16" s="295">
        <f>((D15-Fremskrivninger!E103)*(1+IF('Benzin - diesel - hybrid'!$E$57="ja",'Benzin - diesel - hybrid'!$E$59,'Benzin - diesel - hybrid'!$E$61))+Fremskrivninger!E103)</f>
        <v>8.4559188122442208</v>
      </c>
      <c r="E16" s="299">
        <f>IFERROR('Benzin - diesel - hybrid'!E$39*('Benzin - diesel - hybrid'!E$40/'Benzin - diesel - hybrid'!E$15)*IF('Benzin - diesel - hybrid'!E$49="Benzin",$C16,IF('Benzin - diesel - hybrid'!E$49="Diesel",D16,0))*(1+'Benzin - diesel - hybrid'!E$47)^-$A16,0)</f>
        <v>0</v>
      </c>
      <c r="F16" s="299"/>
      <c r="G16" s="299">
        <f>IFERROR('Benzin - diesel - hybrid'!G$39*('Benzin - diesel - hybrid'!G$40/'Benzin - diesel - hybrid'!G$15)*IF('Benzin - diesel - hybrid'!G$49="Benzin",$C16,IF('Benzin - diesel - hybrid'!G$49="Diesel",F16,0))*(1+'Benzin - diesel - hybrid'!G$47)^-$A16,0)</f>
        <v>0</v>
      </c>
      <c r="H16" s="299"/>
      <c r="I16" s="299">
        <f>IFERROR('Benzin - diesel - hybrid'!I$39*('Benzin - diesel - hybrid'!I$40/'Benzin - diesel - hybrid'!I$15)*IF('Benzin - diesel - hybrid'!I$49="Benzin",$C16,IF('Benzin - diesel - hybrid'!I$49="Diesel",H16,0))*(1+'Benzin - diesel - hybrid'!I$47)^-$A16,0)</f>
        <v>0</v>
      </c>
      <c r="J16" s="299"/>
      <c r="K16" s="299">
        <f>IFERROR('Benzin - diesel - hybrid'!K$39*('Benzin - diesel - hybrid'!K$40/'Benzin - diesel - hybrid'!K$15)*IF('Benzin - diesel - hybrid'!K$49="Benzin",$C16,IF('Benzin - diesel - hybrid'!K$49="Diesel",J16,0))*(1+'Benzin - diesel - hybrid'!K$47)^-$A16,0)</f>
        <v>0</v>
      </c>
      <c r="L16" s="299"/>
      <c r="M16" s="299">
        <f>IFERROR('Benzin - diesel - hybrid'!M$39*('Benzin - diesel - hybrid'!M$40/'Benzin - diesel - hybrid'!M$15)*IF('Benzin - diesel - hybrid'!M$49="Benzin",$C16,IF('Benzin - diesel - hybrid'!M$49="Diesel",L16,0))*(1+'Benzin - diesel - hybrid'!M$47)^-$A16,0)</f>
        <v>0</v>
      </c>
      <c r="N16" s="299"/>
      <c r="O16" s="299">
        <f>IFERROR('Benzin - diesel - hybrid'!O$39*('Benzin - diesel - hybrid'!O$40/'Benzin - diesel - hybrid'!O$15)*IF('Benzin - diesel - hybrid'!O$49="Benzin",$C16,IF('Benzin - diesel - hybrid'!O$49="Diesel",N16,0))*(1+'Benzin - diesel - hybrid'!O$47)^-$A16,0)</f>
        <v>0</v>
      </c>
      <c r="P16" s="299"/>
      <c r="Q16" s="299">
        <f>IFERROR('Benzin - diesel - hybrid'!Q$39*('Benzin - diesel - hybrid'!Q$40/'Benzin - diesel - hybrid'!Q$15)*IF('Benzin - diesel - hybrid'!Q$49="Benzin",$C16,IF('Benzin - diesel - hybrid'!Q$49="Diesel",P16,0))*(1+'Benzin - diesel - hybrid'!Q$47)^-$A16,0)</f>
        <v>0</v>
      </c>
      <c r="R16" s="299"/>
      <c r="S16" s="299">
        <f>IFERROR('Benzin - diesel - hybrid'!S$39*('Benzin - diesel - hybrid'!S$40/'Benzin - diesel - hybrid'!S$15)*IF('Benzin - diesel - hybrid'!S$49="Benzin",$C16,IF('Benzin - diesel - hybrid'!S$49="Diesel",R16,0))*(1+'Benzin - diesel - hybrid'!S$47)^-$A16,0)</f>
        <v>0</v>
      </c>
      <c r="U16" s="299">
        <f>IFERROR('Benzin - diesel - hybrid'!U$39*('Benzin - diesel - hybrid'!U$40/'Benzin - diesel - hybrid'!U$15)*IF('Benzin - diesel - hybrid'!U$49="Benzin",$C16,IF('Benzin - diesel - hybrid'!U$49="Diesel",T16,0))*(1+'Benzin - diesel - hybrid'!U$47)^-$A16,0)</f>
        <v>0</v>
      </c>
      <c r="W16" s="299">
        <f>IFERROR('Benzin - diesel - hybrid'!W$39*('Benzin - diesel - hybrid'!W$40/'Benzin - diesel - hybrid'!W$15)*IF('Benzin - diesel - hybrid'!W$49="Benzin",$C16,IF('Benzin - diesel - hybrid'!W$49="Diesel",V16,0))*(1+'Benzin - diesel - hybrid'!W$47)^-$A16,0)</f>
        <v>0</v>
      </c>
    </row>
    <row r="17" spans="1:26">
      <c r="A17" s="294">
        <f t="shared" si="1"/>
        <v>14</v>
      </c>
      <c r="B17" s="273"/>
      <c r="C17" s="295">
        <f>((C16-Fremskrivninger!E60)*(1+IF('Benzin - diesel - hybrid'!$E$51="ja",'Benzin - diesel - hybrid'!$E$53,'Benzin - diesel - hybrid'!$E$55))+Fremskrivninger!E60)</f>
        <v>9.5381596100643051</v>
      </c>
      <c r="D17" s="295">
        <f>((D16-Fremskrivninger!E104)*(1+IF('Benzin - diesel - hybrid'!$E$57="ja",'Benzin - diesel - hybrid'!$E$59,'Benzin - diesel - hybrid'!$E$61))+Fremskrivninger!E104)</f>
        <v>8.5315496350217614</v>
      </c>
      <c r="E17" s="299">
        <f>IFERROR('Benzin - diesel - hybrid'!E$39*('Benzin - diesel - hybrid'!E$40/'Benzin - diesel - hybrid'!E$15)*IF('Benzin - diesel - hybrid'!E$49="Benzin",$C17,IF('Benzin - diesel - hybrid'!E$49="Diesel",D17,0))*(1+'Benzin - diesel - hybrid'!E$47)^-$A17,0)</f>
        <v>0</v>
      </c>
      <c r="F17" s="299"/>
      <c r="G17" s="299">
        <f>IFERROR('Benzin - diesel - hybrid'!G$39*('Benzin - diesel - hybrid'!G$40/'Benzin - diesel - hybrid'!G$15)*IF('Benzin - diesel - hybrid'!G$49="Benzin",$C17,IF('Benzin - diesel - hybrid'!G$49="Diesel",F17,0))*(1+'Benzin - diesel - hybrid'!G$47)^-$A17,0)</f>
        <v>0</v>
      </c>
      <c r="H17" s="299"/>
      <c r="I17" s="299">
        <f>IFERROR('Benzin - diesel - hybrid'!I$39*('Benzin - diesel - hybrid'!I$40/'Benzin - diesel - hybrid'!I$15)*IF('Benzin - diesel - hybrid'!I$49="Benzin",$C17,IF('Benzin - diesel - hybrid'!I$49="Diesel",H17,0))*(1+'Benzin - diesel - hybrid'!I$47)^-$A17,0)</f>
        <v>0</v>
      </c>
      <c r="J17" s="299"/>
      <c r="K17" s="299">
        <f>IFERROR('Benzin - diesel - hybrid'!K$39*('Benzin - diesel - hybrid'!K$40/'Benzin - diesel - hybrid'!K$15)*IF('Benzin - diesel - hybrid'!K$49="Benzin",$C17,IF('Benzin - diesel - hybrid'!K$49="Diesel",J17,0))*(1+'Benzin - diesel - hybrid'!K$47)^-$A17,0)</f>
        <v>0</v>
      </c>
      <c r="L17" s="299"/>
      <c r="M17" s="299">
        <f>IFERROR('Benzin - diesel - hybrid'!M$39*('Benzin - diesel - hybrid'!M$40/'Benzin - diesel - hybrid'!M$15)*IF('Benzin - diesel - hybrid'!M$49="Benzin",$C17,IF('Benzin - diesel - hybrid'!M$49="Diesel",L17,0))*(1+'Benzin - diesel - hybrid'!M$47)^-$A17,0)</f>
        <v>0</v>
      </c>
      <c r="N17" s="299"/>
      <c r="O17" s="299">
        <f>IFERROR('Benzin - diesel - hybrid'!O$39*('Benzin - diesel - hybrid'!O$40/'Benzin - diesel - hybrid'!O$15)*IF('Benzin - diesel - hybrid'!O$49="Benzin",$C17,IF('Benzin - diesel - hybrid'!O$49="Diesel",N17,0))*(1+'Benzin - diesel - hybrid'!O$47)^-$A17,0)</f>
        <v>0</v>
      </c>
      <c r="P17" s="299"/>
      <c r="Q17" s="299">
        <f>IFERROR('Benzin - diesel - hybrid'!Q$39*('Benzin - diesel - hybrid'!Q$40/'Benzin - diesel - hybrid'!Q$15)*IF('Benzin - diesel - hybrid'!Q$49="Benzin",$C17,IF('Benzin - diesel - hybrid'!Q$49="Diesel",P17,0))*(1+'Benzin - diesel - hybrid'!Q$47)^-$A17,0)</f>
        <v>0</v>
      </c>
      <c r="R17" s="299"/>
      <c r="S17" s="299">
        <f>IFERROR('Benzin - diesel - hybrid'!S$39*('Benzin - diesel - hybrid'!S$40/'Benzin - diesel - hybrid'!S$15)*IF('Benzin - diesel - hybrid'!S$49="Benzin",$C17,IF('Benzin - diesel - hybrid'!S$49="Diesel",R17,0))*(1+'Benzin - diesel - hybrid'!S$47)^-$A17,0)</f>
        <v>0</v>
      </c>
      <c r="U17" s="299">
        <f>IFERROR('Benzin - diesel - hybrid'!U$39*('Benzin - diesel - hybrid'!U$40/'Benzin - diesel - hybrid'!U$15)*IF('Benzin - diesel - hybrid'!U$49="Benzin",$C17,IF('Benzin - diesel - hybrid'!U$49="Diesel",T17,0))*(1+'Benzin - diesel - hybrid'!U$47)^-$A17,0)</f>
        <v>0</v>
      </c>
      <c r="W17" s="299">
        <f>IFERROR('Benzin - diesel - hybrid'!W$39*('Benzin - diesel - hybrid'!W$40/'Benzin - diesel - hybrid'!W$15)*IF('Benzin - diesel - hybrid'!W$49="Benzin",$C17,IF('Benzin - diesel - hybrid'!W$49="Diesel",V17,0))*(1+'Benzin - diesel - hybrid'!W$47)^-$A17,0)</f>
        <v>0</v>
      </c>
    </row>
    <row r="18" spans="1:26">
      <c r="A18" s="294">
        <f t="shared" si="1"/>
        <v>15</v>
      </c>
      <c r="B18" s="273"/>
      <c r="C18" s="295">
        <f>((C17-Fremskrivninger!E61)*(1+IF('Benzin - diesel - hybrid'!$E$51="ja",'Benzin - diesel - hybrid'!$E$53,'Benzin - diesel - hybrid'!$E$55))+Fremskrivninger!E61)</f>
        <v>9.6059660286442003</v>
      </c>
      <c r="D18" s="295">
        <f>((D17-Fremskrivninger!E105)*(1+IF('Benzin - diesel - hybrid'!$E$57="ja",'Benzin - diesel - hybrid'!$E$59,'Benzin - diesel - hybrid'!$E$61))+Fremskrivninger!E105)</f>
        <v>8.6082771047295772</v>
      </c>
      <c r="E18" s="299">
        <f>IFERROR('Benzin - diesel - hybrid'!E$39*('Benzin - diesel - hybrid'!E$40/'Benzin - diesel - hybrid'!E$15)*IF('Benzin - diesel - hybrid'!E$49="Benzin",$C18,IF('Benzin - diesel - hybrid'!E$49="Diesel",D18,0))*(1+'Benzin - diesel - hybrid'!E$47)^-$A18,0)</f>
        <v>0</v>
      </c>
      <c r="F18" s="299"/>
      <c r="G18" s="299">
        <f>IFERROR('Benzin - diesel - hybrid'!G$39*('Benzin - diesel - hybrid'!G$40/'Benzin - diesel - hybrid'!G$15)*IF('Benzin - diesel - hybrid'!G$49="Benzin",$C18,IF('Benzin - diesel - hybrid'!G$49="Diesel",F18,0))*(1+'Benzin - diesel - hybrid'!G$47)^-$A18,0)</f>
        <v>0</v>
      </c>
      <c r="H18" s="299"/>
      <c r="I18" s="299">
        <f>IFERROR('Benzin - diesel - hybrid'!I$39*('Benzin - diesel - hybrid'!I$40/'Benzin - diesel - hybrid'!I$15)*IF('Benzin - diesel - hybrid'!I$49="Benzin",$C18,IF('Benzin - diesel - hybrid'!I$49="Diesel",H18,0))*(1+'Benzin - diesel - hybrid'!I$47)^-$A18,0)</f>
        <v>0</v>
      </c>
      <c r="J18" s="299"/>
      <c r="K18" s="299">
        <f>IFERROR('Benzin - diesel - hybrid'!K$39*('Benzin - diesel - hybrid'!K$40/'Benzin - diesel - hybrid'!K$15)*IF('Benzin - diesel - hybrid'!K$49="Benzin",$C18,IF('Benzin - diesel - hybrid'!K$49="Diesel",J18,0))*(1+'Benzin - diesel - hybrid'!K$47)^-$A18,0)</f>
        <v>0</v>
      </c>
      <c r="L18" s="299"/>
      <c r="M18" s="299">
        <f>IFERROR('Benzin - diesel - hybrid'!M$39*('Benzin - diesel - hybrid'!M$40/'Benzin - diesel - hybrid'!M$15)*IF('Benzin - diesel - hybrid'!M$49="Benzin",$C18,IF('Benzin - diesel - hybrid'!M$49="Diesel",L18,0))*(1+'Benzin - diesel - hybrid'!M$47)^-$A18,0)</f>
        <v>0</v>
      </c>
      <c r="N18" s="299"/>
      <c r="O18" s="299">
        <f>IFERROR('Benzin - diesel - hybrid'!O$39*('Benzin - diesel - hybrid'!O$40/'Benzin - diesel - hybrid'!O$15)*IF('Benzin - diesel - hybrid'!O$49="Benzin",$C18,IF('Benzin - diesel - hybrid'!O$49="Diesel",N18,0))*(1+'Benzin - diesel - hybrid'!O$47)^-$A18,0)</f>
        <v>0</v>
      </c>
      <c r="P18" s="299"/>
      <c r="Q18" s="299">
        <f>IFERROR('Benzin - diesel - hybrid'!Q$39*('Benzin - diesel - hybrid'!Q$40/'Benzin - diesel - hybrid'!Q$15)*IF('Benzin - diesel - hybrid'!Q$49="Benzin",$C18,IF('Benzin - diesel - hybrid'!Q$49="Diesel",P18,0))*(1+'Benzin - diesel - hybrid'!Q$47)^-$A18,0)</f>
        <v>0</v>
      </c>
      <c r="R18" s="299"/>
      <c r="S18" s="299">
        <f>IFERROR('Benzin - diesel - hybrid'!S$39*('Benzin - diesel - hybrid'!S$40/'Benzin - diesel - hybrid'!S$15)*IF('Benzin - diesel - hybrid'!S$49="Benzin",$C18,IF('Benzin - diesel - hybrid'!S$49="Diesel",R18,0))*(1+'Benzin - diesel - hybrid'!S$47)^-$A18,0)</f>
        <v>0</v>
      </c>
      <c r="U18" s="299">
        <f>IFERROR('Benzin - diesel - hybrid'!U$39*('Benzin - diesel - hybrid'!U$40/'Benzin - diesel - hybrid'!U$15)*IF('Benzin - diesel - hybrid'!U$49="Benzin",$C18,IF('Benzin - diesel - hybrid'!U$49="Diesel",T18,0))*(1+'Benzin - diesel - hybrid'!U$47)^-$A18,0)</f>
        <v>0</v>
      </c>
      <c r="W18" s="299">
        <f>IFERROR('Benzin - diesel - hybrid'!W$39*('Benzin - diesel - hybrid'!W$40/'Benzin - diesel - hybrid'!W$15)*IF('Benzin - diesel - hybrid'!W$49="Benzin",$C18,IF('Benzin - diesel - hybrid'!W$49="Diesel",V18,0))*(1+'Benzin - diesel - hybrid'!W$47)^-$A18,0)</f>
        <v>0</v>
      </c>
    </row>
    <row r="19" spans="1:26">
      <c r="A19" s="294">
        <f t="shared" si="1"/>
        <v>16</v>
      </c>
      <c r="B19" s="273"/>
      <c r="C19" s="295">
        <f>((C18-Fremskrivninger!E62)*(1+IF('Benzin - diesel - hybrid'!$E$51="ja",'Benzin - diesel - hybrid'!$E$53,'Benzin - diesel - hybrid'!$E$55))+Fremskrivninger!E62)</f>
        <v>9.6747149564423545</v>
      </c>
      <c r="D19" s="295">
        <f>((D18-Fremskrivninger!E106)*(1+IF('Benzin - diesel - hybrid'!$E$57="ja",'Benzin - diesel - hybrid'!$E$59,'Benzin - diesel - hybrid'!$E$61))+Fremskrivninger!E106)</f>
        <v>8.6861171227481559</v>
      </c>
      <c r="E19" s="299">
        <f>IFERROR('Benzin - diesel - hybrid'!E$39*('Benzin - diesel - hybrid'!E$40/'Benzin - diesel - hybrid'!E$15)*IF('Benzin - diesel - hybrid'!E$49="Benzin",$C19,IF('Benzin - diesel - hybrid'!E$49="Diesel",D19,0))*(1+'Benzin - diesel - hybrid'!E$47)^-$A19,0)</f>
        <v>0</v>
      </c>
      <c r="F19" s="299"/>
      <c r="G19" s="299">
        <f>IFERROR('Benzin - diesel - hybrid'!G$39*('Benzin - diesel - hybrid'!G$40/'Benzin - diesel - hybrid'!G$15)*IF('Benzin - diesel - hybrid'!G$49="Benzin",$C19,IF('Benzin - diesel - hybrid'!G$49="Diesel",F19,0))*(1+'Benzin - diesel - hybrid'!G$47)^-$A19,0)</f>
        <v>0</v>
      </c>
      <c r="H19" s="299"/>
      <c r="I19" s="299">
        <f>IFERROR('Benzin - diesel - hybrid'!I$39*('Benzin - diesel - hybrid'!I$40/'Benzin - diesel - hybrid'!I$15)*IF('Benzin - diesel - hybrid'!I$49="Benzin",$C19,IF('Benzin - diesel - hybrid'!I$49="Diesel",H19,0))*(1+'Benzin - diesel - hybrid'!I$47)^-$A19,0)</f>
        <v>0</v>
      </c>
      <c r="J19" s="299"/>
      <c r="K19" s="299">
        <f>IFERROR('Benzin - diesel - hybrid'!K$39*('Benzin - diesel - hybrid'!K$40/'Benzin - diesel - hybrid'!K$15)*IF('Benzin - diesel - hybrid'!K$49="Benzin",$C19,IF('Benzin - diesel - hybrid'!K$49="Diesel",J19,0))*(1+'Benzin - diesel - hybrid'!K$47)^-$A19,0)</f>
        <v>0</v>
      </c>
      <c r="L19" s="299"/>
      <c r="M19" s="299">
        <f>IFERROR('Benzin - diesel - hybrid'!M$39*('Benzin - diesel - hybrid'!M$40/'Benzin - diesel - hybrid'!M$15)*IF('Benzin - diesel - hybrid'!M$49="Benzin",$C19,IF('Benzin - diesel - hybrid'!M$49="Diesel",L19,0))*(1+'Benzin - diesel - hybrid'!M$47)^-$A19,0)</f>
        <v>0</v>
      </c>
      <c r="N19" s="299"/>
      <c r="O19" s="299">
        <f>IFERROR('Benzin - diesel - hybrid'!O$39*('Benzin - diesel - hybrid'!O$40/'Benzin - diesel - hybrid'!O$15)*IF('Benzin - diesel - hybrid'!O$49="Benzin",$C19,IF('Benzin - diesel - hybrid'!O$49="Diesel",N19,0))*(1+'Benzin - diesel - hybrid'!O$47)^-$A19,0)</f>
        <v>0</v>
      </c>
      <c r="P19" s="299"/>
      <c r="Q19" s="299">
        <f>IFERROR('Benzin - diesel - hybrid'!Q$39*('Benzin - diesel - hybrid'!Q$40/'Benzin - diesel - hybrid'!Q$15)*IF('Benzin - diesel - hybrid'!Q$49="Benzin",$C19,IF('Benzin - diesel - hybrid'!Q$49="Diesel",P19,0))*(1+'Benzin - diesel - hybrid'!Q$47)^-$A19,0)</f>
        <v>0</v>
      </c>
      <c r="R19" s="299"/>
      <c r="S19" s="299">
        <f>IFERROR('Benzin - diesel - hybrid'!S$39*('Benzin - diesel - hybrid'!S$40/'Benzin - diesel - hybrid'!S$15)*IF('Benzin - diesel - hybrid'!S$49="Benzin",$C19,IF('Benzin - diesel - hybrid'!S$49="Diesel",R19,0))*(1+'Benzin - diesel - hybrid'!S$47)^-$A19,0)</f>
        <v>0</v>
      </c>
      <c r="U19" s="299">
        <f>IFERROR('Benzin - diesel - hybrid'!U$39*('Benzin - diesel - hybrid'!U$40/'Benzin - diesel - hybrid'!U$15)*IF('Benzin - diesel - hybrid'!U$49="Benzin",$C19,IF('Benzin - diesel - hybrid'!U$49="Diesel",T19,0))*(1+'Benzin - diesel - hybrid'!U$47)^-$A19,0)</f>
        <v>0</v>
      </c>
      <c r="W19" s="299">
        <f>IFERROR('Benzin - diesel - hybrid'!W$39*('Benzin - diesel - hybrid'!W$40/'Benzin - diesel - hybrid'!W$15)*IF('Benzin - diesel - hybrid'!W$49="Benzin",$C19,IF('Benzin - diesel - hybrid'!W$49="Diesel",V19,0))*(1+'Benzin - diesel - hybrid'!W$47)^-$A19,0)</f>
        <v>0</v>
      </c>
    </row>
    <row r="20" spans="1:26">
      <c r="A20" s="294">
        <f t="shared" si="1"/>
        <v>17</v>
      </c>
      <c r="B20" s="273"/>
      <c r="C20" s="295">
        <f>((C19-Fremskrivninger!E63)*(1+IF('Benzin - diesel - hybrid'!$E$51="ja",'Benzin - diesel - hybrid'!$E$53,'Benzin - diesel - hybrid'!$E$55))+Fremskrivninger!E63)</f>
        <v>9.7444194943369027</v>
      </c>
      <c r="D20" s="295">
        <f>((D19-Fremskrivninger!E107)*(1+IF('Benzin - diesel - hybrid'!$E$57="ja",'Benzin - diesel - hybrid'!$E$59,'Benzin - diesel - hybrid'!$E$61))+Fremskrivninger!E107)</f>
        <v>8.7650858210280038</v>
      </c>
      <c r="E20" s="299">
        <f>IFERROR('Benzin - diesel - hybrid'!E$39*('Benzin - diesel - hybrid'!E$40/'Benzin - diesel - hybrid'!E$15)*IF('Benzin - diesel - hybrid'!E$49="Benzin",$C20,IF('Benzin - diesel - hybrid'!E$49="Diesel",D20,0))*(1+'Benzin - diesel - hybrid'!E$47)^-$A20,0)</f>
        <v>0</v>
      </c>
      <c r="F20" s="299"/>
      <c r="G20" s="299">
        <f>IFERROR('Benzin - diesel - hybrid'!G$39*('Benzin - diesel - hybrid'!G$40/'Benzin - diesel - hybrid'!G$15)*IF('Benzin - diesel - hybrid'!G$49="Benzin",$C20,IF('Benzin - diesel - hybrid'!G$49="Diesel",F20,0))*(1+'Benzin - diesel - hybrid'!G$47)^-$A20,0)</f>
        <v>0</v>
      </c>
      <c r="H20" s="299"/>
      <c r="I20" s="299">
        <f>IFERROR('Benzin - diesel - hybrid'!I$39*('Benzin - diesel - hybrid'!I$40/'Benzin - diesel - hybrid'!I$15)*IF('Benzin - diesel - hybrid'!I$49="Benzin",$C20,IF('Benzin - diesel - hybrid'!I$49="Diesel",H20,0))*(1+'Benzin - diesel - hybrid'!I$47)^-$A20,0)</f>
        <v>0</v>
      </c>
      <c r="J20" s="299"/>
      <c r="K20" s="299">
        <f>IFERROR('Benzin - diesel - hybrid'!K$39*('Benzin - diesel - hybrid'!K$40/'Benzin - diesel - hybrid'!K$15)*IF('Benzin - diesel - hybrid'!K$49="Benzin",$C20,IF('Benzin - diesel - hybrid'!K$49="Diesel",J20,0))*(1+'Benzin - diesel - hybrid'!K$47)^-$A20,0)</f>
        <v>0</v>
      </c>
      <c r="L20" s="299"/>
      <c r="M20" s="299">
        <f>IFERROR('Benzin - diesel - hybrid'!M$39*('Benzin - diesel - hybrid'!M$40/'Benzin - diesel - hybrid'!M$15)*IF('Benzin - diesel - hybrid'!M$49="Benzin",$C20,IF('Benzin - diesel - hybrid'!M$49="Diesel",L20,0))*(1+'Benzin - diesel - hybrid'!M$47)^-$A20,0)</f>
        <v>0</v>
      </c>
      <c r="N20" s="299"/>
      <c r="O20" s="299">
        <f>IFERROR('Benzin - diesel - hybrid'!O$39*('Benzin - diesel - hybrid'!O$40/'Benzin - diesel - hybrid'!O$15)*IF('Benzin - diesel - hybrid'!O$49="Benzin",$C20,IF('Benzin - diesel - hybrid'!O$49="Diesel",N20,0))*(1+'Benzin - diesel - hybrid'!O$47)^-$A20,0)</f>
        <v>0</v>
      </c>
      <c r="P20" s="299"/>
      <c r="Q20" s="299">
        <f>IFERROR('Benzin - diesel - hybrid'!Q$39*('Benzin - diesel - hybrid'!Q$40/'Benzin - diesel - hybrid'!Q$15)*IF('Benzin - diesel - hybrid'!Q$49="Benzin",$C20,IF('Benzin - diesel - hybrid'!Q$49="Diesel",P20,0))*(1+'Benzin - diesel - hybrid'!Q$47)^-$A20,0)</f>
        <v>0</v>
      </c>
      <c r="R20" s="299"/>
      <c r="S20" s="299">
        <f>IFERROR('Benzin - diesel - hybrid'!S$39*('Benzin - diesel - hybrid'!S$40/'Benzin - diesel - hybrid'!S$15)*IF('Benzin - diesel - hybrid'!S$49="Benzin",$C20,IF('Benzin - diesel - hybrid'!S$49="Diesel",R20,0))*(1+'Benzin - diesel - hybrid'!S$47)^-$A20,0)</f>
        <v>0</v>
      </c>
      <c r="U20" s="299">
        <f>IFERROR('Benzin - diesel - hybrid'!U$39*('Benzin - diesel - hybrid'!U$40/'Benzin - diesel - hybrid'!U$15)*IF('Benzin - diesel - hybrid'!U$49="Benzin",$C20,IF('Benzin - diesel - hybrid'!U$49="Diesel",T20,0))*(1+'Benzin - diesel - hybrid'!U$47)^-$A20,0)</f>
        <v>0</v>
      </c>
      <c r="W20" s="299">
        <f>IFERROR('Benzin - diesel - hybrid'!W$39*('Benzin - diesel - hybrid'!W$40/'Benzin - diesel - hybrid'!W$15)*IF('Benzin - diesel - hybrid'!W$49="Benzin",$C20,IF('Benzin - diesel - hybrid'!W$49="Diesel",V20,0))*(1+'Benzin - diesel - hybrid'!W$47)^-$A20,0)</f>
        <v>0</v>
      </c>
    </row>
    <row r="21" spans="1:26">
      <c r="A21" s="294">
        <f t="shared" si="1"/>
        <v>18</v>
      </c>
      <c r="B21" s="273"/>
      <c r="C21" s="295">
        <f>((C20-Fremskrivninger!E64)*(1+IF('Benzin - diesel - hybrid'!$E$51="ja",'Benzin - diesel - hybrid'!$E$53,'Benzin - diesel - hybrid'!$E$55))+Fremskrivninger!E64)</f>
        <v>9.8150929253081856</v>
      </c>
      <c r="D21" s="295">
        <f>((D20-Fremskrivninger!E108)*(1+IF('Benzin - diesel - hybrid'!$E$57="ja",'Benzin - diesel - hybrid'!$E$59,'Benzin - diesel - hybrid'!$E$61))+Fremskrivninger!E108)</f>
        <v>8.8451995654329085</v>
      </c>
      <c r="E21" s="299">
        <f>IFERROR('Benzin - diesel - hybrid'!E$39*('Benzin - diesel - hybrid'!E$40/'Benzin - diesel - hybrid'!E$15)*IF('Benzin - diesel - hybrid'!E$49="Benzin",$C21,IF('Benzin - diesel - hybrid'!E$49="Diesel",D21,0))*(1+'Benzin - diesel - hybrid'!E$47)^-$A21,0)</f>
        <v>0</v>
      </c>
      <c r="F21" s="299"/>
      <c r="G21" s="299">
        <f>IFERROR('Benzin - diesel - hybrid'!G$39*('Benzin - diesel - hybrid'!G$40/'Benzin - diesel - hybrid'!G$15)*IF('Benzin - diesel - hybrid'!G$49="Benzin",$C21,IF('Benzin - diesel - hybrid'!G$49="Diesel",F21,0))*(1+'Benzin - diesel - hybrid'!G$47)^-$A21,0)</f>
        <v>0</v>
      </c>
      <c r="H21" s="299"/>
      <c r="I21" s="299">
        <f>IFERROR('Benzin - diesel - hybrid'!I$39*('Benzin - diesel - hybrid'!I$40/'Benzin - diesel - hybrid'!I$15)*IF('Benzin - diesel - hybrid'!I$49="Benzin",$C21,IF('Benzin - diesel - hybrid'!I$49="Diesel",H21,0))*(1+'Benzin - diesel - hybrid'!I$47)^-$A21,0)</f>
        <v>0</v>
      </c>
      <c r="J21" s="299"/>
      <c r="K21" s="299">
        <f>IFERROR('Benzin - diesel - hybrid'!K$39*('Benzin - diesel - hybrid'!K$40/'Benzin - diesel - hybrid'!K$15)*IF('Benzin - diesel - hybrid'!K$49="Benzin",$C21,IF('Benzin - diesel - hybrid'!K$49="Diesel",J21,0))*(1+'Benzin - diesel - hybrid'!K$47)^-$A21,0)</f>
        <v>0</v>
      </c>
      <c r="L21" s="299"/>
      <c r="M21" s="299">
        <f>IFERROR('Benzin - diesel - hybrid'!M$39*('Benzin - diesel - hybrid'!M$40/'Benzin - diesel - hybrid'!M$15)*IF('Benzin - diesel - hybrid'!M$49="Benzin",$C21,IF('Benzin - diesel - hybrid'!M$49="Diesel",L21,0))*(1+'Benzin - diesel - hybrid'!M$47)^-$A21,0)</f>
        <v>0</v>
      </c>
      <c r="N21" s="299"/>
      <c r="O21" s="299">
        <f>IFERROR('Benzin - diesel - hybrid'!O$39*('Benzin - diesel - hybrid'!O$40/'Benzin - diesel - hybrid'!O$15)*IF('Benzin - diesel - hybrid'!O$49="Benzin",$C21,IF('Benzin - diesel - hybrid'!O$49="Diesel",N21,0))*(1+'Benzin - diesel - hybrid'!O$47)^-$A21,0)</f>
        <v>0</v>
      </c>
      <c r="P21" s="299"/>
      <c r="Q21" s="299">
        <f>IFERROR('Benzin - diesel - hybrid'!Q$39*('Benzin - diesel - hybrid'!Q$40/'Benzin - diesel - hybrid'!Q$15)*IF('Benzin - diesel - hybrid'!Q$49="Benzin",$C21,IF('Benzin - diesel - hybrid'!Q$49="Diesel",P21,0))*(1+'Benzin - diesel - hybrid'!Q$47)^-$A21,0)</f>
        <v>0</v>
      </c>
      <c r="R21" s="299"/>
      <c r="S21" s="299">
        <f>IFERROR('Benzin - diesel - hybrid'!S$39*('Benzin - diesel - hybrid'!S$40/'Benzin - diesel - hybrid'!S$15)*IF('Benzin - diesel - hybrid'!S$49="Benzin",$C21,IF('Benzin - diesel - hybrid'!S$49="Diesel",R21,0))*(1+'Benzin - diesel - hybrid'!S$47)^-$A21,0)</f>
        <v>0</v>
      </c>
      <c r="U21" s="299">
        <f>IFERROR('Benzin - diesel - hybrid'!U$39*('Benzin - diesel - hybrid'!U$40/'Benzin - diesel - hybrid'!U$15)*IF('Benzin - diesel - hybrid'!U$49="Benzin",$C21,IF('Benzin - diesel - hybrid'!U$49="Diesel",T21,0))*(1+'Benzin - diesel - hybrid'!U$47)^-$A21,0)</f>
        <v>0</v>
      </c>
      <c r="W21" s="299">
        <f>IFERROR('Benzin - diesel - hybrid'!W$39*('Benzin - diesel - hybrid'!W$40/'Benzin - diesel - hybrid'!W$15)*IF('Benzin - diesel - hybrid'!W$49="Benzin",$C21,IF('Benzin - diesel - hybrid'!W$49="Diesel",V21,0))*(1+'Benzin - diesel - hybrid'!W$47)^-$A21,0)</f>
        <v>0</v>
      </c>
    </row>
    <row r="22" spans="1:26">
      <c r="A22" s="294">
        <f t="shared" si="1"/>
        <v>19</v>
      </c>
      <c r="B22" s="273"/>
      <c r="C22" s="295">
        <f>((C21-Fremskrivninger!E65)*(1+IF('Benzin - diesel - hybrid'!$E$51="ja",'Benzin - diesel - hybrid'!$E$53,'Benzin - diesel - hybrid'!$E$55))+Fremskrivninger!E65)</f>
        <v>9.8867487169699686</v>
      </c>
      <c r="D22" s="295">
        <f>((D21-Fremskrivninger!E109)*(1+IF('Benzin - diesel - hybrid'!$E$57="ja",'Benzin - diesel - hybrid'!$E$59,'Benzin - diesel - hybrid'!$E$61))+Fremskrivninger!E109)</f>
        <v>8.926474959131685</v>
      </c>
      <c r="E22" s="299">
        <f>IFERROR('Benzin - diesel - hybrid'!E$39*('Benzin - diesel - hybrid'!E$40/'Benzin - diesel - hybrid'!E$15)*IF('Benzin - diesel - hybrid'!E$49="Benzin",$C22,IF('Benzin - diesel - hybrid'!E$49="Diesel",D22,0))*(1+'Benzin - diesel - hybrid'!E$47)^-$A22,0)</f>
        <v>0</v>
      </c>
      <c r="F22" s="299"/>
      <c r="G22" s="299">
        <f>IFERROR('Benzin - diesel - hybrid'!G$39*('Benzin - diesel - hybrid'!G$40/'Benzin - diesel - hybrid'!G$15)*IF('Benzin - diesel - hybrid'!G$49="Benzin",$C22,IF('Benzin - diesel - hybrid'!G$49="Diesel",F22,0))*(1+'Benzin - diesel - hybrid'!G$47)^-$A22,0)</f>
        <v>0</v>
      </c>
      <c r="H22" s="299"/>
      <c r="I22" s="299">
        <f>IFERROR('Benzin - diesel - hybrid'!I$39*('Benzin - diesel - hybrid'!I$40/'Benzin - diesel - hybrid'!I$15)*IF('Benzin - diesel - hybrid'!I$49="Benzin",$C22,IF('Benzin - diesel - hybrid'!I$49="Diesel",H22,0))*(1+'Benzin - diesel - hybrid'!I$47)^-$A22,0)</f>
        <v>0</v>
      </c>
      <c r="J22" s="299"/>
      <c r="K22" s="299">
        <f>IFERROR('Benzin - diesel - hybrid'!K$39*('Benzin - diesel - hybrid'!K$40/'Benzin - diesel - hybrid'!K$15)*IF('Benzin - diesel - hybrid'!K$49="Benzin",$C22,IF('Benzin - diesel - hybrid'!K$49="Diesel",J22,0))*(1+'Benzin - diesel - hybrid'!K$47)^-$A22,0)</f>
        <v>0</v>
      </c>
      <c r="L22" s="299"/>
      <c r="M22" s="299">
        <f>IFERROR('Benzin - diesel - hybrid'!M$39*('Benzin - diesel - hybrid'!M$40/'Benzin - diesel - hybrid'!M$15)*IF('Benzin - diesel - hybrid'!M$49="Benzin",$C22,IF('Benzin - diesel - hybrid'!M$49="Diesel",L22,0))*(1+'Benzin - diesel - hybrid'!M$47)^-$A22,0)</f>
        <v>0</v>
      </c>
      <c r="N22" s="299"/>
      <c r="O22" s="299">
        <f>IFERROR('Benzin - diesel - hybrid'!O$39*('Benzin - diesel - hybrid'!O$40/'Benzin - diesel - hybrid'!O$15)*IF('Benzin - diesel - hybrid'!O$49="Benzin",$C22,IF('Benzin - diesel - hybrid'!O$49="Diesel",N22,0))*(1+'Benzin - diesel - hybrid'!O$47)^-$A22,0)</f>
        <v>0</v>
      </c>
      <c r="P22" s="299"/>
      <c r="Q22" s="299">
        <f>IFERROR('Benzin - diesel - hybrid'!Q$39*('Benzin - diesel - hybrid'!Q$40/'Benzin - diesel - hybrid'!Q$15)*IF('Benzin - diesel - hybrid'!Q$49="Benzin",$C22,IF('Benzin - diesel - hybrid'!Q$49="Diesel",P22,0))*(1+'Benzin - diesel - hybrid'!Q$47)^-$A22,0)</f>
        <v>0</v>
      </c>
      <c r="R22" s="299"/>
      <c r="S22" s="299">
        <f>IFERROR('Benzin - diesel - hybrid'!S$39*('Benzin - diesel - hybrid'!S$40/'Benzin - diesel - hybrid'!S$15)*IF('Benzin - diesel - hybrid'!S$49="Benzin",$C22,IF('Benzin - diesel - hybrid'!S$49="Diesel",R22,0))*(1+'Benzin - diesel - hybrid'!S$47)^-$A22,0)</f>
        <v>0</v>
      </c>
      <c r="U22" s="299">
        <f>IFERROR('Benzin - diesel - hybrid'!U$39*('Benzin - diesel - hybrid'!U$40/'Benzin - diesel - hybrid'!U$15)*IF('Benzin - diesel - hybrid'!U$49="Benzin",$C22,IF('Benzin - diesel - hybrid'!U$49="Diesel",T22,0))*(1+'Benzin - diesel - hybrid'!U$47)^-$A22,0)</f>
        <v>0</v>
      </c>
      <c r="W22" s="299">
        <f>IFERROR('Benzin - diesel - hybrid'!W$39*('Benzin - diesel - hybrid'!W$40/'Benzin - diesel - hybrid'!W$15)*IF('Benzin - diesel - hybrid'!W$49="Benzin",$C22,IF('Benzin - diesel - hybrid'!W$49="Diesel",V22,0))*(1+'Benzin - diesel - hybrid'!W$47)^-$A22,0)</f>
        <v>0</v>
      </c>
    </row>
    <row r="23" spans="1:26">
      <c r="A23" s="296">
        <f t="shared" si="1"/>
        <v>20</v>
      </c>
      <c r="B23" s="297"/>
      <c r="C23" s="298">
        <f>((C22-Fremskrivninger!E66)*(1+IF('Benzin - diesel - hybrid'!$E$51="ja",'Benzin - diesel - hybrid'!$E$53,'Benzin - diesel - hybrid'!$E$55))+Fremskrivninger!E66)</f>
        <v>9.9594005241358516</v>
      </c>
      <c r="D23" s="298">
        <f>((D22-Fremskrivninger!E110)*(1+IF('Benzin - diesel - hybrid'!$E$57="ja",'Benzin - diesel - hybrid'!$E$59,'Benzin - diesel - hybrid'!$E$61))+Fremskrivninger!E110)</f>
        <v>9.0089288460390939</v>
      </c>
      <c r="E23" s="299">
        <f>IFERROR('Benzin - diesel - hybrid'!E$39*('Benzin - diesel - hybrid'!E$40/'Benzin - diesel - hybrid'!E$15)*IF('Benzin - diesel - hybrid'!E$49="Benzin",$C23,IF('Benzin - diesel - hybrid'!E$49="Diesel",D23,0))*(1+'Benzin - diesel - hybrid'!E$47)^-$A23,0)</f>
        <v>0</v>
      </c>
      <c r="F23" s="299"/>
      <c r="G23" s="299">
        <f>IFERROR('Benzin - diesel - hybrid'!G$39*('Benzin - diesel - hybrid'!G$40/'Benzin - diesel - hybrid'!G$15)*IF('Benzin - diesel - hybrid'!G$49="Benzin",$C23,IF('Benzin - diesel - hybrid'!G$49="Diesel",F23,0))*(1+'Benzin - diesel - hybrid'!G$47)^-$A23,0)</f>
        <v>0</v>
      </c>
      <c r="H23" s="299"/>
      <c r="I23" s="299">
        <f>IFERROR('Benzin - diesel - hybrid'!I$39*('Benzin - diesel - hybrid'!I$40/'Benzin - diesel - hybrid'!I$15)*IF('Benzin - diesel - hybrid'!I$49="Benzin",$C23,IF('Benzin - diesel - hybrid'!I$49="Diesel",H23,0))*(1+'Benzin - diesel - hybrid'!I$47)^-$A23,0)</f>
        <v>0</v>
      </c>
      <c r="J23" s="299"/>
      <c r="K23" s="299">
        <f>IFERROR('Benzin - diesel - hybrid'!K$39*('Benzin - diesel - hybrid'!K$40/'Benzin - diesel - hybrid'!K$15)*IF('Benzin - diesel - hybrid'!K$49="Benzin",$C23,IF('Benzin - diesel - hybrid'!K$49="Diesel",J23,0))*(1+'Benzin - diesel - hybrid'!K$47)^-$A23,0)</f>
        <v>0</v>
      </c>
      <c r="L23" s="299"/>
      <c r="M23" s="299">
        <f>IFERROR('Benzin - diesel - hybrid'!M$39*('Benzin - diesel - hybrid'!M$40/'Benzin - diesel - hybrid'!M$15)*IF('Benzin - diesel - hybrid'!M$49="Benzin",$C23,IF('Benzin - diesel - hybrid'!M$49="Diesel",L23,0))*(1+'Benzin - diesel - hybrid'!M$47)^-$A23,0)</f>
        <v>0</v>
      </c>
      <c r="N23" s="299"/>
      <c r="O23" s="299">
        <f>IFERROR('Benzin - diesel - hybrid'!O$39*('Benzin - diesel - hybrid'!O$40/'Benzin - diesel - hybrid'!O$15)*IF('Benzin - diesel - hybrid'!O$49="Benzin",$C23,IF('Benzin - diesel - hybrid'!O$49="Diesel",N23,0))*(1+'Benzin - diesel - hybrid'!O$47)^-$A23,0)</f>
        <v>0</v>
      </c>
      <c r="P23" s="299"/>
      <c r="Q23" s="299">
        <f>IFERROR('Benzin - diesel - hybrid'!Q$39*('Benzin - diesel - hybrid'!Q$40/'Benzin - diesel - hybrid'!Q$15)*IF('Benzin - diesel - hybrid'!Q$49="Benzin",$C23,IF('Benzin - diesel - hybrid'!Q$49="Diesel",P23,0))*(1+'Benzin - diesel - hybrid'!Q$47)^-$A23,0)</f>
        <v>0</v>
      </c>
      <c r="R23" s="299"/>
      <c r="S23" s="299">
        <f>IFERROR('Benzin - diesel - hybrid'!S$39*('Benzin - diesel - hybrid'!S$40/'Benzin - diesel - hybrid'!S$15)*IF('Benzin - diesel - hybrid'!S$49="Benzin",$C23,IF('Benzin - diesel - hybrid'!S$49="Diesel",R23,0))*(1+'Benzin - diesel - hybrid'!S$47)^-$A23,0)</f>
        <v>0</v>
      </c>
      <c r="U23" s="299">
        <f>IFERROR('Benzin - diesel - hybrid'!U$39*('Benzin - diesel - hybrid'!U$40/'Benzin - diesel - hybrid'!U$15)*IF('Benzin - diesel - hybrid'!U$49="Benzin",$C23,IF('Benzin - diesel - hybrid'!U$49="Diesel",T23,0))*(1+'Benzin - diesel - hybrid'!U$47)^-$A23,0)</f>
        <v>0</v>
      </c>
      <c r="W23" s="299">
        <f>IFERROR('Benzin - diesel - hybrid'!W$39*('Benzin - diesel - hybrid'!W$40/'Benzin - diesel - hybrid'!W$15)*IF('Benzin - diesel - hybrid'!W$49="Benzin",$C23,IF('Benzin - diesel - hybrid'!W$49="Diesel",V23,0))*(1+'Benzin - diesel - hybrid'!W$47)^-$A23,0)</f>
        <v>0</v>
      </c>
    </row>
    <row r="24" spans="1:26">
      <c r="A24" s="3"/>
      <c r="B24" s="3"/>
      <c r="C24" s="3"/>
      <c r="D24" s="4"/>
      <c r="E24" s="4"/>
      <c r="F24" s="4"/>
      <c r="G24" s="4"/>
      <c r="H24" s="4"/>
      <c r="I24" s="4"/>
      <c r="J24" s="4"/>
      <c r="K24" s="4"/>
      <c r="L24" s="4"/>
      <c r="M24" s="4"/>
      <c r="N24" s="4"/>
      <c r="O24" s="4"/>
      <c r="P24" s="4"/>
      <c r="Q24" s="4"/>
      <c r="R24" s="4"/>
      <c r="S24" s="4"/>
      <c r="U24" s="4"/>
      <c r="W24" s="4"/>
    </row>
    <row r="25" spans="1:26" ht="39">
      <c r="A25" s="134"/>
      <c r="B25" s="135" t="s">
        <v>30</v>
      </c>
      <c r="C25" s="5"/>
      <c r="D25" s="5"/>
      <c r="E25" s="6" t="str">
        <f>'Benzin - diesel - hybrid'!E8</f>
        <v>PRODUKT 1</v>
      </c>
      <c r="F25" s="6"/>
      <c r="G25" s="6" t="str">
        <f>'Benzin - diesel - hybrid'!G8</f>
        <v>PRODUKT 2</v>
      </c>
      <c r="H25" s="6"/>
      <c r="I25" s="6" t="str">
        <f>'Benzin - diesel - hybrid'!I8</f>
        <v>PRODUKT 3</v>
      </c>
      <c r="J25" s="6"/>
      <c r="K25" s="6" t="str">
        <f>'Benzin - diesel - hybrid'!K8</f>
        <v>PRODUKT 4</v>
      </c>
      <c r="L25" s="6"/>
      <c r="M25" s="6" t="str">
        <f>'Benzin - diesel - hybrid'!M8</f>
        <v>PRODUKT 5</v>
      </c>
      <c r="N25" s="6"/>
      <c r="O25" s="6" t="str">
        <f>'Benzin - diesel - hybrid'!O8</f>
        <v>PRODUKT 6</v>
      </c>
      <c r="P25" s="6"/>
      <c r="Q25" s="6" t="str">
        <f>'Benzin - diesel - hybrid'!Q8</f>
        <v>PRODUKT 7</v>
      </c>
      <c r="R25" s="6"/>
      <c r="S25" s="6" t="str">
        <f>'Benzin - diesel - hybrid'!S8</f>
        <v>PRODUKT 8</v>
      </c>
      <c r="U25" s="6" t="str">
        <f>'Benzin - diesel - hybrid'!U8</f>
        <v>PRODUKT 9</v>
      </c>
      <c r="W25" s="6" t="str">
        <f>'Benzin - diesel - hybrid'!W8</f>
        <v>PRODUKT 10</v>
      </c>
    </row>
    <row r="26" spans="1:26" ht="30" customHeight="1">
      <c r="A26" s="5"/>
      <c r="B26" s="5">
        <v>1</v>
      </c>
      <c r="C26" s="5"/>
      <c r="D26" s="5"/>
      <c r="E26" s="147">
        <f>'Benzin - diesel - hybrid'!E71+E4+E49+IF('Benzin - diesel - hybrid'!E24="ja",E187,0)</f>
        <v>0</v>
      </c>
      <c r="F26" s="147"/>
      <c r="G26" s="147">
        <f>'Benzin - diesel - hybrid'!G71+G4+G49+IF('Benzin - diesel - hybrid'!G24="ja",G187,0)</f>
        <v>0</v>
      </c>
      <c r="H26" s="147"/>
      <c r="I26" s="147">
        <f>'Benzin - diesel - hybrid'!I71+I4+I49+IF('Benzin - diesel - hybrid'!I24="ja",I187,0)</f>
        <v>0</v>
      </c>
      <c r="J26" s="147"/>
      <c r="K26" s="147">
        <f>'Benzin - diesel - hybrid'!K71+K4+K49+IF('Benzin - diesel - hybrid'!K24="ja",K187,0)</f>
        <v>0</v>
      </c>
      <c r="L26" s="147"/>
      <c r="M26" s="147">
        <f>'Benzin - diesel - hybrid'!M71+M4+M49+IF('Benzin - diesel - hybrid'!M24="ja",M187,0)</f>
        <v>0</v>
      </c>
      <c r="N26" s="147"/>
      <c r="O26" s="147">
        <f>'Benzin - diesel - hybrid'!O71+O4+O49+IF('Benzin - diesel - hybrid'!O24="ja",O187,0)</f>
        <v>0</v>
      </c>
      <c r="P26" s="147"/>
      <c r="Q26" s="147">
        <f>'Benzin - diesel - hybrid'!Q71+Q4+Q49+IF('Benzin - diesel - hybrid'!Q24="ja",Q187,0)</f>
        <v>0</v>
      </c>
      <c r="R26" s="147"/>
      <c r="S26" s="147">
        <f>'Benzin - diesel - hybrid'!S71+S4+S49+IF('Benzin - diesel - hybrid'!S24="ja",S187,0)</f>
        <v>0</v>
      </c>
      <c r="U26" s="147">
        <f>'Benzin - diesel - hybrid'!U71+U4+U49+IF('Benzin - diesel - hybrid'!U24="ja",U187,0)</f>
        <v>0</v>
      </c>
      <c r="W26" s="147">
        <f>'Benzin - diesel - hybrid'!W71+W4+W49+IF('Benzin - diesel - hybrid'!W24="ja",W187,0)</f>
        <v>0</v>
      </c>
      <c r="Z26" s="245" t="s">
        <v>52</v>
      </c>
    </row>
    <row r="27" spans="1:26">
      <c r="A27" s="5"/>
      <c r="B27" s="5">
        <v>2</v>
      </c>
      <c r="C27" s="5"/>
      <c r="D27" s="5"/>
      <c r="E27" s="147">
        <f>E26+E5+E50+IF('Benzin - diesel - hybrid'!E25="ja",E188,0)</f>
        <v>0</v>
      </c>
      <c r="F27" s="147"/>
      <c r="G27" s="147">
        <f>G26+G5+G50+IF('Benzin - diesel - hybrid'!G25="ja",G188,0)</f>
        <v>0</v>
      </c>
      <c r="H27" s="147"/>
      <c r="I27" s="147">
        <f>I26+I5+I50+IF('Benzin - diesel - hybrid'!I25="ja",I188,0)</f>
        <v>0</v>
      </c>
      <c r="J27" s="147"/>
      <c r="K27" s="147">
        <f>K26+K5+K50+IF('Benzin - diesel - hybrid'!K25="ja",K188,0)</f>
        <v>0</v>
      </c>
      <c r="L27" s="147"/>
      <c r="M27" s="147">
        <f>M26+M5+M50+IF('Benzin - diesel - hybrid'!M25="ja",M188,0)</f>
        <v>0</v>
      </c>
      <c r="N27" s="147"/>
      <c r="O27" s="147">
        <f>O26+O5+O50+IF('Benzin - diesel - hybrid'!O25="ja",O188,0)</f>
        <v>0</v>
      </c>
      <c r="P27" s="147"/>
      <c r="Q27" s="147">
        <f>Q26+Q5+Q50+IF('Benzin - diesel - hybrid'!Q25="ja",Q188,0)</f>
        <v>0</v>
      </c>
      <c r="R27" s="147"/>
      <c r="S27" s="147">
        <f>S26+S5+S50+IF('Benzin - diesel - hybrid'!S25="ja",S188,0)</f>
        <v>0</v>
      </c>
      <c r="U27" s="147">
        <f>U26+U5+U50+IF('Benzin - diesel - hybrid'!U25="ja",U188,0)</f>
        <v>0</v>
      </c>
      <c r="W27" s="147">
        <f>W26+W5+W50+IF('Benzin - diesel - hybrid'!W25="ja",W188,0)</f>
        <v>0</v>
      </c>
      <c r="Z27" s="246">
        <v>1</v>
      </c>
    </row>
    <row r="28" spans="1:26">
      <c r="A28" s="5"/>
      <c r="B28" s="5">
        <v>3</v>
      </c>
      <c r="C28" s="5"/>
      <c r="D28" s="5"/>
      <c r="E28" s="147">
        <f>E27+E6+E51+IF('Benzin - diesel - hybrid'!E26="ja",E189,0)</f>
        <v>0</v>
      </c>
      <c r="F28" s="147"/>
      <c r="G28" s="147">
        <f>G27+G6+G51+IF('Benzin - diesel - hybrid'!G26="ja",G189,0)</f>
        <v>0</v>
      </c>
      <c r="H28" s="147"/>
      <c r="I28" s="147">
        <f>I27+I6+I51+IF('Benzin - diesel - hybrid'!I26="ja",I189,0)</f>
        <v>0</v>
      </c>
      <c r="J28" s="147"/>
      <c r="K28" s="147">
        <f>K27+K6+K51+IF('Benzin - diesel - hybrid'!K26="ja",K189,0)</f>
        <v>0</v>
      </c>
      <c r="L28" s="147"/>
      <c r="M28" s="147">
        <f>M27+M6+M51+IF('Benzin - diesel - hybrid'!M26="ja",M189,0)</f>
        <v>0</v>
      </c>
      <c r="N28" s="147"/>
      <c r="O28" s="147">
        <f>O27+O6+O51+IF('Benzin - diesel - hybrid'!O26="ja",O189,0)</f>
        <v>0</v>
      </c>
      <c r="P28" s="147"/>
      <c r="Q28" s="147">
        <f>Q27+Q6+Q51+IF('Benzin - diesel - hybrid'!Q26="ja",Q189,0)</f>
        <v>0</v>
      </c>
      <c r="R28" s="147"/>
      <c r="S28" s="147">
        <f>S27+S6+S51+IF('Benzin - diesel - hybrid'!S26="ja",S189,0)</f>
        <v>0</v>
      </c>
      <c r="U28" s="147">
        <f>U27+U6+U51+IF('Benzin - diesel - hybrid'!U26="ja",U189,0)</f>
        <v>0</v>
      </c>
      <c r="W28" s="147">
        <f>W27+W6+W51+IF('Benzin - diesel - hybrid'!W26="ja",W189,0)</f>
        <v>0</v>
      </c>
      <c r="Z28" s="246">
        <f>IF('Benzin - diesel - hybrid'!$E$46&gt;=B27,B27,"")</f>
        <v>2</v>
      </c>
    </row>
    <row r="29" spans="1:26">
      <c r="A29" s="5"/>
      <c r="B29" s="5">
        <v>4</v>
      </c>
      <c r="C29" s="5"/>
      <c r="D29" s="5"/>
      <c r="E29" s="147">
        <f>E28+E7+E52+IF('Benzin - diesel - hybrid'!E27="ja",E190,0)</f>
        <v>0</v>
      </c>
      <c r="F29" s="147"/>
      <c r="G29" s="147">
        <f>G28+G7+G52+IF('Benzin - diesel - hybrid'!G27="ja",G190,0)</f>
        <v>0</v>
      </c>
      <c r="H29" s="147"/>
      <c r="I29" s="147">
        <f>I28+I7+I52+IF('Benzin - diesel - hybrid'!I27="ja",I190,0)</f>
        <v>0</v>
      </c>
      <c r="J29" s="147"/>
      <c r="K29" s="147">
        <f>K28+K7+K52+IF('Benzin - diesel - hybrid'!K27="ja",K190,0)</f>
        <v>0</v>
      </c>
      <c r="L29" s="147"/>
      <c r="M29" s="147">
        <f>M28+M7+M52+IF('Benzin - diesel - hybrid'!M27="ja",M190,0)</f>
        <v>0</v>
      </c>
      <c r="N29" s="147"/>
      <c r="O29" s="147">
        <f>O28+O7+O52+IF('Benzin - diesel - hybrid'!O27="ja",O190,0)</f>
        <v>0</v>
      </c>
      <c r="P29" s="147"/>
      <c r="Q29" s="147">
        <f>Q28+Q7+Q52+IF('Benzin - diesel - hybrid'!Q27="ja",Q190,0)</f>
        <v>0</v>
      </c>
      <c r="R29" s="147"/>
      <c r="S29" s="147">
        <f>S28+S7+S52+IF('Benzin - diesel - hybrid'!S27="ja",S190,0)</f>
        <v>0</v>
      </c>
      <c r="U29" s="147">
        <f>U28+U7+U52+IF('Benzin - diesel - hybrid'!U27="ja",U190,0)</f>
        <v>0</v>
      </c>
      <c r="W29" s="147">
        <f>W28+W7+W52+IF('Benzin - diesel - hybrid'!W27="ja",W190,0)</f>
        <v>0</v>
      </c>
      <c r="Z29" s="246">
        <f>IF('Benzin - diesel - hybrid'!$E$46&gt;=B28,B28,"")</f>
        <v>3</v>
      </c>
    </row>
    <row r="30" spans="1:26">
      <c r="A30" s="5"/>
      <c r="B30" s="5">
        <v>5</v>
      </c>
      <c r="C30" s="5"/>
      <c r="D30" s="5"/>
      <c r="E30" s="147">
        <f>E29+E8+E53+IF('Benzin - diesel - hybrid'!E28="ja",E191,0)</f>
        <v>0</v>
      </c>
      <c r="F30" s="147"/>
      <c r="G30" s="147">
        <f>G29+G8+G53+IF('Benzin - diesel - hybrid'!G28="ja",G191,0)</f>
        <v>0</v>
      </c>
      <c r="H30" s="147"/>
      <c r="I30" s="147">
        <f>I29+I8+I53+IF('Benzin - diesel - hybrid'!I28="ja",I191,0)</f>
        <v>0</v>
      </c>
      <c r="J30" s="147"/>
      <c r="K30" s="147">
        <f>K29+K8+K53+IF('Benzin - diesel - hybrid'!K28="ja",K191,0)</f>
        <v>0</v>
      </c>
      <c r="L30" s="147"/>
      <c r="M30" s="147">
        <f>M29+M8+M53+IF('Benzin - diesel - hybrid'!M28="ja",M191,0)</f>
        <v>0</v>
      </c>
      <c r="N30" s="147"/>
      <c r="O30" s="147">
        <f>O29+O8+O53+IF('Benzin - diesel - hybrid'!O28="ja",O191,0)</f>
        <v>0</v>
      </c>
      <c r="P30" s="147"/>
      <c r="Q30" s="147">
        <f>Q29+Q8+Q53+IF('Benzin - diesel - hybrid'!Q28="ja",Q191,0)</f>
        <v>0</v>
      </c>
      <c r="R30" s="147"/>
      <c r="S30" s="147">
        <f>S29+S8+S53+IF('Benzin - diesel - hybrid'!S28="ja",S191,0)</f>
        <v>0</v>
      </c>
      <c r="U30" s="147">
        <f>U29+U8+U53+IF('Benzin - diesel - hybrid'!U28="ja",U191,0)</f>
        <v>0</v>
      </c>
      <c r="W30" s="147">
        <f>W29+W8+W53+IF('Benzin - diesel - hybrid'!W28="ja",W191,0)</f>
        <v>0</v>
      </c>
      <c r="Z30" s="246">
        <f>IF('Benzin - diesel - hybrid'!$E$46&gt;=B29,B29,"")</f>
        <v>4</v>
      </c>
    </row>
    <row r="31" spans="1:26">
      <c r="A31" s="5"/>
      <c r="B31" s="5">
        <v>6</v>
      </c>
      <c r="C31" s="5"/>
      <c r="D31" s="5"/>
      <c r="E31" s="147">
        <f>E30+E9+E54+IF('Benzin - diesel - hybrid'!E29="ja",E192,0)</f>
        <v>0</v>
      </c>
      <c r="F31" s="147"/>
      <c r="G31" s="147">
        <f>G30+G9+G54+IF('Benzin - diesel - hybrid'!G29="ja",G192,0)</f>
        <v>0</v>
      </c>
      <c r="H31" s="147"/>
      <c r="I31" s="147">
        <f>I30+I9+I54+IF('Benzin - diesel - hybrid'!I29="ja",I192,0)</f>
        <v>0</v>
      </c>
      <c r="J31" s="147"/>
      <c r="K31" s="147">
        <f>K30+K9+K54+IF('Benzin - diesel - hybrid'!K29="ja",K192,0)</f>
        <v>0</v>
      </c>
      <c r="L31" s="147"/>
      <c r="M31" s="147">
        <f>M30+M9+M54+IF('Benzin - diesel - hybrid'!M29="ja",M192,0)</f>
        <v>0</v>
      </c>
      <c r="N31" s="147"/>
      <c r="O31" s="147">
        <f>O30+O9+O54+IF('Benzin - diesel - hybrid'!O29="ja",O192,0)</f>
        <v>0</v>
      </c>
      <c r="P31" s="147"/>
      <c r="Q31" s="147">
        <f>Q30+Q9+Q54+IF('Benzin - diesel - hybrid'!Q29="ja",Q192,0)</f>
        <v>0</v>
      </c>
      <c r="R31" s="147"/>
      <c r="S31" s="147">
        <f>S30+S9+S54+IF('Benzin - diesel - hybrid'!S29="ja",S192,0)</f>
        <v>0</v>
      </c>
      <c r="U31" s="147">
        <f>U30+U9+U54+IF('Benzin - diesel - hybrid'!U29="ja",U192,0)</f>
        <v>0</v>
      </c>
      <c r="W31" s="147">
        <f>W30+W9+W54+IF('Benzin - diesel - hybrid'!W29="ja",W192,0)</f>
        <v>0</v>
      </c>
      <c r="Z31" s="246" t="str">
        <f>IF('Benzin - diesel - hybrid'!$E$46&gt;=B30,B30,"")</f>
        <v/>
      </c>
    </row>
    <row r="32" spans="1:26">
      <c r="A32" s="5"/>
      <c r="B32" s="5">
        <v>7</v>
      </c>
      <c r="C32" s="5"/>
      <c r="D32" s="5"/>
      <c r="E32" s="147">
        <f>E31+E10+E55+IF('Benzin - diesel - hybrid'!E30="ja",E193,0)</f>
        <v>0</v>
      </c>
      <c r="F32" s="147"/>
      <c r="G32" s="147">
        <f>G31+G10+G55+IF('Benzin - diesel - hybrid'!G30="ja",G193,0)</f>
        <v>0</v>
      </c>
      <c r="H32" s="147"/>
      <c r="I32" s="147">
        <f>I31+I10+I55+IF('Benzin - diesel - hybrid'!I30="ja",I193,0)</f>
        <v>0</v>
      </c>
      <c r="J32" s="147"/>
      <c r="K32" s="147">
        <f>K31+K10+K55+IF('Benzin - diesel - hybrid'!K30="ja",K193,0)</f>
        <v>0</v>
      </c>
      <c r="L32" s="147"/>
      <c r="M32" s="147">
        <f>M31+M10+M55+IF('Benzin - diesel - hybrid'!M30="ja",M193,0)</f>
        <v>0</v>
      </c>
      <c r="N32" s="147"/>
      <c r="O32" s="147">
        <f>O31+O10+O55+IF('Benzin - diesel - hybrid'!O30="ja",O193,0)</f>
        <v>0</v>
      </c>
      <c r="P32" s="147"/>
      <c r="Q32" s="147">
        <f>Q31+Q10+Q55+IF('Benzin - diesel - hybrid'!Q30="ja",Q193,0)</f>
        <v>0</v>
      </c>
      <c r="R32" s="147"/>
      <c r="S32" s="147">
        <f>S31+S10+S55+IF('Benzin - diesel - hybrid'!S30="ja",S193,0)</f>
        <v>0</v>
      </c>
      <c r="U32" s="147">
        <f>U31+U10+U55+IF('Benzin - diesel - hybrid'!U30="ja",U193,0)</f>
        <v>0</v>
      </c>
      <c r="W32" s="147">
        <f>W31+W10+W55+IF('Benzin - diesel - hybrid'!W30="ja",W193,0)</f>
        <v>0</v>
      </c>
      <c r="Z32" s="246" t="str">
        <f>IF('Benzin - diesel - hybrid'!$E$46&gt;=B31,B31,"")</f>
        <v/>
      </c>
    </row>
    <row r="33" spans="1:26">
      <c r="A33" s="5"/>
      <c r="B33" s="5">
        <v>8</v>
      </c>
      <c r="C33" s="5"/>
      <c r="D33" s="5"/>
      <c r="E33" s="147">
        <f>E32+E11+E56+IF('Benzin - diesel - hybrid'!E31="ja",E194,0)</f>
        <v>0</v>
      </c>
      <c r="F33" s="147"/>
      <c r="G33" s="147">
        <f>G32+G11+G56+IF('Benzin - diesel - hybrid'!G31="ja",G194,0)</f>
        <v>0</v>
      </c>
      <c r="H33" s="147"/>
      <c r="I33" s="147">
        <f>I32+I11+I56+IF('Benzin - diesel - hybrid'!I31="ja",I194,0)</f>
        <v>0</v>
      </c>
      <c r="J33" s="147"/>
      <c r="K33" s="147">
        <f>K32+K11+K56+IF('Benzin - diesel - hybrid'!K31="ja",K194,0)</f>
        <v>0</v>
      </c>
      <c r="L33" s="147"/>
      <c r="M33" s="147">
        <f>M32+M11+M56+IF('Benzin - diesel - hybrid'!M31="ja",M194,0)</f>
        <v>0</v>
      </c>
      <c r="N33" s="147"/>
      <c r="O33" s="147">
        <f>O32+O11+O56+IF('Benzin - diesel - hybrid'!O31="ja",O194,0)</f>
        <v>0</v>
      </c>
      <c r="P33" s="147"/>
      <c r="Q33" s="147">
        <f>Q32+Q11+Q56+IF('Benzin - diesel - hybrid'!Q31="ja",Q194,0)</f>
        <v>0</v>
      </c>
      <c r="R33" s="147"/>
      <c r="S33" s="147">
        <f>S32+S11+S56+IF('Benzin - diesel - hybrid'!S31="ja",S194,0)</f>
        <v>0</v>
      </c>
      <c r="U33" s="147">
        <f>U32+U11+U56+IF('Benzin - diesel - hybrid'!U31="ja",U194,0)</f>
        <v>0</v>
      </c>
      <c r="W33" s="147">
        <f>W32+W11+W56+IF('Benzin - diesel - hybrid'!W31="ja",W194,0)</f>
        <v>0</v>
      </c>
      <c r="Z33" s="246" t="str">
        <f>IF('Benzin - diesel - hybrid'!$E$46&gt;=B32,B32,"")</f>
        <v/>
      </c>
    </row>
    <row r="34" spans="1:26">
      <c r="A34" s="5"/>
      <c r="B34" s="5">
        <v>9</v>
      </c>
      <c r="C34" s="5"/>
      <c r="D34" s="5"/>
      <c r="E34" s="147">
        <f>E33+E12+E57+IF('Benzin - diesel - hybrid'!E32="ja",E195,0)</f>
        <v>0</v>
      </c>
      <c r="F34" s="147"/>
      <c r="G34" s="147">
        <f>G33+G12+G57+IF('Benzin - diesel - hybrid'!G32="ja",G195,0)</f>
        <v>0</v>
      </c>
      <c r="H34" s="147"/>
      <c r="I34" s="147">
        <f>I33+I12+I57+IF('Benzin - diesel - hybrid'!I32="ja",I195,0)</f>
        <v>0</v>
      </c>
      <c r="J34" s="147"/>
      <c r="K34" s="147">
        <f>K33+K12+K57+IF('Benzin - diesel - hybrid'!K32="ja",K195,0)</f>
        <v>0</v>
      </c>
      <c r="L34" s="147"/>
      <c r="M34" s="147">
        <f>M33+M12+M57+IF('Benzin - diesel - hybrid'!M32="ja",M195,0)</f>
        <v>0</v>
      </c>
      <c r="N34" s="147"/>
      <c r="O34" s="147">
        <f>O33+O12+O57+IF('Benzin - diesel - hybrid'!O32="ja",O195,0)</f>
        <v>0</v>
      </c>
      <c r="P34" s="147"/>
      <c r="Q34" s="147">
        <f>Q33+Q12+Q57+IF('Benzin - diesel - hybrid'!Q32="ja",Q195,0)</f>
        <v>0</v>
      </c>
      <c r="R34" s="147"/>
      <c r="S34" s="147">
        <f>S33+S12+S57+IF('Benzin - diesel - hybrid'!S32="ja",S195,0)</f>
        <v>0</v>
      </c>
      <c r="U34" s="147">
        <f>U33+U12+U57+IF('Benzin - diesel - hybrid'!U32="ja",U195,0)</f>
        <v>0</v>
      </c>
      <c r="W34" s="147">
        <f>W33+W12+W57+IF('Benzin - diesel - hybrid'!W32="ja",W195,0)</f>
        <v>0</v>
      </c>
      <c r="Z34" s="246" t="str">
        <f>IF('Benzin - diesel - hybrid'!$E$46&gt;=B33,B33,"")</f>
        <v/>
      </c>
    </row>
    <row r="35" spans="1:26">
      <c r="A35" s="5"/>
      <c r="B35" s="5">
        <v>10</v>
      </c>
      <c r="C35" s="5"/>
      <c r="D35" s="5"/>
      <c r="E35" s="147">
        <f>E34+E13+E58+IF('Benzin - diesel - hybrid'!E33="ja",E196,0)</f>
        <v>0</v>
      </c>
      <c r="F35" s="147"/>
      <c r="G35" s="147">
        <f>G34+G13+G58+IF('Benzin - diesel - hybrid'!G33="ja",G196,0)</f>
        <v>0</v>
      </c>
      <c r="H35" s="147"/>
      <c r="I35" s="147">
        <f>I34+I13+I58+IF('Benzin - diesel - hybrid'!I33="ja",I196,0)</f>
        <v>0</v>
      </c>
      <c r="J35" s="147"/>
      <c r="K35" s="147">
        <f>K34+K13+K58+IF('Benzin - diesel - hybrid'!K33="ja",K196,0)</f>
        <v>0</v>
      </c>
      <c r="L35" s="147"/>
      <c r="M35" s="147">
        <f>M34+M13+M58+IF('Benzin - diesel - hybrid'!M33="ja",M196,0)</f>
        <v>0</v>
      </c>
      <c r="N35" s="147"/>
      <c r="O35" s="147">
        <f>O34+O13+O58+IF('Benzin - diesel - hybrid'!O33="ja",O196,0)</f>
        <v>0</v>
      </c>
      <c r="P35" s="147"/>
      <c r="Q35" s="147">
        <f>Q34+Q13+Q58+IF('Benzin - diesel - hybrid'!Q33="ja",Q196,0)</f>
        <v>0</v>
      </c>
      <c r="R35" s="147"/>
      <c r="S35" s="147">
        <f>S34+S13+S58+IF('Benzin - diesel - hybrid'!S33="ja",S196,0)</f>
        <v>0</v>
      </c>
      <c r="U35" s="147">
        <f>U34+U13+U58+IF('Benzin - diesel - hybrid'!U33="ja",U196,0)</f>
        <v>0</v>
      </c>
      <c r="W35" s="147">
        <f>W34+W13+W58+IF('Benzin - diesel - hybrid'!W33="ja",W196,0)</f>
        <v>0</v>
      </c>
      <c r="Z35" s="246" t="str">
        <f>IF('Benzin - diesel - hybrid'!$E$46&gt;=B34,B34,"")</f>
        <v/>
      </c>
    </row>
    <row r="36" spans="1:26">
      <c r="A36" s="5"/>
      <c r="B36" s="5">
        <v>11</v>
      </c>
      <c r="C36" s="5"/>
      <c r="D36" s="5"/>
      <c r="E36" s="147">
        <f>E35+E14+E59+IF('Benzin - diesel - hybrid'!E34="ja",E197,0)</f>
        <v>0</v>
      </c>
      <c r="F36" s="147"/>
      <c r="G36" s="147">
        <f>G35+G14+G59+IF('Benzin - diesel - hybrid'!G34="ja",G197,0)</f>
        <v>0</v>
      </c>
      <c r="H36" s="147"/>
      <c r="I36" s="147">
        <f>I35+I14+I59+IF('Benzin - diesel - hybrid'!I34="ja",I197,0)</f>
        <v>0</v>
      </c>
      <c r="J36" s="147"/>
      <c r="K36" s="147">
        <f>K35+K14+K59+IF('Benzin - diesel - hybrid'!K34="ja",K197,0)</f>
        <v>0</v>
      </c>
      <c r="L36" s="147"/>
      <c r="M36" s="147">
        <f>M35+M14+M59+IF('Benzin - diesel - hybrid'!M34="ja",M197,0)</f>
        <v>0</v>
      </c>
      <c r="N36" s="147"/>
      <c r="O36" s="147">
        <f>O35+O14+O59+IF('Benzin - diesel - hybrid'!O34="ja",O197,0)</f>
        <v>0</v>
      </c>
      <c r="P36" s="147"/>
      <c r="Q36" s="147">
        <f>Q35+Q14+Q59+IF('Benzin - diesel - hybrid'!Q34="ja",Q197,0)</f>
        <v>0</v>
      </c>
      <c r="R36" s="147"/>
      <c r="S36" s="147">
        <f>S35+S14+S59+IF('Benzin - diesel - hybrid'!S34="ja",S197,0)</f>
        <v>0</v>
      </c>
      <c r="U36" s="147">
        <f>U35+U14+U59+IF('Benzin - diesel - hybrid'!U34="ja",U197,0)</f>
        <v>0</v>
      </c>
      <c r="W36" s="147">
        <f>W35+W14+W59+IF('Benzin - diesel - hybrid'!W34="ja",W197,0)</f>
        <v>0</v>
      </c>
      <c r="Z36" s="246" t="str">
        <f>IF('Benzin - diesel - hybrid'!$E$46&gt;=B35,B35,"")</f>
        <v/>
      </c>
    </row>
    <row r="37" spans="1:26">
      <c r="A37" s="3"/>
      <c r="B37" s="5">
        <v>12</v>
      </c>
      <c r="C37" s="3"/>
      <c r="D37" s="3"/>
      <c r="E37" s="147">
        <f>E36+E15+E60+IF('Benzin - diesel - hybrid'!E35="ja",E198,0)</f>
        <v>0</v>
      </c>
      <c r="F37" s="147"/>
      <c r="G37" s="147">
        <f>G36+G15+G60+IF('Benzin - diesel - hybrid'!G35="ja",G198,0)</f>
        <v>0</v>
      </c>
      <c r="H37" s="147"/>
      <c r="I37" s="147">
        <f>I36+I15+I60+IF('Benzin - diesel - hybrid'!I35="ja",I198,0)</f>
        <v>0</v>
      </c>
      <c r="J37" s="147"/>
      <c r="K37" s="147">
        <f>K36+K15+K60+IF('Benzin - diesel - hybrid'!K35="ja",K198,0)</f>
        <v>0</v>
      </c>
      <c r="L37" s="147"/>
      <c r="M37" s="147">
        <f>M36+M15+M60+IF('Benzin - diesel - hybrid'!M35="ja",M198,0)</f>
        <v>0</v>
      </c>
      <c r="N37" s="147"/>
      <c r="O37" s="147">
        <f>O36+O15+O60+IF('Benzin - diesel - hybrid'!O35="ja",O198,0)</f>
        <v>0</v>
      </c>
      <c r="P37" s="147"/>
      <c r="Q37" s="147">
        <f>Q36+Q15+Q60+IF('Benzin - diesel - hybrid'!Q35="ja",Q198,0)</f>
        <v>0</v>
      </c>
      <c r="R37" s="147"/>
      <c r="S37" s="147">
        <f>S36+S15+S60+IF('Benzin - diesel - hybrid'!S35="ja",S198,0)</f>
        <v>0</v>
      </c>
      <c r="U37" s="147">
        <f>U36+U15+U60+IF('Benzin - diesel - hybrid'!U35="ja",U198,0)</f>
        <v>0</v>
      </c>
      <c r="W37" s="147">
        <f>W36+W15+W60+IF('Benzin - diesel - hybrid'!W35="ja",W198,0)</f>
        <v>0</v>
      </c>
      <c r="Z37" s="246" t="str">
        <f>IF('Benzin - diesel - hybrid'!$E$46&gt;=B36,B36,"")</f>
        <v/>
      </c>
    </row>
    <row r="38" spans="1:26">
      <c r="A38" s="3"/>
      <c r="B38" s="5">
        <v>13</v>
      </c>
      <c r="C38" s="3"/>
      <c r="D38" s="3"/>
      <c r="E38" s="147">
        <f>E37+E16+E61+IF('Benzin - diesel - hybrid'!E36="ja",E199,0)</f>
        <v>0</v>
      </c>
      <c r="F38" s="147"/>
      <c r="G38" s="147">
        <f>G37+G16+G61+IF('Benzin - diesel - hybrid'!G36="ja",G199,0)</f>
        <v>0</v>
      </c>
      <c r="H38" s="147"/>
      <c r="I38" s="147">
        <f>I37+I16+I61+IF('Benzin - diesel - hybrid'!I36="ja",I199,0)</f>
        <v>0</v>
      </c>
      <c r="J38" s="147"/>
      <c r="K38" s="147">
        <f>K37+K16+K61+IF('Benzin - diesel - hybrid'!K36="ja",K199,0)</f>
        <v>0</v>
      </c>
      <c r="L38" s="147"/>
      <c r="M38" s="147">
        <f>M37+M16+M61+IF('Benzin - diesel - hybrid'!M36="ja",M199,0)</f>
        <v>0</v>
      </c>
      <c r="N38" s="147"/>
      <c r="O38" s="147">
        <f>O37+O16+O61+IF('Benzin - diesel - hybrid'!O36="ja",O199,0)</f>
        <v>0</v>
      </c>
      <c r="P38" s="147"/>
      <c r="Q38" s="147">
        <f>Q37+Q16+Q61+IF('Benzin - diesel - hybrid'!Q36="ja",Q199,0)</f>
        <v>0</v>
      </c>
      <c r="R38" s="147"/>
      <c r="S38" s="147">
        <f>S37+S16+S61+IF('Benzin - diesel - hybrid'!S36="ja",S199,0)</f>
        <v>0</v>
      </c>
      <c r="U38" s="147">
        <f>U37+U16+U61+IF('Benzin - diesel - hybrid'!U36="ja",U199,0)</f>
        <v>0</v>
      </c>
      <c r="W38" s="147">
        <f>W37+W16+W61+IF('Benzin - diesel - hybrid'!W36="ja",W199,0)</f>
        <v>0</v>
      </c>
      <c r="Z38" s="246" t="str">
        <f>IF('Benzin - diesel - hybrid'!$E$46&gt;=B37,B37,"")</f>
        <v/>
      </c>
    </row>
    <row r="39" spans="1:26">
      <c r="A39" s="3"/>
      <c r="B39" s="5">
        <v>14</v>
      </c>
      <c r="C39" s="3"/>
      <c r="D39" s="3"/>
      <c r="E39" s="147">
        <f>E38+E17+E62+IF('Benzin - diesel - hybrid'!E37="ja",E200,0)</f>
        <v>0</v>
      </c>
      <c r="F39" s="147"/>
      <c r="G39" s="147">
        <f>G38+G17+G62+IF('Benzin - diesel - hybrid'!G37="ja",G200,0)</f>
        <v>0</v>
      </c>
      <c r="H39" s="147"/>
      <c r="I39" s="147">
        <f>I38+I17+I62+IF('Benzin - diesel - hybrid'!I37="ja",I200,0)</f>
        <v>0</v>
      </c>
      <c r="J39" s="147"/>
      <c r="K39" s="147">
        <f>K38+K17+K62+IF('Benzin - diesel - hybrid'!K37="ja",K200,0)</f>
        <v>0</v>
      </c>
      <c r="L39" s="147"/>
      <c r="M39" s="147">
        <f>M38+M17+M62+IF('Benzin - diesel - hybrid'!M37="ja",M200,0)</f>
        <v>0</v>
      </c>
      <c r="N39" s="147"/>
      <c r="O39" s="147">
        <f>O38+O17+O62+IF('Benzin - diesel - hybrid'!O37="ja",O200,0)</f>
        <v>0</v>
      </c>
      <c r="P39" s="147"/>
      <c r="Q39" s="147">
        <f>Q38+Q17+Q62+IF('Benzin - diesel - hybrid'!Q37="ja",Q200,0)</f>
        <v>0</v>
      </c>
      <c r="R39" s="147"/>
      <c r="S39" s="147">
        <f>S38+S17+S62+IF('Benzin - diesel - hybrid'!S37="ja",S200,0)</f>
        <v>0</v>
      </c>
      <c r="U39" s="147">
        <f>U38+U17+U62+IF('Benzin - diesel - hybrid'!U37="ja",U200,0)</f>
        <v>0</v>
      </c>
      <c r="W39" s="147">
        <f>W38+W17+W62+IF('Benzin - diesel - hybrid'!W37="ja",W200,0)</f>
        <v>0</v>
      </c>
      <c r="Z39" s="246" t="str">
        <f>IF('Benzin - diesel - hybrid'!$E$46&gt;=B38,B38,"")</f>
        <v/>
      </c>
    </row>
    <row r="40" spans="1:26">
      <c r="A40" s="3"/>
      <c r="B40" s="5">
        <v>15</v>
      </c>
      <c r="C40" s="3"/>
      <c r="D40" s="3"/>
      <c r="E40" s="147">
        <f>E39+E18+E63+IF('Benzin - diesel - hybrid'!E38="ja",E201,0)</f>
        <v>0</v>
      </c>
      <c r="F40" s="147"/>
      <c r="G40" s="147">
        <f>G39+G18+G63+IF('Benzin - diesel - hybrid'!G38="ja",G201,0)</f>
        <v>0</v>
      </c>
      <c r="H40" s="147"/>
      <c r="I40" s="147">
        <f>I39+I18+I63+IF('Benzin - diesel - hybrid'!I38="ja",I201,0)</f>
        <v>0</v>
      </c>
      <c r="J40" s="147"/>
      <c r="K40" s="147">
        <f>K39+K18+K63+IF('Benzin - diesel - hybrid'!K38="ja",K201,0)</f>
        <v>0</v>
      </c>
      <c r="L40" s="147"/>
      <c r="M40" s="147">
        <f>M39+M18+M63+IF('Benzin - diesel - hybrid'!M38="ja",M201,0)</f>
        <v>0</v>
      </c>
      <c r="N40" s="147"/>
      <c r="O40" s="147">
        <f>O39+O18+O63+IF('Benzin - diesel - hybrid'!O38="ja",O201,0)</f>
        <v>0</v>
      </c>
      <c r="P40" s="147"/>
      <c r="Q40" s="147">
        <f>Q39+Q18+Q63+IF('Benzin - diesel - hybrid'!Q38="ja",Q201,0)</f>
        <v>0</v>
      </c>
      <c r="R40" s="147"/>
      <c r="S40" s="147">
        <f>S39+S18+S63+IF('Benzin - diesel - hybrid'!S38="ja",S201,0)</f>
        <v>0</v>
      </c>
      <c r="U40" s="147">
        <f>U39+U18+U63+IF('Benzin - diesel - hybrid'!U38="ja",U201,0)</f>
        <v>0</v>
      </c>
      <c r="W40" s="147">
        <f>W39+W18+W63+IF('Benzin - diesel - hybrid'!W38="ja",W201,0)</f>
        <v>0</v>
      </c>
      <c r="Z40" s="246" t="str">
        <f>IF('Benzin - diesel - hybrid'!$E$46&gt;=B39,B39,"")</f>
        <v/>
      </c>
    </row>
    <row r="41" spans="1:26">
      <c r="A41" s="3"/>
      <c r="B41" s="5">
        <v>16</v>
      </c>
      <c r="C41" s="3"/>
      <c r="D41" s="3"/>
      <c r="E41" s="147">
        <f>E40+E19+E64+IF('Benzin - diesel - hybrid'!E39="ja",E202,0)</f>
        <v>0</v>
      </c>
      <c r="F41" s="147"/>
      <c r="G41" s="147">
        <f>G40+G19+G64+IF('Benzin - diesel - hybrid'!G39="ja",G202,0)</f>
        <v>0</v>
      </c>
      <c r="H41" s="147"/>
      <c r="I41" s="147">
        <f>I40+I19+I64+IF('Benzin - diesel - hybrid'!I39="ja",I202,0)</f>
        <v>0</v>
      </c>
      <c r="J41" s="147"/>
      <c r="K41" s="147">
        <f>K40+K19+K64+IF('Benzin - diesel - hybrid'!K39="ja",K202,0)</f>
        <v>0</v>
      </c>
      <c r="L41" s="147"/>
      <c r="M41" s="147">
        <f>M40+M19+M64+IF('Benzin - diesel - hybrid'!M39="ja",M202,0)</f>
        <v>0</v>
      </c>
      <c r="N41" s="147"/>
      <c r="O41" s="147">
        <f>O40+O19+O64+IF('Benzin - diesel - hybrid'!O39="ja",O202,0)</f>
        <v>0</v>
      </c>
      <c r="P41" s="147"/>
      <c r="Q41" s="147">
        <f>Q40+Q19+Q64+IF('Benzin - diesel - hybrid'!Q39="ja",Q202,0)</f>
        <v>0</v>
      </c>
      <c r="R41" s="147"/>
      <c r="S41" s="147">
        <f>S40+S19+S64+IF('Benzin - diesel - hybrid'!S39="ja",S202,0)</f>
        <v>0</v>
      </c>
      <c r="U41" s="147">
        <f>U40+U19+U64+IF('Benzin - diesel - hybrid'!U39="ja",U202,0)</f>
        <v>0</v>
      </c>
      <c r="W41" s="147">
        <f>W40+W19+W64+IF('Benzin - diesel - hybrid'!W39="ja",W202,0)</f>
        <v>0</v>
      </c>
      <c r="Z41" s="246" t="str">
        <f>IF('Benzin - diesel - hybrid'!$E$46&gt;=B40,B40,"")</f>
        <v/>
      </c>
    </row>
    <row r="42" spans="1:26">
      <c r="A42" s="3"/>
      <c r="B42" s="5">
        <v>17</v>
      </c>
      <c r="C42" s="3"/>
      <c r="D42" s="3"/>
      <c r="E42" s="147">
        <f>E41+E20+E65+IF('Benzin - diesel - hybrid'!E40="ja",E203,0)</f>
        <v>0</v>
      </c>
      <c r="F42" s="147"/>
      <c r="G42" s="147">
        <f>G41+G20+G65+IF('Benzin - diesel - hybrid'!G40="ja",G203,0)</f>
        <v>0</v>
      </c>
      <c r="H42" s="147"/>
      <c r="I42" s="147">
        <f>I41+I20+I65+IF('Benzin - diesel - hybrid'!I40="ja",I203,0)</f>
        <v>0</v>
      </c>
      <c r="J42" s="147"/>
      <c r="K42" s="147">
        <f>K41+K20+K65+IF('Benzin - diesel - hybrid'!K40="ja",K203,0)</f>
        <v>0</v>
      </c>
      <c r="L42" s="147"/>
      <c r="M42" s="147">
        <f>M41+M20+M65+IF('Benzin - diesel - hybrid'!M40="ja",M203,0)</f>
        <v>0</v>
      </c>
      <c r="N42" s="147"/>
      <c r="O42" s="147">
        <f>O41+O20+O65+IF('Benzin - diesel - hybrid'!O40="ja",O203,0)</f>
        <v>0</v>
      </c>
      <c r="P42" s="147"/>
      <c r="Q42" s="147">
        <f>Q41+Q20+Q65+IF('Benzin - diesel - hybrid'!Q40="ja",Q203,0)</f>
        <v>0</v>
      </c>
      <c r="R42" s="147"/>
      <c r="S42" s="147">
        <f>S41+S20+S65+IF('Benzin - diesel - hybrid'!S40="ja",S203,0)</f>
        <v>0</v>
      </c>
      <c r="U42" s="147">
        <f>U41+U20+U65+IF('Benzin - diesel - hybrid'!U40="ja",U203,0)</f>
        <v>0</v>
      </c>
      <c r="W42" s="147">
        <f>W41+W20+W65+IF('Benzin - diesel - hybrid'!W40="ja",W203,0)</f>
        <v>0</v>
      </c>
      <c r="Z42" s="246" t="str">
        <f>IF('Benzin - diesel - hybrid'!$E$46&gt;=B41,B41,"")</f>
        <v/>
      </c>
    </row>
    <row r="43" spans="1:26">
      <c r="A43" s="3"/>
      <c r="B43" s="5">
        <v>18</v>
      </c>
      <c r="C43" s="3"/>
      <c r="D43" s="3"/>
      <c r="E43" s="147">
        <f>E42+E21+E66+IF('Benzin - diesel - hybrid'!E41="ja",E204,0)</f>
        <v>0</v>
      </c>
      <c r="F43" s="147"/>
      <c r="G43" s="147">
        <f>G42+G21+G66+IF('Benzin - diesel - hybrid'!G41="ja",G204,0)</f>
        <v>0</v>
      </c>
      <c r="H43" s="147"/>
      <c r="I43" s="147">
        <f>I42+I21+I66+IF('Benzin - diesel - hybrid'!I41="ja",I204,0)</f>
        <v>0</v>
      </c>
      <c r="J43" s="147"/>
      <c r="K43" s="147">
        <f>K42+K21+K66+IF('Benzin - diesel - hybrid'!K41="ja",K204,0)</f>
        <v>0</v>
      </c>
      <c r="L43" s="147"/>
      <c r="M43" s="147">
        <f>M42+M21+M66+IF('Benzin - diesel - hybrid'!M41="ja",M204,0)</f>
        <v>0</v>
      </c>
      <c r="N43" s="147"/>
      <c r="O43" s="147">
        <f>O42+O21+O66+IF('Benzin - diesel - hybrid'!O41="ja",O204,0)</f>
        <v>0</v>
      </c>
      <c r="P43" s="147"/>
      <c r="Q43" s="147">
        <f>Q42+Q21+Q66+IF('Benzin - diesel - hybrid'!Q41="ja",Q204,0)</f>
        <v>0</v>
      </c>
      <c r="R43" s="147"/>
      <c r="S43" s="147">
        <f>S42+S21+S66+IF('Benzin - diesel - hybrid'!S41="ja",S204,0)</f>
        <v>0</v>
      </c>
      <c r="U43" s="147">
        <f>U42+U21+U66+IF('Benzin - diesel - hybrid'!U41="ja",U204,0)</f>
        <v>0</v>
      </c>
      <c r="W43" s="147">
        <f>W42+W21+W66+IF('Benzin - diesel - hybrid'!W41="ja",W204,0)</f>
        <v>0</v>
      </c>
      <c r="Z43" s="246" t="str">
        <f>IF('Benzin - diesel - hybrid'!$E$46&gt;=B42,B42,"")</f>
        <v/>
      </c>
    </row>
    <row r="44" spans="1:26">
      <c r="A44" s="3"/>
      <c r="B44" s="5">
        <v>19</v>
      </c>
      <c r="C44" s="3"/>
      <c r="D44" s="3"/>
      <c r="E44" s="147">
        <f>E43+E22+E67+IF('Benzin - diesel - hybrid'!E42="ja",E205,0)</f>
        <v>0</v>
      </c>
      <c r="F44" s="147"/>
      <c r="G44" s="147">
        <f>G43+G22+G67+IF('Benzin - diesel - hybrid'!G42="ja",G205,0)</f>
        <v>0</v>
      </c>
      <c r="H44" s="147"/>
      <c r="I44" s="147">
        <f>I43+I22+I67+IF('Benzin - diesel - hybrid'!I42="ja",I205,0)</f>
        <v>0</v>
      </c>
      <c r="J44" s="147"/>
      <c r="K44" s="147">
        <f>K43+K22+K67+IF('Benzin - diesel - hybrid'!K42="ja",K205,0)</f>
        <v>0</v>
      </c>
      <c r="L44" s="147"/>
      <c r="M44" s="147">
        <f>M43+M22+M67+IF('Benzin - diesel - hybrid'!M42="ja",M205,0)</f>
        <v>0</v>
      </c>
      <c r="N44" s="147"/>
      <c r="O44" s="147">
        <f>O43+O22+O67+IF('Benzin - diesel - hybrid'!O42="ja",O205,0)</f>
        <v>0</v>
      </c>
      <c r="P44" s="147"/>
      <c r="Q44" s="147">
        <f>Q43+Q22+Q67+IF('Benzin - diesel - hybrid'!Q42="ja",Q205,0)</f>
        <v>0</v>
      </c>
      <c r="R44" s="147"/>
      <c r="S44" s="147">
        <f>S43+S22+S67+IF('Benzin - diesel - hybrid'!S42="ja",S205,0)</f>
        <v>0</v>
      </c>
      <c r="U44" s="147">
        <f>U43+U22+U67+IF('Benzin - diesel - hybrid'!U42="ja",U205,0)</f>
        <v>0</v>
      </c>
      <c r="W44" s="147">
        <f>W43+W22+W67+IF('Benzin - diesel - hybrid'!W42="ja",W205,0)</f>
        <v>0</v>
      </c>
      <c r="Z44" s="246" t="str">
        <f>IF('Benzin - diesel - hybrid'!$E$46&gt;=B43,B43,"")</f>
        <v/>
      </c>
    </row>
    <row r="45" spans="1:26">
      <c r="B45" s="5">
        <v>20</v>
      </c>
      <c r="C45" s="3"/>
      <c r="D45" s="3"/>
      <c r="E45" s="147">
        <f>E44+E23+E68+IF('Benzin - diesel - hybrid'!E43="ja",E206,0)</f>
        <v>0</v>
      </c>
      <c r="F45" s="147"/>
      <c r="G45" s="147">
        <f>G44+G23+G68+IF('Benzin - diesel - hybrid'!G43="ja",G206,0)</f>
        <v>0</v>
      </c>
      <c r="H45" s="147"/>
      <c r="I45" s="147">
        <f>I44+I23+I68+IF('Benzin - diesel - hybrid'!I43="ja",I206,0)</f>
        <v>0</v>
      </c>
      <c r="J45" s="147"/>
      <c r="K45" s="147">
        <f>K44+K23+K68+IF('Benzin - diesel - hybrid'!K43="ja",K206,0)</f>
        <v>0</v>
      </c>
      <c r="L45" s="147"/>
      <c r="M45" s="147">
        <f>M44+M23+M68+IF('Benzin - diesel - hybrid'!M43="ja",M206,0)</f>
        <v>0</v>
      </c>
      <c r="N45" s="147"/>
      <c r="O45" s="147">
        <f>O44+O23+O68+IF('Benzin - diesel - hybrid'!O43="ja",O206,0)</f>
        <v>0</v>
      </c>
      <c r="P45" s="147"/>
      <c r="Q45" s="147">
        <f>Q44+Q23+Q68+IF('Benzin - diesel - hybrid'!Q43="ja",Q206,0)</f>
        <v>0</v>
      </c>
      <c r="R45" s="147"/>
      <c r="S45" s="147">
        <f>S44+S23+S68+IF('Benzin - diesel - hybrid'!S43="ja",S206,0)</f>
        <v>0</v>
      </c>
      <c r="U45" s="147">
        <f>U44+U23+U68+IF('Benzin - diesel - hybrid'!U43="ja",U206,0)</f>
        <v>0</v>
      </c>
      <c r="W45" s="147">
        <f>W44+W23+W68+IF('Benzin - diesel - hybrid'!W43="ja",W206,0)</f>
        <v>0</v>
      </c>
      <c r="Z45" s="246" t="str">
        <f>IF('Benzin - diesel - hybrid'!$E$46&gt;=B44,B44,"")</f>
        <v/>
      </c>
    </row>
    <row r="46" spans="1:26">
      <c r="B46" s="5"/>
      <c r="C46" s="3"/>
      <c r="D46" s="3"/>
      <c r="E46" s="147"/>
      <c r="F46" s="147"/>
      <c r="G46" s="147"/>
      <c r="H46" s="147"/>
      <c r="I46" s="147"/>
      <c r="J46" s="148"/>
      <c r="K46" s="148"/>
      <c r="L46" s="148"/>
      <c r="M46" s="148"/>
      <c r="N46" s="148"/>
      <c r="O46" s="148"/>
      <c r="P46" s="148"/>
      <c r="Q46" s="148"/>
      <c r="R46" s="148"/>
      <c r="S46" s="148"/>
      <c r="U46" s="148"/>
      <c r="W46" s="148"/>
      <c r="Z46" s="247" t="str">
        <f>IF('Benzin - diesel - hybrid'!$E$46&gt;=B45,B45,"")</f>
        <v/>
      </c>
    </row>
    <row r="47" spans="1:26">
      <c r="A47" s="136" t="s">
        <v>24</v>
      </c>
      <c r="B47"/>
      <c r="C47"/>
      <c r="D47"/>
      <c r="E47"/>
      <c r="F47"/>
      <c r="G47"/>
      <c r="H47"/>
      <c r="I47"/>
      <c r="J47"/>
      <c r="K47"/>
      <c r="L47"/>
      <c r="M47"/>
      <c r="N47"/>
      <c r="O47"/>
      <c r="P47"/>
      <c r="Q47"/>
      <c r="R47"/>
      <c r="S47"/>
      <c r="U47"/>
      <c r="W47"/>
    </row>
    <row r="48" spans="1:26" ht="57">
      <c r="A48"/>
      <c r="B48" s="137" t="s">
        <v>20</v>
      </c>
      <c r="C48" s="138" t="s">
        <v>27</v>
      </c>
      <c r="D48"/>
      <c r="E48" s="499" t="str">
        <f>E25</f>
        <v>PRODUKT 1</v>
      </c>
      <c r="F48"/>
      <c r="G48" s="499" t="str">
        <f>G25</f>
        <v>PRODUKT 2</v>
      </c>
      <c r="H48"/>
      <c r="I48" s="499" t="str">
        <f>I25</f>
        <v>PRODUKT 3</v>
      </c>
      <c r="J48"/>
      <c r="K48" s="499" t="str">
        <f>K25</f>
        <v>PRODUKT 4</v>
      </c>
      <c r="L48"/>
      <c r="M48" s="499" t="str">
        <f>M25</f>
        <v>PRODUKT 5</v>
      </c>
      <c r="N48"/>
      <c r="O48" s="499" t="str">
        <f>O25</f>
        <v>PRODUKT 6</v>
      </c>
      <c r="P48"/>
      <c r="Q48" s="499" t="str">
        <f>Q25</f>
        <v>PRODUKT 7</v>
      </c>
      <c r="R48"/>
      <c r="S48" s="499" t="str">
        <f>S25</f>
        <v>PRODUKT 8</v>
      </c>
      <c r="U48" s="499" t="str">
        <f>U25</f>
        <v>PRODUKT 9</v>
      </c>
      <c r="W48" s="499" t="str">
        <f>W25</f>
        <v>PRODUKT 10</v>
      </c>
    </row>
    <row r="49" spans="1:23">
      <c r="A49"/>
      <c r="B49" s="139">
        <v>1</v>
      </c>
      <c r="C49" s="140">
        <f>B49</f>
        <v>1</v>
      </c>
      <c r="D49"/>
      <c r="E49" s="242">
        <f>(IF($B49&lt;='Benzin - diesel - hybrid'!E$46,'Benzin - diesel - hybrid'!E$18+'Benzin - diesel - hybrid'!E$19+'Benzin - diesel - hybrid'!E$64+'Benzin - diesel - hybrid'!E$65,0)*'Benzin - diesel - hybrid'!E$46*(1+'Benzin - diesel - hybrid'!E$47)^-$B49)</f>
        <v>0</v>
      </c>
      <c r="F49" s="242"/>
      <c r="G49" s="242">
        <f>(IF($B49&lt;='Benzin - diesel - hybrid'!G$46,'Benzin - diesel - hybrid'!G$18+'Benzin - diesel - hybrid'!G$19+'Benzin - diesel - hybrid'!G$64+'Benzin - diesel - hybrid'!G$65,0)*'Benzin - diesel - hybrid'!G$46*(1+'Benzin - diesel - hybrid'!G$47)^-$B49)</f>
        <v>0</v>
      </c>
      <c r="H49" s="242"/>
      <c r="I49" s="242">
        <f>(IF($B49&lt;='Benzin - diesel - hybrid'!I$46,'Benzin - diesel - hybrid'!I$18+'Benzin - diesel - hybrid'!I$19+'Benzin - diesel - hybrid'!I$64+'Benzin - diesel - hybrid'!I$65,0)*'Benzin - diesel - hybrid'!I$46*(1+'Benzin - diesel - hybrid'!I$47)^-$B49)</f>
        <v>0</v>
      </c>
      <c r="J49" s="242"/>
      <c r="K49" s="242">
        <f>(IF($B49&lt;='Benzin - diesel - hybrid'!K$46,'Benzin - diesel - hybrid'!K$18+'Benzin - diesel - hybrid'!K$19+'Benzin - diesel - hybrid'!K$64+'Benzin - diesel - hybrid'!K$65,0)*'Benzin - diesel - hybrid'!K$46*(1+'Benzin - diesel - hybrid'!K$47)^-$B49)</f>
        <v>0</v>
      </c>
      <c r="L49" s="242"/>
      <c r="M49" s="242">
        <f>(IF($B49&lt;='Benzin - diesel - hybrid'!M$46,'Benzin - diesel - hybrid'!M$18+'Benzin - diesel - hybrid'!M$19+'Benzin - diesel - hybrid'!M$64+'Benzin - diesel - hybrid'!M$65,0)*'Benzin - diesel - hybrid'!M$46*(1+'Benzin - diesel - hybrid'!M$47)^-$B49)</f>
        <v>0</v>
      </c>
      <c r="N49" s="242"/>
      <c r="O49" s="242">
        <f>(IF($B49&lt;='Benzin - diesel - hybrid'!O$46,'Benzin - diesel - hybrid'!O$18+'Benzin - diesel - hybrid'!O$19+'Benzin - diesel - hybrid'!O$64+'Benzin - diesel - hybrid'!O$65,0)*'Benzin - diesel - hybrid'!O$46*(1+'Benzin - diesel - hybrid'!O$47)^-$B49)</f>
        <v>0</v>
      </c>
      <c r="P49" s="242"/>
      <c r="Q49" s="242">
        <f>(IF($B49&lt;='Benzin - diesel - hybrid'!Q$46,'Benzin - diesel - hybrid'!Q$18+'Benzin - diesel - hybrid'!Q$19+'Benzin - diesel - hybrid'!Q$64+'Benzin - diesel - hybrid'!Q$65,0)*'Benzin - diesel - hybrid'!Q$46*(1+'Benzin - diesel - hybrid'!Q$47)^-$B49)</f>
        <v>0</v>
      </c>
      <c r="R49" s="242"/>
      <c r="S49" s="242">
        <f>(IF($B49&lt;='Benzin - diesel - hybrid'!S$46,'Benzin - diesel - hybrid'!S$18+'Benzin - diesel - hybrid'!S$19+'Benzin - diesel - hybrid'!S$64+'Benzin - diesel - hybrid'!S$65,0)*'Benzin - diesel - hybrid'!S$46*(1+'Benzin - diesel - hybrid'!S$47)^-$B49)</f>
        <v>0</v>
      </c>
      <c r="U49" s="242">
        <f>(IF($B49&lt;='Benzin - diesel - hybrid'!U$46,'Benzin - diesel - hybrid'!U$18+'Benzin - diesel - hybrid'!U$19+'Benzin - diesel - hybrid'!U$64+'Benzin - diesel - hybrid'!U$65,0)*'Benzin - diesel - hybrid'!U$46*(1+'Benzin - diesel - hybrid'!U$47)^-$B49)</f>
        <v>0</v>
      </c>
      <c r="W49" s="242">
        <f>(IF($B49&lt;='Benzin - diesel - hybrid'!W$46,'Benzin - diesel - hybrid'!W$18+'Benzin - diesel - hybrid'!W$19+'Benzin - diesel - hybrid'!W$64+'Benzin - diesel - hybrid'!W$65,0)*'Benzin - diesel - hybrid'!W$46*(1+'Benzin - diesel - hybrid'!W$47)^-$B49)</f>
        <v>0</v>
      </c>
    </row>
    <row r="50" spans="1:23">
      <c r="A50"/>
      <c r="B50" s="139">
        <v>2</v>
      </c>
      <c r="C50" s="140">
        <f t="shared" ref="C50:C63" si="2">B50</f>
        <v>2</v>
      </c>
      <c r="D50"/>
      <c r="E50" s="242">
        <f>(IF($B50&lt;='Benzin - diesel - hybrid'!E$46,'Benzin - diesel - hybrid'!E$18+'Benzin - diesel - hybrid'!E$19+'Benzin - diesel - hybrid'!E$64+'Benzin - diesel - hybrid'!E$65,0)*'Benzin - diesel - hybrid'!E$46*(1+'Benzin - diesel - hybrid'!E$47)^-$B50)</f>
        <v>0</v>
      </c>
      <c r="F50" s="242"/>
      <c r="G50" s="242">
        <f>(IF($B50&lt;='Benzin - diesel - hybrid'!G$46,'Benzin - diesel - hybrid'!G$18+'Benzin - diesel - hybrid'!G$19+'Benzin - diesel - hybrid'!G$64+'Benzin - diesel - hybrid'!G$65,0)*'Benzin - diesel - hybrid'!G$46*(1+'Benzin - diesel - hybrid'!G$47)^-$B50)</f>
        <v>0</v>
      </c>
      <c r="H50" s="242"/>
      <c r="I50" s="242">
        <f>(IF($B50&lt;='Benzin - diesel - hybrid'!I$46,'Benzin - diesel - hybrid'!I$18+'Benzin - diesel - hybrid'!I$19+'Benzin - diesel - hybrid'!I$64+'Benzin - diesel - hybrid'!I$65,0)*'Benzin - diesel - hybrid'!I$46*(1+'Benzin - diesel - hybrid'!I$47)^-$B50)</f>
        <v>0</v>
      </c>
      <c r="J50" s="242"/>
      <c r="K50" s="242">
        <f>(IF($B50&lt;='Benzin - diesel - hybrid'!K$46,'Benzin - diesel - hybrid'!K$18+'Benzin - diesel - hybrid'!K$19+'Benzin - diesel - hybrid'!K$64+'Benzin - diesel - hybrid'!K$65,0)*'Benzin - diesel - hybrid'!K$46*(1+'Benzin - diesel - hybrid'!K$47)^-$B50)</f>
        <v>0</v>
      </c>
      <c r="L50" s="242"/>
      <c r="M50" s="242">
        <f>(IF($B50&lt;='Benzin - diesel - hybrid'!M$46,'Benzin - diesel - hybrid'!M$18+'Benzin - diesel - hybrid'!M$19+'Benzin - diesel - hybrid'!M$64+'Benzin - diesel - hybrid'!M$65,0)*'Benzin - diesel - hybrid'!M$46*(1+'Benzin - diesel - hybrid'!M$47)^-$B50)</f>
        <v>0</v>
      </c>
      <c r="N50" s="242"/>
      <c r="O50" s="242">
        <f>(IF($B50&lt;='Benzin - diesel - hybrid'!O$46,'Benzin - diesel - hybrid'!O$18+'Benzin - diesel - hybrid'!O$19+'Benzin - diesel - hybrid'!O$64+'Benzin - diesel - hybrid'!O$65,0)*'Benzin - diesel - hybrid'!O$46*(1+'Benzin - diesel - hybrid'!O$47)^-$B50)</f>
        <v>0</v>
      </c>
      <c r="P50" s="242"/>
      <c r="Q50" s="242">
        <f>(IF($B50&lt;='Benzin - diesel - hybrid'!Q$46,'Benzin - diesel - hybrid'!Q$18+'Benzin - diesel - hybrid'!Q$19+'Benzin - diesel - hybrid'!Q$64+'Benzin - diesel - hybrid'!Q$65,0)*'Benzin - diesel - hybrid'!Q$46*(1+'Benzin - diesel - hybrid'!Q$47)^-$B50)</f>
        <v>0</v>
      </c>
      <c r="R50" s="242"/>
      <c r="S50" s="242">
        <f>(IF($B50&lt;='Benzin - diesel - hybrid'!S$46,'Benzin - diesel - hybrid'!S$18+'Benzin - diesel - hybrid'!S$19+'Benzin - diesel - hybrid'!S$64+'Benzin - diesel - hybrid'!S$65,0)*'Benzin - diesel - hybrid'!S$46*(1+'Benzin - diesel - hybrid'!S$47)^-$B50)</f>
        <v>0</v>
      </c>
      <c r="U50" s="242">
        <f>(IF($B50&lt;='Benzin - diesel - hybrid'!U$46,'Benzin - diesel - hybrid'!U$18+'Benzin - diesel - hybrid'!U$19+'Benzin - diesel - hybrid'!U$64+'Benzin - diesel - hybrid'!U$65,0)*'Benzin - diesel - hybrid'!U$46*(1+'Benzin - diesel - hybrid'!U$47)^-$B50)</f>
        <v>0</v>
      </c>
      <c r="W50" s="242">
        <f>(IF($B50&lt;='Benzin - diesel - hybrid'!W$46,'Benzin - diesel - hybrid'!W$18+'Benzin - diesel - hybrid'!W$19+'Benzin - diesel - hybrid'!W$64+'Benzin - diesel - hybrid'!W$65,0)*'Benzin - diesel - hybrid'!W$46*(1+'Benzin - diesel - hybrid'!W$47)^-$B50)</f>
        <v>0</v>
      </c>
    </row>
    <row r="51" spans="1:23">
      <c r="A51"/>
      <c r="B51" s="139">
        <v>3</v>
      </c>
      <c r="C51" s="140">
        <f t="shared" si="2"/>
        <v>3</v>
      </c>
      <c r="D51"/>
      <c r="E51" s="242">
        <f>(IF($B51&lt;='Benzin - diesel - hybrid'!E$46,'Benzin - diesel - hybrid'!E$18+'Benzin - diesel - hybrid'!E$19+'Benzin - diesel - hybrid'!E$64+'Benzin - diesel - hybrid'!E$65,0)*'Benzin - diesel - hybrid'!E$46*(1+'Benzin - diesel - hybrid'!E$47)^-$B51)</f>
        <v>0</v>
      </c>
      <c r="F51" s="242"/>
      <c r="G51" s="242">
        <f>(IF($B51&lt;='Benzin - diesel - hybrid'!G$46,'Benzin - diesel - hybrid'!G$18+'Benzin - diesel - hybrid'!G$19+'Benzin - diesel - hybrid'!G$64+'Benzin - diesel - hybrid'!G$65,0)*'Benzin - diesel - hybrid'!G$46*(1+'Benzin - diesel - hybrid'!G$47)^-$B51)</f>
        <v>0</v>
      </c>
      <c r="H51" s="242"/>
      <c r="I51" s="242">
        <f>(IF($B51&lt;='Benzin - diesel - hybrid'!I$46,'Benzin - diesel - hybrid'!I$18+'Benzin - diesel - hybrid'!I$19+'Benzin - diesel - hybrid'!I$64+'Benzin - diesel - hybrid'!I$65,0)*'Benzin - diesel - hybrid'!I$46*(1+'Benzin - diesel - hybrid'!I$47)^-$B51)</f>
        <v>0</v>
      </c>
      <c r="J51" s="242"/>
      <c r="K51" s="242">
        <f>(IF($B51&lt;='Benzin - diesel - hybrid'!K$46,'Benzin - diesel - hybrid'!K$18+'Benzin - diesel - hybrid'!K$19+'Benzin - diesel - hybrid'!K$64+'Benzin - diesel - hybrid'!K$65,0)*'Benzin - diesel - hybrid'!K$46*(1+'Benzin - diesel - hybrid'!K$47)^-$B51)</f>
        <v>0</v>
      </c>
      <c r="L51" s="242"/>
      <c r="M51" s="242">
        <f>(IF($B51&lt;='Benzin - diesel - hybrid'!M$46,'Benzin - diesel - hybrid'!M$18+'Benzin - diesel - hybrid'!M$19+'Benzin - diesel - hybrid'!M$64+'Benzin - diesel - hybrid'!M$65,0)*'Benzin - diesel - hybrid'!M$46*(1+'Benzin - diesel - hybrid'!M$47)^-$B51)</f>
        <v>0</v>
      </c>
      <c r="N51" s="242"/>
      <c r="O51" s="242">
        <f>(IF($B51&lt;='Benzin - diesel - hybrid'!O$46,'Benzin - diesel - hybrid'!O$18+'Benzin - diesel - hybrid'!O$19+'Benzin - diesel - hybrid'!O$64+'Benzin - diesel - hybrid'!O$65,0)*'Benzin - diesel - hybrid'!O$46*(1+'Benzin - diesel - hybrid'!O$47)^-$B51)</f>
        <v>0</v>
      </c>
      <c r="P51" s="242"/>
      <c r="Q51" s="242">
        <f>(IF($B51&lt;='Benzin - diesel - hybrid'!Q$46,'Benzin - diesel - hybrid'!Q$18+'Benzin - diesel - hybrid'!Q$19+'Benzin - diesel - hybrid'!Q$64+'Benzin - diesel - hybrid'!Q$65,0)*'Benzin - diesel - hybrid'!Q$46*(1+'Benzin - diesel - hybrid'!Q$47)^-$B51)</f>
        <v>0</v>
      </c>
      <c r="R51" s="242"/>
      <c r="S51" s="242">
        <f>(IF($B51&lt;='Benzin - diesel - hybrid'!S$46,'Benzin - diesel - hybrid'!S$18+'Benzin - diesel - hybrid'!S$19+'Benzin - diesel - hybrid'!S$64+'Benzin - diesel - hybrid'!S$65,0)*'Benzin - diesel - hybrid'!S$46*(1+'Benzin - diesel - hybrid'!S$47)^-$B51)</f>
        <v>0</v>
      </c>
      <c r="U51" s="242">
        <f>(IF($B51&lt;='Benzin - diesel - hybrid'!U$46,'Benzin - diesel - hybrid'!U$18+'Benzin - diesel - hybrid'!U$19+'Benzin - diesel - hybrid'!U$64+'Benzin - diesel - hybrid'!U$65,0)*'Benzin - diesel - hybrid'!U$46*(1+'Benzin - diesel - hybrid'!U$47)^-$B51)</f>
        <v>0</v>
      </c>
      <c r="W51" s="242">
        <f>(IF($B51&lt;='Benzin - diesel - hybrid'!W$46,'Benzin - diesel - hybrid'!W$18+'Benzin - diesel - hybrid'!W$19+'Benzin - diesel - hybrid'!W$64+'Benzin - diesel - hybrid'!W$65,0)*'Benzin - diesel - hybrid'!W$46*(1+'Benzin - diesel - hybrid'!W$47)^-$B51)</f>
        <v>0</v>
      </c>
    </row>
    <row r="52" spans="1:23">
      <c r="A52"/>
      <c r="B52" s="139">
        <v>4</v>
      </c>
      <c r="C52" s="140">
        <f t="shared" si="2"/>
        <v>4</v>
      </c>
      <c r="D52"/>
      <c r="E52" s="242">
        <f>(IF($B52&lt;='Benzin - diesel - hybrid'!E$46,'Benzin - diesel - hybrid'!E$18+'Benzin - diesel - hybrid'!E$19+'Benzin - diesel - hybrid'!E$64+'Benzin - diesel - hybrid'!E$65,0)*'Benzin - diesel - hybrid'!E$46*(1+'Benzin - diesel - hybrid'!E$47)^-$B52)</f>
        <v>0</v>
      </c>
      <c r="F52" s="242"/>
      <c r="G52" s="242">
        <f>(IF($B52&lt;='Benzin - diesel - hybrid'!G$46,'Benzin - diesel - hybrid'!G$18+'Benzin - diesel - hybrid'!G$19+'Benzin - diesel - hybrid'!G$64+'Benzin - diesel - hybrid'!G$65,0)*'Benzin - diesel - hybrid'!G$46*(1+'Benzin - diesel - hybrid'!G$47)^-$B52)</f>
        <v>0</v>
      </c>
      <c r="H52" s="242"/>
      <c r="I52" s="242">
        <f>(IF($B52&lt;='Benzin - diesel - hybrid'!I$46,'Benzin - diesel - hybrid'!I$18+'Benzin - diesel - hybrid'!I$19+'Benzin - diesel - hybrid'!I$64+'Benzin - diesel - hybrid'!I$65,0)*'Benzin - diesel - hybrid'!I$46*(1+'Benzin - diesel - hybrid'!I$47)^-$B52)</f>
        <v>0</v>
      </c>
      <c r="J52" s="242"/>
      <c r="K52" s="242">
        <f>(IF($B52&lt;='Benzin - diesel - hybrid'!K$46,'Benzin - diesel - hybrid'!K$18+'Benzin - diesel - hybrid'!K$19+'Benzin - diesel - hybrid'!K$64+'Benzin - diesel - hybrid'!K$65,0)*'Benzin - diesel - hybrid'!K$46*(1+'Benzin - diesel - hybrid'!K$47)^-$B52)</f>
        <v>0</v>
      </c>
      <c r="L52" s="242"/>
      <c r="M52" s="242">
        <f>(IF($B52&lt;='Benzin - diesel - hybrid'!M$46,'Benzin - diesel - hybrid'!M$18+'Benzin - diesel - hybrid'!M$19+'Benzin - diesel - hybrid'!M$64+'Benzin - diesel - hybrid'!M$65,0)*'Benzin - diesel - hybrid'!M$46*(1+'Benzin - diesel - hybrid'!M$47)^-$B52)</f>
        <v>0</v>
      </c>
      <c r="N52" s="242"/>
      <c r="O52" s="242">
        <f>(IF($B52&lt;='Benzin - diesel - hybrid'!O$46,'Benzin - diesel - hybrid'!O$18+'Benzin - diesel - hybrid'!O$19+'Benzin - diesel - hybrid'!O$64+'Benzin - diesel - hybrid'!O$65,0)*'Benzin - diesel - hybrid'!O$46*(1+'Benzin - diesel - hybrid'!O$47)^-$B52)</f>
        <v>0</v>
      </c>
      <c r="P52" s="242"/>
      <c r="Q52" s="242">
        <f>(IF($B52&lt;='Benzin - diesel - hybrid'!Q$46,'Benzin - diesel - hybrid'!Q$18+'Benzin - diesel - hybrid'!Q$19+'Benzin - diesel - hybrid'!Q$64+'Benzin - diesel - hybrid'!Q$65,0)*'Benzin - diesel - hybrid'!Q$46*(1+'Benzin - diesel - hybrid'!Q$47)^-$B52)</f>
        <v>0</v>
      </c>
      <c r="R52" s="242"/>
      <c r="S52" s="242">
        <f>(IF($B52&lt;='Benzin - diesel - hybrid'!S$46,'Benzin - diesel - hybrid'!S$18+'Benzin - diesel - hybrid'!S$19+'Benzin - diesel - hybrid'!S$64+'Benzin - diesel - hybrid'!S$65,0)*'Benzin - diesel - hybrid'!S$46*(1+'Benzin - diesel - hybrid'!S$47)^-$B52)</f>
        <v>0</v>
      </c>
      <c r="U52" s="242">
        <f>(IF($B52&lt;='Benzin - diesel - hybrid'!U$46,'Benzin - diesel - hybrid'!U$18+'Benzin - diesel - hybrid'!U$19+'Benzin - diesel - hybrid'!U$64+'Benzin - diesel - hybrid'!U$65,0)*'Benzin - diesel - hybrid'!U$46*(1+'Benzin - diesel - hybrid'!U$47)^-$B52)</f>
        <v>0</v>
      </c>
      <c r="W52" s="242">
        <f>(IF($B52&lt;='Benzin - diesel - hybrid'!W$46,'Benzin - diesel - hybrid'!W$18+'Benzin - diesel - hybrid'!W$19+'Benzin - diesel - hybrid'!W$64+'Benzin - diesel - hybrid'!W$65,0)*'Benzin - diesel - hybrid'!W$46*(1+'Benzin - diesel - hybrid'!W$47)^-$B52)</f>
        <v>0</v>
      </c>
    </row>
    <row r="53" spans="1:23">
      <c r="A53"/>
      <c r="B53" s="139">
        <v>5</v>
      </c>
      <c r="C53" s="140">
        <f t="shared" si="2"/>
        <v>5</v>
      </c>
      <c r="D53"/>
      <c r="E53" s="242">
        <f>(IF($B53&lt;='Benzin - diesel - hybrid'!E$46,'Benzin - diesel - hybrid'!E$18+'Benzin - diesel - hybrid'!E$19+'Benzin - diesel - hybrid'!E$64+'Benzin - diesel - hybrid'!E$65,0)*'Benzin - diesel - hybrid'!E$46*(1+'Benzin - diesel - hybrid'!E$47)^-$B53)</f>
        <v>0</v>
      </c>
      <c r="F53" s="242"/>
      <c r="G53" s="242">
        <f>(IF($B53&lt;='Benzin - diesel - hybrid'!G$46,'Benzin - diesel - hybrid'!G$18+'Benzin - diesel - hybrid'!G$19+'Benzin - diesel - hybrid'!G$64+'Benzin - diesel - hybrid'!G$65,0)*'Benzin - diesel - hybrid'!G$46*(1+'Benzin - diesel - hybrid'!G$47)^-$B53)</f>
        <v>0</v>
      </c>
      <c r="H53" s="242"/>
      <c r="I53" s="242">
        <f>(IF($B53&lt;='Benzin - diesel - hybrid'!I$46,'Benzin - diesel - hybrid'!I$18+'Benzin - diesel - hybrid'!I$19+'Benzin - diesel - hybrid'!I$64+'Benzin - diesel - hybrid'!I$65,0)*'Benzin - diesel - hybrid'!I$46*(1+'Benzin - diesel - hybrid'!I$47)^-$B53)</f>
        <v>0</v>
      </c>
      <c r="J53" s="242"/>
      <c r="K53" s="242">
        <f>(IF($B53&lt;='Benzin - diesel - hybrid'!K$46,'Benzin - diesel - hybrid'!K$18+'Benzin - diesel - hybrid'!K$19+'Benzin - diesel - hybrid'!K$64+'Benzin - diesel - hybrid'!K$65,0)*'Benzin - diesel - hybrid'!K$46*(1+'Benzin - diesel - hybrid'!K$47)^-$B53)</f>
        <v>0</v>
      </c>
      <c r="L53" s="242"/>
      <c r="M53" s="242">
        <f>(IF($B53&lt;='Benzin - diesel - hybrid'!M$46,'Benzin - diesel - hybrid'!M$18+'Benzin - diesel - hybrid'!M$19+'Benzin - diesel - hybrid'!M$64+'Benzin - diesel - hybrid'!M$65,0)*'Benzin - diesel - hybrid'!M$46*(1+'Benzin - diesel - hybrid'!M$47)^-$B53)</f>
        <v>0</v>
      </c>
      <c r="N53" s="242"/>
      <c r="O53" s="242">
        <f>(IF($B53&lt;='Benzin - diesel - hybrid'!O$46,'Benzin - diesel - hybrid'!O$18+'Benzin - diesel - hybrid'!O$19+'Benzin - diesel - hybrid'!O$64+'Benzin - diesel - hybrid'!O$65,0)*'Benzin - diesel - hybrid'!O$46*(1+'Benzin - diesel - hybrid'!O$47)^-$B53)</f>
        <v>0</v>
      </c>
      <c r="P53" s="242"/>
      <c r="Q53" s="242">
        <f>(IF($B53&lt;='Benzin - diesel - hybrid'!Q$46,'Benzin - diesel - hybrid'!Q$18+'Benzin - diesel - hybrid'!Q$19+'Benzin - diesel - hybrid'!Q$64+'Benzin - diesel - hybrid'!Q$65,0)*'Benzin - diesel - hybrid'!Q$46*(1+'Benzin - diesel - hybrid'!Q$47)^-$B53)</f>
        <v>0</v>
      </c>
      <c r="R53" s="242"/>
      <c r="S53" s="242">
        <f>(IF($B53&lt;='Benzin - diesel - hybrid'!S$46,'Benzin - diesel - hybrid'!S$18+'Benzin - diesel - hybrid'!S$19+'Benzin - diesel - hybrid'!S$64+'Benzin - diesel - hybrid'!S$65,0)*'Benzin - diesel - hybrid'!S$46*(1+'Benzin - diesel - hybrid'!S$47)^-$B53)</f>
        <v>0</v>
      </c>
      <c r="U53" s="242">
        <f>(IF($B53&lt;='Benzin - diesel - hybrid'!U$46,'Benzin - diesel - hybrid'!U$18+'Benzin - diesel - hybrid'!U$19+'Benzin - diesel - hybrid'!U$64+'Benzin - diesel - hybrid'!U$65,0)*'Benzin - diesel - hybrid'!U$46*(1+'Benzin - diesel - hybrid'!U$47)^-$B53)</f>
        <v>0</v>
      </c>
      <c r="W53" s="242">
        <f>(IF($B53&lt;='Benzin - diesel - hybrid'!W$46,'Benzin - diesel - hybrid'!W$18+'Benzin - diesel - hybrid'!W$19+'Benzin - diesel - hybrid'!W$64+'Benzin - diesel - hybrid'!W$65,0)*'Benzin - diesel - hybrid'!W$46*(1+'Benzin - diesel - hybrid'!W$47)^-$B53)</f>
        <v>0</v>
      </c>
    </row>
    <row r="54" spans="1:23">
      <c r="A54"/>
      <c r="B54" s="139">
        <v>6</v>
      </c>
      <c r="C54" s="140">
        <f t="shared" si="2"/>
        <v>6</v>
      </c>
      <c r="D54"/>
      <c r="E54" s="242">
        <f>(IF($B54&lt;='Benzin - diesel - hybrid'!E$46,'Benzin - diesel - hybrid'!E$18+'Benzin - diesel - hybrid'!E$19+'Benzin - diesel - hybrid'!E$64+'Benzin - diesel - hybrid'!E$65,0)*'Benzin - diesel - hybrid'!E$46*(1+'Benzin - diesel - hybrid'!E$47)^-$B54)</f>
        <v>0</v>
      </c>
      <c r="F54" s="242"/>
      <c r="G54" s="242">
        <f>(IF($B54&lt;='Benzin - diesel - hybrid'!G$46,'Benzin - diesel - hybrid'!G$18+'Benzin - diesel - hybrid'!G$19+'Benzin - diesel - hybrid'!G$64+'Benzin - diesel - hybrid'!G$65,0)*'Benzin - diesel - hybrid'!G$46*(1+'Benzin - diesel - hybrid'!G$47)^-$B54)</f>
        <v>0</v>
      </c>
      <c r="H54" s="242"/>
      <c r="I54" s="242">
        <f>(IF($B54&lt;='Benzin - diesel - hybrid'!I$46,'Benzin - diesel - hybrid'!I$18+'Benzin - diesel - hybrid'!I$19+'Benzin - diesel - hybrid'!I$64+'Benzin - diesel - hybrid'!I$65,0)*'Benzin - diesel - hybrid'!I$46*(1+'Benzin - diesel - hybrid'!I$47)^-$B54)</f>
        <v>0</v>
      </c>
      <c r="J54" s="242"/>
      <c r="K54" s="242">
        <f>(IF($B54&lt;='Benzin - diesel - hybrid'!K$46,'Benzin - diesel - hybrid'!K$18+'Benzin - diesel - hybrid'!K$19+'Benzin - diesel - hybrid'!K$64+'Benzin - diesel - hybrid'!K$65,0)*'Benzin - diesel - hybrid'!K$46*(1+'Benzin - diesel - hybrid'!K$47)^-$B54)</f>
        <v>0</v>
      </c>
      <c r="L54" s="242"/>
      <c r="M54" s="242">
        <f>(IF($B54&lt;='Benzin - diesel - hybrid'!M$46,'Benzin - diesel - hybrid'!M$18+'Benzin - diesel - hybrid'!M$19+'Benzin - diesel - hybrid'!M$64+'Benzin - diesel - hybrid'!M$65,0)*'Benzin - diesel - hybrid'!M$46*(1+'Benzin - diesel - hybrid'!M$47)^-$B54)</f>
        <v>0</v>
      </c>
      <c r="N54" s="242"/>
      <c r="O54" s="242">
        <f>(IF($B54&lt;='Benzin - diesel - hybrid'!O$46,'Benzin - diesel - hybrid'!O$18+'Benzin - diesel - hybrid'!O$19+'Benzin - diesel - hybrid'!O$64+'Benzin - diesel - hybrid'!O$65,0)*'Benzin - diesel - hybrid'!O$46*(1+'Benzin - diesel - hybrid'!O$47)^-$B54)</f>
        <v>0</v>
      </c>
      <c r="P54" s="242"/>
      <c r="Q54" s="242">
        <f>(IF($B54&lt;='Benzin - diesel - hybrid'!Q$46,'Benzin - diesel - hybrid'!Q$18+'Benzin - diesel - hybrid'!Q$19+'Benzin - diesel - hybrid'!Q$64+'Benzin - diesel - hybrid'!Q$65,0)*'Benzin - diesel - hybrid'!Q$46*(1+'Benzin - diesel - hybrid'!Q$47)^-$B54)</f>
        <v>0</v>
      </c>
      <c r="R54" s="242"/>
      <c r="S54" s="242">
        <f>(IF($B54&lt;='Benzin - diesel - hybrid'!S$46,'Benzin - diesel - hybrid'!S$18+'Benzin - diesel - hybrid'!S$19+'Benzin - diesel - hybrid'!S$64+'Benzin - diesel - hybrid'!S$65,0)*'Benzin - diesel - hybrid'!S$46*(1+'Benzin - diesel - hybrid'!S$47)^-$B54)</f>
        <v>0</v>
      </c>
      <c r="U54" s="242">
        <f>(IF($B54&lt;='Benzin - diesel - hybrid'!U$46,'Benzin - diesel - hybrid'!U$18+'Benzin - diesel - hybrid'!U$19+'Benzin - diesel - hybrid'!U$64+'Benzin - diesel - hybrid'!U$65,0)*'Benzin - diesel - hybrid'!U$46*(1+'Benzin - diesel - hybrid'!U$47)^-$B54)</f>
        <v>0</v>
      </c>
      <c r="W54" s="242">
        <f>(IF($B54&lt;='Benzin - diesel - hybrid'!W$46,'Benzin - diesel - hybrid'!W$18+'Benzin - diesel - hybrid'!W$19+'Benzin - diesel - hybrid'!W$64+'Benzin - diesel - hybrid'!W$65,0)*'Benzin - diesel - hybrid'!W$46*(1+'Benzin - diesel - hybrid'!W$47)^-$B54)</f>
        <v>0</v>
      </c>
    </row>
    <row r="55" spans="1:23">
      <c r="A55"/>
      <c r="B55" s="139">
        <v>7</v>
      </c>
      <c r="C55" s="140">
        <f t="shared" si="2"/>
        <v>7</v>
      </c>
      <c r="D55"/>
      <c r="E55" s="242">
        <f>(IF($B55&lt;='Benzin - diesel - hybrid'!E$46,'Benzin - diesel - hybrid'!E$18+'Benzin - diesel - hybrid'!E$19+'Benzin - diesel - hybrid'!E$64+'Benzin - diesel - hybrid'!E$65,0)*'Benzin - diesel - hybrid'!E$46*(1+'Benzin - diesel - hybrid'!E$47)^-$B55)</f>
        <v>0</v>
      </c>
      <c r="F55" s="242"/>
      <c r="G55" s="242">
        <f>(IF($B55&lt;='Benzin - diesel - hybrid'!G$46,'Benzin - diesel - hybrid'!G$18+'Benzin - diesel - hybrid'!G$19+'Benzin - diesel - hybrid'!G$64+'Benzin - diesel - hybrid'!G$65,0)*'Benzin - diesel - hybrid'!G$46*(1+'Benzin - diesel - hybrid'!G$47)^-$B55)</f>
        <v>0</v>
      </c>
      <c r="H55" s="242"/>
      <c r="I55" s="242">
        <f>(IF($B55&lt;='Benzin - diesel - hybrid'!I$46,'Benzin - diesel - hybrid'!I$18+'Benzin - diesel - hybrid'!I$19+'Benzin - diesel - hybrid'!I$64+'Benzin - diesel - hybrid'!I$65,0)*'Benzin - diesel - hybrid'!I$46*(1+'Benzin - diesel - hybrid'!I$47)^-$B55)</f>
        <v>0</v>
      </c>
      <c r="J55" s="242"/>
      <c r="K55" s="242">
        <f>(IF($B55&lt;='Benzin - diesel - hybrid'!K$46,'Benzin - diesel - hybrid'!K$18+'Benzin - diesel - hybrid'!K$19+'Benzin - diesel - hybrid'!K$64+'Benzin - diesel - hybrid'!K$65,0)*'Benzin - diesel - hybrid'!K$46*(1+'Benzin - diesel - hybrid'!K$47)^-$B55)</f>
        <v>0</v>
      </c>
      <c r="L55" s="242"/>
      <c r="M55" s="242">
        <f>(IF($B55&lt;='Benzin - diesel - hybrid'!M$46,'Benzin - diesel - hybrid'!M$18+'Benzin - diesel - hybrid'!M$19+'Benzin - diesel - hybrid'!M$64+'Benzin - diesel - hybrid'!M$65,0)*'Benzin - diesel - hybrid'!M$46*(1+'Benzin - diesel - hybrid'!M$47)^-$B55)</f>
        <v>0</v>
      </c>
      <c r="N55" s="242"/>
      <c r="O55" s="242">
        <f>(IF($B55&lt;='Benzin - diesel - hybrid'!O$46,'Benzin - diesel - hybrid'!O$18+'Benzin - diesel - hybrid'!O$19+'Benzin - diesel - hybrid'!O$64+'Benzin - diesel - hybrid'!O$65,0)*'Benzin - diesel - hybrid'!O$46*(1+'Benzin - diesel - hybrid'!O$47)^-$B55)</f>
        <v>0</v>
      </c>
      <c r="P55" s="242"/>
      <c r="Q55" s="242">
        <f>(IF($B55&lt;='Benzin - diesel - hybrid'!Q$46,'Benzin - diesel - hybrid'!Q$18+'Benzin - diesel - hybrid'!Q$19+'Benzin - diesel - hybrid'!Q$64+'Benzin - diesel - hybrid'!Q$65,0)*'Benzin - diesel - hybrid'!Q$46*(1+'Benzin - diesel - hybrid'!Q$47)^-$B55)</f>
        <v>0</v>
      </c>
      <c r="R55" s="242"/>
      <c r="S55" s="242">
        <f>(IF($B55&lt;='Benzin - diesel - hybrid'!S$46,'Benzin - diesel - hybrid'!S$18+'Benzin - diesel - hybrid'!S$19+'Benzin - diesel - hybrid'!S$64+'Benzin - diesel - hybrid'!S$65,0)*'Benzin - diesel - hybrid'!S$46*(1+'Benzin - diesel - hybrid'!S$47)^-$B55)</f>
        <v>0</v>
      </c>
      <c r="U55" s="242">
        <f>(IF($B55&lt;='Benzin - diesel - hybrid'!U$46,'Benzin - diesel - hybrid'!U$18+'Benzin - diesel - hybrid'!U$19+'Benzin - diesel - hybrid'!U$64+'Benzin - diesel - hybrid'!U$65,0)*'Benzin - diesel - hybrid'!U$46*(1+'Benzin - diesel - hybrid'!U$47)^-$B55)</f>
        <v>0</v>
      </c>
      <c r="W55" s="242">
        <f>(IF($B55&lt;='Benzin - diesel - hybrid'!W$46,'Benzin - diesel - hybrid'!W$18+'Benzin - diesel - hybrid'!W$19+'Benzin - diesel - hybrid'!W$64+'Benzin - diesel - hybrid'!W$65,0)*'Benzin - diesel - hybrid'!W$46*(1+'Benzin - diesel - hybrid'!W$47)^-$B55)</f>
        <v>0</v>
      </c>
    </row>
    <row r="56" spans="1:23">
      <c r="A56"/>
      <c r="B56" s="139">
        <v>8</v>
      </c>
      <c r="C56" s="140">
        <f t="shared" si="2"/>
        <v>8</v>
      </c>
      <c r="D56"/>
      <c r="E56" s="242">
        <f>(IF($B56&lt;='Benzin - diesel - hybrid'!E$46,'Benzin - diesel - hybrid'!E$18+'Benzin - diesel - hybrid'!E$19+'Benzin - diesel - hybrid'!E$64+'Benzin - diesel - hybrid'!E$65,0)*'Benzin - diesel - hybrid'!E$46*(1+'Benzin - diesel - hybrid'!E$47)^-$B56)</f>
        <v>0</v>
      </c>
      <c r="F56" s="242"/>
      <c r="G56" s="242">
        <f>(IF($B56&lt;='Benzin - diesel - hybrid'!G$46,'Benzin - diesel - hybrid'!G$18+'Benzin - diesel - hybrid'!G$19+'Benzin - diesel - hybrid'!G$64+'Benzin - diesel - hybrid'!G$65,0)*'Benzin - diesel - hybrid'!G$46*(1+'Benzin - diesel - hybrid'!G$47)^-$B56)</f>
        <v>0</v>
      </c>
      <c r="H56" s="242"/>
      <c r="I56" s="242">
        <f>(IF($B56&lt;='Benzin - diesel - hybrid'!I$46,'Benzin - diesel - hybrid'!I$18+'Benzin - diesel - hybrid'!I$19+'Benzin - diesel - hybrid'!I$64+'Benzin - diesel - hybrid'!I$65,0)*'Benzin - diesel - hybrid'!I$46*(1+'Benzin - diesel - hybrid'!I$47)^-$B56)</f>
        <v>0</v>
      </c>
      <c r="J56" s="242"/>
      <c r="K56" s="242">
        <f>(IF($B56&lt;='Benzin - diesel - hybrid'!K$46,'Benzin - diesel - hybrid'!K$18+'Benzin - diesel - hybrid'!K$19+'Benzin - diesel - hybrid'!K$64+'Benzin - diesel - hybrid'!K$65,0)*'Benzin - diesel - hybrid'!K$46*(1+'Benzin - diesel - hybrid'!K$47)^-$B56)</f>
        <v>0</v>
      </c>
      <c r="L56" s="242"/>
      <c r="M56" s="242">
        <f>(IF($B56&lt;='Benzin - diesel - hybrid'!M$46,'Benzin - diesel - hybrid'!M$18+'Benzin - diesel - hybrid'!M$19+'Benzin - diesel - hybrid'!M$64+'Benzin - diesel - hybrid'!M$65,0)*'Benzin - diesel - hybrid'!M$46*(1+'Benzin - diesel - hybrid'!M$47)^-$B56)</f>
        <v>0</v>
      </c>
      <c r="N56" s="242"/>
      <c r="O56" s="242">
        <f>(IF($B56&lt;='Benzin - diesel - hybrid'!O$46,'Benzin - diesel - hybrid'!O$18+'Benzin - diesel - hybrid'!O$19+'Benzin - diesel - hybrid'!O$64+'Benzin - diesel - hybrid'!O$65,0)*'Benzin - diesel - hybrid'!O$46*(1+'Benzin - diesel - hybrid'!O$47)^-$B56)</f>
        <v>0</v>
      </c>
      <c r="P56" s="242"/>
      <c r="Q56" s="242">
        <f>(IF($B56&lt;='Benzin - diesel - hybrid'!Q$46,'Benzin - diesel - hybrid'!Q$18+'Benzin - diesel - hybrid'!Q$19+'Benzin - diesel - hybrid'!Q$64+'Benzin - diesel - hybrid'!Q$65,0)*'Benzin - diesel - hybrid'!Q$46*(1+'Benzin - diesel - hybrid'!Q$47)^-$B56)</f>
        <v>0</v>
      </c>
      <c r="R56" s="242"/>
      <c r="S56" s="242">
        <f>(IF($B56&lt;='Benzin - diesel - hybrid'!S$46,'Benzin - diesel - hybrid'!S$18+'Benzin - diesel - hybrid'!S$19+'Benzin - diesel - hybrid'!S$64+'Benzin - diesel - hybrid'!S$65,0)*'Benzin - diesel - hybrid'!S$46*(1+'Benzin - diesel - hybrid'!S$47)^-$B56)</f>
        <v>0</v>
      </c>
      <c r="U56" s="242">
        <f>(IF($B56&lt;='Benzin - diesel - hybrid'!U$46,'Benzin - diesel - hybrid'!U$18+'Benzin - diesel - hybrid'!U$19+'Benzin - diesel - hybrid'!U$64+'Benzin - diesel - hybrid'!U$65,0)*'Benzin - diesel - hybrid'!U$46*(1+'Benzin - diesel - hybrid'!U$47)^-$B56)</f>
        <v>0</v>
      </c>
      <c r="W56" s="242">
        <f>(IF($B56&lt;='Benzin - diesel - hybrid'!W$46,'Benzin - diesel - hybrid'!W$18+'Benzin - diesel - hybrid'!W$19+'Benzin - diesel - hybrid'!W$64+'Benzin - diesel - hybrid'!W$65,0)*'Benzin - diesel - hybrid'!W$46*(1+'Benzin - diesel - hybrid'!W$47)^-$B56)</f>
        <v>0</v>
      </c>
    </row>
    <row r="57" spans="1:23">
      <c r="A57"/>
      <c r="B57" s="139">
        <v>9</v>
      </c>
      <c r="C57" s="140">
        <f t="shared" si="2"/>
        <v>9</v>
      </c>
      <c r="D57"/>
      <c r="E57" s="242">
        <f>(IF($B57&lt;='Benzin - diesel - hybrid'!E$46,'Benzin - diesel - hybrid'!E$18+'Benzin - diesel - hybrid'!E$19+'Benzin - diesel - hybrid'!E$64+'Benzin - diesel - hybrid'!E$65,0)*'Benzin - diesel - hybrid'!E$46*(1+'Benzin - diesel - hybrid'!E$47)^-$B57)</f>
        <v>0</v>
      </c>
      <c r="F57" s="242"/>
      <c r="G57" s="242">
        <f>(IF($B57&lt;='Benzin - diesel - hybrid'!G$46,'Benzin - diesel - hybrid'!G$18+'Benzin - diesel - hybrid'!G$19+'Benzin - diesel - hybrid'!G$64+'Benzin - diesel - hybrid'!G$65,0)*'Benzin - diesel - hybrid'!G$46*(1+'Benzin - diesel - hybrid'!G$47)^-$B57)</f>
        <v>0</v>
      </c>
      <c r="H57" s="242"/>
      <c r="I57" s="242">
        <f>(IF($B57&lt;='Benzin - diesel - hybrid'!I$46,'Benzin - diesel - hybrid'!I$18+'Benzin - diesel - hybrid'!I$19+'Benzin - diesel - hybrid'!I$64+'Benzin - diesel - hybrid'!I$65,0)*'Benzin - diesel - hybrid'!I$46*(1+'Benzin - diesel - hybrid'!I$47)^-$B57)</f>
        <v>0</v>
      </c>
      <c r="J57" s="242"/>
      <c r="K57" s="242">
        <f>(IF($B57&lt;='Benzin - diesel - hybrid'!K$46,'Benzin - diesel - hybrid'!K$18+'Benzin - diesel - hybrid'!K$19+'Benzin - diesel - hybrid'!K$64+'Benzin - diesel - hybrid'!K$65,0)*'Benzin - diesel - hybrid'!K$46*(1+'Benzin - diesel - hybrid'!K$47)^-$B57)</f>
        <v>0</v>
      </c>
      <c r="L57" s="242"/>
      <c r="M57" s="242">
        <f>(IF($B57&lt;='Benzin - diesel - hybrid'!M$46,'Benzin - diesel - hybrid'!M$18+'Benzin - diesel - hybrid'!M$19+'Benzin - diesel - hybrid'!M$64+'Benzin - diesel - hybrid'!M$65,0)*'Benzin - diesel - hybrid'!M$46*(1+'Benzin - diesel - hybrid'!M$47)^-$B57)</f>
        <v>0</v>
      </c>
      <c r="N57" s="242"/>
      <c r="O57" s="242">
        <f>(IF($B57&lt;='Benzin - diesel - hybrid'!O$46,'Benzin - diesel - hybrid'!O$18+'Benzin - diesel - hybrid'!O$19+'Benzin - diesel - hybrid'!O$64+'Benzin - diesel - hybrid'!O$65,0)*'Benzin - diesel - hybrid'!O$46*(1+'Benzin - diesel - hybrid'!O$47)^-$B57)</f>
        <v>0</v>
      </c>
      <c r="P57" s="242"/>
      <c r="Q57" s="242">
        <f>(IF($B57&lt;='Benzin - diesel - hybrid'!Q$46,'Benzin - diesel - hybrid'!Q$18+'Benzin - diesel - hybrid'!Q$19+'Benzin - diesel - hybrid'!Q$64+'Benzin - diesel - hybrid'!Q$65,0)*'Benzin - diesel - hybrid'!Q$46*(1+'Benzin - diesel - hybrid'!Q$47)^-$B57)</f>
        <v>0</v>
      </c>
      <c r="R57" s="242"/>
      <c r="S57" s="242">
        <f>(IF($B57&lt;='Benzin - diesel - hybrid'!S$46,'Benzin - diesel - hybrid'!S$18+'Benzin - diesel - hybrid'!S$19+'Benzin - diesel - hybrid'!S$64+'Benzin - diesel - hybrid'!S$65,0)*'Benzin - diesel - hybrid'!S$46*(1+'Benzin - diesel - hybrid'!S$47)^-$B57)</f>
        <v>0</v>
      </c>
      <c r="U57" s="242">
        <f>(IF($B57&lt;='Benzin - diesel - hybrid'!U$46,'Benzin - diesel - hybrid'!U$18+'Benzin - diesel - hybrid'!U$19+'Benzin - diesel - hybrid'!U$64+'Benzin - diesel - hybrid'!U$65,0)*'Benzin - diesel - hybrid'!U$46*(1+'Benzin - diesel - hybrid'!U$47)^-$B57)</f>
        <v>0</v>
      </c>
      <c r="W57" s="242">
        <f>(IF($B57&lt;='Benzin - diesel - hybrid'!W$46,'Benzin - diesel - hybrid'!W$18+'Benzin - diesel - hybrid'!W$19+'Benzin - diesel - hybrid'!W$64+'Benzin - diesel - hybrid'!W$65,0)*'Benzin - diesel - hybrid'!W$46*(1+'Benzin - diesel - hybrid'!W$47)^-$B57)</f>
        <v>0</v>
      </c>
    </row>
    <row r="58" spans="1:23">
      <c r="A58"/>
      <c r="B58" s="139">
        <v>10</v>
      </c>
      <c r="C58" s="140">
        <f t="shared" si="2"/>
        <v>10</v>
      </c>
      <c r="D58"/>
      <c r="E58" s="242">
        <f>(IF($B58&lt;='Benzin - diesel - hybrid'!E$46,'Benzin - diesel - hybrid'!E$18+'Benzin - diesel - hybrid'!E$19+'Benzin - diesel - hybrid'!E$64+'Benzin - diesel - hybrid'!E$65,0)*'Benzin - diesel - hybrid'!E$46*(1+'Benzin - diesel - hybrid'!E$47)^-$B58)</f>
        <v>0</v>
      </c>
      <c r="F58" s="242"/>
      <c r="G58" s="242">
        <f>(IF($B58&lt;='Benzin - diesel - hybrid'!G$46,'Benzin - diesel - hybrid'!G$18+'Benzin - diesel - hybrid'!G$19+'Benzin - diesel - hybrid'!G$64+'Benzin - diesel - hybrid'!G$65,0)*'Benzin - diesel - hybrid'!G$46*(1+'Benzin - diesel - hybrid'!G$47)^-$B58)</f>
        <v>0</v>
      </c>
      <c r="H58" s="242"/>
      <c r="I58" s="242">
        <f>(IF($B58&lt;='Benzin - diesel - hybrid'!I$46,'Benzin - diesel - hybrid'!I$18+'Benzin - diesel - hybrid'!I$19+'Benzin - diesel - hybrid'!I$64+'Benzin - diesel - hybrid'!I$65,0)*'Benzin - diesel - hybrid'!I$46*(1+'Benzin - diesel - hybrid'!I$47)^-$B58)</f>
        <v>0</v>
      </c>
      <c r="J58" s="242"/>
      <c r="K58" s="242">
        <f>(IF($B58&lt;='Benzin - diesel - hybrid'!K$46,'Benzin - diesel - hybrid'!K$18+'Benzin - diesel - hybrid'!K$19+'Benzin - diesel - hybrid'!K$64+'Benzin - diesel - hybrid'!K$65,0)*'Benzin - diesel - hybrid'!K$46*(1+'Benzin - diesel - hybrid'!K$47)^-$B58)</f>
        <v>0</v>
      </c>
      <c r="L58" s="242"/>
      <c r="M58" s="242">
        <f>(IF($B58&lt;='Benzin - diesel - hybrid'!M$46,'Benzin - diesel - hybrid'!M$18+'Benzin - diesel - hybrid'!M$19+'Benzin - diesel - hybrid'!M$64+'Benzin - diesel - hybrid'!M$65,0)*'Benzin - diesel - hybrid'!M$46*(1+'Benzin - diesel - hybrid'!M$47)^-$B58)</f>
        <v>0</v>
      </c>
      <c r="N58" s="242"/>
      <c r="O58" s="242">
        <f>(IF($B58&lt;='Benzin - diesel - hybrid'!O$46,'Benzin - diesel - hybrid'!O$18+'Benzin - diesel - hybrid'!O$19+'Benzin - diesel - hybrid'!O$64+'Benzin - diesel - hybrid'!O$65,0)*'Benzin - diesel - hybrid'!O$46*(1+'Benzin - diesel - hybrid'!O$47)^-$B58)</f>
        <v>0</v>
      </c>
      <c r="P58" s="242"/>
      <c r="Q58" s="242">
        <f>(IF($B58&lt;='Benzin - diesel - hybrid'!Q$46,'Benzin - diesel - hybrid'!Q$18+'Benzin - diesel - hybrid'!Q$19+'Benzin - diesel - hybrid'!Q$64+'Benzin - diesel - hybrid'!Q$65,0)*'Benzin - diesel - hybrid'!Q$46*(1+'Benzin - diesel - hybrid'!Q$47)^-$B58)</f>
        <v>0</v>
      </c>
      <c r="R58" s="242"/>
      <c r="S58" s="242">
        <f>(IF($B58&lt;='Benzin - diesel - hybrid'!S$46,'Benzin - diesel - hybrid'!S$18+'Benzin - diesel - hybrid'!S$19+'Benzin - diesel - hybrid'!S$64+'Benzin - diesel - hybrid'!S$65,0)*'Benzin - diesel - hybrid'!S$46*(1+'Benzin - diesel - hybrid'!S$47)^-$B58)</f>
        <v>0</v>
      </c>
      <c r="U58" s="242">
        <f>(IF($B58&lt;='Benzin - diesel - hybrid'!U$46,'Benzin - diesel - hybrid'!U$18+'Benzin - diesel - hybrid'!U$19+'Benzin - diesel - hybrid'!U$64+'Benzin - diesel - hybrid'!U$65,0)*'Benzin - diesel - hybrid'!U$46*(1+'Benzin - diesel - hybrid'!U$47)^-$B58)</f>
        <v>0</v>
      </c>
      <c r="W58" s="242">
        <f>(IF($B58&lt;='Benzin - diesel - hybrid'!W$46,'Benzin - diesel - hybrid'!W$18+'Benzin - diesel - hybrid'!W$19+'Benzin - diesel - hybrid'!W$64+'Benzin - diesel - hybrid'!W$65,0)*'Benzin - diesel - hybrid'!W$46*(1+'Benzin - diesel - hybrid'!W$47)^-$B58)</f>
        <v>0</v>
      </c>
    </row>
    <row r="59" spans="1:23">
      <c r="A59"/>
      <c r="B59" s="139">
        <v>11</v>
      </c>
      <c r="C59" s="140">
        <f t="shared" si="2"/>
        <v>11</v>
      </c>
      <c r="D59"/>
      <c r="E59" s="242">
        <f>(IF($B59&lt;='Benzin - diesel - hybrid'!E$46,'Benzin - diesel - hybrid'!E$18+'Benzin - diesel - hybrid'!E$19+'Benzin - diesel - hybrid'!E$64+'Benzin - diesel - hybrid'!E$65,0)*'Benzin - diesel - hybrid'!E$46*(1+'Benzin - diesel - hybrid'!E$47)^-$B59)</f>
        <v>0</v>
      </c>
      <c r="F59" s="242"/>
      <c r="G59" s="242">
        <f>(IF($B59&lt;='Benzin - diesel - hybrid'!G$46,'Benzin - diesel - hybrid'!G$18+'Benzin - diesel - hybrid'!G$19+'Benzin - diesel - hybrid'!G$64+'Benzin - diesel - hybrid'!G$65,0)*'Benzin - diesel - hybrid'!G$46*(1+'Benzin - diesel - hybrid'!G$47)^-$B59)</f>
        <v>0</v>
      </c>
      <c r="H59" s="242"/>
      <c r="I59" s="242">
        <f>(IF($B59&lt;='Benzin - diesel - hybrid'!I$46,'Benzin - diesel - hybrid'!I$18+'Benzin - diesel - hybrid'!I$19+'Benzin - diesel - hybrid'!I$64+'Benzin - diesel - hybrid'!I$65,0)*'Benzin - diesel - hybrid'!I$46*(1+'Benzin - diesel - hybrid'!I$47)^-$B59)</f>
        <v>0</v>
      </c>
      <c r="J59" s="242"/>
      <c r="K59" s="242">
        <f>(IF($B59&lt;='Benzin - diesel - hybrid'!K$46,'Benzin - diesel - hybrid'!K$18+'Benzin - diesel - hybrid'!K$19+'Benzin - diesel - hybrid'!K$64+'Benzin - diesel - hybrid'!K$65,0)*'Benzin - diesel - hybrid'!K$46*(1+'Benzin - diesel - hybrid'!K$47)^-$B59)</f>
        <v>0</v>
      </c>
      <c r="L59" s="242"/>
      <c r="M59" s="242">
        <f>(IF($B59&lt;='Benzin - diesel - hybrid'!M$46,'Benzin - diesel - hybrid'!M$18+'Benzin - diesel - hybrid'!M$19+'Benzin - diesel - hybrid'!M$64+'Benzin - diesel - hybrid'!M$65,0)*'Benzin - diesel - hybrid'!M$46*(1+'Benzin - diesel - hybrid'!M$47)^-$B59)</f>
        <v>0</v>
      </c>
      <c r="N59" s="242"/>
      <c r="O59" s="242">
        <f>(IF($B59&lt;='Benzin - diesel - hybrid'!O$46,'Benzin - diesel - hybrid'!O$18+'Benzin - diesel - hybrid'!O$19+'Benzin - diesel - hybrid'!O$64+'Benzin - diesel - hybrid'!O$65,0)*'Benzin - diesel - hybrid'!O$46*(1+'Benzin - diesel - hybrid'!O$47)^-$B59)</f>
        <v>0</v>
      </c>
      <c r="P59" s="242"/>
      <c r="Q59" s="242">
        <f>(IF($B59&lt;='Benzin - diesel - hybrid'!Q$46,'Benzin - diesel - hybrid'!Q$18+'Benzin - diesel - hybrid'!Q$19+'Benzin - diesel - hybrid'!Q$64+'Benzin - diesel - hybrid'!Q$65,0)*'Benzin - diesel - hybrid'!Q$46*(1+'Benzin - diesel - hybrid'!Q$47)^-$B59)</f>
        <v>0</v>
      </c>
      <c r="R59" s="242"/>
      <c r="S59" s="242">
        <f>(IF($B59&lt;='Benzin - diesel - hybrid'!S$46,'Benzin - diesel - hybrid'!S$18+'Benzin - diesel - hybrid'!S$19+'Benzin - diesel - hybrid'!S$64+'Benzin - diesel - hybrid'!S$65,0)*'Benzin - diesel - hybrid'!S$46*(1+'Benzin - diesel - hybrid'!S$47)^-$B59)</f>
        <v>0</v>
      </c>
      <c r="U59" s="242">
        <f>(IF($B59&lt;='Benzin - diesel - hybrid'!U$46,'Benzin - diesel - hybrid'!U$18+'Benzin - diesel - hybrid'!U$19+'Benzin - diesel - hybrid'!U$64+'Benzin - diesel - hybrid'!U$65,0)*'Benzin - diesel - hybrid'!U$46*(1+'Benzin - diesel - hybrid'!U$47)^-$B59)</f>
        <v>0</v>
      </c>
      <c r="W59" s="242">
        <f>(IF($B59&lt;='Benzin - diesel - hybrid'!W$46,'Benzin - diesel - hybrid'!W$18+'Benzin - diesel - hybrid'!W$19+'Benzin - diesel - hybrid'!W$64+'Benzin - diesel - hybrid'!W$65,0)*'Benzin - diesel - hybrid'!W$46*(1+'Benzin - diesel - hybrid'!W$47)^-$B59)</f>
        <v>0</v>
      </c>
    </row>
    <row r="60" spans="1:23">
      <c r="A60"/>
      <c r="B60" s="139">
        <v>12</v>
      </c>
      <c r="C60" s="140">
        <f t="shared" si="2"/>
        <v>12</v>
      </c>
      <c r="D60"/>
      <c r="E60" s="242">
        <f>(IF($B60&lt;='Benzin - diesel - hybrid'!E$46,'Benzin - diesel - hybrid'!E$18+'Benzin - diesel - hybrid'!E$19+'Benzin - diesel - hybrid'!E$64+'Benzin - diesel - hybrid'!E$65,0)*'Benzin - diesel - hybrid'!E$46*(1+'Benzin - diesel - hybrid'!E$47)^-$B60)</f>
        <v>0</v>
      </c>
      <c r="F60" s="242"/>
      <c r="G60" s="242">
        <f>(IF($B60&lt;='Benzin - diesel - hybrid'!G$46,'Benzin - diesel - hybrid'!G$18+'Benzin - diesel - hybrid'!G$19+'Benzin - diesel - hybrid'!G$64+'Benzin - diesel - hybrid'!G$65,0)*'Benzin - diesel - hybrid'!G$46*(1+'Benzin - diesel - hybrid'!G$47)^-$B60)</f>
        <v>0</v>
      </c>
      <c r="H60" s="242"/>
      <c r="I60" s="242">
        <f>(IF($B60&lt;='Benzin - diesel - hybrid'!I$46,'Benzin - diesel - hybrid'!I$18+'Benzin - diesel - hybrid'!I$19+'Benzin - diesel - hybrid'!I$64+'Benzin - diesel - hybrid'!I$65,0)*'Benzin - diesel - hybrid'!I$46*(1+'Benzin - diesel - hybrid'!I$47)^-$B60)</f>
        <v>0</v>
      </c>
      <c r="J60" s="242"/>
      <c r="K60" s="242">
        <f>(IF($B60&lt;='Benzin - diesel - hybrid'!K$46,'Benzin - diesel - hybrid'!K$18+'Benzin - diesel - hybrid'!K$19+'Benzin - diesel - hybrid'!K$64+'Benzin - diesel - hybrid'!K$65,0)*'Benzin - diesel - hybrid'!K$46*(1+'Benzin - diesel - hybrid'!K$47)^-$B60)</f>
        <v>0</v>
      </c>
      <c r="L60" s="242"/>
      <c r="M60" s="242">
        <f>(IF($B60&lt;='Benzin - diesel - hybrid'!M$46,'Benzin - diesel - hybrid'!M$18+'Benzin - diesel - hybrid'!M$19+'Benzin - diesel - hybrid'!M$64+'Benzin - diesel - hybrid'!M$65,0)*'Benzin - diesel - hybrid'!M$46*(1+'Benzin - diesel - hybrid'!M$47)^-$B60)</f>
        <v>0</v>
      </c>
      <c r="N60" s="242"/>
      <c r="O60" s="242">
        <f>(IF($B60&lt;='Benzin - diesel - hybrid'!O$46,'Benzin - diesel - hybrid'!O$18+'Benzin - diesel - hybrid'!O$19+'Benzin - diesel - hybrid'!O$64+'Benzin - diesel - hybrid'!O$65,0)*'Benzin - diesel - hybrid'!O$46*(1+'Benzin - diesel - hybrid'!O$47)^-$B60)</f>
        <v>0</v>
      </c>
      <c r="P60" s="242"/>
      <c r="Q60" s="242">
        <f>(IF($B60&lt;='Benzin - diesel - hybrid'!Q$46,'Benzin - diesel - hybrid'!Q$18+'Benzin - diesel - hybrid'!Q$19+'Benzin - diesel - hybrid'!Q$64+'Benzin - diesel - hybrid'!Q$65,0)*'Benzin - diesel - hybrid'!Q$46*(1+'Benzin - diesel - hybrid'!Q$47)^-$B60)</f>
        <v>0</v>
      </c>
      <c r="R60" s="242"/>
      <c r="S60" s="242">
        <f>(IF($B60&lt;='Benzin - diesel - hybrid'!S$46,'Benzin - diesel - hybrid'!S$18+'Benzin - diesel - hybrid'!S$19+'Benzin - diesel - hybrid'!S$64+'Benzin - diesel - hybrid'!S$65,0)*'Benzin - diesel - hybrid'!S$46*(1+'Benzin - diesel - hybrid'!S$47)^-$B60)</f>
        <v>0</v>
      </c>
      <c r="U60" s="242">
        <f>(IF($B60&lt;='Benzin - diesel - hybrid'!U$46,'Benzin - diesel - hybrid'!U$18+'Benzin - diesel - hybrid'!U$19+'Benzin - diesel - hybrid'!U$64+'Benzin - diesel - hybrid'!U$65,0)*'Benzin - diesel - hybrid'!U$46*(1+'Benzin - diesel - hybrid'!U$47)^-$B60)</f>
        <v>0</v>
      </c>
      <c r="W60" s="242">
        <f>(IF($B60&lt;='Benzin - diesel - hybrid'!W$46,'Benzin - diesel - hybrid'!W$18+'Benzin - diesel - hybrid'!W$19+'Benzin - diesel - hybrid'!W$64+'Benzin - diesel - hybrid'!W$65,0)*'Benzin - diesel - hybrid'!W$46*(1+'Benzin - diesel - hybrid'!W$47)^-$B60)</f>
        <v>0</v>
      </c>
    </row>
    <row r="61" spans="1:23">
      <c r="A61"/>
      <c r="B61" s="139">
        <v>13</v>
      </c>
      <c r="C61" s="140">
        <f t="shared" si="2"/>
        <v>13</v>
      </c>
      <c r="D61"/>
      <c r="E61" s="242">
        <f>(IF($B61&lt;='Benzin - diesel - hybrid'!E$46,'Benzin - diesel - hybrid'!E$18+'Benzin - diesel - hybrid'!E$19+'Benzin - diesel - hybrid'!E$64+'Benzin - diesel - hybrid'!E$65,0)*'Benzin - diesel - hybrid'!E$46*(1+'Benzin - diesel - hybrid'!E$47)^-$B61)</f>
        <v>0</v>
      </c>
      <c r="F61" s="242"/>
      <c r="G61" s="242">
        <f>(IF($B61&lt;='Benzin - diesel - hybrid'!G$46,'Benzin - diesel - hybrid'!G$18+'Benzin - diesel - hybrid'!G$19+'Benzin - diesel - hybrid'!G$64+'Benzin - diesel - hybrid'!G$65,0)*'Benzin - diesel - hybrid'!G$46*(1+'Benzin - diesel - hybrid'!G$47)^-$B61)</f>
        <v>0</v>
      </c>
      <c r="H61" s="242"/>
      <c r="I61" s="242">
        <f>(IF($B61&lt;='Benzin - diesel - hybrid'!I$46,'Benzin - diesel - hybrid'!I$18+'Benzin - diesel - hybrid'!I$19+'Benzin - diesel - hybrid'!I$64+'Benzin - diesel - hybrid'!I$65,0)*'Benzin - diesel - hybrid'!I$46*(1+'Benzin - diesel - hybrid'!I$47)^-$B61)</f>
        <v>0</v>
      </c>
      <c r="J61" s="242"/>
      <c r="K61" s="242">
        <f>(IF($B61&lt;='Benzin - diesel - hybrid'!K$46,'Benzin - diesel - hybrid'!K$18+'Benzin - diesel - hybrid'!K$19+'Benzin - diesel - hybrid'!K$64+'Benzin - diesel - hybrid'!K$65,0)*'Benzin - diesel - hybrid'!K$46*(1+'Benzin - diesel - hybrid'!K$47)^-$B61)</f>
        <v>0</v>
      </c>
      <c r="L61" s="242"/>
      <c r="M61" s="242">
        <f>(IF($B61&lt;='Benzin - diesel - hybrid'!M$46,'Benzin - diesel - hybrid'!M$18+'Benzin - diesel - hybrid'!M$19+'Benzin - diesel - hybrid'!M$64+'Benzin - diesel - hybrid'!M$65,0)*'Benzin - diesel - hybrid'!M$46*(1+'Benzin - diesel - hybrid'!M$47)^-$B61)</f>
        <v>0</v>
      </c>
      <c r="N61" s="242"/>
      <c r="O61" s="242">
        <f>(IF($B61&lt;='Benzin - diesel - hybrid'!O$46,'Benzin - diesel - hybrid'!O$18+'Benzin - diesel - hybrid'!O$19+'Benzin - diesel - hybrid'!O$64+'Benzin - diesel - hybrid'!O$65,0)*'Benzin - diesel - hybrid'!O$46*(1+'Benzin - diesel - hybrid'!O$47)^-$B61)</f>
        <v>0</v>
      </c>
      <c r="P61" s="242"/>
      <c r="Q61" s="242">
        <f>(IF($B61&lt;='Benzin - diesel - hybrid'!Q$46,'Benzin - diesel - hybrid'!Q$18+'Benzin - diesel - hybrid'!Q$19+'Benzin - diesel - hybrid'!Q$64+'Benzin - diesel - hybrid'!Q$65,0)*'Benzin - diesel - hybrid'!Q$46*(1+'Benzin - diesel - hybrid'!Q$47)^-$B61)</f>
        <v>0</v>
      </c>
      <c r="R61" s="242"/>
      <c r="S61" s="242">
        <f>(IF($B61&lt;='Benzin - diesel - hybrid'!S$46,'Benzin - diesel - hybrid'!S$18+'Benzin - diesel - hybrid'!S$19+'Benzin - diesel - hybrid'!S$64+'Benzin - diesel - hybrid'!S$65,0)*'Benzin - diesel - hybrid'!S$46*(1+'Benzin - diesel - hybrid'!S$47)^-$B61)</f>
        <v>0</v>
      </c>
      <c r="U61" s="242">
        <f>(IF($B61&lt;='Benzin - diesel - hybrid'!U$46,'Benzin - diesel - hybrid'!U$18+'Benzin - diesel - hybrid'!U$19+'Benzin - diesel - hybrid'!U$64+'Benzin - diesel - hybrid'!U$65,0)*'Benzin - diesel - hybrid'!U$46*(1+'Benzin - diesel - hybrid'!U$47)^-$B61)</f>
        <v>0</v>
      </c>
      <c r="W61" s="242">
        <f>(IF($B61&lt;='Benzin - diesel - hybrid'!W$46,'Benzin - diesel - hybrid'!W$18+'Benzin - diesel - hybrid'!W$19+'Benzin - diesel - hybrid'!W$64+'Benzin - diesel - hybrid'!W$65,0)*'Benzin - diesel - hybrid'!W$46*(1+'Benzin - diesel - hybrid'!W$47)^-$B61)</f>
        <v>0</v>
      </c>
    </row>
    <row r="62" spans="1:23">
      <c r="A62"/>
      <c r="B62" s="139">
        <v>14</v>
      </c>
      <c r="C62" s="140">
        <f t="shared" si="2"/>
        <v>14</v>
      </c>
      <c r="D62"/>
      <c r="E62" s="242">
        <f>(IF($B62&lt;='Benzin - diesel - hybrid'!E$46,'Benzin - diesel - hybrid'!E$18+'Benzin - diesel - hybrid'!E$19+'Benzin - diesel - hybrid'!E$64+'Benzin - diesel - hybrid'!E$65,0)*'Benzin - diesel - hybrid'!E$46*(1+'Benzin - diesel - hybrid'!E$47)^-$B62)</f>
        <v>0</v>
      </c>
      <c r="F62" s="242"/>
      <c r="G62" s="242">
        <f>(IF($B62&lt;='Benzin - diesel - hybrid'!G$46,'Benzin - diesel - hybrid'!G$18+'Benzin - diesel - hybrid'!G$19+'Benzin - diesel - hybrid'!G$64+'Benzin - diesel - hybrid'!G$65,0)*'Benzin - diesel - hybrid'!G$46*(1+'Benzin - diesel - hybrid'!G$47)^-$B62)</f>
        <v>0</v>
      </c>
      <c r="H62" s="242"/>
      <c r="I62" s="242">
        <f>(IF($B62&lt;='Benzin - diesel - hybrid'!I$46,'Benzin - diesel - hybrid'!I$18+'Benzin - diesel - hybrid'!I$19+'Benzin - diesel - hybrid'!I$64+'Benzin - diesel - hybrid'!I$65,0)*'Benzin - diesel - hybrid'!I$46*(1+'Benzin - diesel - hybrid'!I$47)^-$B62)</f>
        <v>0</v>
      </c>
      <c r="J62" s="242"/>
      <c r="K62" s="242">
        <f>(IF($B62&lt;='Benzin - diesel - hybrid'!K$46,'Benzin - diesel - hybrid'!K$18+'Benzin - diesel - hybrid'!K$19+'Benzin - diesel - hybrid'!K$64+'Benzin - diesel - hybrid'!K$65,0)*'Benzin - diesel - hybrid'!K$46*(1+'Benzin - diesel - hybrid'!K$47)^-$B62)</f>
        <v>0</v>
      </c>
      <c r="L62" s="242"/>
      <c r="M62" s="242">
        <f>(IF($B62&lt;='Benzin - diesel - hybrid'!M$46,'Benzin - diesel - hybrid'!M$18+'Benzin - diesel - hybrid'!M$19+'Benzin - diesel - hybrid'!M$64+'Benzin - diesel - hybrid'!M$65,0)*'Benzin - diesel - hybrid'!M$46*(1+'Benzin - diesel - hybrid'!M$47)^-$B62)</f>
        <v>0</v>
      </c>
      <c r="N62" s="242"/>
      <c r="O62" s="242">
        <f>(IF($B62&lt;='Benzin - diesel - hybrid'!O$46,'Benzin - diesel - hybrid'!O$18+'Benzin - diesel - hybrid'!O$19+'Benzin - diesel - hybrid'!O$64+'Benzin - diesel - hybrid'!O$65,0)*'Benzin - diesel - hybrid'!O$46*(1+'Benzin - diesel - hybrid'!O$47)^-$B62)</f>
        <v>0</v>
      </c>
      <c r="P62" s="242"/>
      <c r="Q62" s="242">
        <f>(IF($B62&lt;='Benzin - diesel - hybrid'!Q$46,'Benzin - diesel - hybrid'!Q$18+'Benzin - diesel - hybrid'!Q$19+'Benzin - diesel - hybrid'!Q$64+'Benzin - diesel - hybrid'!Q$65,0)*'Benzin - diesel - hybrid'!Q$46*(1+'Benzin - diesel - hybrid'!Q$47)^-$B62)</f>
        <v>0</v>
      </c>
      <c r="R62" s="242"/>
      <c r="S62" s="242">
        <f>(IF($B62&lt;='Benzin - diesel - hybrid'!S$46,'Benzin - diesel - hybrid'!S$18+'Benzin - diesel - hybrid'!S$19+'Benzin - diesel - hybrid'!S$64+'Benzin - diesel - hybrid'!S$65,0)*'Benzin - diesel - hybrid'!S$46*(1+'Benzin - diesel - hybrid'!S$47)^-$B62)</f>
        <v>0</v>
      </c>
      <c r="U62" s="242">
        <f>(IF($B62&lt;='Benzin - diesel - hybrid'!U$46,'Benzin - diesel - hybrid'!U$18+'Benzin - diesel - hybrid'!U$19+'Benzin - diesel - hybrid'!U$64+'Benzin - diesel - hybrid'!U$65,0)*'Benzin - diesel - hybrid'!U$46*(1+'Benzin - diesel - hybrid'!U$47)^-$B62)</f>
        <v>0</v>
      </c>
      <c r="W62" s="242">
        <f>(IF($B62&lt;='Benzin - diesel - hybrid'!W$46,'Benzin - diesel - hybrid'!W$18+'Benzin - diesel - hybrid'!W$19+'Benzin - diesel - hybrid'!W$64+'Benzin - diesel - hybrid'!W$65,0)*'Benzin - diesel - hybrid'!W$46*(1+'Benzin - diesel - hybrid'!W$47)^-$B62)</f>
        <v>0</v>
      </c>
    </row>
    <row r="63" spans="1:23">
      <c r="A63"/>
      <c r="B63" s="139">
        <v>15</v>
      </c>
      <c r="C63" s="140">
        <f t="shared" si="2"/>
        <v>15</v>
      </c>
      <c r="D63"/>
      <c r="E63" s="242">
        <f>(IF($B63&lt;='Benzin - diesel - hybrid'!E$46,'Benzin - diesel - hybrid'!E$18+'Benzin - diesel - hybrid'!E$19+'Benzin - diesel - hybrid'!E$64+'Benzin - diesel - hybrid'!E$65,0)*'Benzin - diesel - hybrid'!E$46*(1+'Benzin - diesel - hybrid'!E$47)^-$B63)</f>
        <v>0</v>
      </c>
      <c r="F63" s="242"/>
      <c r="G63" s="242">
        <f>(IF($B63&lt;='Benzin - diesel - hybrid'!G$46,'Benzin - diesel - hybrid'!G$18+'Benzin - diesel - hybrid'!G$19+'Benzin - diesel - hybrid'!G$64+'Benzin - diesel - hybrid'!G$65,0)*'Benzin - diesel - hybrid'!G$46*(1+'Benzin - diesel - hybrid'!G$47)^-$B63)</f>
        <v>0</v>
      </c>
      <c r="H63" s="242"/>
      <c r="I63" s="242">
        <f>(IF($B63&lt;='Benzin - diesel - hybrid'!I$46,'Benzin - diesel - hybrid'!I$18+'Benzin - diesel - hybrid'!I$19+'Benzin - diesel - hybrid'!I$64+'Benzin - diesel - hybrid'!I$65,0)*'Benzin - diesel - hybrid'!I$46*(1+'Benzin - diesel - hybrid'!I$47)^-$B63)</f>
        <v>0</v>
      </c>
      <c r="J63" s="242"/>
      <c r="K63" s="242">
        <f>(IF($B63&lt;='Benzin - diesel - hybrid'!K$46,'Benzin - diesel - hybrid'!K$18+'Benzin - diesel - hybrid'!K$19+'Benzin - diesel - hybrid'!K$64+'Benzin - diesel - hybrid'!K$65,0)*'Benzin - diesel - hybrid'!K$46*(1+'Benzin - diesel - hybrid'!K$47)^-$B63)</f>
        <v>0</v>
      </c>
      <c r="L63" s="242"/>
      <c r="M63" s="242">
        <f>(IF($B63&lt;='Benzin - diesel - hybrid'!M$46,'Benzin - diesel - hybrid'!M$18+'Benzin - diesel - hybrid'!M$19+'Benzin - diesel - hybrid'!M$64+'Benzin - diesel - hybrid'!M$65,0)*'Benzin - diesel - hybrid'!M$46*(1+'Benzin - diesel - hybrid'!M$47)^-$B63)</f>
        <v>0</v>
      </c>
      <c r="N63" s="242"/>
      <c r="O63" s="242">
        <f>(IF($B63&lt;='Benzin - diesel - hybrid'!O$46,'Benzin - diesel - hybrid'!O$18+'Benzin - diesel - hybrid'!O$19+'Benzin - diesel - hybrid'!O$64+'Benzin - diesel - hybrid'!O$65,0)*'Benzin - diesel - hybrid'!O$46*(1+'Benzin - diesel - hybrid'!O$47)^-$B63)</f>
        <v>0</v>
      </c>
      <c r="P63" s="242"/>
      <c r="Q63" s="242">
        <f>(IF($B63&lt;='Benzin - diesel - hybrid'!Q$46,'Benzin - diesel - hybrid'!Q$18+'Benzin - diesel - hybrid'!Q$19+'Benzin - diesel - hybrid'!Q$64+'Benzin - diesel - hybrid'!Q$65,0)*'Benzin - diesel - hybrid'!Q$46*(1+'Benzin - diesel - hybrid'!Q$47)^-$B63)</f>
        <v>0</v>
      </c>
      <c r="R63" s="242"/>
      <c r="S63" s="242">
        <f>(IF($B63&lt;='Benzin - diesel - hybrid'!S$46,'Benzin - diesel - hybrid'!S$18+'Benzin - diesel - hybrid'!S$19+'Benzin - diesel - hybrid'!S$64+'Benzin - diesel - hybrid'!S$65,0)*'Benzin - diesel - hybrid'!S$46*(1+'Benzin - diesel - hybrid'!S$47)^-$B63)</f>
        <v>0</v>
      </c>
      <c r="U63" s="242">
        <f>(IF($B63&lt;='Benzin - diesel - hybrid'!U$46,'Benzin - diesel - hybrid'!U$18+'Benzin - diesel - hybrid'!U$19+'Benzin - diesel - hybrid'!U$64+'Benzin - diesel - hybrid'!U$65,0)*'Benzin - diesel - hybrid'!U$46*(1+'Benzin - diesel - hybrid'!U$47)^-$B63)</f>
        <v>0</v>
      </c>
      <c r="W63" s="242">
        <f>(IF($B63&lt;='Benzin - diesel - hybrid'!W$46,'Benzin - diesel - hybrid'!W$18+'Benzin - diesel - hybrid'!W$19+'Benzin - diesel - hybrid'!W$64+'Benzin - diesel - hybrid'!W$65,0)*'Benzin - diesel - hybrid'!W$46*(1+'Benzin - diesel - hybrid'!W$47)^-$B63)</f>
        <v>0</v>
      </c>
    </row>
    <row r="64" spans="1:23">
      <c r="A64"/>
      <c r="B64" s="139">
        <v>16</v>
      </c>
      <c r="C64" s="140">
        <f t="shared" ref="C64:C68" si="3">B64</f>
        <v>16</v>
      </c>
      <c r="D64"/>
      <c r="E64" s="242">
        <f>(IF($B64&lt;='Benzin - diesel - hybrid'!E$46,'Benzin - diesel - hybrid'!E$18+'Benzin - diesel - hybrid'!E$19+'Benzin - diesel - hybrid'!E$64+'Benzin - diesel - hybrid'!E$65,0)*'Benzin - diesel - hybrid'!E$46*(1+'Benzin - diesel - hybrid'!E$47)^-$B64)</f>
        <v>0</v>
      </c>
      <c r="F64" s="242"/>
      <c r="G64" s="242">
        <f>(IF($B64&lt;='Benzin - diesel - hybrid'!G$46,'Benzin - diesel - hybrid'!G$18+'Benzin - diesel - hybrid'!G$19+'Benzin - diesel - hybrid'!G$64+'Benzin - diesel - hybrid'!G$65,0)*'Benzin - diesel - hybrid'!G$46*(1+'Benzin - diesel - hybrid'!G$47)^-$B64)</f>
        <v>0</v>
      </c>
      <c r="H64" s="242"/>
      <c r="I64" s="242">
        <f>(IF($B64&lt;='Benzin - diesel - hybrid'!I$46,'Benzin - diesel - hybrid'!I$18+'Benzin - diesel - hybrid'!I$19+'Benzin - diesel - hybrid'!I$64+'Benzin - diesel - hybrid'!I$65,0)*'Benzin - diesel - hybrid'!I$46*(1+'Benzin - diesel - hybrid'!I$47)^-$B64)</f>
        <v>0</v>
      </c>
      <c r="J64" s="242"/>
      <c r="K64" s="242">
        <f>(IF($B64&lt;='Benzin - diesel - hybrid'!K$46,'Benzin - diesel - hybrid'!K$18+'Benzin - diesel - hybrid'!K$19+'Benzin - diesel - hybrid'!K$64+'Benzin - diesel - hybrid'!K$65,0)*'Benzin - diesel - hybrid'!K$46*(1+'Benzin - diesel - hybrid'!K$47)^-$B64)</f>
        <v>0</v>
      </c>
      <c r="L64" s="242"/>
      <c r="M64" s="242">
        <f>(IF($B64&lt;='Benzin - diesel - hybrid'!M$46,'Benzin - diesel - hybrid'!M$18+'Benzin - diesel - hybrid'!M$19+'Benzin - diesel - hybrid'!M$64+'Benzin - diesel - hybrid'!M$65,0)*'Benzin - diesel - hybrid'!M$46*(1+'Benzin - diesel - hybrid'!M$47)^-$B64)</f>
        <v>0</v>
      </c>
      <c r="N64" s="242"/>
      <c r="O64" s="242">
        <f>(IF($B64&lt;='Benzin - diesel - hybrid'!O$46,'Benzin - diesel - hybrid'!O$18+'Benzin - diesel - hybrid'!O$19+'Benzin - diesel - hybrid'!O$64+'Benzin - diesel - hybrid'!O$65,0)*'Benzin - diesel - hybrid'!O$46*(1+'Benzin - diesel - hybrid'!O$47)^-$B64)</f>
        <v>0</v>
      </c>
      <c r="P64" s="242"/>
      <c r="Q64" s="242">
        <f>(IF($B64&lt;='Benzin - diesel - hybrid'!Q$46,'Benzin - diesel - hybrid'!Q$18+'Benzin - diesel - hybrid'!Q$19+'Benzin - diesel - hybrid'!Q$64+'Benzin - diesel - hybrid'!Q$65,0)*'Benzin - diesel - hybrid'!Q$46*(1+'Benzin - diesel - hybrid'!Q$47)^-$B64)</f>
        <v>0</v>
      </c>
      <c r="R64" s="242"/>
      <c r="S64" s="242">
        <f>(IF($B64&lt;='Benzin - diesel - hybrid'!S$46,'Benzin - diesel - hybrid'!S$18+'Benzin - diesel - hybrid'!S$19+'Benzin - diesel - hybrid'!S$64+'Benzin - diesel - hybrid'!S$65,0)*'Benzin - diesel - hybrid'!S$46*(1+'Benzin - diesel - hybrid'!S$47)^-$B64)</f>
        <v>0</v>
      </c>
      <c r="U64" s="242">
        <f>(IF($B64&lt;='Benzin - diesel - hybrid'!U$46,'Benzin - diesel - hybrid'!U$18+'Benzin - diesel - hybrid'!U$19+'Benzin - diesel - hybrid'!U$64+'Benzin - diesel - hybrid'!U$65,0)*'Benzin - diesel - hybrid'!U$46*(1+'Benzin - diesel - hybrid'!U$47)^-$B64)</f>
        <v>0</v>
      </c>
      <c r="W64" s="242">
        <f>(IF($B64&lt;='Benzin - diesel - hybrid'!W$46,'Benzin - diesel - hybrid'!W$18+'Benzin - diesel - hybrid'!W$19+'Benzin - diesel - hybrid'!W$64+'Benzin - diesel - hybrid'!W$65,0)*'Benzin - diesel - hybrid'!W$46*(1+'Benzin - diesel - hybrid'!W$47)^-$B64)</f>
        <v>0</v>
      </c>
    </row>
    <row r="65" spans="1:23">
      <c r="A65"/>
      <c r="B65" s="139">
        <v>17</v>
      </c>
      <c r="C65" s="140">
        <f t="shared" si="3"/>
        <v>17</v>
      </c>
      <c r="D65"/>
      <c r="E65" s="242">
        <f>(IF($B65&lt;='Benzin - diesel - hybrid'!E$46,'Benzin - diesel - hybrid'!E$18+'Benzin - diesel - hybrid'!E$19+'Benzin - diesel - hybrid'!E$64+'Benzin - diesel - hybrid'!E$65,0)*'Benzin - diesel - hybrid'!E$46*(1+'Benzin - diesel - hybrid'!E$47)^-$B65)</f>
        <v>0</v>
      </c>
      <c r="F65" s="242"/>
      <c r="G65" s="242">
        <f>(IF($B65&lt;='Benzin - diesel - hybrid'!G$46,'Benzin - diesel - hybrid'!G$18+'Benzin - diesel - hybrid'!G$19+'Benzin - diesel - hybrid'!G$64+'Benzin - diesel - hybrid'!G$65,0)*'Benzin - diesel - hybrid'!G$46*(1+'Benzin - diesel - hybrid'!G$47)^-$B65)</f>
        <v>0</v>
      </c>
      <c r="H65" s="242"/>
      <c r="I65" s="242">
        <f>(IF($B65&lt;='Benzin - diesel - hybrid'!I$46,'Benzin - diesel - hybrid'!I$18+'Benzin - diesel - hybrid'!I$19+'Benzin - diesel - hybrid'!I$64+'Benzin - diesel - hybrid'!I$65,0)*'Benzin - diesel - hybrid'!I$46*(1+'Benzin - diesel - hybrid'!I$47)^-$B65)</f>
        <v>0</v>
      </c>
      <c r="J65" s="242"/>
      <c r="K65" s="242">
        <f>(IF($B65&lt;='Benzin - diesel - hybrid'!K$46,'Benzin - diesel - hybrid'!K$18+'Benzin - diesel - hybrid'!K$19+'Benzin - diesel - hybrid'!K$64+'Benzin - diesel - hybrid'!K$65,0)*'Benzin - diesel - hybrid'!K$46*(1+'Benzin - diesel - hybrid'!K$47)^-$B65)</f>
        <v>0</v>
      </c>
      <c r="L65" s="242"/>
      <c r="M65" s="242">
        <f>(IF($B65&lt;='Benzin - diesel - hybrid'!M$46,'Benzin - diesel - hybrid'!M$18+'Benzin - diesel - hybrid'!M$19+'Benzin - diesel - hybrid'!M$64+'Benzin - diesel - hybrid'!M$65,0)*'Benzin - diesel - hybrid'!M$46*(1+'Benzin - diesel - hybrid'!M$47)^-$B65)</f>
        <v>0</v>
      </c>
      <c r="N65" s="242"/>
      <c r="O65" s="242">
        <f>(IF($B65&lt;='Benzin - diesel - hybrid'!O$46,'Benzin - diesel - hybrid'!O$18+'Benzin - diesel - hybrid'!O$19+'Benzin - diesel - hybrid'!O$64+'Benzin - diesel - hybrid'!O$65,0)*'Benzin - diesel - hybrid'!O$46*(1+'Benzin - diesel - hybrid'!O$47)^-$B65)</f>
        <v>0</v>
      </c>
      <c r="P65" s="242"/>
      <c r="Q65" s="242">
        <f>(IF($B65&lt;='Benzin - diesel - hybrid'!Q$46,'Benzin - diesel - hybrid'!Q$18+'Benzin - diesel - hybrid'!Q$19+'Benzin - diesel - hybrid'!Q$64+'Benzin - diesel - hybrid'!Q$65,0)*'Benzin - diesel - hybrid'!Q$46*(1+'Benzin - diesel - hybrid'!Q$47)^-$B65)</f>
        <v>0</v>
      </c>
      <c r="R65" s="242"/>
      <c r="S65" s="242">
        <f>(IF($B65&lt;='Benzin - diesel - hybrid'!S$46,'Benzin - diesel - hybrid'!S$18+'Benzin - diesel - hybrid'!S$19+'Benzin - diesel - hybrid'!S$64+'Benzin - diesel - hybrid'!S$65,0)*'Benzin - diesel - hybrid'!S$46*(1+'Benzin - diesel - hybrid'!S$47)^-$B65)</f>
        <v>0</v>
      </c>
      <c r="U65" s="242">
        <f>(IF($B65&lt;='Benzin - diesel - hybrid'!U$46,'Benzin - diesel - hybrid'!U$18+'Benzin - diesel - hybrid'!U$19+'Benzin - diesel - hybrid'!U$64+'Benzin - diesel - hybrid'!U$65,0)*'Benzin - diesel - hybrid'!U$46*(1+'Benzin - diesel - hybrid'!U$47)^-$B65)</f>
        <v>0</v>
      </c>
      <c r="W65" s="242">
        <f>(IF($B65&lt;='Benzin - diesel - hybrid'!W$46,'Benzin - diesel - hybrid'!W$18+'Benzin - diesel - hybrid'!W$19+'Benzin - diesel - hybrid'!W$64+'Benzin - diesel - hybrid'!W$65,0)*'Benzin - diesel - hybrid'!W$46*(1+'Benzin - diesel - hybrid'!W$47)^-$B65)</f>
        <v>0</v>
      </c>
    </row>
    <row r="66" spans="1:23">
      <c r="A66"/>
      <c r="B66" s="139">
        <v>18</v>
      </c>
      <c r="C66" s="140">
        <f t="shared" si="3"/>
        <v>18</v>
      </c>
      <c r="D66"/>
      <c r="E66" s="242">
        <f>(IF($B66&lt;='Benzin - diesel - hybrid'!E$46,'Benzin - diesel - hybrid'!E$18+'Benzin - diesel - hybrid'!E$19+'Benzin - diesel - hybrid'!E$64+'Benzin - diesel - hybrid'!E$65,0)*'Benzin - diesel - hybrid'!E$46*(1+'Benzin - diesel - hybrid'!E$47)^-$B66)</f>
        <v>0</v>
      </c>
      <c r="F66" s="242"/>
      <c r="G66" s="242">
        <f>(IF($B66&lt;='Benzin - diesel - hybrid'!G$46,'Benzin - diesel - hybrid'!G$18+'Benzin - diesel - hybrid'!G$19+'Benzin - diesel - hybrid'!G$64+'Benzin - diesel - hybrid'!G$65,0)*'Benzin - diesel - hybrid'!G$46*(1+'Benzin - diesel - hybrid'!G$47)^-$B66)</f>
        <v>0</v>
      </c>
      <c r="H66" s="242"/>
      <c r="I66" s="242">
        <f>(IF($B66&lt;='Benzin - diesel - hybrid'!I$46,'Benzin - diesel - hybrid'!I$18+'Benzin - diesel - hybrid'!I$19+'Benzin - diesel - hybrid'!I$64+'Benzin - diesel - hybrid'!I$65,0)*'Benzin - diesel - hybrid'!I$46*(1+'Benzin - diesel - hybrid'!I$47)^-$B66)</f>
        <v>0</v>
      </c>
      <c r="J66" s="242"/>
      <c r="K66" s="242">
        <f>(IF($B66&lt;='Benzin - diesel - hybrid'!K$46,'Benzin - diesel - hybrid'!K$18+'Benzin - diesel - hybrid'!K$19+'Benzin - diesel - hybrid'!K$64+'Benzin - diesel - hybrid'!K$65,0)*'Benzin - diesel - hybrid'!K$46*(1+'Benzin - diesel - hybrid'!K$47)^-$B66)</f>
        <v>0</v>
      </c>
      <c r="L66" s="242"/>
      <c r="M66" s="242">
        <f>(IF($B66&lt;='Benzin - diesel - hybrid'!M$46,'Benzin - diesel - hybrid'!M$18+'Benzin - diesel - hybrid'!M$19+'Benzin - diesel - hybrid'!M$64+'Benzin - diesel - hybrid'!M$65,0)*'Benzin - diesel - hybrid'!M$46*(1+'Benzin - diesel - hybrid'!M$47)^-$B66)</f>
        <v>0</v>
      </c>
      <c r="N66" s="242"/>
      <c r="O66" s="242">
        <f>(IF($B66&lt;='Benzin - diesel - hybrid'!O$46,'Benzin - diesel - hybrid'!O$18+'Benzin - diesel - hybrid'!O$19+'Benzin - diesel - hybrid'!O$64+'Benzin - diesel - hybrid'!O$65,0)*'Benzin - diesel - hybrid'!O$46*(1+'Benzin - diesel - hybrid'!O$47)^-$B66)</f>
        <v>0</v>
      </c>
      <c r="P66" s="242"/>
      <c r="Q66" s="242">
        <f>(IF($B66&lt;='Benzin - diesel - hybrid'!Q$46,'Benzin - diesel - hybrid'!Q$18+'Benzin - diesel - hybrid'!Q$19+'Benzin - diesel - hybrid'!Q$64+'Benzin - diesel - hybrid'!Q$65,0)*'Benzin - diesel - hybrid'!Q$46*(1+'Benzin - diesel - hybrid'!Q$47)^-$B66)</f>
        <v>0</v>
      </c>
      <c r="R66" s="242"/>
      <c r="S66" s="242">
        <f>(IF($B66&lt;='Benzin - diesel - hybrid'!S$46,'Benzin - diesel - hybrid'!S$18+'Benzin - diesel - hybrid'!S$19+'Benzin - diesel - hybrid'!S$64+'Benzin - diesel - hybrid'!S$65,0)*'Benzin - diesel - hybrid'!S$46*(1+'Benzin - diesel - hybrid'!S$47)^-$B66)</f>
        <v>0</v>
      </c>
      <c r="U66" s="242">
        <f>(IF($B66&lt;='Benzin - diesel - hybrid'!U$46,'Benzin - diesel - hybrid'!U$18+'Benzin - diesel - hybrid'!U$19+'Benzin - diesel - hybrid'!U$64+'Benzin - diesel - hybrid'!U$65,0)*'Benzin - diesel - hybrid'!U$46*(1+'Benzin - diesel - hybrid'!U$47)^-$B66)</f>
        <v>0</v>
      </c>
      <c r="W66" s="242">
        <f>(IF($B66&lt;='Benzin - diesel - hybrid'!W$46,'Benzin - diesel - hybrid'!W$18+'Benzin - diesel - hybrid'!W$19+'Benzin - diesel - hybrid'!W$64+'Benzin - diesel - hybrid'!W$65,0)*'Benzin - diesel - hybrid'!W$46*(1+'Benzin - diesel - hybrid'!W$47)^-$B66)</f>
        <v>0</v>
      </c>
    </row>
    <row r="67" spans="1:23">
      <c r="A67"/>
      <c r="B67" s="139">
        <v>19</v>
      </c>
      <c r="C67" s="140">
        <f t="shared" si="3"/>
        <v>19</v>
      </c>
      <c r="D67"/>
      <c r="E67" s="242">
        <f>(IF($B67&lt;='Benzin - diesel - hybrid'!E$46,'Benzin - diesel - hybrid'!E$18+'Benzin - diesel - hybrid'!E$19+'Benzin - diesel - hybrid'!E$64+'Benzin - diesel - hybrid'!E$65,0)*'Benzin - diesel - hybrid'!E$46*(1+'Benzin - diesel - hybrid'!E$47)^-$B67)</f>
        <v>0</v>
      </c>
      <c r="F67" s="242"/>
      <c r="G67" s="242">
        <f>(IF($B67&lt;='Benzin - diesel - hybrid'!G$46,'Benzin - diesel - hybrid'!G$18+'Benzin - diesel - hybrid'!G$19+'Benzin - diesel - hybrid'!G$64+'Benzin - diesel - hybrid'!G$65,0)*'Benzin - diesel - hybrid'!G$46*(1+'Benzin - diesel - hybrid'!G$47)^-$B67)</f>
        <v>0</v>
      </c>
      <c r="H67" s="242"/>
      <c r="I67" s="242">
        <f>(IF($B67&lt;='Benzin - diesel - hybrid'!I$46,'Benzin - diesel - hybrid'!I$18+'Benzin - diesel - hybrid'!I$19+'Benzin - diesel - hybrid'!I$64+'Benzin - diesel - hybrid'!I$65,0)*'Benzin - diesel - hybrid'!I$46*(1+'Benzin - diesel - hybrid'!I$47)^-$B67)</f>
        <v>0</v>
      </c>
      <c r="J67" s="242"/>
      <c r="K67" s="242">
        <f>(IF($B67&lt;='Benzin - diesel - hybrid'!K$46,'Benzin - diesel - hybrid'!K$18+'Benzin - diesel - hybrid'!K$19+'Benzin - diesel - hybrid'!K$64+'Benzin - diesel - hybrid'!K$65,0)*'Benzin - diesel - hybrid'!K$46*(1+'Benzin - diesel - hybrid'!K$47)^-$B67)</f>
        <v>0</v>
      </c>
      <c r="L67" s="242"/>
      <c r="M67" s="242">
        <f>(IF($B67&lt;='Benzin - diesel - hybrid'!M$46,'Benzin - diesel - hybrid'!M$18+'Benzin - diesel - hybrid'!M$19+'Benzin - diesel - hybrid'!M$64+'Benzin - diesel - hybrid'!M$65,0)*'Benzin - diesel - hybrid'!M$46*(1+'Benzin - diesel - hybrid'!M$47)^-$B67)</f>
        <v>0</v>
      </c>
      <c r="N67" s="242"/>
      <c r="O67" s="242">
        <f>(IF($B67&lt;='Benzin - diesel - hybrid'!O$46,'Benzin - diesel - hybrid'!O$18+'Benzin - diesel - hybrid'!O$19+'Benzin - diesel - hybrid'!O$64+'Benzin - diesel - hybrid'!O$65,0)*'Benzin - diesel - hybrid'!O$46*(1+'Benzin - diesel - hybrid'!O$47)^-$B67)</f>
        <v>0</v>
      </c>
      <c r="P67" s="242"/>
      <c r="Q67" s="242">
        <f>(IF($B67&lt;='Benzin - diesel - hybrid'!Q$46,'Benzin - diesel - hybrid'!Q$18+'Benzin - diesel - hybrid'!Q$19+'Benzin - diesel - hybrid'!Q$64+'Benzin - diesel - hybrid'!Q$65,0)*'Benzin - diesel - hybrid'!Q$46*(1+'Benzin - diesel - hybrid'!Q$47)^-$B67)</f>
        <v>0</v>
      </c>
      <c r="R67" s="242"/>
      <c r="S67" s="242">
        <f>(IF($B67&lt;='Benzin - diesel - hybrid'!S$46,'Benzin - diesel - hybrid'!S$18+'Benzin - diesel - hybrid'!S$19+'Benzin - diesel - hybrid'!S$64+'Benzin - diesel - hybrid'!S$65,0)*'Benzin - diesel - hybrid'!S$46*(1+'Benzin - diesel - hybrid'!S$47)^-$B67)</f>
        <v>0</v>
      </c>
      <c r="U67" s="242">
        <f>(IF($B67&lt;='Benzin - diesel - hybrid'!U$46,'Benzin - diesel - hybrid'!U$18+'Benzin - diesel - hybrid'!U$19+'Benzin - diesel - hybrid'!U$64+'Benzin - diesel - hybrid'!U$65,0)*'Benzin - diesel - hybrid'!U$46*(1+'Benzin - diesel - hybrid'!U$47)^-$B67)</f>
        <v>0</v>
      </c>
      <c r="W67" s="242">
        <f>(IF($B67&lt;='Benzin - diesel - hybrid'!W$46,'Benzin - diesel - hybrid'!W$18+'Benzin - diesel - hybrid'!W$19+'Benzin - diesel - hybrid'!W$64+'Benzin - diesel - hybrid'!W$65,0)*'Benzin - diesel - hybrid'!W$46*(1+'Benzin - diesel - hybrid'!W$47)^-$B67)</f>
        <v>0</v>
      </c>
    </row>
    <row r="68" spans="1:23">
      <c r="A68"/>
      <c r="B68" s="139">
        <v>20</v>
      </c>
      <c r="C68" s="140">
        <f t="shared" si="3"/>
        <v>20</v>
      </c>
      <c r="D68"/>
      <c r="E68" s="242">
        <f>(IF($B68&lt;='Benzin - diesel - hybrid'!E$46,'Benzin - diesel - hybrid'!E$18+'Benzin - diesel - hybrid'!E$19+'Benzin - diesel - hybrid'!E$64+'Benzin - diesel - hybrid'!E$65,0)*'Benzin - diesel - hybrid'!E$46*(1+'Benzin - diesel - hybrid'!E$47)^-$B68)</f>
        <v>0</v>
      </c>
      <c r="F68" s="242"/>
      <c r="G68" s="242">
        <f>(IF($B68&lt;='Benzin - diesel - hybrid'!G$46,'Benzin - diesel - hybrid'!G$18+'Benzin - diesel - hybrid'!G$19+'Benzin - diesel - hybrid'!G$64+'Benzin - diesel - hybrid'!G$65,0)*'Benzin - diesel - hybrid'!G$46*(1+'Benzin - diesel - hybrid'!G$47)^-$B68)</f>
        <v>0</v>
      </c>
      <c r="H68" s="242"/>
      <c r="I68" s="242">
        <f>(IF($B68&lt;='Benzin - diesel - hybrid'!I$46,'Benzin - diesel - hybrid'!I$18+'Benzin - diesel - hybrid'!I$19+'Benzin - diesel - hybrid'!I$64+'Benzin - diesel - hybrid'!I$65,0)*'Benzin - diesel - hybrid'!I$46*(1+'Benzin - diesel - hybrid'!I$47)^-$B68)</f>
        <v>0</v>
      </c>
      <c r="J68" s="242"/>
      <c r="K68" s="242">
        <f>(IF($B68&lt;='Benzin - diesel - hybrid'!K$46,'Benzin - diesel - hybrid'!K$18+'Benzin - diesel - hybrid'!K$19+'Benzin - diesel - hybrid'!K$64+'Benzin - diesel - hybrid'!K$65,0)*'Benzin - diesel - hybrid'!K$46*(1+'Benzin - diesel - hybrid'!K$47)^-$B68)</f>
        <v>0</v>
      </c>
      <c r="L68" s="242"/>
      <c r="M68" s="242">
        <f>(IF($B68&lt;='Benzin - diesel - hybrid'!M$46,'Benzin - diesel - hybrid'!M$18+'Benzin - diesel - hybrid'!M$19+'Benzin - diesel - hybrid'!M$64+'Benzin - diesel - hybrid'!M$65,0)*'Benzin - diesel - hybrid'!M$46*(1+'Benzin - diesel - hybrid'!M$47)^-$B68)</f>
        <v>0</v>
      </c>
      <c r="N68" s="242"/>
      <c r="O68" s="242">
        <f>(IF($B68&lt;='Benzin - diesel - hybrid'!O$46,'Benzin - diesel - hybrid'!O$18+'Benzin - diesel - hybrid'!O$19+'Benzin - diesel - hybrid'!O$64+'Benzin - diesel - hybrid'!O$65,0)*'Benzin - diesel - hybrid'!O$46*(1+'Benzin - diesel - hybrid'!O$47)^-$B68)</f>
        <v>0</v>
      </c>
      <c r="P68" s="242"/>
      <c r="Q68" s="242">
        <f>(IF($B68&lt;='Benzin - diesel - hybrid'!Q$46,'Benzin - diesel - hybrid'!Q$18+'Benzin - diesel - hybrid'!Q$19+'Benzin - diesel - hybrid'!Q$64+'Benzin - diesel - hybrid'!Q$65,0)*'Benzin - diesel - hybrid'!Q$46*(1+'Benzin - diesel - hybrid'!Q$47)^-$B68)</f>
        <v>0</v>
      </c>
      <c r="R68" s="242"/>
      <c r="S68" s="242">
        <f>(IF($B68&lt;='Benzin - diesel - hybrid'!S$46,'Benzin - diesel - hybrid'!S$18+'Benzin - diesel - hybrid'!S$19+'Benzin - diesel - hybrid'!S$64+'Benzin - diesel - hybrid'!S$65,0)*'Benzin - diesel - hybrid'!S$46*(1+'Benzin - diesel - hybrid'!S$47)^-$B68)</f>
        <v>0</v>
      </c>
      <c r="U68" s="242">
        <f>(IF($B68&lt;='Benzin - diesel - hybrid'!U$46,'Benzin - diesel - hybrid'!U$18+'Benzin - diesel - hybrid'!U$19+'Benzin - diesel - hybrid'!U$64+'Benzin - diesel - hybrid'!U$65,0)*'Benzin - diesel - hybrid'!U$46*(1+'Benzin - diesel - hybrid'!U$47)^-$B68)</f>
        <v>0</v>
      </c>
      <c r="W68" s="242">
        <f>(IF($B68&lt;='Benzin - diesel - hybrid'!W$46,'Benzin - diesel - hybrid'!W$18+'Benzin - diesel - hybrid'!W$19+'Benzin - diesel - hybrid'!W$64+'Benzin - diesel - hybrid'!W$65,0)*'Benzin - diesel - hybrid'!W$46*(1+'Benzin - diesel - hybrid'!W$47)^-$B68)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8" t="s">
        <v>31</v>
      </c>
      <c r="B71" s="248"/>
      <c r="C71" s="248"/>
      <c r="D71" s="248"/>
      <c r="E71" s="248"/>
      <c r="F71" s="248"/>
      <c r="G71" s="248"/>
      <c r="H71" s="248"/>
      <c r="I71" s="248"/>
      <c r="J71" s="248"/>
      <c r="K71" s="248"/>
      <c r="L71" s="248"/>
      <c r="M71" s="248"/>
      <c r="N71" s="248"/>
      <c r="O71" s="248"/>
      <c r="P71" s="248"/>
      <c r="Q71" s="248"/>
      <c r="R71" s="248"/>
      <c r="S71" s="248"/>
      <c r="U71" s="248"/>
      <c r="W71" s="248"/>
    </row>
    <row r="72" spans="1:23" hidden="1" outlineLevel="1">
      <c r="A72" s="248"/>
      <c r="B72" s="269" t="s">
        <v>20</v>
      </c>
      <c r="C72" s="248"/>
      <c r="D72" s="248"/>
      <c r="E72" s="270" t="s">
        <v>6</v>
      </c>
      <c r="F72" s="270"/>
      <c r="G72" s="270" t="s">
        <v>7</v>
      </c>
      <c r="H72" s="270"/>
      <c r="I72" s="270" t="s">
        <v>8</v>
      </c>
      <c r="J72" s="270"/>
      <c r="K72" s="270" t="s">
        <v>13</v>
      </c>
      <c r="L72" s="270"/>
      <c r="M72" s="270" t="s">
        <v>12</v>
      </c>
      <c r="N72" s="270"/>
      <c r="O72" s="270" t="s">
        <v>11</v>
      </c>
      <c r="P72" s="270"/>
      <c r="Q72" s="270" t="s">
        <v>9</v>
      </c>
      <c r="R72" s="270"/>
      <c r="S72" s="270" t="s">
        <v>10</v>
      </c>
      <c r="U72" s="270" t="s">
        <v>10</v>
      </c>
      <c r="W72" s="270" t="s">
        <v>10</v>
      </c>
    </row>
    <row r="73" spans="1:23" hidden="1" outlineLevel="1">
      <c r="A73" s="248"/>
      <c r="B73" s="271">
        <v>1</v>
      </c>
      <c r="C73" s="271">
        <f>B73</f>
        <v>1</v>
      </c>
      <c r="D73" s="248"/>
      <c r="E73" s="272" t="e">
        <f>(IF('Benzin - diesel - hybrid'!#REF!="nej",-IF(100-(100+'Benzin - diesel - hybrid'!E$64)*$B73/'Benzin - diesel - hybrid'!E$46&lt;0,0,100-(100+'Benzin - diesel - hybrid'!E$64)*$B73/'Benzin - diesel - hybrid'!E$46)/100*'Benzin - diesel - hybrid'!E$12,0)+'Benzin - diesel - hybrid'!E$65)*'Benzin - diesel - hybrid'!E$39*(1+'Benzin - diesel - hybrid'!#REF!/100)^-$B73</f>
        <v>#REF!</v>
      </c>
      <c r="F73" s="272"/>
      <c r="G73" s="272" t="e">
        <f>(IF('Benzin - diesel - hybrid'!#REF!="nej",-IF(100-(100+'Benzin - diesel - hybrid'!G$64)*$B73/'Benzin - diesel - hybrid'!G$46&lt;0,0,100-(100+'Benzin - diesel - hybrid'!G$64)*$B73/'Benzin - diesel - hybrid'!G$46)/100*'Benzin - diesel - hybrid'!G$12,0)+'Benzin - diesel - hybrid'!G$65)*'Benzin - diesel - hybrid'!G$39*(1+'Benzin - diesel - hybrid'!#REF!/100)^-$B73</f>
        <v>#REF!</v>
      </c>
      <c r="H73" s="272"/>
      <c r="I73" s="272" t="e">
        <f>(IF('Benzin - diesel - hybrid'!#REF!="nej",-IF(100-(100+'Benzin - diesel - hybrid'!I$64)*$B73/'Benzin - diesel - hybrid'!I$46&lt;0,0,100-(100+'Benzin - diesel - hybrid'!I$64)*$B73/'Benzin - diesel - hybrid'!I$46)/100*'Benzin - diesel - hybrid'!I$12,0)+'Benzin - diesel - hybrid'!I$65)*'Benzin - diesel - hybrid'!I$39*(1+'Benzin - diesel - hybrid'!#REF!/100)^-$B73</f>
        <v>#REF!</v>
      </c>
      <c r="J73" s="272"/>
      <c r="K73" s="272" t="e">
        <f>(IF('Benzin - diesel - hybrid'!#REF!="nej",-IF(100-(100+'Benzin - diesel - hybrid'!K$64)*$B73/'Benzin - diesel - hybrid'!K$46&lt;0,0,100-(100+'Benzin - diesel - hybrid'!K$64)*$B73/'Benzin - diesel - hybrid'!K$46)/100*'Benzin - diesel - hybrid'!K$12,0)+'Benzin - diesel - hybrid'!K$65)*'Benzin - diesel - hybrid'!K$39*(1+'Benzin - diesel - hybrid'!#REF!/100)^-$B73</f>
        <v>#REF!</v>
      </c>
      <c r="L73" s="272"/>
      <c r="M73" s="272" t="e">
        <f>(IF('Benzin - diesel - hybrid'!#REF!="nej",-IF(100-(100+'Benzin - diesel - hybrid'!M$64)*$B73/'Benzin - diesel - hybrid'!M$46&lt;0,0,100-(100+'Benzin - diesel - hybrid'!M$64)*$B73/'Benzin - diesel - hybrid'!M$46)/100*'Benzin - diesel - hybrid'!M$12,0)+'Benzin - diesel - hybrid'!M$65)*'Benzin - diesel - hybrid'!M$39*(1+'Benzin - diesel - hybrid'!#REF!/100)^-$B73</f>
        <v>#REF!</v>
      </c>
      <c r="N73" s="272"/>
      <c r="O73" s="272" t="e">
        <f>(IF('Benzin - diesel - hybrid'!#REF!="nej",-IF(100-(100+'Benzin - diesel - hybrid'!O$64)*$B73/'Benzin - diesel - hybrid'!O$46&lt;0,0,100-(100+'Benzin - diesel - hybrid'!O$64)*$B73/'Benzin - diesel - hybrid'!O$46)/100*'Benzin - diesel - hybrid'!O$12,0)+'Benzin - diesel - hybrid'!O$65)*'Benzin - diesel - hybrid'!O$39*(1+'Benzin - diesel - hybrid'!#REF!/100)^-$B73</f>
        <v>#REF!</v>
      </c>
      <c r="P73" s="272"/>
      <c r="Q73" s="272" t="e">
        <f>(IF('Benzin - diesel - hybrid'!#REF!="nej",-IF(100-(100+'Benzin - diesel - hybrid'!Q$64)*$B73/'Benzin - diesel - hybrid'!Q$46&lt;0,0,100-(100+'Benzin - diesel - hybrid'!Q$64)*$B73/'Benzin - diesel - hybrid'!Q$46)/100*'Benzin - diesel - hybrid'!Q$12,0)+'Benzin - diesel - hybrid'!Q$65)*'Benzin - diesel - hybrid'!Q$39*(1+'Benzin - diesel - hybrid'!#REF!/100)^-$B73</f>
        <v>#REF!</v>
      </c>
      <c r="R73" s="272"/>
      <c r="S73" s="272" t="e">
        <f>(IF('Benzin - diesel - hybrid'!#REF!="nej",-IF(100-(100+'Benzin - diesel - hybrid'!S$64)*$B73/'Benzin - diesel - hybrid'!S$46&lt;0,0,100-(100+'Benzin - diesel - hybrid'!S$64)*$B73/'Benzin - diesel - hybrid'!S$46)/100*'Benzin - diesel - hybrid'!S$12,0)+'Benzin - diesel - hybrid'!S$65)*'Benzin - diesel - hybrid'!S$39*(1+'Benzin - diesel - hybrid'!#REF!/100)^-$B73</f>
        <v>#REF!</v>
      </c>
      <c r="U73" s="272" t="e">
        <f>(IF('Benzin - diesel - hybrid'!#REF!="nej",-IF(100-(100+'Benzin - diesel - hybrid'!Y$64)*$B73/'Benzin - diesel - hybrid'!Y$46&lt;0,0,100-(100+'Benzin - diesel - hybrid'!Y$64)*$B73/'Benzin - diesel - hybrid'!Y$46)/100*'Benzin - diesel - hybrid'!Y$12,0)+'Benzin - diesel - hybrid'!Y$65)*'Benzin - diesel - hybrid'!Y$39*(1+'Benzin - diesel - hybrid'!#REF!/100)^-$B73</f>
        <v>#REF!</v>
      </c>
      <c r="W73" s="272" t="e">
        <f>(IF('Benzin - diesel - hybrid'!#REF!="nej",-IF(100-(100+'Benzin - diesel - hybrid'!AA$64)*$B73/'Benzin - diesel - hybrid'!AA$46&lt;0,0,100-(100+'Benzin - diesel - hybrid'!AA$64)*$B73/'Benzin - diesel - hybrid'!AA$46)/100*'Benzin - diesel - hybrid'!AA$12,0)+'Benzin - diesel - hybrid'!AA$65)*'Benzin - diesel - hybrid'!AA$39*(1+'Benzin - diesel - hybrid'!#REF!/100)^-$B73</f>
        <v>#REF!</v>
      </c>
    </row>
    <row r="74" spans="1:23" hidden="1" outlineLevel="1">
      <c r="A74" s="248"/>
      <c r="B74" s="271">
        <v>2</v>
      </c>
      <c r="C74" s="271">
        <f t="shared" ref="C74:C87" si="4">B74</f>
        <v>2</v>
      </c>
      <c r="D74" s="248"/>
      <c r="E74" s="272" t="e">
        <f>(IF('Benzin - diesel - hybrid'!#REF!="nej",-IF(100-(100+'Benzin - diesel - hybrid'!E$64)*$B74/'Benzin - diesel - hybrid'!E$46&lt;0,0,100-(100+'Benzin - diesel - hybrid'!E$64)*$B74/'Benzin - diesel - hybrid'!E$46)/100*'Benzin - diesel - hybrid'!E$12,0)+'Benzin - diesel - hybrid'!E$65)*'Benzin - diesel - hybrid'!E$39*(1+'Benzin - diesel - hybrid'!#REF!/100)^-$B74</f>
        <v>#REF!</v>
      </c>
      <c r="F74" s="272"/>
      <c r="G74" s="272" t="e">
        <f>(IF('Benzin - diesel - hybrid'!#REF!="nej",-IF(100-(100+'Benzin - diesel - hybrid'!G$64)*$B74/'Benzin - diesel - hybrid'!G$46&lt;0,0,100-(100+'Benzin - diesel - hybrid'!G$64)*$B74/'Benzin - diesel - hybrid'!G$46)/100*'Benzin - diesel - hybrid'!G$12,0)+'Benzin - diesel - hybrid'!G$65)*'Benzin - diesel - hybrid'!G$39*(1+'Benzin - diesel - hybrid'!#REF!/100)^-$B74</f>
        <v>#REF!</v>
      </c>
      <c r="H74" s="272"/>
      <c r="I74" s="272" t="e">
        <f>(IF('Benzin - diesel - hybrid'!#REF!="nej",-IF(100-(100+'Benzin - diesel - hybrid'!I$64)*$B74/'Benzin - diesel - hybrid'!I$46&lt;0,0,100-(100+'Benzin - diesel - hybrid'!I$64)*$B74/'Benzin - diesel - hybrid'!I$46)/100*'Benzin - diesel - hybrid'!I$12,0)+'Benzin - diesel - hybrid'!I$65)*'Benzin - diesel - hybrid'!I$39*(1+'Benzin - diesel - hybrid'!#REF!/100)^-$B74</f>
        <v>#REF!</v>
      </c>
      <c r="J74" s="272"/>
      <c r="K74" s="272" t="e">
        <f>(IF('Benzin - diesel - hybrid'!#REF!="nej",-IF(100-(100+'Benzin - diesel - hybrid'!K$64)*$B74/'Benzin - diesel - hybrid'!K$46&lt;0,0,100-(100+'Benzin - diesel - hybrid'!K$64)*$B74/'Benzin - diesel - hybrid'!K$46)/100*'Benzin - diesel - hybrid'!K$12,0)+'Benzin - diesel - hybrid'!K$65)*'Benzin - diesel - hybrid'!K$39*(1+'Benzin - diesel - hybrid'!#REF!/100)^-$B74</f>
        <v>#REF!</v>
      </c>
      <c r="L74" s="272"/>
      <c r="M74" s="272" t="e">
        <f>(IF('Benzin - diesel - hybrid'!#REF!="nej",-IF(100-(100+'Benzin - diesel - hybrid'!M$64)*$B74/'Benzin - diesel - hybrid'!M$46&lt;0,0,100-(100+'Benzin - diesel - hybrid'!M$64)*$B74/'Benzin - diesel - hybrid'!M$46)/100*'Benzin - diesel - hybrid'!M$12,0)+'Benzin - diesel - hybrid'!M$65)*'Benzin - diesel - hybrid'!M$39*(1+'Benzin - diesel - hybrid'!#REF!/100)^-$B74</f>
        <v>#REF!</v>
      </c>
      <c r="N74" s="272"/>
      <c r="O74" s="272" t="e">
        <f>(IF('Benzin - diesel - hybrid'!#REF!="nej",-IF(100-(100+'Benzin - diesel - hybrid'!O$64)*$B74/'Benzin - diesel - hybrid'!O$46&lt;0,0,100-(100+'Benzin - diesel - hybrid'!O$64)*$B74/'Benzin - diesel - hybrid'!O$46)/100*'Benzin - diesel - hybrid'!O$12,0)+'Benzin - diesel - hybrid'!O$65)*'Benzin - diesel - hybrid'!O$39*(1+'Benzin - diesel - hybrid'!#REF!/100)^-$B74</f>
        <v>#REF!</v>
      </c>
      <c r="P74" s="272"/>
      <c r="Q74" s="272" t="e">
        <f>(IF('Benzin - diesel - hybrid'!#REF!="nej",-IF(100-(100+'Benzin - diesel - hybrid'!Q$64)*$B74/'Benzin - diesel - hybrid'!Q$46&lt;0,0,100-(100+'Benzin - diesel - hybrid'!Q$64)*$B74/'Benzin - diesel - hybrid'!Q$46)/100*'Benzin - diesel - hybrid'!Q$12,0)+'Benzin - diesel - hybrid'!Q$65)*'Benzin - diesel - hybrid'!Q$39*(1+'Benzin - diesel - hybrid'!#REF!/100)^-$B74</f>
        <v>#REF!</v>
      </c>
      <c r="R74" s="272"/>
      <c r="S74" s="272" t="e">
        <f>(IF('Benzin - diesel - hybrid'!#REF!="nej",-IF(100-(100+'Benzin - diesel - hybrid'!S$64)*$B74/'Benzin - diesel - hybrid'!S$46&lt;0,0,100-(100+'Benzin - diesel - hybrid'!S$64)*$B74/'Benzin - diesel - hybrid'!S$46)/100*'Benzin - diesel - hybrid'!S$12,0)+'Benzin - diesel - hybrid'!S$65)*'Benzin - diesel - hybrid'!S$39*(1+'Benzin - diesel - hybrid'!#REF!/100)^-$B74</f>
        <v>#REF!</v>
      </c>
      <c r="U74" s="272" t="e">
        <f>(IF('Benzin - diesel - hybrid'!#REF!="nej",-IF(100-(100+'Benzin - diesel - hybrid'!Y$64)*$B74/'Benzin - diesel - hybrid'!Y$46&lt;0,0,100-(100+'Benzin - diesel - hybrid'!Y$64)*$B74/'Benzin - diesel - hybrid'!Y$46)/100*'Benzin - diesel - hybrid'!Y$12,0)+'Benzin - diesel - hybrid'!Y$65)*'Benzin - diesel - hybrid'!Y$39*(1+'Benzin - diesel - hybrid'!#REF!/100)^-$B74</f>
        <v>#REF!</v>
      </c>
      <c r="W74" s="272" t="e">
        <f>(IF('Benzin - diesel - hybrid'!#REF!="nej",-IF(100-(100+'Benzin - diesel - hybrid'!AA$64)*$B74/'Benzin - diesel - hybrid'!AA$46&lt;0,0,100-(100+'Benzin - diesel - hybrid'!AA$64)*$B74/'Benzin - diesel - hybrid'!AA$46)/100*'Benzin - diesel - hybrid'!AA$12,0)+'Benzin - diesel - hybrid'!AA$65)*'Benzin - diesel - hybrid'!AA$39*(1+'Benzin - diesel - hybrid'!#REF!/100)^-$B74</f>
        <v>#REF!</v>
      </c>
    </row>
    <row r="75" spans="1:23" hidden="1" outlineLevel="1">
      <c r="A75" s="248"/>
      <c r="B75" s="271">
        <v>3</v>
      </c>
      <c r="C75" s="271">
        <f t="shared" si="4"/>
        <v>3</v>
      </c>
      <c r="D75" s="248"/>
      <c r="E75" s="272" t="e">
        <f>(IF('Benzin - diesel - hybrid'!#REF!="nej",-IF(100-(100+'Benzin - diesel - hybrid'!E$64)*$B75/'Benzin - diesel - hybrid'!E$46&lt;0,0,100-(100+'Benzin - diesel - hybrid'!E$64)*$B75/'Benzin - diesel - hybrid'!E$46)/100*'Benzin - diesel - hybrid'!E$12,0)+'Benzin - diesel - hybrid'!E$65)*'Benzin - diesel - hybrid'!E$39*(1+'Benzin - diesel - hybrid'!#REF!/100)^-$B75</f>
        <v>#REF!</v>
      </c>
      <c r="F75" s="272"/>
      <c r="G75" s="272" t="e">
        <f>(IF('Benzin - diesel - hybrid'!#REF!="nej",-IF(100-(100+'Benzin - diesel - hybrid'!G$64)*$B75/'Benzin - diesel - hybrid'!G$46&lt;0,0,100-(100+'Benzin - diesel - hybrid'!G$64)*$B75/'Benzin - diesel - hybrid'!G$46)/100*'Benzin - diesel - hybrid'!G$12,0)+'Benzin - diesel - hybrid'!G$65)*'Benzin - diesel - hybrid'!G$39*(1+'Benzin - diesel - hybrid'!#REF!/100)^-$B75</f>
        <v>#REF!</v>
      </c>
      <c r="H75" s="272"/>
      <c r="I75" s="272" t="e">
        <f>(IF('Benzin - diesel - hybrid'!#REF!="nej",-IF(100-(100+'Benzin - diesel - hybrid'!I$64)*$B75/'Benzin - diesel - hybrid'!I$46&lt;0,0,100-(100+'Benzin - diesel - hybrid'!I$64)*$B75/'Benzin - diesel - hybrid'!I$46)/100*'Benzin - diesel - hybrid'!I$12,0)+'Benzin - diesel - hybrid'!I$65)*'Benzin - diesel - hybrid'!I$39*(1+'Benzin - diesel - hybrid'!#REF!/100)^-$B75</f>
        <v>#REF!</v>
      </c>
      <c r="J75" s="272"/>
      <c r="K75" s="272" t="e">
        <f>(IF('Benzin - diesel - hybrid'!#REF!="nej",-IF(100-(100+'Benzin - diesel - hybrid'!K$64)*$B75/'Benzin - diesel - hybrid'!K$46&lt;0,0,100-(100+'Benzin - diesel - hybrid'!K$64)*$B75/'Benzin - diesel - hybrid'!K$46)/100*'Benzin - diesel - hybrid'!K$12,0)+'Benzin - diesel - hybrid'!K$65)*'Benzin - diesel - hybrid'!K$39*(1+'Benzin - diesel - hybrid'!#REF!/100)^-$B75</f>
        <v>#REF!</v>
      </c>
      <c r="L75" s="272"/>
      <c r="M75" s="272" t="e">
        <f>(IF('Benzin - diesel - hybrid'!#REF!="nej",-IF(100-(100+'Benzin - diesel - hybrid'!M$64)*$B75/'Benzin - diesel - hybrid'!M$46&lt;0,0,100-(100+'Benzin - diesel - hybrid'!M$64)*$B75/'Benzin - diesel - hybrid'!M$46)/100*'Benzin - diesel - hybrid'!M$12,0)+'Benzin - diesel - hybrid'!M$65)*'Benzin - diesel - hybrid'!M$39*(1+'Benzin - diesel - hybrid'!#REF!/100)^-$B75</f>
        <v>#REF!</v>
      </c>
      <c r="N75" s="272"/>
      <c r="O75" s="272" t="e">
        <f>(IF('Benzin - diesel - hybrid'!#REF!="nej",-IF(100-(100+'Benzin - diesel - hybrid'!O$64)*$B75/'Benzin - diesel - hybrid'!O$46&lt;0,0,100-(100+'Benzin - diesel - hybrid'!O$64)*$B75/'Benzin - diesel - hybrid'!O$46)/100*'Benzin - diesel - hybrid'!O$12,0)+'Benzin - diesel - hybrid'!O$65)*'Benzin - diesel - hybrid'!O$39*(1+'Benzin - diesel - hybrid'!#REF!/100)^-$B75</f>
        <v>#REF!</v>
      </c>
      <c r="P75" s="272"/>
      <c r="Q75" s="272" t="e">
        <f>(IF('Benzin - diesel - hybrid'!#REF!="nej",-IF(100-(100+'Benzin - diesel - hybrid'!Q$64)*$B75/'Benzin - diesel - hybrid'!Q$46&lt;0,0,100-(100+'Benzin - diesel - hybrid'!Q$64)*$B75/'Benzin - diesel - hybrid'!Q$46)/100*'Benzin - diesel - hybrid'!Q$12,0)+'Benzin - diesel - hybrid'!Q$65)*'Benzin - diesel - hybrid'!Q$39*(1+'Benzin - diesel - hybrid'!#REF!/100)^-$B75</f>
        <v>#REF!</v>
      </c>
      <c r="R75" s="272"/>
      <c r="S75" s="272" t="e">
        <f>(IF('Benzin - diesel - hybrid'!#REF!="nej",-IF(100-(100+'Benzin - diesel - hybrid'!S$64)*$B75/'Benzin - diesel - hybrid'!S$46&lt;0,0,100-(100+'Benzin - diesel - hybrid'!S$64)*$B75/'Benzin - diesel - hybrid'!S$46)/100*'Benzin - diesel - hybrid'!S$12,0)+'Benzin - diesel - hybrid'!S$65)*'Benzin - diesel - hybrid'!S$39*(1+'Benzin - diesel - hybrid'!#REF!/100)^-$B75</f>
        <v>#REF!</v>
      </c>
      <c r="U75" s="272" t="e">
        <f>(IF('Benzin - diesel - hybrid'!#REF!="nej",-IF(100-(100+'Benzin - diesel - hybrid'!Y$64)*$B75/'Benzin - diesel - hybrid'!Y$46&lt;0,0,100-(100+'Benzin - diesel - hybrid'!Y$64)*$B75/'Benzin - diesel - hybrid'!Y$46)/100*'Benzin - diesel - hybrid'!Y$12,0)+'Benzin - diesel - hybrid'!Y$65)*'Benzin - diesel - hybrid'!Y$39*(1+'Benzin - diesel - hybrid'!#REF!/100)^-$B75</f>
        <v>#REF!</v>
      </c>
      <c r="W75" s="272" t="e">
        <f>(IF('Benzin - diesel - hybrid'!#REF!="nej",-IF(100-(100+'Benzin - diesel - hybrid'!AA$64)*$B75/'Benzin - diesel - hybrid'!AA$46&lt;0,0,100-(100+'Benzin - diesel - hybrid'!AA$64)*$B75/'Benzin - diesel - hybrid'!AA$46)/100*'Benzin - diesel - hybrid'!AA$12,0)+'Benzin - diesel - hybrid'!AA$65)*'Benzin - diesel - hybrid'!AA$39*(1+'Benzin - diesel - hybrid'!#REF!/100)^-$B75</f>
        <v>#REF!</v>
      </c>
    </row>
    <row r="76" spans="1:23" hidden="1" outlineLevel="1">
      <c r="A76" s="248"/>
      <c r="B76" s="271">
        <v>4</v>
      </c>
      <c r="C76" s="271">
        <f t="shared" si="4"/>
        <v>4</v>
      </c>
      <c r="D76" s="248"/>
      <c r="E76" s="272" t="e">
        <f>(IF('Benzin - diesel - hybrid'!#REF!="nej",-IF(100-(100+'Benzin - diesel - hybrid'!E$64)*$B76/'Benzin - diesel - hybrid'!E$46&lt;0,0,100-(100+'Benzin - diesel - hybrid'!E$64)*$B76/'Benzin - diesel - hybrid'!E$46)/100*'Benzin - diesel - hybrid'!E$12,0)+'Benzin - diesel - hybrid'!E$65)*'Benzin - diesel - hybrid'!E$39*(1+'Benzin - diesel - hybrid'!#REF!/100)^-$B76</f>
        <v>#REF!</v>
      </c>
      <c r="F76" s="272"/>
      <c r="G76" s="272" t="e">
        <f>(IF('Benzin - diesel - hybrid'!#REF!="nej",-IF(100-(100+'Benzin - diesel - hybrid'!G$64)*$B76/'Benzin - diesel - hybrid'!G$46&lt;0,0,100-(100+'Benzin - diesel - hybrid'!G$64)*$B76/'Benzin - diesel - hybrid'!G$46)/100*'Benzin - diesel - hybrid'!G$12,0)+'Benzin - diesel - hybrid'!G$65)*'Benzin - diesel - hybrid'!G$39*(1+'Benzin - diesel - hybrid'!#REF!/100)^-$B76</f>
        <v>#REF!</v>
      </c>
      <c r="H76" s="272"/>
      <c r="I76" s="272" t="e">
        <f>(IF('Benzin - diesel - hybrid'!#REF!="nej",-IF(100-(100+'Benzin - diesel - hybrid'!I$64)*$B76/'Benzin - diesel - hybrid'!I$46&lt;0,0,100-(100+'Benzin - diesel - hybrid'!I$64)*$B76/'Benzin - diesel - hybrid'!I$46)/100*'Benzin - diesel - hybrid'!I$12,0)+'Benzin - diesel - hybrid'!I$65)*'Benzin - diesel - hybrid'!I$39*(1+'Benzin - diesel - hybrid'!#REF!/100)^-$B76</f>
        <v>#REF!</v>
      </c>
      <c r="J76" s="272"/>
      <c r="K76" s="272" t="e">
        <f>(IF('Benzin - diesel - hybrid'!#REF!="nej",-IF(100-(100+'Benzin - diesel - hybrid'!K$64)*$B76/'Benzin - diesel - hybrid'!K$46&lt;0,0,100-(100+'Benzin - diesel - hybrid'!K$64)*$B76/'Benzin - diesel - hybrid'!K$46)/100*'Benzin - diesel - hybrid'!K$12,0)+'Benzin - diesel - hybrid'!K$65)*'Benzin - diesel - hybrid'!K$39*(1+'Benzin - diesel - hybrid'!#REF!/100)^-$B76</f>
        <v>#REF!</v>
      </c>
      <c r="L76" s="272"/>
      <c r="M76" s="272" t="e">
        <f>(IF('Benzin - diesel - hybrid'!#REF!="nej",-IF(100-(100+'Benzin - diesel - hybrid'!M$64)*$B76/'Benzin - diesel - hybrid'!M$46&lt;0,0,100-(100+'Benzin - diesel - hybrid'!M$64)*$B76/'Benzin - diesel - hybrid'!M$46)/100*'Benzin - diesel - hybrid'!M$12,0)+'Benzin - diesel - hybrid'!M$65)*'Benzin - diesel - hybrid'!M$39*(1+'Benzin - diesel - hybrid'!#REF!/100)^-$B76</f>
        <v>#REF!</v>
      </c>
      <c r="N76" s="272"/>
      <c r="O76" s="272" t="e">
        <f>(IF('Benzin - diesel - hybrid'!#REF!="nej",-IF(100-(100+'Benzin - diesel - hybrid'!O$64)*$B76/'Benzin - diesel - hybrid'!O$46&lt;0,0,100-(100+'Benzin - diesel - hybrid'!O$64)*$B76/'Benzin - diesel - hybrid'!O$46)/100*'Benzin - diesel - hybrid'!O$12,0)+'Benzin - diesel - hybrid'!O$65)*'Benzin - diesel - hybrid'!O$39*(1+'Benzin - diesel - hybrid'!#REF!/100)^-$B76</f>
        <v>#REF!</v>
      </c>
      <c r="P76" s="272"/>
      <c r="Q76" s="272" t="e">
        <f>(IF('Benzin - diesel - hybrid'!#REF!="nej",-IF(100-(100+'Benzin - diesel - hybrid'!Q$64)*$B76/'Benzin - diesel - hybrid'!Q$46&lt;0,0,100-(100+'Benzin - diesel - hybrid'!Q$64)*$B76/'Benzin - diesel - hybrid'!Q$46)/100*'Benzin - diesel - hybrid'!Q$12,0)+'Benzin - diesel - hybrid'!Q$65)*'Benzin - diesel - hybrid'!Q$39*(1+'Benzin - diesel - hybrid'!#REF!/100)^-$B76</f>
        <v>#REF!</v>
      </c>
      <c r="R76" s="272"/>
      <c r="S76" s="272" t="e">
        <f>(IF('Benzin - diesel - hybrid'!#REF!="nej",-IF(100-(100+'Benzin - diesel - hybrid'!S$64)*$B76/'Benzin - diesel - hybrid'!S$46&lt;0,0,100-(100+'Benzin - diesel - hybrid'!S$64)*$B76/'Benzin - diesel - hybrid'!S$46)/100*'Benzin - diesel - hybrid'!S$12,0)+'Benzin - diesel - hybrid'!S$65)*'Benzin - diesel - hybrid'!S$39*(1+'Benzin - diesel - hybrid'!#REF!/100)^-$B76</f>
        <v>#REF!</v>
      </c>
      <c r="U76" s="272" t="e">
        <f>(IF('Benzin - diesel - hybrid'!#REF!="nej",-IF(100-(100+'Benzin - diesel - hybrid'!Y$64)*$B76/'Benzin - diesel - hybrid'!Y$46&lt;0,0,100-(100+'Benzin - diesel - hybrid'!Y$64)*$B76/'Benzin - diesel - hybrid'!Y$46)/100*'Benzin - diesel - hybrid'!Y$12,0)+'Benzin - diesel - hybrid'!Y$65)*'Benzin - diesel - hybrid'!Y$39*(1+'Benzin - diesel - hybrid'!#REF!/100)^-$B76</f>
        <v>#REF!</v>
      </c>
      <c r="W76" s="272" t="e">
        <f>(IF('Benzin - diesel - hybrid'!#REF!="nej",-IF(100-(100+'Benzin - diesel - hybrid'!AA$64)*$B76/'Benzin - diesel - hybrid'!AA$46&lt;0,0,100-(100+'Benzin - diesel - hybrid'!AA$64)*$B76/'Benzin - diesel - hybrid'!AA$46)/100*'Benzin - diesel - hybrid'!AA$12,0)+'Benzin - diesel - hybrid'!AA$65)*'Benzin - diesel - hybrid'!AA$39*(1+'Benzin - diesel - hybrid'!#REF!/100)^-$B76</f>
        <v>#REF!</v>
      </c>
    </row>
    <row r="77" spans="1:23" hidden="1" outlineLevel="1">
      <c r="A77" s="248"/>
      <c r="B77" s="271">
        <v>5</v>
      </c>
      <c r="C77" s="271">
        <f t="shared" si="4"/>
        <v>5</v>
      </c>
      <c r="D77" s="248"/>
      <c r="E77" s="272" t="e">
        <f>(IF('Benzin - diesel - hybrid'!#REF!="nej",-IF(100-(100+'Benzin - diesel - hybrid'!E$64)*$B77/'Benzin - diesel - hybrid'!E$46&lt;0,0,100-(100+'Benzin - diesel - hybrid'!E$64)*$B77/'Benzin - diesel - hybrid'!E$46)/100*'Benzin - diesel - hybrid'!E$12,0)+'Benzin - diesel - hybrid'!E$65)*'Benzin - diesel - hybrid'!E$39*(1+'Benzin - diesel - hybrid'!#REF!/100)^-$B77</f>
        <v>#REF!</v>
      </c>
      <c r="F77" s="272"/>
      <c r="G77" s="272" t="e">
        <f>(IF('Benzin - diesel - hybrid'!#REF!="nej",-IF(100-(100+'Benzin - diesel - hybrid'!G$64)*$B77/'Benzin - diesel - hybrid'!G$46&lt;0,0,100-(100+'Benzin - diesel - hybrid'!G$64)*$B77/'Benzin - diesel - hybrid'!G$46)/100*'Benzin - diesel - hybrid'!G$12,0)+'Benzin - diesel - hybrid'!G$65)*'Benzin - diesel - hybrid'!G$39*(1+'Benzin - diesel - hybrid'!#REF!/100)^-$B77</f>
        <v>#REF!</v>
      </c>
      <c r="H77" s="272"/>
      <c r="I77" s="272" t="e">
        <f>(IF('Benzin - diesel - hybrid'!#REF!="nej",-IF(100-(100+'Benzin - diesel - hybrid'!I$64)*$B77/'Benzin - diesel - hybrid'!I$46&lt;0,0,100-(100+'Benzin - diesel - hybrid'!I$64)*$B77/'Benzin - diesel - hybrid'!I$46)/100*'Benzin - diesel - hybrid'!I$12,0)+'Benzin - diesel - hybrid'!I$65)*'Benzin - diesel - hybrid'!I$39*(1+'Benzin - diesel - hybrid'!#REF!/100)^-$B77</f>
        <v>#REF!</v>
      </c>
      <c r="J77" s="272"/>
      <c r="K77" s="272" t="e">
        <f>(IF('Benzin - diesel - hybrid'!#REF!="nej",-IF(100-(100+'Benzin - diesel - hybrid'!K$64)*$B77/'Benzin - diesel - hybrid'!K$46&lt;0,0,100-(100+'Benzin - diesel - hybrid'!K$64)*$B77/'Benzin - diesel - hybrid'!K$46)/100*'Benzin - diesel - hybrid'!K$12,0)+'Benzin - diesel - hybrid'!K$65)*'Benzin - diesel - hybrid'!K$39*(1+'Benzin - diesel - hybrid'!#REF!/100)^-$B77</f>
        <v>#REF!</v>
      </c>
      <c r="L77" s="272"/>
      <c r="M77" s="272" t="e">
        <f>(IF('Benzin - diesel - hybrid'!#REF!="nej",-IF(100-(100+'Benzin - diesel - hybrid'!M$64)*$B77/'Benzin - diesel - hybrid'!M$46&lt;0,0,100-(100+'Benzin - diesel - hybrid'!M$64)*$B77/'Benzin - diesel - hybrid'!M$46)/100*'Benzin - diesel - hybrid'!M$12,0)+'Benzin - diesel - hybrid'!M$65)*'Benzin - diesel - hybrid'!M$39*(1+'Benzin - diesel - hybrid'!#REF!/100)^-$B77</f>
        <v>#REF!</v>
      </c>
      <c r="N77" s="272"/>
      <c r="O77" s="272" t="e">
        <f>(IF('Benzin - diesel - hybrid'!#REF!="nej",-IF(100-(100+'Benzin - diesel - hybrid'!O$64)*$B77/'Benzin - diesel - hybrid'!O$46&lt;0,0,100-(100+'Benzin - diesel - hybrid'!O$64)*$B77/'Benzin - diesel - hybrid'!O$46)/100*'Benzin - diesel - hybrid'!O$12,0)+'Benzin - diesel - hybrid'!O$65)*'Benzin - diesel - hybrid'!O$39*(1+'Benzin - diesel - hybrid'!#REF!/100)^-$B77</f>
        <v>#REF!</v>
      </c>
      <c r="P77" s="272"/>
      <c r="Q77" s="272" t="e">
        <f>(IF('Benzin - diesel - hybrid'!#REF!="nej",-IF(100-(100+'Benzin - diesel - hybrid'!Q$64)*$B77/'Benzin - diesel - hybrid'!Q$46&lt;0,0,100-(100+'Benzin - diesel - hybrid'!Q$64)*$B77/'Benzin - diesel - hybrid'!Q$46)/100*'Benzin - diesel - hybrid'!Q$12,0)+'Benzin - diesel - hybrid'!Q$65)*'Benzin - diesel - hybrid'!Q$39*(1+'Benzin - diesel - hybrid'!#REF!/100)^-$B77</f>
        <v>#REF!</v>
      </c>
      <c r="R77" s="272"/>
      <c r="S77" s="272" t="e">
        <f>(IF('Benzin - diesel - hybrid'!#REF!="nej",-IF(100-(100+'Benzin - diesel - hybrid'!S$64)*$B77/'Benzin - diesel - hybrid'!S$46&lt;0,0,100-(100+'Benzin - diesel - hybrid'!S$64)*$B77/'Benzin - diesel - hybrid'!S$46)/100*'Benzin - diesel - hybrid'!S$12,0)+'Benzin - diesel - hybrid'!S$65)*'Benzin - diesel - hybrid'!S$39*(1+'Benzin - diesel - hybrid'!#REF!/100)^-$B77</f>
        <v>#REF!</v>
      </c>
      <c r="U77" s="272" t="e">
        <f>(IF('Benzin - diesel - hybrid'!#REF!="nej",-IF(100-(100+'Benzin - diesel - hybrid'!Y$64)*$B77/'Benzin - diesel - hybrid'!Y$46&lt;0,0,100-(100+'Benzin - diesel - hybrid'!Y$64)*$B77/'Benzin - diesel - hybrid'!Y$46)/100*'Benzin - diesel - hybrid'!Y$12,0)+'Benzin - diesel - hybrid'!Y$65)*'Benzin - diesel - hybrid'!Y$39*(1+'Benzin - diesel - hybrid'!#REF!/100)^-$B77</f>
        <v>#REF!</v>
      </c>
      <c r="W77" s="272" t="e">
        <f>(IF('Benzin - diesel - hybrid'!#REF!="nej",-IF(100-(100+'Benzin - diesel - hybrid'!AA$64)*$B77/'Benzin - diesel - hybrid'!AA$46&lt;0,0,100-(100+'Benzin - diesel - hybrid'!AA$64)*$B77/'Benzin - diesel - hybrid'!AA$46)/100*'Benzin - diesel - hybrid'!AA$12,0)+'Benzin - diesel - hybrid'!AA$65)*'Benzin - diesel - hybrid'!AA$39*(1+'Benzin - diesel - hybrid'!#REF!/100)^-$B77</f>
        <v>#REF!</v>
      </c>
    </row>
    <row r="78" spans="1:23" hidden="1" outlineLevel="1">
      <c r="A78" s="248"/>
      <c r="B78" s="271">
        <v>6</v>
      </c>
      <c r="C78" s="271">
        <f t="shared" si="4"/>
        <v>6</v>
      </c>
      <c r="D78" s="248"/>
      <c r="E78" s="272" t="e">
        <f>(IF('Benzin - diesel - hybrid'!#REF!="nej",-IF(100-(100+'Benzin - diesel - hybrid'!E$64)*$B78/'Benzin - diesel - hybrid'!E$46&lt;0,0,100-(100+'Benzin - diesel - hybrid'!E$64)*$B78/'Benzin - diesel - hybrid'!E$46)/100*'Benzin - diesel - hybrid'!E$12,0)+'Benzin - diesel - hybrid'!E$65)*'Benzin - diesel - hybrid'!E$39*(1+'Benzin - diesel - hybrid'!#REF!/100)^-$B78</f>
        <v>#REF!</v>
      </c>
      <c r="F78" s="272"/>
      <c r="G78" s="272" t="e">
        <f>(IF('Benzin - diesel - hybrid'!#REF!="nej",-IF(100-(100+'Benzin - diesel - hybrid'!G$64)*$B78/'Benzin - diesel - hybrid'!G$46&lt;0,0,100-(100+'Benzin - diesel - hybrid'!G$64)*$B78/'Benzin - diesel - hybrid'!G$46)/100*'Benzin - diesel - hybrid'!G$12,0)+'Benzin - diesel - hybrid'!G$65)*'Benzin - diesel - hybrid'!G$39*(1+'Benzin - diesel - hybrid'!#REF!/100)^-$B78</f>
        <v>#REF!</v>
      </c>
      <c r="H78" s="272"/>
      <c r="I78" s="272" t="e">
        <f>(IF('Benzin - diesel - hybrid'!#REF!="nej",-IF(100-(100+'Benzin - diesel - hybrid'!I$64)*$B78/'Benzin - diesel - hybrid'!I$46&lt;0,0,100-(100+'Benzin - diesel - hybrid'!I$64)*$B78/'Benzin - diesel - hybrid'!I$46)/100*'Benzin - diesel - hybrid'!I$12,0)+'Benzin - diesel - hybrid'!I$65)*'Benzin - diesel - hybrid'!I$39*(1+'Benzin - diesel - hybrid'!#REF!/100)^-$B78</f>
        <v>#REF!</v>
      </c>
      <c r="J78" s="272"/>
      <c r="K78" s="272" t="e">
        <f>(IF('Benzin - diesel - hybrid'!#REF!="nej",-IF(100-(100+'Benzin - diesel - hybrid'!K$64)*$B78/'Benzin - diesel - hybrid'!K$46&lt;0,0,100-(100+'Benzin - diesel - hybrid'!K$64)*$B78/'Benzin - diesel - hybrid'!K$46)/100*'Benzin - diesel - hybrid'!K$12,0)+'Benzin - diesel - hybrid'!K$65)*'Benzin - diesel - hybrid'!K$39*(1+'Benzin - diesel - hybrid'!#REF!/100)^-$B78</f>
        <v>#REF!</v>
      </c>
      <c r="L78" s="272"/>
      <c r="M78" s="272" t="e">
        <f>(IF('Benzin - diesel - hybrid'!#REF!="nej",-IF(100-(100+'Benzin - diesel - hybrid'!M$64)*$B78/'Benzin - diesel - hybrid'!M$46&lt;0,0,100-(100+'Benzin - diesel - hybrid'!M$64)*$B78/'Benzin - diesel - hybrid'!M$46)/100*'Benzin - diesel - hybrid'!M$12,0)+'Benzin - diesel - hybrid'!M$65)*'Benzin - diesel - hybrid'!M$39*(1+'Benzin - diesel - hybrid'!#REF!/100)^-$B78</f>
        <v>#REF!</v>
      </c>
      <c r="N78" s="272"/>
      <c r="O78" s="272" t="e">
        <f>(IF('Benzin - diesel - hybrid'!#REF!="nej",-IF(100-(100+'Benzin - diesel - hybrid'!O$64)*$B78/'Benzin - diesel - hybrid'!O$46&lt;0,0,100-(100+'Benzin - diesel - hybrid'!O$64)*$B78/'Benzin - diesel - hybrid'!O$46)/100*'Benzin - diesel - hybrid'!O$12,0)+'Benzin - diesel - hybrid'!O$65)*'Benzin - diesel - hybrid'!O$39*(1+'Benzin - diesel - hybrid'!#REF!/100)^-$B78</f>
        <v>#REF!</v>
      </c>
      <c r="P78" s="272"/>
      <c r="Q78" s="272" t="e">
        <f>(IF('Benzin - diesel - hybrid'!#REF!="nej",-IF(100-(100+'Benzin - diesel - hybrid'!Q$64)*$B78/'Benzin - diesel - hybrid'!Q$46&lt;0,0,100-(100+'Benzin - diesel - hybrid'!Q$64)*$B78/'Benzin - diesel - hybrid'!Q$46)/100*'Benzin - diesel - hybrid'!Q$12,0)+'Benzin - diesel - hybrid'!Q$65)*'Benzin - diesel - hybrid'!Q$39*(1+'Benzin - diesel - hybrid'!#REF!/100)^-$B78</f>
        <v>#REF!</v>
      </c>
      <c r="R78" s="272"/>
      <c r="S78" s="272" t="e">
        <f>(IF('Benzin - diesel - hybrid'!#REF!="nej",-IF(100-(100+'Benzin - diesel - hybrid'!S$64)*$B78/'Benzin - diesel - hybrid'!S$46&lt;0,0,100-(100+'Benzin - diesel - hybrid'!S$64)*$B78/'Benzin - diesel - hybrid'!S$46)/100*'Benzin - diesel - hybrid'!S$12,0)+'Benzin - diesel - hybrid'!S$65)*'Benzin - diesel - hybrid'!S$39*(1+'Benzin - diesel - hybrid'!#REF!/100)^-$B78</f>
        <v>#REF!</v>
      </c>
      <c r="U78" s="272" t="e">
        <f>(IF('Benzin - diesel - hybrid'!#REF!="nej",-IF(100-(100+'Benzin - diesel - hybrid'!Y$64)*$B78/'Benzin - diesel - hybrid'!Y$46&lt;0,0,100-(100+'Benzin - diesel - hybrid'!Y$64)*$B78/'Benzin - diesel - hybrid'!Y$46)/100*'Benzin - diesel - hybrid'!Y$12,0)+'Benzin - diesel - hybrid'!Y$65)*'Benzin - diesel - hybrid'!Y$39*(1+'Benzin - diesel - hybrid'!#REF!/100)^-$B78</f>
        <v>#REF!</v>
      </c>
      <c r="W78" s="272" t="e">
        <f>(IF('Benzin - diesel - hybrid'!#REF!="nej",-IF(100-(100+'Benzin - diesel - hybrid'!AA$64)*$B78/'Benzin - diesel - hybrid'!AA$46&lt;0,0,100-(100+'Benzin - diesel - hybrid'!AA$64)*$B78/'Benzin - diesel - hybrid'!AA$46)/100*'Benzin - diesel - hybrid'!AA$12,0)+'Benzin - diesel - hybrid'!AA$65)*'Benzin - diesel - hybrid'!AA$39*(1+'Benzin - diesel - hybrid'!#REF!/100)^-$B78</f>
        <v>#REF!</v>
      </c>
    </row>
    <row r="79" spans="1:23" hidden="1" outlineLevel="1">
      <c r="A79" s="248"/>
      <c r="B79" s="271">
        <v>7</v>
      </c>
      <c r="C79" s="271">
        <f t="shared" si="4"/>
        <v>7</v>
      </c>
      <c r="D79" s="248"/>
      <c r="E79" s="272" t="e">
        <f>(IF('Benzin - diesel - hybrid'!#REF!="nej",-IF(100-(100+'Benzin - diesel - hybrid'!E$64)*$B79/'Benzin - diesel - hybrid'!E$46&lt;0,0,100-(100+'Benzin - diesel - hybrid'!E$64)*$B79/'Benzin - diesel - hybrid'!E$46)/100*'Benzin - diesel - hybrid'!E$12,0)+'Benzin - diesel - hybrid'!E$65)*'Benzin - diesel - hybrid'!E$39*(1+'Benzin - diesel - hybrid'!#REF!/100)^-$B79</f>
        <v>#REF!</v>
      </c>
      <c r="F79" s="272"/>
      <c r="G79" s="272" t="e">
        <f>(IF('Benzin - diesel - hybrid'!#REF!="nej",-IF(100-(100+'Benzin - diesel - hybrid'!G$64)*$B79/'Benzin - diesel - hybrid'!G$46&lt;0,0,100-(100+'Benzin - diesel - hybrid'!G$64)*$B79/'Benzin - diesel - hybrid'!G$46)/100*'Benzin - diesel - hybrid'!G$12,0)+'Benzin - diesel - hybrid'!G$65)*'Benzin - diesel - hybrid'!G$39*(1+'Benzin - diesel - hybrid'!#REF!/100)^-$B79</f>
        <v>#REF!</v>
      </c>
      <c r="H79" s="272"/>
      <c r="I79" s="272" t="e">
        <f>(IF('Benzin - diesel - hybrid'!#REF!="nej",-IF(100-(100+'Benzin - diesel - hybrid'!I$64)*$B79/'Benzin - diesel - hybrid'!I$46&lt;0,0,100-(100+'Benzin - diesel - hybrid'!I$64)*$B79/'Benzin - diesel - hybrid'!I$46)/100*'Benzin - diesel - hybrid'!I$12,0)+'Benzin - diesel - hybrid'!I$65)*'Benzin - diesel - hybrid'!I$39*(1+'Benzin - diesel - hybrid'!#REF!/100)^-$B79</f>
        <v>#REF!</v>
      </c>
      <c r="J79" s="272"/>
      <c r="K79" s="272" t="e">
        <f>(IF('Benzin - diesel - hybrid'!#REF!="nej",-IF(100-(100+'Benzin - diesel - hybrid'!K$64)*$B79/'Benzin - diesel - hybrid'!K$46&lt;0,0,100-(100+'Benzin - diesel - hybrid'!K$64)*$B79/'Benzin - diesel - hybrid'!K$46)/100*'Benzin - diesel - hybrid'!K$12,0)+'Benzin - diesel - hybrid'!K$65)*'Benzin - diesel - hybrid'!K$39*(1+'Benzin - diesel - hybrid'!#REF!/100)^-$B79</f>
        <v>#REF!</v>
      </c>
      <c r="L79" s="272"/>
      <c r="M79" s="272" t="e">
        <f>(IF('Benzin - diesel - hybrid'!#REF!="nej",-IF(100-(100+'Benzin - diesel - hybrid'!M$64)*$B79/'Benzin - diesel - hybrid'!M$46&lt;0,0,100-(100+'Benzin - diesel - hybrid'!M$64)*$B79/'Benzin - diesel - hybrid'!M$46)/100*'Benzin - diesel - hybrid'!M$12,0)+'Benzin - diesel - hybrid'!M$65)*'Benzin - diesel - hybrid'!M$39*(1+'Benzin - diesel - hybrid'!#REF!/100)^-$B79</f>
        <v>#REF!</v>
      </c>
      <c r="N79" s="272"/>
      <c r="O79" s="272" t="e">
        <f>(IF('Benzin - diesel - hybrid'!#REF!="nej",-IF(100-(100+'Benzin - diesel - hybrid'!O$64)*$B79/'Benzin - diesel - hybrid'!O$46&lt;0,0,100-(100+'Benzin - diesel - hybrid'!O$64)*$B79/'Benzin - diesel - hybrid'!O$46)/100*'Benzin - diesel - hybrid'!O$12,0)+'Benzin - diesel - hybrid'!O$65)*'Benzin - diesel - hybrid'!O$39*(1+'Benzin - diesel - hybrid'!#REF!/100)^-$B79</f>
        <v>#REF!</v>
      </c>
      <c r="P79" s="272"/>
      <c r="Q79" s="272" t="e">
        <f>(IF('Benzin - diesel - hybrid'!#REF!="nej",-IF(100-(100+'Benzin - diesel - hybrid'!Q$64)*$B79/'Benzin - diesel - hybrid'!Q$46&lt;0,0,100-(100+'Benzin - diesel - hybrid'!Q$64)*$B79/'Benzin - diesel - hybrid'!Q$46)/100*'Benzin - diesel - hybrid'!Q$12,0)+'Benzin - diesel - hybrid'!Q$65)*'Benzin - diesel - hybrid'!Q$39*(1+'Benzin - diesel - hybrid'!#REF!/100)^-$B79</f>
        <v>#REF!</v>
      </c>
      <c r="R79" s="272"/>
      <c r="S79" s="272" t="e">
        <f>(IF('Benzin - diesel - hybrid'!#REF!="nej",-IF(100-(100+'Benzin - diesel - hybrid'!S$64)*$B79/'Benzin - diesel - hybrid'!S$46&lt;0,0,100-(100+'Benzin - diesel - hybrid'!S$64)*$B79/'Benzin - diesel - hybrid'!S$46)/100*'Benzin - diesel - hybrid'!S$12,0)+'Benzin - diesel - hybrid'!S$65)*'Benzin - diesel - hybrid'!S$39*(1+'Benzin - diesel - hybrid'!#REF!/100)^-$B79</f>
        <v>#REF!</v>
      </c>
      <c r="U79" s="272" t="e">
        <f>(IF('Benzin - diesel - hybrid'!#REF!="nej",-IF(100-(100+'Benzin - diesel - hybrid'!Y$64)*$B79/'Benzin - diesel - hybrid'!Y$46&lt;0,0,100-(100+'Benzin - diesel - hybrid'!Y$64)*$B79/'Benzin - diesel - hybrid'!Y$46)/100*'Benzin - diesel - hybrid'!Y$12,0)+'Benzin - diesel - hybrid'!Y$65)*'Benzin - diesel - hybrid'!Y$39*(1+'Benzin - diesel - hybrid'!#REF!/100)^-$B79</f>
        <v>#REF!</v>
      </c>
      <c r="W79" s="272" t="e">
        <f>(IF('Benzin - diesel - hybrid'!#REF!="nej",-IF(100-(100+'Benzin - diesel - hybrid'!AA$64)*$B79/'Benzin - diesel - hybrid'!AA$46&lt;0,0,100-(100+'Benzin - diesel - hybrid'!AA$64)*$B79/'Benzin - diesel - hybrid'!AA$46)/100*'Benzin - diesel - hybrid'!AA$12,0)+'Benzin - diesel - hybrid'!AA$65)*'Benzin - diesel - hybrid'!AA$39*(1+'Benzin - diesel - hybrid'!#REF!/100)^-$B79</f>
        <v>#REF!</v>
      </c>
    </row>
    <row r="80" spans="1:23" hidden="1" outlineLevel="1">
      <c r="A80" s="248"/>
      <c r="B80" s="271">
        <v>8</v>
      </c>
      <c r="C80" s="271">
        <f t="shared" si="4"/>
        <v>8</v>
      </c>
      <c r="D80" s="248"/>
      <c r="E80" s="272" t="e">
        <f>(IF('Benzin - diesel - hybrid'!#REF!="nej",-IF(100-(100+'Benzin - diesel - hybrid'!E$64)*$B80/'Benzin - diesel - hybrid'!E$46&lt;0,0,100-(100+'Benzin - diesel - hybrid'!E$64)*$B80/'Benzin - diesel - hybrid'!E$46)/100*'Benzin - diesel - hybrid'!E$12,0)+'Benzin - diesel - hybrid'!E$65)*'Benzin - diesel - hybrid'!E$39*(1+'Benzin - diesel - hybrid'!#REF!/100)^-$B80</f>
        <v>#REF!</v>
      </c>
      <c r="F80" s="272"/>
      <c r="G80" s="272" t="e">
        <f>(IF('Benzin - diesel - hybrid'!#REF!="nej",-IF(100-(100+'Benzin - diesel - hybrid'!G$64)*$B80/'Benzin - diesel - hybrid'!G$46&lt;0,0,100-(100+'Benzin - diesel - hybrid'!G$64)*$B80/'Benzin - diesel - hybrid'!G$46)/100*'Benzin - diesel - hybrid'!G$12,0)+'Benzin - diesel - hybrid'!G$65)*'Benzin - diesel - hybrid'!G$39*(1+'Benzin - diesel - hybrid'!#REF!/100)^-$B80</f>
        <v>#REF!</v>
      </c>
      <c r="H80" s="272"/>
      <c r="I80" s="272" t="e">
        <f>(IF('Benzin - diesel - hybrid'!#REF!="nej",-IF(100-(100+'Benzin - diesel - hybrid'!I$64)*$B80/'Benzin - diesel - hybrid'!I$46&lt;0,0,100-(100+'Benzin - diesel - hybrid'!I$64)*$B80/'Benzin - diesel - hybrid'!I$46)/100*'Benzin - diesel - hybrid'!I$12,0)+'Benzin - diesel - hybrid'!I$65)*'Benzin - diesel - hybrid'!I$39*(1+'Benzin - diesel - hybrid'!#REF!/100)^-$B80</f>
        <v>#REF!</v>
      </c>
      <c r="J80" s="272"/>
      <c r="K80" s="272" t="e">
        <f>(IF('Benzin - diesel - hybrid'!#REF!="nej",-IF(100-(100+'Benzin - diesel - hybrid'!K$64)*$B80/'Benzin - diesel - hybrid'!K$46&lt;0,0,100-(100+'Benzin - diesel - hybrid'!K$64)*$B80/'Benzin - diesel - hybrid'!K$46)/100*'Benzin - diesel - hybrid'!K$12,0)+'Benzin - diesel - hybrid'!K$65)*'Benzin - diesel - hybrid'!K$39*(1+'Benzin - diesel - hybrid'!#REF!/100)^-$B80</f>
        <v>#REF!</v>
      </c>
      <c r="L80" s="272"/>
      <c r="M80" s="272" t="e">
        <f>(IF('Benzin - diesel - hybrid'!#REF!="nej",-IF(100-(100+'Benzin - diesel - hybrid'!M$64)*$B80/'Benzin - diesel - hybrid'!M$46&lt;0,0,100-(100+'Benzin - diesel - hybrid'!M$64)*$B80/'Benzin - diesel - hybrid'!M$46)/100*'Benzin - diesel - hybrid'!M$12,0)+'Benzin - diesel - hybrid'!M$65)*'Benzin - diesel - hybrid'!M$39*(1+'Benzin - diesel - hybrid'!#REF!/100)^-$B80</f>
        <v>#REF!</v>
      </c>
      <c r="N80" s="272"/>
      <c r="O80" s="272" t="e">
        <f>(IF('Benzin - diesel - hybrid'!#REF!="nej",-IF(100-(100+'Benzin - diesel - hybrid'!O$64)*$B80/'Benzin - diesel - hybrid'!O$46&lt;0,0,100-(100+'Benzin - diesel - hybrid'!O$64)*$B80/'Benzin - diesel - hybrid'!O$46)/100*'Benzin - diesel - hybrid'!O$12,0)+'Benzin - diesel - hybrid'!O$65)*'Benzin - diesel - hybrid'!O$39*(1+'Benzin - diesel - hybrid'!#REF!/100)^-$B80</f>
        <v>#REF!</v>
      </c>
      <c r="P80" s="272"/>
      <c r="Q80" s="272" t="e">
        <f>(IF('Benzin - diesel - hybrid'!#REF!="nej",-IF(100-(100+'Benzin - diesel - hybrid'!Q$64)*$B80/'Benzin - diesel - hybrid'!Q$46&lt;0,0,100-(100+'Benzin - diesel - hybrid'!Q$64)*$B80/'Benzin - diesel - hybrid'!Q$46)/100*'Benzin - diesel - hybrid'!Q$12,0)+'Benzin - diesel - hybrid'!Q$65)*'Benzin - diesel - hybrid'!Q$39*(1+'Benzin - diesel - hybrid'!#REF!/100)^-$B80</f>
        <v>#REF!</v>
      </c>
      <c r="R80" s="272"/>
      <c r="S80" s="272" t="e">
        <f>(IF('Benzin - diesel - hybrid'!#REF!="nej",-IF(100-(100+'Benzin - diesel - hybrid'!S$64)*$B80/'Benzin - diesel - hybrid'!S$46&lt;0,0,100-(100+'Benzin - diesel - hybrid'!S$64)*$B80/'Benzin - diesel - hybrid'!S$46)/100*'Benzin - diesel - hybrid'!S$12,0)+'Benzin - diesel - hybrid'!S$65)*'Benzin - diesel - hybrid'!S$39*(1+'Benzin - diesel - hybrid'!#REF!/100)^-$B80</f>
        <v>#REF!</v>
      </c>
      <c r="U80" s="272" t="e">
        <f>(IF('Benzin - diesel - hybrid'!#REF!="nej",-IF(100-(100+'Benzin - diesel - hybrid'!Y$64)*$B80/'Benzin - diesel - hybrid'!Y$46&lt;0,0,100-(100+'Benzin - diesel - hybrid'!Y$64)*$B80/'Benzin - diesel - hybrid'!Y$46)/100*'Benzin - diesel - hybrid'!Y$12,0)+'Benzin - diesel - hybrid'!Y$65)*'Benzin - diesel - hybrid'!Y$39*(1+'Benzin - diesel - hybrid'!#REF!/100)^-$B80</f>
        <v>#REF!</v>
      </c>
      <c r="W80" s="272" t="e">
        <f>(IF('Benzin - diesel - hybrid'!#REF!="nej",-IF(100-(100+'Benzin - diesel - hybrid'!AA$64)*$B80/'Benzin - diesel - hybrid'!AA$46&lt;0,0,100-(100+'Benzin - diesel - hybrid'!AA$64)*$B80/'Benzin - diesel - hybrid'!AA$46)/100*'Benzin - diesel - hybrid'!AA$12,0)+'Benzin - diesel - hybrid'!AA$65)*'Benzin - diesel - hybrid'!AA$39*(1+'Benzin - diesel - hybrid'!#REF!/100)^-$B80</f>
        <v>#REF!</v>
      </c>
    </row>
    <row r="81" spans="1:23" hidden="1" outlineLevel="1">
      <c r="A81" s="248"/>
      <c r="B81" s="271">
        <v>9</v>
      </c>
      <c r="C81" s="271">
        <f t="shared" si="4"/>
        <v>9</v>
      </c>
      <c r="D81" s="248"/>
      <c r="E81" s="272" t="e">
        <f>(IF('Benzin - diesel - hybrid'!#REF!="nej",-IF(100-(100+'Benzin - diesel - hybrid'!E$64)*$B81/'Benzin - diesel - hybrid'!E$46&lt;0,0,100-(100+'Benzin - diesel - hybrid'!E$64)*$B81/'Benzin - diesel - hybrid'!E$46)/100*'Benzin - diesel - hybrid'!E$12,0)+'Benzin - diesel - hybrid'!E$65)*'Benzin - diesel - hybrid'!E$39*(1+'Benzin - diesel - hybrid'!#REF!/100)^-$B81</f>
        <v>#REF!</v>
      </c>
      <c r="F81" s="272"/>
      <c r="G81" s="272" t="e">
        <f>(IF('Benzin - diesel - hybrid'!#REF!="nej",-IF(100-(100+'Benzin - diesel - hybrid'!G$64)*$B81/'Benzin - diesel - hybrid'!G$46&lt;0,0,100-(100+'Benzin - diesel - hybrid'!G$64)*$B81/'Benzin - diesel - hybrid'!G$46)/100*'Benzin - diesel - hybrid'!G$12,0)+'Benzin - diesel - hybrid'!G$65)*'Benzin - diesel - hybrid'!G$39*(1+'Benzin - diesel - hybrid'!#REF!/100)^-$B81</f>
        <v>#REF!</v>
      </c>
      <c r="H81" s="272"/>
      <c r="I81" s="272" t="e">
        <f>(IF('Benzin - diesel - hybrid'!#REF!="nej",-IF(100-(100+'Benzin - diesel - hybrid'!I$64)*$B81/'Benzin - diesel - hybrid'!I$46&lt;0,0,100-(100+'Benzin - diesel - hybrid'!I$64)*$B81/'Benzin - diesel - hybrid'!I$46)/100*'Benzin - diesel - hybrid'!I$12,0)+'Benzin - diesel - hybrid'!I$65)*'Benzin - diesel - hybrid'!I$39*(1+'Benzin - diesel - hybrid'!#REF!/100)^-$B81</f>
        <v>#REF!</v>
      </c>
      <c r="J81" s="272"/>
      <c r="K81" s="272" t="e">
        <f>(IF('Benzin - diesel - hybrid'!#REF!="nej",-IF(100-(100+'Benzin - diesel - hybrid'!K$64)*$B81/'Benzin - diesel - hybrid'!K$46&lt;0,0,100-(100+'Benzin - diesel - hybrid'!K$64)*$B81/'Benzin - diesel - hybrid'!K$46)/100*'Benzin - diesel - hybrid'!K$12,0)+'Benzin - diesel - hybrid'!K$65)*'Benzin - diesel - hybrid'!K$39*(1+'Benzin - diesel - hybrid'!#REF!/100)^-$B81</f>
        <v>#REF!</v>
      </c>
      <c r="L81" s="272"/>
      <c r="M81" s="272" t="e">
        <f>(IF('Benzin - diesel - hybrid'!#REF!="nej",-IF(100-(100+'Benzin - diesel - hybrid'!M$64)*$B81/'Benzin - diesel - hybrid'!M$46&lt;0,0,100-(100+'Benzin - diesel - hybrid'!M$64)*$B81/'Benzin - diesel - hybrid'!M$46)/100*'Benzin - diesel - hybrid'!M$12,0)+'Benzin - diesel - hybrid'!M$65)*'Benzin - diesel - hybrid'!M$39*(1+'Benzin - diesel - hybrid'!#REF!/100)^-$B81</f>
        <v>#REF!</v>
      </c>
      <c r="N81" s="272"/>
      <c r="O81" s="272" t="e">
        <f>(IF('Benzin - diesel - hybrid'!#REF!="nej",-IF(100-(100+'Benzin - diesel - hybrid'!O$64)*$B81/'Benzin - diesel - hybrid'!O$46&lt;0,0,100-(100+'Benzin - diesel - hybrid'!O$64)*$B81/'Benzin - diesel - hybrid'!O$46)/100*'Benzin - diesel - hybrid'!O$12,0)+'Benzin - diesel - hybrid'!O$65)*'Benzin - diesel - hybrid'!O$39*(1+'Benzin - diesel - hybrid'!#REF!/100)^-$B81</f>
        <v>#REF!</v>
      </c>
      <c r="P81" s="272"/>
      <c r="Q81" s="272" t="e">
        <f>(IF('Benzin - diesel - hybrid'!#REF!="nej",-IF(100-(100+'Benzin - diesel - hybrid'!Q$64)*$B81/'Benzin - diesel - hybrid'!Q$46&lt;0,0,100-(100+'Benzin - diesel - hybrid'!Q$64)*$B81/'Benzin - diesel - hybrid'!Q$46)/100*'Benzin - diesel - hybrid'!Q$12,0)+'Benzin - diesel - hybrid'!Q$65)*'Benzin - diesel - hybrid'!Q$39*(1+'Benzin - diesel - hybrid'!#REF!/100)^-$B81</f>
        <v>#REF!</v>
      </c>
      <c r="R81" s="272"/>
      <c r="S81" s="272" t="e">
        <f>(IF('Benzin - diesel - hybrid'!#REF!="nej",-IF(100-(100+'Benzin - diesel - hybrid'!S$64)*$B81/'Benzin - diesel - hybrid'!S$46&lt;0,0,100-(100+'Benzin - diesel - hybrid'!S$64)*$B81/'Benzin - diesel - hybrid'!S$46)/100*'Benzin - diesel - hybrid'!S$12,0)+'Benzin - diesel - hybrid'!S$65)*'Benzin - diesel - hybrid'!S$39*(1+'Benzin - diesel - hybrid'!#REF!/100)^-$B81</f>
        <v>#REF!</v>
      </c>
      <c r="U81" s="272" t="e">
        <f>(IF('Benzin - diesel - hybrid'!#REF!="nej",-IF(100-(100+'Benzin - diesel - hybrid'!Y$64)*$B81/'Benzin - diesel - hybrid'!Y$46&lt;0,0,100-(100+'Benzin - diesel - hybrid'!Y$64)*$B81/'Benzin - diesel - hybrid'!Y$46)/100*'Benzin - diesel - hybrid'!Y$12,0)+'Benzin - diesel - hybrid'!Y$65)*'Benzin - diesel - hybrid'!Y$39*(1+'Benzin - diesel - hybrid'!#REF!/100)^-$B81</f>
        <v>#REF!</v>
      </c>
      <c r="W81" s="272" t="e">
        <f>(IF('Benzin - diesel - hybrid'!#REF!="nej",-IF(100-(100+'Benzin - diesel - hybrid'!AA$64)*$B81/'Benzin - diesel - hybrid'!AA$46&lt;0,0,100-(100+'Benzin - diesel - hybrid'!AA$64)*$B81/'Benzin - diesel - hybrid'!AA$46)/100*'Benzin - diesel - hybrid'!AA$12,0)+'Benzin - diesel - hybrid'!AA$65)*'Benzin - diesel - hybrid'!AA$39*(1+'Benzin - diesel - hybrid'!#REF!/100)^-$B81</f>
        <v>#REF!</v>
      </c>
    </row>
    <row r="82" spans="1:23" hidden="1" outlineLevel="1">
      <c r="A82" s="248"/>
      <c r="B82" s="271">
        <v>10</v>
      </c>
      <c r="C82" s="271">
        <f t="shared" si="4"/>
        <v>10</v>
      </c>
      <c r="D82" s="248"/>
      <c r="E82" s="272" t="e">
        <f>(IF('Benzin - diesel - hybrid'!#REF!="nej",-IF(100-(100+'Benzin - diesel - hybrid'!E$64)*$B82/'Benzin - diesel - hybrid'!E$46&lt;0,0,100-(100+'Benzin - diesel - hybrid'!E$64)*$B82/'Benzin - diesel - hybrid'!E$46)/100*'Benzin - diesel - hybrid'!E$12,0)+'Benzin - diesel - hybrid'!E$65)*'Benzin - diesel - hybrid'!E$39*(1+'Benzin - diesel - hybrid'!#REF!/100)^-$B82</f>
        <v>#REF!</v>
      </c>
      <c r="F82" s="272"/>
      <c r="G82" s="272" t="e">
        <f>(IF('Benzin - diesel - hybrid'!#REF!="nej",-IF(100-(100+'Benzin - diesel - hybrid'!G$64)*$B82/'Benzin - diesel - hybrid'!G$46&lt;0,0,100-(100+'Benzin - diesel - hybrid'!G$64)*$B82/'Benzin - diesel - hybrid'!G$46)/100*'Benzin - diesel - hybrid'!G$12,0)+'Benzin - diesel - hybrid'!G$65)*'Benzin - diesel - hybrid'!G$39*(1+'Benzin - diesel - hybrid'!#REF!/100)^-$B82</f>
        <v>#REF!</v>
      </c>
      <c r="H82" s="272"/>
      <c r="I82" s="272" t="e">
        <f>(IF('Benzin - diesel - hybrid'!#REF!="nej",-IF(100-(100+'Benzin - diesel - hybrid'!I$64)*$B82/'Benzin - diesel - hybrid'!I$46&lt;0,0,100-(100+'Benzin - diesel - hybrid'!I$64)*$B82/'Benzin - diesel - hybrid'!I$46)/100*'Benzin - diesel - hybrid'!I$12,0)+'Benzin - diesel - hybrid'!I$65)*'Benzin - diesel - hybrid'!I$39*(1+'Benzin - diesel - hybrid'!#REF!/100)^-$B82</f>
        <v>#REF!</v>
      </c>
      <c r="J82" s="272"/>
      <c r="K82" s="272" t="e">
        <f>(IF('Benzin - diesel - hybrid'!#REF!="nej",-IF(100-(100+'Benzin - diesel - hybrid'!K$64)*$B82/'Benzin - diesel - hybrid'!K$46&lt;0,0,100-(100+'Benzin - diesel - hybrid'!K$64)*$B82/'Benzin - diesel - hybrid'!K$46)/100*'Benzin - diesel - hybrid'!K$12,0)+'Benzin - diesel - hybrid'!K$65)*'Benzin - diesel - hybrid'!K$39*(1+'Benzin - diesel - hybrid'!#REF!/100)^-$B82</f>
        <v>#REF!</v>
      </c>
      <c r="L82" s="272"/>
      <c r="M82" s="272" t="e">
        <f>(IF('Benzin - diesel - hybrid'!#REF!="nej",-IF(100-(100+'Benzin - diesel - hybrid'!M$64)*$B82/'Benzin - diesel - hybrid'!M$46&lt;0,0,100-(100+'Benzin - diesel - hybrid'!M$64)*$B82/'Benzin - diesel - hybrid'!M$46)/100*'Benzin - diesel - hybrid'!M$12,0)+'Benzin - diesel - hybrid'!M$65)*'Benzin - diesel - hybrid'!M$39*(1+'Benzin - diesel - hybrid'!#REF!/100)^-$B82</f>
        <v>#REF!</v>
      </c>
      <c r="N82" s="272"/>
      <c r="O82" s="272" t="e">
        <f>(IF('Benzin - diesel - hybrid'!#REF!="nej",-IF(100-(100+'Benzin - diesel - hybrid'!O$64)*$B82/'Benzin - diesel - hybrid'!O$46&lt;0,0,100-(100+'Benzin - diesel - hybrid'!O$64)*$B82/'Benzin - diesel - hybrid'!O$46)/100*'Benzin - diesel - hybrid'!O$12,0)+'Benzin - diesel - hybrid'!O$65)*'Benzin - diesel - hybrid'!O$39*(1+'Benzin - diesel - hybrid'!#REF!/100)^-$B82</f>
        <v>#REF!</v>
      </c>
      <c r="P82" s="272"/>
      <c r="Q82" s="272" t="e">
        <f>(IF('Benzin - diesel - hybrid'!#REF!="nej",-IF(100-(100+'Benzin - diesel - hybrid'!Q$64)*$B82/'Benzin - diesel - hybrid'!Q$46&lt;0,0,100-(100+'Benzin - diesel - hybrid'!Q$64)*$B82/'Benzin - diesel - hybrid'!Q$46)/100*'Benzin - diesel - hybrid'!Q$12,0)+'Benzin - diesel - hybrid'!Q$65)*'Benzin - diesel - hybrid'!Q$39*(1+'Benzin - diesel - hybrid'!#REF!/100)^-$B82</f>
        <v>#REF!</v>
      </c>
      <c r="R82" s="272"/>
      <c r="S82" s="272" t="e">
        <f>(IF('Benzin - diesel - hybrid'!#REF!="nej",-IF(100-(100+'Benzin - diesel - hybrid'!S$64)*$B82/'Benzin - diesel - hybrid'!S$46&lt;0,0,100-(100+'Benzin - diesel - hybrid'!S$64)*$B82/'Benzin - diesel - hybrid'!S$46)/100*'Benzin - diesel - hybrid'!S$12,0)+'Benzin - diesel - hybrid'!S$65)*'Benzin - diesel - hybrid'!S$39*(1+'Benzin - diesel - hybrid'!#REF!/100)^-$B82</f>
        <v>#REF!</v>
      </c>
      <c r="U82" s="272" t="e">
        <f>(IF('Benzin - diesel - hybrid'!#REF!="nej",-IF(100-(100+'Benzin - diesel - hybrid'!Y$64)*$B82/'Benzin - diesel - hybrid'!Y$46&lt;0,0,100-(100+'Benzin - diesel - hybrid'!Y$64)*$B82/'Benzin - diesel - hybrid'!Y$46)/100*'Benzin - diesel - hybrid'!Y$12,0)+'Benzin - diesel - hybrid'!Y$65)*'Benzin - diesel - hybrid'!Y$39*(1+'Benzin - diesel - hybrid'!#REF!/100)^-$B82</f>
        <v>#REF!</v>
      </c>
      <c r="W82" s="272" t="e">
        <f>(IF('Benzin - diesel - hybrid'!#REF!="nej",-IF(100-(100+'Benzin - diesel - hybrid'!AA$64)*$B82/'Benzin - diesel - hybrid'!AA$46&lt;0,0,100-(100+'Benzin - diesel - hybrid'!AA$64)*$B82/'Benzin - diesel - hybrid'!AA$46)/100*'Benzin - diesel - hybrid'!AA$12,0)+'Benzin - diesel - hybrid'!AA$65)*'Benzin - diesel - hybrid'!AA$39*(1+'Benzin - diesel - hybrid'!#REF!/100)^-$B82</f>
        <v>#REF!</v>
      </c>
    </row>
    <row r="83" spans="1:23" hidden="1" outlineLevel="1">
      <c r="A83" s="248"/>
      <c r="B83" s="271">
        <v>11</v>
      </c>
      <c r="C83" s="271">
        <f t="shared" si="4"/>
        <v>11</v>
      </c>
      <c r="D83" s="248"/>
      <c r="E83" s="272" t="e">
        <f>(IF('Benzin - diesel - hybrid'!#REF!="nej",-IF(100-(100+'Benzin - diesel - hybrid'!E$64)*$B83/'Benzin - diesel - hybrid'!E$46&lt;0,0,100-(100+'Benzin - diesel - hybrid'!E$64)*$B83/'Benzin - diesel - hybrid'!E$46)/100*'Benzin - diesel - hybrid'!E$12,0)+'Benzin - diesel - hybrid'!E$65)*'Benzin - diesel - hybrid'!E$39*(1+'Benzin - diesel - hybrid'!#REF!/100)^-$B83</f>
        <v>#REF!</v>
      </c>
      <c r="F83" s="272"/>
      <c r="G83" s="272" t="e">
        <f>(IF('Benzin - diesel - hybrid'!#REF!="nej",-IF(100-(100+'Benzin - diesel - hybrid'!G$64)*$B83/'Benzin - diesel - hybrid'!G$46&lt;0,0,100-(100+'Benzin - diesel - hybrid'!G$64)*$B83/'Benzin - diesel - hybrid'!G$46)/100*'Benzin - diesel - hybrid'!G$12,0)+'Benzin - diesel - hybrid'!G$65)*'Benzin - diesel - hybrid'!G$39*(1+'Benzin - diesel - hybrid'!#REF!/100)^-$B83</f>
        <v>#REF!</v>
      </c>
      <c r="H83" s="272"/>
      <c r="I83" s="272" t="e">
        <f>(IF('Benzin - diesel - hybrid'!#REF!="nej",-IF(100-(100+'Benzin - diesel - hybrid'!I$64)*$B83/'Benzin - diesel - hybrid'!I$46&lt;0,0,100-(100+'Benzin - diesel - hybrid'!I$64)*$B83/'Benzin - diesel - hybrid'!I$46)/100*'Benzin - diesel - hybrid'!I$12,0)+'Benzin - diesel - hybrid'!I$65)*'Benzin - diesel - hybrid'!I$39*(1+'Benzin - diesel - hybrid'!#REF!/100)^-$B83</f>
        <v>#REF!</v>
      </c>
      <c r="J83" s="272"/>
      <c r="K83" s="272" t="e">
        <f>(IF('Benzin - diesel - hybrid'!#REF!="nej",-IF(100-(100+'Benzin - diesel - hybrid'!K$64)*$B83/'Benzin - diesel - hybrid'!K$46&lt;0,0,100-(100+'Benzin - diesel - hybrid'!K$64)*$B83/'Benzin - diesel - hybrid'!K$46)/100*'Benzin - diesel - hybrid'!K$12,0)+'Benzin - diesel - hybrid'!K$65)*'Benzin - diesel - hybrid'!K$39*(1+'Benzin - diesel - hybrid'!#REF!/100)^-$B83</f>
        <v>#REF!</v>
      </c>
      <c r="L83" s="272"/>
      <c r="M83" s="272" t="e">
        <f>(IF('Benzin - diesel - hybrid'!#REF!="nej",-IF(100-(100+'Benzin - diesel - hybrid'!M$64)*$B83/'Benzin - diesel - hybrid'!M$46&lt;0,0,100-(100+'Benzin - diesel - hybrid'!M$64)*$B83/'Benzin - diesel - hybrid'!M$46)/100*'Benzin - diesel - hybrid'!M$12,0)+'Benzin - diesel - hybrid'!M$65)*'Benzin - diesel - hybrid'!M$39*(1+'Benzin - diesel - hybrid'!#REF!/100)^-$B83</f>
        <v>#REF!</v>
      </c>
      <c r="N83" s="272"/>
      <c r="O83" s="272" t="e">
        <f>(IF('Benzin - diesel - hybrid'!#REF!="nej",-IF(100-(100+'Benzin - diesel - hybrid'!O$64)*$B83/'Benzin - diesel - hybrid'!O$46&lt;0,0,100-(100+'Benzin - diesel - hybrid'!O$64)*$B83/'Benzin - diesel - hybrid'!O$46)/100*'Benzin - diesel - hybrid'!O$12,0)+'Benzin - diesel - hybrid'!O$65)*'Benzin - diesel - hybrid'!O$39*(1+'Benzin - diesel - hybrid'!#REF!/100)^-$B83</f>
        <v>#REF!</v>
      </c>
      <c r="P83" s="272"/>
      <c r="Q83" s="272" t="e">
        <f>(IF('Benzin - diesel - hybrid'!#REF!="nej",-IF(100-(100+'Benzin - diesel - hybrid'!Q$64)*$B83/'Benzin - diesel - hybrid'!Q$46&lt;0,0,100-(100+'Benzin - diesel - hybrid'!Q$64)*$B83/'Benzin - diesel - hybrid'!Q$46)/100*'Benzin - diesel - hybrid'!Q$12,0)+'Benzin - diesel - hybrid'!Q$65)*'Benzin - diesel - hybrid'!Q$39*(1+'Benzin - diesel - hybrid'!#REF!/100)^-$B83</f>
        <v>#REF!</v>
      </c>
      <c r="R83" s="272"/>
      <c r="S83" s="272" t="e">
        <f>(IF('Benzin - diesel - hybrid'!#REF!="nej",-IF(100-(100+'Benzin - diesel - hybrid'!S$64)*$B83/'Benzin - diesel - hybrid'!S$46&lt;0,0,100-(100+'Benzin - diesel - hybrid'!S$64)*$B83/'Benzin - diesel - hybrid'!S$46)/100*'Benzin - diesel - hybrid'!S$12,0)+'Benzin - diesel - hybrid'!S$65)*'Benzin - diesel - hybrid'!S$39*(1+'Benzin - diesel - hybrid'!#REF!/100)^-$B83</f>
        <v>#REF!</v>
      </c>
      <c r="U83" s="272" t="e">
        <f>(IF('Benzin - diesel - hybrid'!#REF!="nej",-IF(100-(100+'Benzin - diesel - hybrid'!Y$64)*$B83/'Benzin - diesel - hybrid'!Y$46&lt;0,0,100-(100+'Benzin - diesel - hybrid'!Y$64)*$B83/'Benzin - diesel - hybrid'!Y$46)/100*'Benzin - diesel - hybrid'!Y$12,0)+'Benzin - diesel - hybrid'!Y$65)*'Benzin - diesel - hybrid'!Y$39*(1+'Benzin - diesel - hybrid'!#REF!/100)^-$B83</f>
        <v>#REF!</v>
      </c>
      <c r="W83" s="272" t="e">
        <f>(IF('Benzin - diesel - hybrid'!#REF!="nej",-IF(100-(100+'Benzin - diesel - hybrid'!AA$64)*$B83/'Benzin - diesel - hybrid'!AA$46&lt;0,0,100-(100+'Benzin - diesel - hybrid'!AA$64)*$B83/'Benzin - diesel - hybrid'!AA$46)/100*'Benzin - diesel - hybrid'!AA$12,0)+'Benzin - diesel - hybrid'!AA$65)*'Benzin - diesel - hybrid'!AA$39*(1+'Benzin - diesel - hybrid'!#REF!/100)^-$B83</f>
        <v>#REF!</v>
      </c>
    </row>
    <row r="84" spans="1:23" hidden="1" outlineLevel="1">
      <c r="A84" s="248"/>
      <c r="B84" s="271">
        <v>12</v>
      </c>
      <c r="C84" s="271">
        <f t="shared" si="4"/>
        <v>12</v>
      </c>
      <c r="D84" s="248"/>
      <c r="E84" s="272" t="e">
        <f>(IF('Benzin - diesel - hybrid'!#REF!="nej",-IF(100-(100+'Benzin - diesel - hybrid'!E$64)*$B84/'Benzin - diesel - hybrid'!E$46&lt;0,0,100-(100+'Benzin - diesel - hybrid'!E$64)*$B84/'Benzin - diesel - hybrid'!E$46)/100*'Benzin - diesel - hybrid'!E$12,0)+'Benzin - diesel - hybrid'!E$65)*'Benzin - diesel - hybrid'!E$39*(1+'Benzin - diesel - hybrid'!#REF!/100)^-$B84</f>
        <v>#REF!</v>
      </c>
      <c r="F84" s="272"/>
      <c r="G84" s="272" t="e">
        <f>(IF('Benzin - diesel - hybrid'!#REF!="nej",-IF(100-(100+'Benzin - diesel - hybrid'!G$64)*$B84/'Benzin - diesel - hybrid'!G$46&lt;0,0,100-(100+'Benzin - diesel - hybrid'!G$64)*$B84/'Benzin - diesel - hybrid'!G$46)/100*'Benzin - diesel - hybrid'!G$12,0)+'Benzin - diesel - hybrid'!G$65)*'Benzin - diesel - hybrid'!G$39*(1+'Benzin - diesel - hybrid'!#REF!/100)^-$B84</f>
        <v>#REF!</v>
      </c>
      <c r="H84" s="272"/>
      <c r="I84" s="272" t="e">
        <f>(IF('Benzin - diesel - hybrid'!#REF!="nej",-IF(100-(100+'Benzin - diesel - hybrid'!I$64)*$B84/'Benzin - diesel - hybrid'!I$46&lt;0,0,100-(100+'Benzin - diesel - hybrid'!I$64)*$B84/'Benzin - diesel - hybrid'!I$46)/100*'Benzin - diesel - hybrid'!I$12,0)+'Benzin - diesel - hybrid'!I$65)*'Benzin - diesel - hybrid'!I$39*(1+'Benzin - diesel - hybrid'!#REF!/100)^-$B84</f>
        <v>#REF!</v>
      </c>
      <c r="J84" s="272"/>
      <c r="K84" s="272" t="e">
        <f>(IF('Benzin - diesel - hybrid'!#REF!="nej",-IF(100-(100+'Benzin - diesel - hybrid'!K$64)*$B84/'Benzin - diesel - hybrid'!K$46&lt;0,0,100-(100+'Benzin - diesel - hybrid'!K$64)*$B84/'Benzin - diesel - hybrid'!K$46)/100*'Benzin - diesel - hybrid'!K$12,0)+'Benzin - diesel - hybrid'!K$65)*'Benzin - diesel - hybrid'!K$39*(1+'Benzin - diesel - hybrid'!#REF!/100)^-$B84</f>
        <v>#REF!</v>
      </c>
      <c r="L84" s="272"/>
      <c r="M84" s="272" t="e">
        <f>(IF('Benzin - diesel - hybrid'!#REF!="nej",-IF(100-(100+'Benzin - diesel - hybrid'!M$64)*$B84/'Benzin - diesel - hybrid'!M$46&lt;0,0,100-(100+'Benzin - diesel - hybrid'!M$64)*$B84/'Benzin - diesel - hybrid'!M$46)/100*'Benzin - diesel - hybrid'!M$12,0)+'Benzin - diesel - hybrid'!M$65)*'Benzin - diesel - hybrid'!M$39*(1+'Benzin - diesel - hybrid'!#REF!/100)^-$B84</f>
        <v>#REF!</v>
      </c>
      <c r="N84" s="272"/>
      <c r="O84" s="272" t="e">
        <f>(IF('Benzin - diesel - hybrid'!#REF!="nej",-IF(100-(100+'Benzin - diesel - hybrid'!O$64)*$B84/'Benzin - diesel - hybrid'!O$46&lt;0,0,100-(100+'Benzin - diesel - hybrid'!O$64)*$B84/'Benzin - diesel - hybrid'!O$46)/100*'Benzin - diesel - hybrid'!O$12,0)+'Benzin - diesel - hybrid'!O$65)*'Benzin - diesel - hybrid'!O$39*(1+'Benzin - diesel - hybrid'!#REF!/100)^-$B84</f>
        <v>#REF!</v>
      </c>
      <c r="P84" s="272"/>
      <c r="Q84" s="272" t="e">
        <f>(IF('Benzin - diesel - hybrid'!#REF!="nej",-IF(100-(100+'Benzin - diesel - hybrid'!Q$64)*$B84/'Benzin - diesel - hybrid'!Q$46&lt;0,0,100-(100+'Benzin - diesel - hybrid'!Q$64)*$B84/'Benzin - diesel - hybrid'!Q$46)/100*'Benzin - diesel - hybrid'!Q$12,0)+'Benzin - diesel - hybrid'!Q$65)*'Benzin - diesel - hybrid'!Q$39*(1+'Benzin - diesel - hybrid'!#REF!/100)^-$B84</f>
        <v>#REF!</v>
      </c>
      <c r="R84" s="272"/>
      <c r="S84" s="272" t="e">
        <f>(IF('Benzin - diesel - hybrid'!#REF!="nej",-IF(100-(100+'Benzin - diesel - hybrid'!S$64)*$B84/'Benzin - diesel - hybrid'!S$46&lt;0,0,100-(100+'Benzin - diesel - hybrid'!S$64)*$B84/'Benzin - diesel - hybrid'!S$46)/100*'Benzin - diesel - hybrid'!S$12,0)+'Benzin - diesel - hybrid'!S$65)*'Benzin - diesel - hybrid'!S$39*(1+'Benzin - diesel - hybrid'!#REF!/100)^-$B84</f>
        <v>#REF!</v>
      </c>
      <c r="U84" s="272" t="e">
        <f>(IF('Benzin - diesel - hybrid'!#REF!="nej",-IF(100-(100+'Benzin - diesel - hybrid'!Y$64)*$B84/'Benzin - diesel - hybrid'!Y$46&lt;0,0,100-(100+'Benzin - diesel - hybrid'!Y$64)*$B84/'Benzin - diesel - hybrid'!Y$46)/100*'Benzin - diesel - hybrid'!Y$12,0)+'Benzin - diesel - hybrid'!Y$65)*'Benzin - diesel - hybrid'!Y$39*(1+'Benzin - diesel - hybrid'!#REF!/100)^-$B84</f>
        <v>#REF!</v>
      </c>
      <c r="W84" s="272" t="e">
        <f>(IF('Benzin - diesel - hybrid'!#REF!="nej",-IF(100-(100+'Benzin - diesel - hybrid'!AA$64)*$B84/'Benzin - diesel - hybrid'!AA$46&lt;0,0,100-(100+'Benzin - diesel - hybrid'!AA$64)*$B84/'Benzin - diesel - hybrid'!AA$46)/100*'Benzin - diesel - hybrid'!AA$12,0)+'Benzin - diesel - hybrid'!AA$65)*'Benzin - diesel - hybrid'!AA$39*(1+'Benzin - diesel - hybrid'!#REF!/100)^-$B84</f>
        <v>#REF!</v>
      </c>
    </row>
    <row r="85" spans="1:23" hidden="1" outlineLevel="1">
      <c r="A85" s="248"/>
      <c r="B85" s="271">
        <v>13</v>
      </c>
      <c r="C85" s="271">
        <f t="shared" si="4"/>
        <v>13</v>
      </c>
      <c r="D85" s="248"/>
      <c r="E85" s="272" t="e">
        <f>(IF('Benzin - diesel - hybrid'!#REF!="nej",-IF(100-(100+'Benzin - diesel - hybrid'!E$64)*$B85/'Benzin - diesel - hybrid'!E$46&lt;0,0,100-(100+'Benzin - diesel - hybrid'!E$64)*$B85/'Benzin - diesel - hybrid'!E$46)/100*'Benzin - diesel - hybrid'!E$12,0)+'Benzin - diesel - hybrid'!E$65)*'Benzin - diesel - hybrid'!E$39*(1+'Benzin - diesel - hybrid'!#REF!/100)^-$B85</f>
        <v>#REF!</v>
      </c>
      <c r="F85" s="272"/>
      <c r="G85" s="272" t="e">
        <f>(IF('Benzin - diesel - hybrid'!#REF!="nej",-IF(100-(100+'Benzin - diesel - hybrid'!G$64)*$B85/'Benzin - diesel - hybrid'!G$46&lt;0,0,100-(100+'Benzin - diesel - hybrid'!G$64)*$B85/'Benzin - diesel - hybrid'!G$46)/100*'Benzin - diesel - hybrid'!G$12,0)+'Benzin - diesel - hybrid'!G$65)*'Benzin - diesel - hybrid'!G$39*(1+'Benzin - diesel - hybrid'!#REF!/100)^-$B85</f>
        <v>#REF!</v>
      </c>
      <c r="H85" s="272"/>
      <c r="I85" s="272" t="e">
        <f>(IF('Benzin - diesel - hybrid'!#REF!="nej",-IF(100-(100+'Benzin - diesel - hybrid'!I$64)*$B85/'Benzin - diesel - hybrid'!I$46&lt;0,0,100-(100+'Benzin - diesel - hybrid'!I$64)*$B85/'Benzin - diesel - hybrid'!I$46)/100*'Benzin - diesel - hybrid'!I$12,0)+'Benzin - diesel - hybrid'!I$65)*'Benzin - diesel - hybrid'!I$39*(1+'Benzin - diesel - hybrid'!#REF!/100)^-$B85</f>
        <v>#REF!</v>
      </c>
      <c r="J85" s="272"/>
      <c r="K85" s="272" t="e">
        <f>(IF('Benzin - diesel - hybrid'!#REF!="nej",-IF(100-(100+'Benzin - diesel - hybrid'!K$64)*$B85/'Benzin - diesel - hybrid'!K$46&lt;0,0,100-(100+'Benzin - diesel - hybrid'!K$64)*$B85/'Benzin - diesel - hybrid'!K$46)/100*'Benzin - diesel - hybrid'!K$12,0)+'Benzin - diesel - hybrid'!K$65)*'Benzin - diesel - hybrid'!K$39*(1+'Benzin - diesel - hybrid'!#REF!/100)^-$B85</f>
        <v>#REF!</v>
      </c>
      <c r="L85" s="272"/>
      <c r="M85" s="272" t="e">
        <f>(IF('Benzin - diesel - hybrid'!#REF!="nej",-IF(100-(100+'Benzin - diesel - hybrid'!M$64)*$B85/'Benzin - diesel - hybrid'!M$46&lt;0,0,100-(100+'Benzin - diesel - hybrid'!M$64)*$B85/'Benzin - diesel - hybrid'!M$46)/100*'Benzin - diesel - hybrid'!M$12,0)+'Benzin - diesel - hybrid'!M$65)*'Benzin - diesel - hybrid'!M$39*(1+'Benzin - diesel - hybrid'!#REF!/100)^-$B85</f>
        <v>#REF!</v>
      </c>
      <c r="N85" s="272"/>
      <c r="O85" s="272" t="e">
        <f>(IF('Benzin - diesel - hybrid'!#REF!="nej",-IF(100-(100+'Benzin - diesel - hybrid'!O$64)*$B85/'Benzin - diesel - hybrid'!O$46&lt;0,0,100-(100+'Benzin - diesel - hybrid'!O$64)*$B85/'Benzin - diesel - hybrid'!O$46)/100*'Benzin - diesel - hybrid'!O$12,0)+'Benzin - diesel - hybrid'!O$65)*'Benzin - diesel - hybrid'!O$39*(1+'Benzin - diesel - hybrid'!#REF!/100)^-$B85</f>
        <v>#REF!</v>
      </c>
      <c r="P85" s="272"/>
      <c r="Q85" s="272" t="e">
        <f>(IF('Benzin - diesel - hybrid'!#REF!="nej",-IF(100-(100+'Benzin - diesel - hybrid'!Q$64)*$B85/'Benzin - diesel - hybrid'!Q$46&lt;0,0,100-(100+'Benzin - diesel - hybrid'!Q$64)*$B85/'Benzin - diesel - hybrid'!Q$46)/100*'Benzin - diesel - hybrid'!Q$12,0)+'Benzin - diesel - hybrid'!Q$65)*'Benzin - diesel - hybrid'!Q$39*(1+'Benzin - diesel - hybrid'!#REF!/100)^-$B85</f>
        <v>#REF!</v>
      </c>
      <c r="R85" s="272"/>
      <c r="S85" s="272" t="e">
        <f>(IF('Benzin - diesel - hybrid'!#REF!="nej",-IF(100-(100+'Benzin - diesel - hybrid'!S$64)*$B85/'Benzin - diesel - hybrid'!S$46&lt;0,0,100-(100+'Benzin - diesel - hybrid'!S$64)*$B85/'Benzin - diesel - hybrid'!S$46)/100*'Benzin - diesel - hybrid'!S$12,0)+'Benzin - diesel - hybrid'!S$65)*'Benzin - diesel - hybrid'!S$39*(1+'Benzin - diesel - hybrid'!#REF!/100)^-$B85</f>
        <v>#REF!</v>
      </c>
      <c r="U85" s="272" t="e">
        <f>(IF('Benzin - diesel - hybrid'!#REF!="nej",-IF(100-(100+'Benzin - diesel - hybrid'!Y$64)*$B85/'Benzin - diesel - hybrid'!Y$46&lt;0,0,100-(100+'Benzin - diesel - hybrid'!Y$64)*$B85/'Benzin - diesel - hybrid'!Y$46)/100*'Benzin - diesel - hybrid'!Y$12,0)+'Benzin - diesel - hybrid'!Y$65)*'Benzin - diesel - hybrid'!Y$39*(1+'Benzin - diesel - hybrid'!#REF!/100)^-$B85</f>
        <v>#REF!</v>
      </c>
      <c r="W85" s="272" t="e">
        <f>(IF('Benzin - diesel - hybrid'!#REF!="nej",-IF(100-(100+'Benzin - diesel - hybrid'!AA$64)*$B85/'Benzin - diesel - hybrid'!AA$46&lt;0,0,100-(100+'Benzin - diesel - hybrid'!AA$64)*$B85/'Benzin - diesel - hybrid'!AA$46)/100*'Benzin - diesel - hybrid'!AA$12,0)+'Benzin - diesel - hybrid'!AA$65)*'Benzin - diesel - hybrid'!AA$39*(1+'Benzin - diesel - hybrid'!#REF!/100)^-$B85</f>
        <v>#REF!</v>
      </c>
    </row>
    <row r="86" spans="1:23" hidden="1" outlineLevel="1">
      <c r="A86" s="248"/>
      <c r="B86" s="271">
        <v>14</v>
      </c>
      <c r="C86" s="271">
        <f t="shared" si="4"/>
        <v>14</v>
      </c>
      <c r="D86" s="248"/>
      <c r="E86" s="272" t="e">
        <f>(IF('Benzin - diesel - hybrid'!#REF!="nej",-IF(100-(100+'Benzin - diesel - hybrid'!E$64)*$B86/'Benzin - diesel - hybrid'!E$46&lt;0,0,100-(100+'Benzin - diesel - hybrid'!E$64)*$B86/'Benzin - diesel - hybrid'!E$46)/100*'Benzin - diesel - hybrid'!E$12,0)+'Benzin - diesel - hybrid'!E$65)*'Benzin - diesel - hybrid'!E$39*(1+'Benzin - diesel - hybrid'!#REF!/100)^-$B86</f>
        <v>#REF!</v>
      </c>
      <c r="F86" s="272"/>
      <c r="G86" s="272" t="e">
        <f>(IF('Benzin - diesel - hybrid'!#REF!="nej",-IF(100-(100+'Benzin - diesel - hybrid'!G$64)*$B86/'Benzin - diesel - hybrid'!G$46&lt;0,0,100-(100+'Benzin - diesel - hybrid'!G$64)*$B86/'Benzin - diesel - hybrid'!G$46)/100*'Benzin - diesel - hybrid'!G$12,0)+'Benzin - diesel - hybrid'!G$65)*'Benzin - diesel - hybrid'!G$39*(1+'Benzin - diesel - hybrid'!#REF!/100)^-$B86</f>
        <v>#REF!</v>
      </c>
      <c r="H86" s="272"/>
      <c r="I86" s="272" t="e">
        <f>(IF('Benzin - diesel - hybrid'!#REF!="nej",-IF(100-(100+'Benzin - diesel - hybrid'!I$64)*$B86/'Benzin - diesel - hybrid'!I$46&lt;0,0,100-(100+'Benzin - diesel - hybrid'!I$64)*$B86/'Benzin - diesel - hybrid'!I$46)/100*'Benzin - diesel - hybrid'!I$12,0)+'Benzin - diesel - hybrid'!I$65)*'Benzin - diesel - hybrid'!I$39*(1+'Benzin - diesel - hybrid'!#REF!/100)^-$B86</f>
        <v>#REF!</v>
      </c>
      <c r="J86" s="272"/>
      <c r="K86" s="272" t="e">
        <f>(IF('Benzin - diesel - hybrid'!#REF!="nej",-IF(100-(100+'Benzin - diesel - hybrid'!K$64)*$B86/'Benzin - diesel - hybrid'!K$46&lt;0,0,100-(100+'Benzin - diesel - hybrid'!K$64)*$B86/'Benzin - diesel - hybrid'!K$46)/100*'Benzin - diesel - hybrid'!K$12,0)+'Benzin - diesel - hybrid'!K$65)*'Benzin - diesel - hybrid'!K$39*(1+'Benzin - diesel - hybrid'!#REF!/100)^-$B86</f>
        <v>#REF!</v>
      </c>
      <c r="L86" s="272"/>
      <c r="M86" s="272" t="e">
        <f>(IF('Benzin - diesel - hybrid'!#REF!="nej",-IF(100-(100+'Benzin - diesel - hybrid'!M$64)*$B86/'Benzin - diesel - hybrid'!M$46&lt;0,0,100-(100+'Benzin - diesel - hybrid'!M$64)*$B86/'Benzin - diesel - hybrid'!M$46)/100*'Benzin - diesel - hybrid'!M$12,0)+'Benzin - diesel - hybrid'!M$65)*'Benzin - diesel - hybrid'!M$39*(1+'Benzin - diesel - hybrid'!#REF!/100)^-$B86</f>
        <v>#REF!</v>
      </c>
      <c r="N86" s="272"/>
      <c r="O86" s="272" t="e">
        <f>(IF('Benzin - diesel - hybrid'!#REF!="nej",-IF(100-(100+'Benzin - diesel - hybrid'!O$64)*$B86/'Benzin - diesel - hybrid'!O$46&lt;0,0,100-(100+'Benzin - diesel - hybrid'!O$64)*$B86/'Benzin - diesel - hybrid'!O$46)/100*'Benzin - diesel - hybrid'!O$12,0)+'Benzin - diesel - hybrid'!O$65)*'Benzin - diesel - hybrid'!O$39*(1+'Benzin - diesel - hybrid'!#REF!/100)^-$B86</f>
        <v>#REF!</v>
      </c>
      <c r="P86" s="272"/>
      <c r="Q86" s="272" t="e">
        <f>(IF('Benzin - diesel - hybrid'!#REF!="nej",-IF(100-(100+'Benzin - diesel - hybrid'!Q$64)*$B86/'Benzin - diesel - hybrid'!Q$46&lt;0,0,100-(100+'Benzin - diesel - hybrid'!Q$64)*$B86/'Benzin - diesel - hybrid'!Q$46)/100*'Benzin - diesel - hybrid'!Q$12,0)+'Benzin - diesel - hybrid'!Q$65)*'Benzin - diesel - hybrid'!Q$39*(1+'Benzin - diesel - hybrid'!#REF!/100)^-$B86</f>
        <v>#REF!</v>
      </c>
      <c r="R86" s="272"/>
      <c r="S86" s="272" t="e">
        <f>(IF('Benzin - diesel - hybrid'!#REF!="nej",-IF(100-(100+'Benzin - diesel - hybrid'!S$64)*$B86/'Benzin - diesel - hybrid'!S$46&lt;0,0,100-(100+'Benzin - diesel - hybrid'!S$64)*$B86/'Benzin - diesel - hybrid'!S$46)/100*'Benzin - diesel - hybrid'!S$12,0)+'Benzin - diesel - hybrid'!S$65)*'Benzin - diesel - hybrid'!S$39*(1+'Benzin - diesel - hybrid'!#REF!/100)^-$B86</f>
        <v>#REF!</v>
      </c>
      <c r="U86" s="272" t="e">
        <f>(IF('Benzin - diesel - hybrid'!#REF!="nej",-IF(100-(100+'Benzin - diesel - hybrid'!Y$64)*$B86/'Benzin - diesel - hybrid'!Y$46&lt;0,0,100-(100+'Benzin - diesel - hybrid'!Y$64)*$B86/'Benzin - diesel - hybrid'!Y$46)/100*'Benzin - diesel - hybrid'!Y$12,0)+'Benzin - diesel - hybrid'!Y$65)*'Benzin - diesel - hybrid'!Y$39*(1+'Benzin - diesel - hybrid'!#REF!/100)^-$B86</f>
        <v>#REF!</v>
      </c>
      <c r="W86" s="272" t="e">
        <f>(IF('Benzin - diesel - hybrid'!#REF!="nej",-IF(100-(100+'Benzin - diesel - hybrid'!AA$64)*$B86/'Benzin - diesel - hybrid'!AA$46&lt;0,0,100-(100+'Benzin - diesel - hybrid'!AA$64)*$B86/'Benzin - diesel - hybrid'!AA$46)/100*'Benzin - diesel - hybrid'!AA$12,0)+'Benzin - diesel - hybrid'!AA$65)*'Benzin - diesel - hybrid'!AA$39*(1+'Benzin - diesel - hybrid'!#REF!/100)^-$B86</f>
        <v>#REF!</v>
      </c>
    </row>
    <row r="87" spans="1:23" hidden="1" outlineLevel="1">
      <c r="A87" s="248"/>
      <c r="B87" s="271">
        <v>15</v>
      </c>
      <c r="C87" s="271">
        <f t="shared" si="4"/>
        <v>15</v>
      </c>
      <c r="D87" s="248"/>
      <c r="E87" s="272" t="e">
        <f>(IF('Benzin - diesel - hybrid'!#REF!="nej",-IF(100-(100+'Benzin - diesel - hybrid'!E$64)*$B87/'Benzin - diesel - hybrid'!E$46&lt;0,0,100-(100+'Benzin - diesel - hybrid'!E$64)*$B87/'Benzin - diesel - hybrid'!E$46)/100*'Benzin - diesel - hybrid'!E$12,0)+'Benzin - diesel - hybrid'!E$65)*'Benzin - diesel - hybrid'!E$39*(1+'Benzin - diesel - hybrid'!#REF!/100)^-$B87</f>
        <v>#REF!</v>
      </c>
      <c r="F87" s="272"/>
      <c r="G87" s="272" t="e">
        <f>(IF('Benzin - diesel - hybrid'!#REF!="nej",-IF(100-(100+'Benzin - diesel - hybrid'!G$64)*$B87/'Benzin - diesel - hybrid'!G$46&lt;0,0,100-(100+'Benzin - diesel - hybrid'!G$64)*$B87/'Benzin - diesel - hybrid'!G$46)/100*'Benzin - diesel - hybrid'!G$12,0)+'Benzin - diesel - hybrid'!G$65)*'Benzin - diesel - hybrid'!G$39*(1+'Benzin - diesel - hybrid'!#REF!/100)^-$B87</f>
        <v>#REF!</v>
      </c>
      <c r="H87" s="272"/>
      <c r="I87" s="272" t="e">
        <f>(IF('Benzin - diesel - hybrid'!#REF!="nej",-IF(100-(100+'Benzin - diesel - hybrid'!I$64)*$B87/'Benzin - diesel - hybrid'!I$46&lt;0,0,100-(100+'Benzin - diesel - hybrid'!I$64)*$B87/'Benzin - diesel - hybrid'!I$46)/100*'Benzin - diesel - hybrid'!I$12,0)+'Benzin - diesel - hybrid'!I$65)*'Benzin - diesel - hybrid'!I$39*(1+'Benzin - diesel - hybrid'!#REF!/100)^-$B87</f>
        <v>#REF!</v>
      </c>
      <c r="J87" s="272"/>
      <c r="K87" s="272" t="e">
        <f>(IF('Benzin - diesel - hybrid'!#REF!="nej",-IF(100-(100+'Benzin - diesel - hybrid'!K$64)*$B87/'Benzin - diesel - hybrid'!K$46&lt;0,0,100-(100+'Benzin - diesel - hybrid'!K$64)*$B87/'Benzin - diesel - hybrid'!K$46)/100*'Benzin - diesel - hybrid'!K$12,0)+'Benzin - diesel - hybrid'!K$65)*'Benzin - diesel - hybrid'!K$39*(1+'Benzin - diesel - hybrid'!#REF!/100)^-$B87</f>
        <v>#REF!</v>
      </c>
      <c r="L87" s="272"/>
      <c r="M87" s="272" t="e">
        <f>(IF('Benzin - diesel - hybrid'!#REF!="nej",-IF(100-(100+'Benzin - diesel - hybrid'!M$64)*$B87/'Benzin - diesel - hybrid'!M$46&lt;0,0,100-(100+'Benzin - diesel - hybrid'!M$64)*$B87/'Benzin - diesel - hybrid'!M$46)/100*'Benzin - diesel - hybrid'!M$12,0)+'Benzin - diesel - hybrid'!M$65)*'Benzin - diesel - hybrid'!M$39*(1+'Benzin - diesel - hybrid'!#REF!/100)^-$B87</f>
        <v>#REF!</v>
      </c>
      <c r="N87" s="272"/>
      <c r="O87" s="272" t="e">
        <f>(IF('Benzin - diesel - hybrid'!#REF!="nej",-IF(100-(100+'Benzin - diesel - hybrid'!O$64)*$B87/'Benzin - diesel - hybrid'!O$46&lt;0,0,100-(100+'Benzin - diesel - hybrid'!O$64)*$B87/'Benzin - diesel - hybrid'!O$46)/100*'Benzin - diesel - hybrid'!O$12,0)+'Benzin - diesel - hybrid'!O$65)*'Benzin - diesel - hybrid'!O$39*(1+'Benzin - diesel - hybrid'!#REF!/100)^-$B87</f>
        <v>#REF!</v>
      </c>
      <c r="P87" s="272"/>
      <c r="Q87" s="272" t="e">
        <f>(IF('Benzin - diesel - hybrid'!#REF!="nej",-IF(100-(100+'Benzin - diesel - hybrid'!Q$64)*$B87/'Benzin - diesel - hybrid'!Q$46&lt;0,0,100-(100+'Benzin - diesel - hybrid'!Q$64)*$B87/'Benzin - diesel - hybrid'!Q$46)/100*'Benzin - diesel - hybrid'!Q$12,0)+'Benzin - diesel - hybrid'!Q$65)*'Benzin - diesel - hybrid'!Q$39*(1+'Benzin - diesel - hybrid'!#REF!/100)^-$B87</f>
        <v>#REF!</v>
      </c>
      <c r="R87" s="272"/>
      <c r="S87" s="272" t="e">
        <f>(IF('Benzin - diesel - hybrid'!#REF!="nej",-IF(100-(100+'Benzin - diesel - hybrid'!S$64)*$B87/'Benzin - diesel - hybrid'!S$46&lt;0,0,100-(100+'Benzin - diesel - hybrid'!S$64)*$B87/'Benzin - diesel - hybrid'!S$46)/100*'Benzin - diesel - hybrid'!S$12,0)+'Benzin - diesel - hybrid'!S$65)*'Benzin - diesel - hybrid'!S$39*(1+'Benzin - diesel - hybrid'!#REF!/100)^-$B87</f>
        <v>#REF!</v>
      </c>
      <c r="U87" s="272" t="e">
        <f>(IF('Benzin - diesel - hybrid'!#REF!="nej",-IF(100-(100+'Benzin - diesel - hybrid'!Y$64)*$B87/'Benzin - diesel - hybrid'!Y$46&lt;0,0,100-(100+'Benzin - diesel - hybrid'!Y$64)*$B87/'Benzin - diesel - hybrid'!Y$46)/100*'Benzin - diesel - hybrid'!Y$12,0)+'Benzin - diesel - hybrid'!Y$65)*'Benzin - diesel - hybrid'!Y$39*(1+'Benzin - diesel - hybrid'!#REF!/100)^-$B87</f>
        <v>#REF!</v>
      </c>
      <c r="W87" s="272" t="e">
        <f>(IF('Benzin - diesel - hybrid'!#REF!="nej",-IF(100-(100+'Benzin - diesel - hybrid'!AA$64)*$B87/'Benzin - diesel - hybrid'!AA$46&lt;0,0,100-(100+'Benzin - diesel - hybrid'!AA$64)*$B87/'Benzin - diesel - hybrid'!AA$46)/100*'Benzin - diesel - hybrid'!AA$12,0)+'Benzin - diesel - hybrid'!AA$65)*'Benzin - diesel - hybrid'!AA$39*(1+'Benzin - diesel - hybrid'!#REF!/100)^-$B87</f>
        <v>#REF!</v>
      </c>
    </row>
    <row r="88" spans="1:23" hidden="1" outlineLevel="1">
      <c r="A88" s="248"/>
      <c r="B88" s="271">
        <v>16</v>
      </c>
      <c r="C88" s="271">
        <f t="shared" ref="C88:C92" si="5">B88</f>
        <v>16</v>
      </c>
      <c r="D88" s="248"/>
      <c r="E88" s="272" t="e">
        <f>(IF('Benzin - diesel - hybrid'!#REF!="nej",-IF(100-(100+'Benzin - diesel - hybrid'!E$64)*$B88/'Benzin - diesel - hybrid'!E$46&lt;0,0,100-(100+'Benzin - diesel - hybrid'!E$64)*$B88/'Benzin - diesel - hybrid'!E$46)/100*'Benzin - diesel - hybrid'!E$12,0)+'Benzin - diesel - hybrid'!E$65)*'Benzin - diesel - hybrid'!E$39*(1+'Benzin - diesel - hybrid'!#REF!/100)^-$B88</f>
        <v>#REF!</v>
      </c>
      <c r="F88" s="272"/>
      <c r="G88" s="272" t="e">
        <f>(IF('Benzin - diesel - hybrid'!#REF!="nej",-IF(100-(100+'Benzin - diesel - hybrid'!G$64)*$B88/'Benzin - diesel - hybrid'!G$46&lt;0,0,100-(100+'Benzin - diesel - hybrid'!G$64)*$B88/'Benzin - diesel - hybrid'!G$46)/100*'Benzin - diesel - hybrid'!G$12,0)+'Benzin - diesel - hybrid'!G$65)*'Benzin - diesel - hybrid'!G$39*(1+'Benzin - diesel - hybrid'!#REF!/100)^-$B88</f>
        <v>#REF!</v>
      </c>
      <c r="H88" s="272"/>
      <c r="I88" s="272" t="e">
        <f>(IF('Benzin - diesel - hybrid'!#REF!="nej",-IF(100-(100+'Benzin - diesel - hybrid'!I$64)*$B88/'Benzin - diesel - hybrid'!I$46&lt;0,0,100-(100+'Benzin - diesel - hybrid'!I$64)*$B88/'Benzin - diesel - hybrid'!I$46)/100*'Benzin - diesel - hybrid'!I$12,0)+'Benzin - diesel - hybrid'!I$65)*'Benzin - diesel - hybrid'!I$39*(1+'Benzin - diesel - hybrid'!#REF!/100)^-$B88</f>
        <v>#REF!</v>
      </c>
      <c r="J88" s="272"/>
      <c r="K88" s="272" t="e">
        <f>(IF('Benzin - diesel - hybrid'!#REF!="nej",-IF(100-(100+'Benzin - diesel - hybrid'!K$64)*$B88/'Benzin - diesel - hybrid'!K$46&lt;0,0,100-(100+'Benzin - diesel - hybrid'!K$64)*$B88/'Benzin - diesel - hybrid'!K$46)/100*'Benzin - diesel - hybrid'!K$12,0)+'Benzin - diesel - hybrid'!K$65)*'Benzin - diesel - hybrid'!K$39*(1+'Benzin - diesel - hybrid'!#REF!/100)^-$B88</f>
        <v>#REF!</v>
      </c>
      <c r="L88" s="272"/>
      <c r="M88" s="272" t="e">
        <f>(IF('Benzin - diesel - hybrid'!#REF!="nej",-IF(100-(100+'Benzin - diesel - hybrid'!M$64)*$B88/'Benzin - diesel - hybrid'!M$46&lt;0,0,100-(100+'Benzin - diesel - hybrid'!M$64)*$B88/'Benzin - diesel - hybrid'!M$46)/100*'Benzin - diesel - hybrid'!M$12,0)+'Benzin - diesel - hybrid'!M$65)*'Benzin - diesel - hybrid'!M$39*(1+'Benzin - diesel - hybrid'!#REF!/100)^-$B88</f>
        <v>#REF!</v>
      </c>
      <c r="N88" s="272"/>
      <c r="O88" s="272" t="e">
        <f>(IF('Benzin - diesel - hybrid'!#REF!="nej",-IF(100-(100+'Benzin - diesel - hybrid'!O$64)*$B88/'Benzin - diesel - hybrid'!O$46&lt;0,0,100-(100+'Benzin - diesel - hybrid'!O$64)*$B88/'Benzin - diesel - hybrid'!O$46)/100*'Benzin - diesel - hybrid'!O$12,0)+'Benzin - diesel - hybrid'!O$65)*'Benzin - diesel - hybrid'!O$39*(1+'Benzin - diesel - hybrid'!#REF!/100)^-$B88</f>
        <v>#REF!</v>
      </c>
      <c r="P88" s="272"/>
      <c r="Q88" s="272" t="e">
        <f>(IF('Benzin - diesel - hybrid'!#REF!="nej",-IF(100-(100+'Benzin - diesel - hybrid'!Q$64)*$B88/'Benzin - diesel - hybrid'!Q$46&lt;0,0,100-(100+'Benzin - diesel - hybrid'!Q$64)*$B88/'Benzin - diesel - hybrid'!Q$46)/100*'Benzin - diesel - hybrid'!Q$12,0)+'Benzin - diesel - hybrid'!Q$65)*'Benzin - diesel - hybrid'!Q$39*(1+'Benzin - diesel - hybrid'!#REF!/100)^-$B88</f>
        <v>#REF!</v>
      </c>
      <c r="R88" s="272"/>
      <c r="S88" s="272" t="e">
        <f>(IF('Benzin - diesel - hybrid'!#REF!="nej",-IF(100-(100+'Benzin - diesel - hybrid'!S$64)*$B88/'Benzin - diesel - hybrid'!S$46&lt;0,0,100-(100+'Benzin - diesel - hybrid'!S$64)*$B88/'Benzin - diesel - hybrid'!S$46)/100*'Benzin - diesel - hybrid'!S$12,0)+'Benzin - diesel - hybrid'!S$65)*'Benzin - diesel - hybrid'!S$39*(1+'Benzin - diesel - hybrid'!#REF!/100)^-$B88</f>
        <v>#REF!</v>
      </c>
      <c r="U88" s="272" t="e">
        <f>(IF('Benzin - diesel - hybrid'!#REF!="nej",-IF(100-(100+'Benzin - diesel - hybrid'!Y$64)*$B88/'Benzin - diesel - hybrid'!Y$46&lt;0,0,100-(100+'Benzin - diesel - hybrid'!Y$64)*$B88/'Benzin - diesel - hybrid'!Y$46)/100*'Benzin - diesel - hybrid'!Y$12,0)+'Benzin - diesel - hybrid'!Y$65)*'Benzin - diesel - hybrid'!Y$39*(1+'Benzin - diesel - hybrid'!#REF!/100)^-$B88</f>
        <v>#REF!</v>
      </c>
      <c r="W88" s="272" t="e">
        <f>(IF('Benzin - diesel - hybrid'!#REF!="nej",-IF(100-(100+'Benzin - diesel - hybrid'!AA$64)*$B88/'Benzin - diesel - hybrid'!AA$46&lt;0,0,100-(100+'Benzin - diesel - hybrid'!AA$64)*$B88/'Benzin - diesel - hybrid'!AA$46)/100*'Benzin - diesel - hybrid'!AA$12,0)+'Benzin - diesel - hybrid'!AA$65)*'Benzin - diesel - hybrid'!AA$39*(1+'Benzin - diesel - hybrid'!#REF!/100)^-$B88</f>
        <v>#REF!</v>
      </c>
    </row>
    <row r="89" spans="1:23" hidden="1" outlineLevel="1">
      <c r="A89" s="248"/>
      <c r="B89" s="271">
        <v>17</v>
      </c>
      <c r="C89" s="271">
        <f t="shared" si="5"/>
        <v>17</v>
      </c>
      <c r="D89" s="248"/>
      <c r="E89" s="272" t="e">
        <f>(IF('Benzin - diesel - hybrid'!#REF!="nej",-IF(100-(100+'Benzin - diesel - hybrid'!E$64)*$B89/'Benzin - diesel - hybrid'!E$46&lt;0,0,100-(100+'Benzin - diesel - hybrid'!E$64)*$B89/'Benzin - diesel - hybrid'!E$46)/100*'Benzin - diesel - hybrid'!E$12,0)+'Benzin - diesel - hybrid'!E$65)*'Benzin - diesel - hybrid'!E$39*(1+'Benzin - diesel - hybrid'!#REF!/100)^-$B89</f>
        <v>#REF!</v>
      </c>
      <c r="F89" s="272"/>
      <c r="G89" s="272" t="e">
        <f>(IF('Benzin - diesel - hybrid'!#REF!="nej",-IF(100-(100+'Benzin - diesel - hybrid'!G$64)*$B89/'Benzin - diesel - hybrid'!G$46&lt;0,0,100-(100+'Benzin - diesel - hybrid'!G$64)*$B89/'Benzin - diesel - hybrid'!G$46)/100*'Benzin - diesel - hybrid'!G$12,0)+'Benzin - diesel - hybrid'!G$65)*'Benzin - diesel - hybrid'!G$39*(1+'Benzin - diesel - hybrid'!#REF!/100)^-$B89</f>
        <v>#REF!</v>
      </c>
      <c r="H89" s="272"/>
      <c r="I89" s="272" t="e">
        <f>(IF('Benzin - diesel - hybrid'!#REF!="nej",-IF(100-(100+'Benzin - diesel - hybrid'!I$64)*$B89/'Benzin - diesel - hybrid'!I$46&lt;0,0,100-(100+'Benzin - diesel - hybrid'!I$64)*$B89/'Benzin - diesel - hybrid'!I$46)/100*'Benzin - diesel - hybrid'!I$12,0)+'Benzin - diesel - hybrid'!I$65)*'Benzin - diesel - hybrid'!I$39*(1+'Benzin - diesel - hybrid'!#REF!/100)^-$B89</f>
        <v>#REF!</v>
      </c>
      <c r="J89" s="272"/>
      <c r="K89" s="272" t="e">
        <f>(IF('Benzin - diesel - hybrid'!#REF!="nej",-IF(100-(100+'Benzin - diesel - hybrid'!K$64)*$B89/'Benzin - diesel - hybrid'!K$46&lt;0,0,100-(100+'Benzin - diesel - hybrid'!K$64)*$B89/'Benzin - diesel - hybrid'!K$46)/100*'Benzin - diesel - hybrid'!K$12,0)+'Benzin - diesel - hybrid'!K$65)*'Benzin - diesel - hybrid'!K$39*(1+'Benzin - diesel - hybrid'!#REF!/100)^-$B89</f>
        <v>#REF!</v>
      </c>
      <c r="L89" s="272"/>
      <c r="M89" s="272" t="e">
        <f>(IF('Benzin - diesel - hybrid'!#REF!="nej",-IF(100-(100+'Benzin - diesel - hybrid'!M$64)*$B89/'Benzin - diesel - hybrid'!M$46&lt;0,0,100-(100+'Benzin - diesel - hybrid'!M$64)*$B89/'Benzin - diesel - hybrid'!M$46)/100*'Benzin - diesel - hybrid'!M$12,0)+'Benzin - diesel - hybrid'!M$65)*'Benzin - diesel - hybrid'!M$39*(1+'Benzin - diesel - hybrid'!#REF!/100)^-$B89</f>
        <v>#REF!</v>
      </c>
      <c r="N89" s="272"/>
      <c r="O89" s="272" t="e">
        <f>(IF('Benzin - diesel - hybrid'!#REF!="nej",-IF(100-(100+'Benzin - diesel - hybrid'!O$64)*$B89/'Benzin - diesel - hybrid'!O$46&lt;0,0,100-(100+'Benzin - diesel - hybrid'!O$64)*$B89/'Benzin - diesel - hybrid'!O$46)/100*'Benzin - diesel - hybrid'!O$12,0)+'Benzin - diesel - hybrid'!O$65)*'Benzin - diesel - hybrid'!O$39*(1+'Benzin - diesel - hybrid'!#REF!/100)^-$B89</f>
        <v>#REF!</v>
      </c>
      <c r="P89" s="272"/>
      <c r="Q89" s="272" t="e">
        <f>(IF('Benzin - diesel - hybrid'!#REF!="nej",-IF(100-(100+'Benzin - diesel - hybrid'!Q$64)*$B89/'Benzin - diesel - hybrid'!Q$46&lt;0,0,100-(100+'Benzin - diesel - hybrid'!Q$64)*$B89/'Benzin - diesel - hybrid'!Q$46)/100*'Benzin - diesel - hybrid'!Q$12,0)+'Benzin - diesel - hybrid'!Q$65)*'Benzin - diesel - hybrid'!Q$39*(1+'Benzin - diesel - hybrid'!#REF!/100)^-$B89</f>
        <v>#REF!</v>
      </c>
      <c r="R89" s="272"/>
      <c r="S89" s="272" t="e">
        <f>(IF('Benzin - diesel - hybrid'!#REF!="nej",-IF(100-(100+'Benzin - diesel - hybrid'!S$64)*$B89/'Benzin - diesel - hybrid'!S$46&lt;0,0,100-(100+'Benzin - diesel - hybrid'!S$64)*$B89/'Benzin - diesel - hybrid'!S$46)/100*'Benzin - diesel - hybrid'!S$12,0)+'Benzin - diesel - hybrid'!S$65)*'Benzin - diesel - hybrid'!S$39*(1+'Benzin - diesel - hybrid'!#REF!/100)^-$B89</f>
        <v>#REF!</v>
      </c>
      <c r="U89" s="272" t="e">
        <f>(IF('Benzin - diesel - hybrid'!#REF!="nej",-IF(100-(100+'Benzin - diesel - hybrid'!Y$64)*$B89/'Benzin - diesel - hybrid'!Y$46&lt;0,0,100-(100+'Benzin - diesel - hybrid'!Y$64)*$B89/'Benzin - diesel - hybrid'!Y$46)/100*'Benzin - diesel - hybrid'!Y$12,0)+'Benzin - diesel - hybrid'!Y$65)*'Benzin - diesel - hybrid'!Y$39*(1+'Benzin - diesel - hybrid'!#REF!/100)^-$B89</f>
        <v>#REF!</v>
      </c>
      <c r="W89" s="272" t="e">
        <f>(IF('Benzin - diesel - hybrid'!#REF!="nej",-IF(100-(100+'Benzin - diesel - hybrid'!AA$64)*$B89/'Benzin - diesel - hybrid'!AA$46&lt;0,0,100-(100+'Benzin - diesel - hybrid'!AA$64)*$B89/'Benzin - diesel - hybrid'!AA$46)/100*'Benzin - diesel - hybrid'!AA$12,0)+'Benzin - diesel - hybrid'!AA$65)*'Benzin - diesel - hybrid'!AA$39*(1+'Benzin - diesel - hybrid'!#REF!/100)^-$B89</f>
        <v>#REF!</v>
      </c>
    </row>
    <row r="90" spans="1:23" hidden="1" outlineLevel="1">
      <c r="A90" s="248"/>
      <c r="B90" s="271">
        <v>18</v>
      </c>
      <c r="C90" s="271">
        <f t="shared" si="5"/>
        <v>18</v>
      </c>
      <c r="D90" s="248"/>
      <c r="E90" s="272" t="e">
        <f>(IF('Benzin - diesel - hybrid'!#REF!="nej",-IF(100-(100+'Benzin - diesel - hybrid'!E$64)*$B90/'Benzin - diesel - hybrid'!E$46&lt;0,0,100-(100+'Benzin - diesel - hybrid'!E$64)*$B90/'Benzin - diesel - hybrid'!E$46)/100*'Benzin - diesel - hybrid'!E$12,0)+'Benzin - diesel - hybrid'!E$65)*'Benzin - diesel - hybrid'!E$39*(1+'Benzin - diesel - hybrid'!#REF!/100)^-$B90</f>
        <v>#REF!</v>
      </c>
      <c r="F90" s="272"/>
      <c r="G90" s="272" t="e">
        <f>(IF('Benzin - diesel - hybrid'!#REF!="nej",-IF(100-(100+'Benzin - diesel - hybrid'!G$64)*$B90/'Benzin - diesel - hybrid'!G$46&lt;0,0,100-(100+'Benzin - diesel - hybrid'!G$64)*$B90/'Benzin - diesel - hybrid'!G$46)/100*'Benzin - diesel - hybrid'!G$12,0)+'Benzin - diesel - hybrid'!G$65)*'Benzin - diesel - hybrid'!G$39*(1+'Benzin - diesel - hybrid'!#REF!/100)^-$B90</f>
        <v>#REF!</v>
      </c>
      <c r="H90" s="272"/>
      <c r="I90" s="272" t="e">
        <f>(IF('Benzin - diesel - hybrid'!#REF!="nej",-IF(100-(100+'Benzin - diesel - hybrid'!I$64)*$B90/'Benzin - diesel - hybrid'!I$46&lt;0,0,100-(100+'Benzin - diesel - hybrid'!I$64)*$B90/'Benzin - diesel - hybrid'!I$46)/100*'Benzin - diesel - hybrid'!I$12,0)+'Benzin - diesel - hybrid'!I$65)*'Benzin - diesel - hybrid'!I$39*(1+'Benzin - diesel - hybrid'!#REF!/100)^-$B90</f>
        <v>#REF!</v>
      </c>
      <c r="J90" s="272"/>
      <c r="K90" s="272" t="e">
        <f>(IF('Benzin - diesel - hybrid'!#REF!="nej",-IF(100-(100+'Benzin - diesel - hybrid'!K$64)*$B90/'Benzin - diesel - hybrid'!K$46&lt;0,0,100-(100+'Benzin - diesel - hybrid'!K$64)*$B90/'Benzin - diesel - hybrid'!K$46)/100*'Benzin - diesel - hybrid'!K$12,0)+'Benzin - diesel - hybrid'!K$65)*'Benzin - diesel - hybrid'!K$39*(1+'Benzin - diesel - hybrid'!#REF!/100)^-$B90</f>
        <v>#REF!</v>
      </c>
      <c r="L90" s="272"/>
      <c r="M90" s="272" t="e">
        <f>(IF('Benzin - diesel - hybrid'!#REF!="nej",-IF(100-(100+'Benzin - diesel - hybrid'!M$64)*$B90/'Benzin - diesel - hybrid'!M$46&lt;0,0,100-(100+'Benzin - diesel - hybrid'!M$64)*$B90/'Benzin - diesel - hybrid'!M$46)/100*'Benzin - diesel - hybrid'!M$12,0)+'Benzin - diesel - hybrid'!M$65)*'Benzin - diesel - hybrid'!M$39*(1+'Benzin - diesel - hybrid'!#REF!/100)^-$B90</f>
        <v>#REF!</v>
      </c>
      <c r="N90" s="272"/>
      <c r="O90" s="272" t="e">
        <f>(IF('Benzin - diesel - hybrid'!#REF!="nej",-IF(100-(100+'Benzin - diesel - hybrid'!O$64)*$B90/'Benzin - diesel - hybrid'!O$46&lt;0,0,100-(100+'Benzin - diesel - hybrid'!O$64)*$B90/'Benzin - diesel - hybrid'!O$46)/100*'Benzin - diesel - hybrid'!O$12,0)+'Benzin - diesel - hybrid'!O$65)*'Benzin - diesel - hybrid'!O$39*(1+'Benzin - diesel - hybrid'!#REF!/100)^-$B90</f>
        <v>#REF!</v>
      </c>
      <c r="P90" s="272"/>
      <c r="Q90" s="272" t="e">
        <f>(IF('Benzin - diesel - hybrid'!#REF!="nej",-IF(100-(100+'Benzin - diesel - hybrid'!Q$64)*$B90/'Benzin - diesel - hybrid'!Q$46&lt;0,0,100-(100+'Benzin - diesel - hybrid'!Q$64)*$B90/'Benzin - diesel - hybrid'!Q$46)/100*'Benzin - diesel - hybrid'!Q$12,0)+'Benzin - diesel - hybrid'!Q$65)*'Benzin - diesel - hybrid'!Q$39*(1+'Benzin - diesel - hybrid'!#REF!/100)^-$B90</f>
        <v>#REF!</v>
      </c>
      <c r="R90" s="272"/>
      <c r="S90" s="272" t="e">
        <f>(IF('Benzin - diesel - hybrid'!#REF!="nej",-IF(100-(100+'Benzin - diesel - hybrid'!S$64)*$B90/'Benzin - diesel - hybrid'!S$46&lt;0,0,100-(100+'Benzin - diesel - hybrid'!S$64)*$B90/'Benzin - diesel - hybrid'!S$46)/100*'Benzin - diesel - hybrid'!S$12,0)+'Benzin - diesel - hybrid'!S$65)*'Benzin - diesel - hybrid'!S$39*(1+'Benzin - diesel - hybrid'!#REF!/100)^-$B90</f>
        <v>#REF!</v>
      </c>
      <c r="U90" s="272" t="e">
        <f>(IF('Benzin - diesel - hybrid'!#REF!="nej",-IF(100-(100+'Benzin - diesel - hybrid'!Y$64)*$B90/'Benzin - diesel - hybrid'!Y$46&lt;0,0,100-(100+'Benzin - diesel - hybrid'!Y$64)*$B90/'Benzin - diesel - hybrid'!Y$46)/100*'Benzin - diesel - hybrid'!Y$12,0)+'Benzin - diesel - hybrid'!Y$65)*'Benzin - diesel - hybrid'!Y$39*(1+'Benzin - diesel - hybrid'!#REF!/100)^-$B90</f>
        <v>#REF!</v>
      </c>
      <c r="W90" s="272" t="e">
        <f>(IF('Benzin - diesel - hybrid'!#REF!="nej",-IF(100-(100+'Benzin - diesel - hybrid'!AA$64)*$B90/'Benzin - diesel - hybrid'!AA$46&lt;0,0,100-(100+'Benzin - diesel - hybrid'!AA$64)*$B90/'Benzin - diesel - hybrid'!AA$46)/100*'Benzin - diesel - hybrid'!AA$12,0)+'Benzin - diesel - hybrid'!AA$65)*'Benzin - diesel - hybrid'!AA$39*(1+'Benzin - diesel - hybrid'!#REF!/100)^-$B90</f>
        <v>#REF!</v>
      </c>
    </row>
    <row r="91" spans="1:23" hidden="1" outlineLevel="1">
      <c r="A91" s="248"/>
      <c r="B91" s="271">
        <v>19</v>
      </c>
      <c r="C91" s="271">
        <f t="shared" si="5"/>
        <v>19</v>
      </c>
      <c r="D91" s="248"/>
      <c r="E91" s="272" t="e">
        <f>(IF('Benzin - diesel - hybrid'!#REF!="nej",-IF(100-(100+'Benzin - diesel - hybrid'!E$64)*$B91/'Benzin - diesel - hybrid'!E$46&lt;0,0,100-(100+'Benzin - diesel - hybrid'!E$64)*$B91/'Benzin - diesel - hybrid'!E$46)/100*'Benzin - diesel - hybrid'!E$12,0)+'Benzin - diesel - hybrid'!E$65)*'Benzin - diesel - hybrid'!E$39*(1+'Benzin - diesel - hybrid'!#REF!/100)^-$B91</f>
        <v>#REF!</v>
      </c>
      <c r="F91" s="272"/>
      <c r="G91" s="272" t="e">
        <f>(IF('Benzin - diesel - hybrid'!#REF!="nej",-IF(100-(100+'Benzin - diesel - hybrid'!G$64)*$B91/'Benzin - diesel - hybrid'!G$46&lt;0,0,100-(100+'Benzin - diesel - hybrid'!G$64)*$B91/'Benzin - diesel - hybrid'!G$46)/100*'Benzin - diesel - hybrid'!G$12,0)+'Benzin - diesel - hybrid'!G$65)*'Benzin - diesel - hybrid'!G$39*(1+'Benzin - diesel - hybrid'!#REF!/100)^-$B91</f>
        <v>#REF!</v>
      </c>
      <c r="H91" s="272"/>
      <c r="I91" s="272" t="e">
        <f>(IF('Benzin - diesel - hybrid'!#REF!="nej",-IF(100-(100+'Benzin - diesel - hybrid'!I$64)*$B91/'Benzin - diesel - hybrid'!I$46&lt;0,0,100-(100+'Benzin - diesel - hybrid'!I$64)*$B91/'Benzin - diesel - hybrid'!I$46)/100*'Benzin - diesel - hybrid'!I$12,0)+'Benzin - diesel - hybrid'!I$65)*'Benzin - diesel - hybrid'!I$39*(1+'Benzin - diesel - hybrid'!#REF!/100)^-$B91</f>
        <v>#REF!</v>
      </c>
      <c r="J91" s="272"/>
      <c r="K91" s="272" t="e">
        <f>(IF('Benzin - diesel - hybrid'!#REF!="nej",-IF(100-(100+'Benzin - diesel - hybrid'!K$64)*$B91/'Benzin - diesel - hybrid'!K$46&lt;0,0,100-(100+'Benzin - diesel - hybrid'!K$64)*$B91/'Benzin - diesel - hybrid'!K$46)/100*'Benzin - diesel - hybrid'!K$12,0)+'Benzin - diesel - hybrid'!K$65)*'Benzin - diesel - hybrid'!K$39*(1+'Benzin - diesel - hybrid'!#REF!/100)^-$B91</f>
        <v>#REF!</v>
      </c>
      <c r="L91" s="272"/>
      <c r="M91" s="272" t="e">
        <f>(IF('Benzin - diesel - hybrid'!#REF!="nej",-IF(100-(100+'Benzin - diesel - hybrid'!M$64)*$B91/'Benzin - diesel - hybrid'!M$46&lt;0,0,100-(100+'Benzin - diesel - hybrid'!M$64)*$B91/'Benzin - diesel - hybrid'!M$46)/100*'Benzin - diesel - hybrid'!M$12,0)+'Benzin - diesel - hybrid'!M$65)*'Benzin - diesel - hybrid'!M$39*(1+'Benzin - diesel - hybrid'!#REF!/100)^-$B91</f>
        <v>#REF!</v>
      </c>
      <c r="N91" s="272"/>
      <c r="O91" s="272" t="e">
        <f>(IF('Benzin - diesel - hybrid'!#REF!="nej",-IF(100-(100+'Benzin - diesel - hybrid'!O$64)*$B91/'Benzin - diesel - hybrid'!O$46&lt;0,0,100-(100+'Benzin - diesel - hybrid'!O$64)*$B91/'Benzin - diesel - hybrid'!O$46)/100*'Benzin - diesel - hybrid'!O$12,0)+'Benzin - diesel - hybrid'!O$65)*'Benzin - diesel - hybrid'!O$39*(1+'Benzin - diesel - hybrid'!#REF!/100)^-$B91</f>
        <v>#REF!</v>
      </c>
      <c r="P91" s="272"/>
      <c r="Q91" s="272" t="e">
        <f>(IF('Benzin - diesel - hybrid'!#REF!="nej",-IF(100-(100+'Benzin - diesel - hybrid'!Q$64)*$B91/'Benzin - diesel - hybrid'!Q$46&lt;0,0,100-(100+'Benzin - diesel - hybrid'!Q$64)*$B91/'Benzin - diesel - hybrid'!Q$46)/100*'Benzin - diesel - hybrid'!Q$12,0)+'Benzin - diesel - hybrid'!Q$65)*'Benzin - diesel - hybrid'!Q$39*(1+'Benzin - diesel - hybrid'!#REF!/100)^-$B91</f>
        <v>#REF!</v>
      </c>
      <c r="R91" s="272"/>
      <c r="S91" s="272" t="e">
        <f>(IF('Benzin - diesel - hybrid'!#REF!="nej",-IF(100-(100+'Benzin - diesel - hybrid'!S$64)*$B91/'Benzin - diesel - hybrid'!S$46&lt;0,0,100-(100+'Benzin - diesel - hybrid'!S$64)*$B91/'Benzin - diesel - hybrid'!S$46)/100*'Benzin - diesel - hybrid'!S$12,0)+'Benzin - diesel - hybrid'!S$65)*'Benzin - diesel - hybrid'!S$39*(1+'Benzin - diesel - hybrid'!#REF!/100)^-$B91</f>
        <v>#REF!</v>
      </c>
      <c r="U91" s="272" t="e">
        <f>(IF('Benzin - diesel - hybrid'!#REF!="nej",-IF(100-(100+'Benzin - diesel - hybrid'!Y$64)*$B91/'Benzin - diesel - hybrid'!Y$46&lt;0,0,100-(100+'Benzin - diesel - hybrid'!Y$64)*$B91/'Benzin - diesel - hybrid'!Y$46)/100*'Benzin - diesel - hybrid'!Y$12,0)+'Benzin - diesel - hybrid'!Y$65)*'Benzin - diesel - hybrid'!Y$39*(1+'Benzin - diesel - hybrid'!#REF!/100)^-$B91</f>
        <v>#REF!</v>
      </c>
      <c r="W91" s="272" t="e">
        <f>(IF('Benzin - diesel - hybrid'!#REF!="nej",-IF(100-(100+'Benzin - diesel - hybrid'!AA$64)*$B91/'Benzin - diesel - hybrid'!AA$46&lt;0,0,100-(100+'Benzin - diesel - hybrid'!AA$64)*$B91/'Benzin - diesel - hybrid'!AA$46)/100*'Benzin - diesel - hybrid'!AA$12,0)+'Benzin - diesel - hybrid'!AA$65)*'Benzin - diesel - hybrid'!AA$39*(1+'Benzin - diesel - hybrid'!#REF!/100)^-$B91</f>
        <v>#REF!</v>
      </c>
    </row>
    <row r="92" spans="1:23" hidden="1" outlineLevel="1">
      <c r="A92" s="248"/>
      <c r="B92" s="271">
        <v>20</v>
      </c>
      <c r="C92" s="271">
        <f t="shared" si="5"/>
        <v>20</v>
      </c>
      <c r="D92" s="248"/>
      <c r="E92" s="272" t="e">
        <f>(IF('Benzin - diesel - hybrid'!#REF!="nej",-IF(100-(100+'Benzin - diesel - hybrid'!E$64)*$B92/'Benzin - diesel - hybrid'!E$46&lt;0,0,100-(100+'Benzin - diesel - hybrid'!E$64)*$B92/'Benzin - diesel - hybrid'!E$46)/100*'Benzin - diesel - hybrid'!E$12,0)+'Benzin - diesel - hybrid'!E$65)*'Benzin - diesel - hybrid'!E$39*(1+'Benzin - diesel - hybrid'!#REF!/100)^-$B92</f>
        <v>#REF!</v>
      </c>
      <c r="F92" s="272"/>
      <c r="G92" s="272" t="e">
        <f>(IF('Benzin - diesel - hybrid'!#REF!="nej",-IF(100-(100+'Benzin - diesel - hybrid'!G$64)*$B92/'Benzin - diesel - hybrid'!G$46&lt;0,0,100-(100+'Benzin - diesel - hybrid'!G$64)*$B92/'Benzin - diesel - hybrid'!G$46)/100*'Benzin - diesel - hybrid'!G$12,0)+'Benzin - diesel - hybrid'!G$65)*'Benzin - diesel - hybrid'!G$39*(1+'Benzin - diesel - hybrid'!#REF!/100)^-$B92</f>
        <v>#REF!</v>
      </c>
      <c r="H92" s="272"/>
      <c r="I92" s="272" t="e">
        <f>(IF('Benzin - diesel - hybrid'!#REF!="nej",-IF(100-(100+'Benzin - diesel - hybrid'!I$64)*$B92/'Benzin - diesel - hybrid'!I$46&lt;0,0,100-(100+'Benzin - diesel - hybrid'!I$64)*$B92/'Benzin - diesel - hybrid'!I$46)/100*'Benzin - diesel - hybrid'!I$12,0)+'Benzin - diesel - hybrid'!I$65)*'Benzin - diesel - hybrid'!I$39*(1+'Benzin - diesel - hybrid'!#REF!/100)^-$B92</f>
        <v>#REF!</v>
      </c>
      <c r="J92" s="272"/>
      <c r="K92" s="272" t="e">
        <f>(IF('Benzin - diesel - hybrid'!#REF!="nej",-IF(100-(100+'Benzin - diesel - hybrid'!K$64)*$B92/'Benzin - diesel - hybrid'!K$46&lt;0,0,100-(100+'Benzin - diesel - hybrid'!K$64)*$B92/'Benzin - diesel - hybrid'!K$46)/100*'Benzin - diesel - hybrid'!K$12,0)+'Benzin - diesel - hybrid'!K$65)*'Benzin - diesel - hybrid'!K$39*(1+'Benzin - diesel - hybrid'!#REF!/100)^-$B92</f>
        <v>#REF!</v>
      </c>
      <c r="L92" s="272"/>
      <c r="M92" s="272" t="e">
        <f>(IF('Benzin - diesel - hybrid'!#REF!="nej",-IF(100-(100+'Benzin - diesel - hybrid'!M$64)*$B92/'Benzin - diesel - hybrid'!M$46&lt;0,0,100-(100+'Benzin - diesel - hybrid'!M$64)*$B92/'Benzin - diesel - hybrid'!M$46)/100*'Benzin - diesel - hybrid'!M$12,0)+'Benzin - diesel - hybrid'!M$65)*'Benzin - diesel - hybrid'!M$39*(1+'Benzin - diesel - hybrid'!#REF!/100)^-$B92</f>
        <v>#REF!</v>
      </c>
      <c r="N92" s="272"/>
      <c r="O92" s="272" t="e">
        <f>(IF('Benzin - diesel - hybrid'!#REF!="nej",-IF(100-(100+'Benzin - diesel - hybrid'!O$64)*$B92/'Benzin - diesel - hybrid'!O$46&lt;0,0,100-(100+'Benzin - diesel - hybrid'!O$64)*$B92/'Benzin - diesel - hybrid'!O$46)/100*'Benzin - diesel - hybrid'!O$12,0)+'Benzin - diesel - hybrid'!O$65)*'Benzin - diesel - hybrid'!O$39*(1+'Benzin - diesel - hybrid'!#REF!/100)^-$B92</f>
        <v>#REF!</v>
      </c>
      <c r="P92" s="272"/>
      <c r="Q92" s="272" t="e">
        <f>(IF('Benzin - diesel - hybrid'!#REF!="nej",-IF(100-(100+'Benzin - diesel - hybrid'!Q$64)*$B92/'Benzin - diesel - hybrid'!Q$46&lt;0,0,100-(100+'Benzin - diesel - hybrid'!Q$64)*$B92/'Benzin - diesel - hybrid'!Q$46)/100*'Benzin - diesel - hybrid'!Q$12,0)+'Benzin - diesel - hybrid'!Q$65)*'Benzin - diesel - hybrid'!Q$39*(1+'Benzin - diesel - hybrid'!#REF!/100)^-$B92</f>
        <v>#REF!</v>
      </c>
      <c r="R92" s="272"/>
      <c r="S92" s="272" t="e">
        <f>(IF('Benzin - diesel - hybrid'!#REF!="nej",-IF(100-(100+'Benzin - diesel - hybrid'!S$64)*$B92/'Benzin - diesel - hybrid'!S$46&lt;0,0,100-(100+'Benzin - diesel - hybrid'!S$64)*$B92/'Benzin - diesel - hybrid'!S$46)/100*'Benzin - diesel - hybrid'!S$12,0)+'Benzin - diesel - hybrid'!S$65)*'Benzin - diesel - hybrid'!S$39*(1+'Benzin - diesel - hybrid'!#REF!/100)^-$B92</f>
        <v>#REF!</v>
      </c>
      <c r="U92" s="272" t="e">
        <f>(IF('Benzin - diesel - hybrid'!#REF!="nej",-IF(100-(100+'Benzin - diesel - hybrid'!Y$64)*$B92/'Benzin - diesel - hybrid'!Y$46&lt;0,0,100-(100+'Benzin - diesel - hybrid'!Y$64)*$B92/'Benzin - diesel - hybrid'!Y$46)/100*'Benzin - diesel - hybrid'!Y$12,0)+'Benzin - diesel - hybrid'!Y$65)*'Benzin - diesel - hybrid'!Y$39*(1+'Benzin - diesel - hybrid'!#REF!/100)^-$B92</f>
        <v>#REF!</v>
      </c>
      <c r="W92" s="272" t="e">
        <f>(IF('Benzin - diesel - hybrid'!#REF!="nej",-IF(100-(100+'Benzin - diesel - hybrid'!AA$64)*$B92/'Benzin - diesel - hybrid'!AA$46&lt;0,0,100-(100+'Benzin - diesel - hybrid'!AA$64)*$B92/'Benzin - diesel - hybrid'!AA$46)/100*'Benzin - diesel - hybrid'!AA$12,0)+'Benzin - diesel - hybrid'!AA$65)*'Benzin - diesel - hybrid'!AA$39*(1+'Benzin - diesel - hybrid'!#REF!/100)^-$B92</f>
        <v>#REF!</v>
      </c>
    </row>
    <row r="93" spans="1:23" hidden="1" outlineLevel="1">
      <c r="A93" s="248"/>
      <c r="B93" s="271"/>
      <c r="C93" s="271"/>
      <c r="D93" s="248"/>
      <c r="E93" s="248"/>
      <c r="F93" s="248"/>
      <c r="G93" s="248"/>
      <c r="H93" s="248"/>
      <c r="I93" s="248"/>
      <c r="J93" s="248"/>
      <c r="K93" s="248"/>
      <c r="L93" s="248"/>
      <c r="M93" s="248"/>
      <c r="N93" s="248"/>
      <c r="O93" s="248"/>
      <c r="P93" s="248"/>
      <c r="Q93" s="248"/>
      <c r="R93" s="248"/>
      <c r="S93" s="248"/>
      <c r="U93" s="248"/>
      <c r="W93" s="248"/>
    </row>
    <row r="94" spans="1:23" collapsed="1">
      <c r="A94" s="136" t="s">
        <v>32</v>
      </c>
      <c r="B94" s="1"/>
      <c r="C94" s="1"/>
      <c r="D94" s="1"/>
      <c r="E94" s="1"/>
      <c r="F94" s="1"/>
      <c r="G94" s="1"/>
      <c r="H94" s="1"/>
      <c r="I94" s="1"/>
      <c r="J94" s="1"/>
      <c r="K94" s="1"/>
      <c r="L94" s="1"/>
      <c r="M94" s="1"/>
      <c r="N94" s="1"/>
      <c r="O94" s="1"/>
      <c r="P94" s="1"/>
      <c r="Q94" s="1"/>
      <c r="R94" s="1"/>
      <c r="S94" s="1"/>
      <c r="U94" s="1"/>
      <c r="W94" s="1"/>
    </row>
    <row r="95" spans="1:23">
      <c r="A95" s="1"/>
      <c r="B95" s="501" t="s">
        <v>20</v>
      </c>
      <c r="C95" s="1"/>
      <c r="D95" s="1" t="s">
        <v>21</v>
      </c>
      <c r="E95" s="499" t="str">
        <f>E25</f>
        <v>PRODUKT 1</v>
      </c>
      <c r="G95" s="499" t="str">
        <f>G25</f>
        <v>PRODUKT 2</v>
      </c>
      <c r="I95" s="499" t="str">
        <f>I25</f>
        <v>PRODUKT 3</v>
      </c>
      <c r="K95" s="499" t="str">
        <f>K25</f>
        <v>PRODUKT 4</v>
      </c>
      <c r="M95" s="499" t="str">
        <f>M25</f>
        <v>PRODUKT 5</v>
      </c>
      <c r="O95" s="499" t="str">
        <f>O25</f>
        <v>PRODUKT 6</v>
      </c>
      <c r="Q95" s="499" t="str">
        <f>Q25</f>
        <v>PRODUKT 7</v>
      </c>
      <c r="S95" s="499" t="str">
        <f>S25</f>
        <v>PRODUKT 8</v>
      </c>
      <c r="U95" s="499" t="str">
        <f>U25</f>
        <v>PRODUKT 9</v>
      </c>
      <c r="W95" s="499" t="str">
        <f>W25</f>
        <v>PRODUKT 10</v>
      </c>
    </row>
    <row r="96" spans="1:23">
      <c r="A96" s="1"/>
      <c r="B96" s="139">
        <v>1</v>
      </c>
      <c r="C96" s="139">
        <f>B96</f>
        <v>1</v>
      </c>
      <c r="D96" s="139"/>
      <c r="E96" s="502">
        <f>PMT('Benzin - diesel - hybrid'!E$47,$B96,-E$26)</f>
        <v>0</v>
      </c>
      <c r="F96" s="502"/>
      <c r="G96" s="502">
        <f>PMT('Benzin - diesel - hybrid'!G$47,$B96,-G$26)</f>
        <v>0</v>
      </c>
      <c r="H96" s="502"/>
      <c r="I96" s="502">
        <f>PMT('Benzin - diesel - hybrid'!I$47,$B96,-I$26)</f>
        <v>0</v>
      </c>
      <c r="J96" s="502"/>
      <c r="K96" s="502">
        <f>PMT('Benzin - diesel - hybrid'!K$47,$B96,-K$26)</f>
        <v>0</v>
      </c>
      <c r="L96" s="502"/>
      <c r="M96" s="502">
        <f>PMT('Benzin - diesel - hybrid'!M$47,$B96,-M$26)</f>
        <v>0</v>
      </c>
      <c r="N96" s="502"/>
      <c r="O96" s="502">
        <f>PMT('Benzin - diesel - hybrid'!O$47,$B96,-O$26)</f>
        <v>0</v>
      </c>
      <c r="P96" s="502"/>
      <c r="Q96" s="502">
        <f>PMT('Benzin - diesel - hybrid'!Q$47,$B96,-Q$26)</f>
        <v>0</v>
      </c>
      <c r="R96" s="502"/>
      <c r="S96" s="502">
        <f>PMT('Benzin - diesel - hybrid'!S$47,$B96,-S$26)</f>
        <v>0</v>
      </c>
      <c r="U96" s="502">
        <f>PMT('Benzin - diesel - hybrid'!U$47,$B96,-U$26)</f>
        <v>0</v>
      </c>
      <c r="W96" s="502">
        <f>PMT('Benzin - diesel - hybrid'!W$47,$B96,-W$26)</f>
        <v>0</v>
      </c>
    </row>
    <row r="97" spans="1:23">
      <c r="A97" s="1"/>
      <c r="B97" s="139">
        <v>2</v>
      </c>
      <c r="C97" s="139">
        <f t="shared" ref="C97:C110" si="6">B97</f>
        <v>2</v>
      </c>
      <c r="D97" s="139"/>
      <c r="E97" s="502">
        <f>PMT('Benzin - diesel - hybrid'!E$47,$B97,-E$26)</f>
        <v>0</v>
      </c>
      <c r="F97" s="502"/>
      <c r="G97" s="502">
        <f>PMT('Benzin - diesel - hybrid'!G$47,$B97,-G$26)</f>
        <v>0</v>
      </c>
      <c r="H97" s="502"/>
      <c r="I97" s="502">
        <f>PMT('Benzin - diesel - hybrid'!I$47,$B97,-I$26)</f>
        <v>0</v>
      </c>
      <c r="J97" s="502"/>
      <c r="K97" s="502">
        <f>PMT('Benzin - diesel - hybrid'!K$47,$B97,-K$26)</f>
        <v>0</v>
      </c>
      <c r="L97" s="502"/>
      <c r="M97" s="502">
        <f>PMT('Benzin - diesel - hybrid'!M$47,$B97,-M$26)</f>
        <v>0</v>
      </c>
      <c r="N97" s="502"/>
      <c r="O97" s="502">
        <f>PMT('Benzin - diesel - hybrid'!O$47,$B97,-O$26)</f>
        <v>0</v>
      </c>
      <c r="P97" s="502"/>
      <c r="Q97" s="502">
        <f>PMT('Benzin - diesel - hybrid'!Q$47,$B97,-Q$26)</f>
        <v>0</v>
      </c>
      <c r="R97" s="502"/>
      <c r="S97" s="502">
        <f>PMT('Benzin - diesel - hybrid'!S$47,$B97,-S$26)</f>
        <v>0</v>
      </c>
      <c r="U97" s="502">
        <f>PMT('Benzin - diesel - hybrid'!U$47,$B97,-U$26)</f>
        <v>0</v>
      </c>
      <c r="W97" s="502">
        <f>PMT('Benzin - diesel - hybrid'!W$47,$B97,-W$26)</f>
        <v>0</v>
      </c>
    </row>
    <row r="98" spans="1:23">
      <c r="A98" s="1"/>
      <c r="B98" s="139">
        <v>3</v>
      </c>
      <c r="C98" s="139">
        <f t="shared" si="6"/>
        <v>3</v>
      </c>
      <c r="D98" s="139"/>
      <c r="E98" s="502">
        <f>PMT('Benzin - diesel - hybrid'!E$47,$B98,-E$26)</f>
        <v>0</v>
      </c>
      <c r="F98" s="502"/>
      <c r="G98" s="502">
        <f>PMT('Benzin - diesel - hybrid'!G$47,$B98,-G$26)</f>
        <v>0</v>
      </c>
      <c r="H98" s="502"/>
      <c r="I98" s="502">
        <f>PMT('Benzin - diesel - hybrid'!I$47,$B98,-I$26)</f>
        <v>0</v>
      </c>
      <c r="J98" s="502"/>
      <c r="K98" s="502">
        <f>PMT('Benzin - diesel - hybrid'!K$47,$B98,-K$26)</f>
        <v>0</v>
      </c>
      <c r="L98" s="502"/>
      <c r="M98" s="502">
        <f>PMT('Benzin - diesel - hybrid'!M$47,$B98,-M$26)</f>
        <v>0</v>
      </c>
      <c r="N98" s="502"/>
      <c r="O98" s="502">
        <f>PMT('Benzin - diesel - hybrid'!O$47,$B98,-O$26)</f>
        <v>0</v>
      </c>
      <c r="P98" s="502"/>
      <c r="Q98" s="502">
        <f>PMT('Benzin - diesel - hybrid'!Q$47,$B98,-Q$26)</f>
        <v>0</v>
      </c>
      <c r="R98" s="502"/>
      <c r="S98" s="502">
        <f>PMT('Benzin - diesel - hybrid'!S$47,$B98,-S$26)</f>
        <v>0</v>
      </c>
      <c r="U98" s="502">
        <f>PMT('Benzin - diesel - hybrid'!U$47,$B98,-U$26)</f>
        <v>0</v>
      </c>
      <c r="W98" s="502">
        <f>PMT('Benzin - diesel - hybrid'!W$47,$B98,-W$26)</f>
        <v>0</v>
      </c>
    </row>
    <row r="99" spans="1:23">
      <c r="A99" s="1"/>
      <c r="B99" s="139">
        <v>4</v>
      </c>
      <c r="C99" s="139">
        <f t="shared" si="6"/>
        <v>4</v>
      </c>
      <c r="D99" s="139"/>
      <c r="E99" s="502">
        <f>PMT('Benzin - diesel - hybrid'!E$47,$B99,-E$26)</f>
        <v>0</v>
      </c>
      <c r="F99" s="502"/>
      <c r="G99" s="502">
        <f>PMT('Benzin - diesel - hybrid'!G$47,$B99,-G$26)</f>
        <v>0</v>
      </c>
      <c r="H99" s="502"/>
      <c r="I99" s="502">
        <f>PMT('Benzin - diesel - hybrid'!I$47,$B99,-I$26)</f>
        <v>0</v>
      </c>
      <c r="J99" s="502"/>
      <c r="K99" s="502">
        <f>PMT('Benzin - diesel - hybrid'!K$47,$B99,-K$26)</f>
        <v>0</v>
      </c>
      <c r="L99" s="502"/>
      <c r="M99" s="502">
        <f>PMT('Benzin - diesel - hybrid'!M$47,$B99,-M$26)</f>
        <v>0</v>
      </c>
      <c r="N99" s="502"/>
      <c r="O99" s="502">
        <f>PMT('Benzin - diesel - hybrid'!O$47,$B99,-O$26)</f>
        <v>0</v>
      </c>
      <c r="P99" s="502"/>
      <c r="Q99" s="502">
        <f>PMT('Benzin - diesel - hybrid'!Q$47,$B99,-Q$26)</f>
        <v>0</v>
      </c>
      <c r="R99" s="502"/>
      <c r="S99" s="502">
        <f>PMT('Benzin - diesel - hybrid'!S$47,$B99,-S$26)</f>
        <v>0</v>
      </c>
      <c r="U99" s="502">
        <f>PMT('Benzin - diesel - hybrid'!U$47,$B99,-U$26)</f>
        <v>0</v>
      </c>
      <c r="W99" s="502">
        <f>PMT('Benzin - diesel - hybrid'!W$47,$B99,-W$26)</f>
        <v>0</v>
      </c>
    </row>
    <row r="100" spans="1:23">
      <c r="A100" s="1"/>
      <c r="B100" s="139">
        <v>5</v>
      </c>
      <c r="C100" s="139">
        <f t="shared" si="6"/>
        <v>5</v>
      </c>
      <c r="D100" s="139"/>
      <c r="E100" s="502">
        <f>PMT('Benzin - diesel - hybrid'!E$47,$B100,-E$26)</f>
        <v>0</v>
      </c>
      <c r="F100" s="502"/>
      <c r="G100" s="502">
        <f>PMT('Benzin - diesel - hybrid'!G$47,$B100,-G$26)</f>
        <v>0</v>
      </c>
      <c r="H100" s="502"/>
      <c r="I100" s="502">
        <f>PMT('Benzin - diesel - hybrid'!I$47,$B100,-I$26)</f>
        <v>0</v>
      </c>
      <c r="J100" s="502"/>
      <c r="K100" s="502">
        <f>PMT('Benzin - diesel - hybrid'!K$47,$B100,-K$26)</f>
        <v>0</v>
      </c>
      <c r="L100" s="502"/>
      <c r="M100" s="502">
        <f>PMT('Benzin - diesel - hybrid'!M$47,$B100,-M$26)</f>
        <v>0</v>
      </c>
      <c r="N100" s="502"/>
      <c r="O100" s="502">
        <f>PMT('Benzin - diesel - hybrid'!O$47,$B100,-O$26)</f>
        <v>0</v>
      </c>
      <c r="P100" s="502"/>
      <c r="Q100" s="502">
        <f>PMT('Benzin - diesel - hybrid'!Q$47,$B100,-Q$26)</f>
        <v>0</v>
      </c>
      <c r="R100" s="502"/>
      <c r="S100" s="502">
        <f>PMT('Benzin - diesel - hybrid'!S$47,$B100,-S$26)</f>
        <v>0</v>
      </c>
      <c r="U100" s="502">
        <f>PMT('Benzin - diesel - hybrid'!U$47,$B100,-U$26)</f>
        <v>0</v>
      </c>
      <c r="W100" s="502">
        <f>PMT('Benzin - diesel - hybrid'!W$47,$B100,-W$26)</f>
        <v>0</v>
      </c>
    </row>
    <row r="101" spans="1:23">
      <c r="A101" s="1"/>
      <c r="B101" s="139">
        <v>6</v>
      </c>
      <c r="C101" s="139">
        <f t="shared" si="6"/>
        <v>6</v>
      </c>
      <c r="D101" s="139"/>
      <c r="E101" s="502">
        <f>PMT('Benzin - diesel - hybrid'!E$47,$B101,-E$26)</f>
        <v>0</v>
      </c>
      <c r="F101" s="502"/>
      <c r="G101" s="502">
        <f>PMT('Benzin - diesel - hybrid'!G$47,$B101,-G$26)</f>
        <v>0</v>
      </c>
      <c r="H101" s="502"/>
      <c r="I101" s="502">
        <f>PMT('Benzin - diesel - hybrid'!I$47,$B101,-I$26)</f>
        <v>0</v>
      </c>
      <c r="J101" s="502"/>
      <c r="K101" s="502">
        <f>PMT('Benzin - diesel - hybrid'!K$47,$B101,-K$26)</f>
        <v>0</v>
      </c>
      <c r="L101" s="502"/>
      <c r="M101" s="502">
        <f>PMT('Benzin - diesel - hybrid'!M$47,$B101,-M$26)</f>
        <v>0</v>
      </c>
      <c r="N101" s="502"/>
      <c r="O101" s="502">
        <f>PMT('Benzin - diesel - hybrid'!O$47,$B101,-O$26)</f>
        <v>0</v>
      </c>
      <c r="P101" s="502"/>
      <c r="Q101" s="502">
        <f>PMT('Benzin - diesel - hybrid'!Q$47,$B101,-Q$26)</f>
        <v>0</v>
      </c>
      <c r="R101" s="502"/>
      <c r="S101" s="502">
        <f>PMT('Benzin - diesel - hybrid'!S$47,$B101,-S$26)</f>
        <v>0</v>
      </c>
      <c r="U101" s="502">
        <f>PMT('Benzin - diesel - hybrid'!U$47,$B101,-U$26)</f>
        <v>0</v>
      </c>
      <c r="W101" s="502">
        <f>PMT('Benzin - diesel - hybrid'!W$47,$B101,-W$26)</f>
        <v>0</v>
      </c>
    </row>
    <row r="102" spans="1:23">
      <c r="A102" s="1"/>
      <c r="B102" s="139">
        <v>7</v>
      </c>
      <c r="C102" s="139">
        <f t="shared" si="6"/>
        <v>7</v>
      </c>
      <c r="D102" s="139"/>
      <c r="E102" s="502">
        <f>PMT('Benzin - diesel - hybrid'!E$47,$B102,-E$26)</f>
        <v>0</v>
      </c>
      <c r="F102" s="502"/>
      <c r="G102" s="502">
        <f>PMT('Benzin - diesel - hybrid'!G$47,$B102,-G$26)</f>
        <v>0</v>
      </c>
      <c r="H102" s="502"/>
      <c r="I102" s="502">
        <f>PMT('Benzin - diesel - hybrid'!I$47,$B102,-I$26)</f>
        <v>0</v>
      </c>
      <c r="J102" s="502"/>
      <c r="K102" s="502">
        <f>PMT('Benzin - diesel - hybrid'!K$47,$B102,-K$26)</f>
        <v>0</v>
      </c>
      <c r="L102" s="502"/>
      <c r="M102" s="502">
        <f>PMT('Benzin - diesel - hybrid'!M$47,$B102,-M$26)</f>
        <v>0</v>
      </c>
      <c r="N102" s="502"/>
      <c r="O102" s="502">
        <f>PMT('Benzin - diesel - hybrid'!O$47,$B102,-O$26)</f>
        <v>0</v>
      </c>
      <c r="P102" s="502"/>
      <c r="Q102" s="502">
        <f>PMT('Benzin - diesel - hybrid'!Q$47,$B102,-Q$26)</f>
        <v>0</v>
      </c>
      <c r="R102" s="502"/>
      <c r="S102" s="502">
        <f>PMT('Benzin - diesel - hybrid'!S$47,$B102,-S$26)</f>
        <v>0</v>
      </c>
      <c r="U102" s="502">
        <f>PMT('Benzin - diesel - hybrid'!U$47,$B102,-U$26)</f>
        <v>0</v>
      </c>
      <c r="W102" s="502">
        <f>PMT('Benzin - diesel - hybrid'!W$47,$B102,-W$26)</f>
        <v>0</v>
      </c>
    </row>
    <row r="103" spans="1:23">
      <c r="A103" s="1"/>
      <c r="B103" s="139">
        <v>8</v>
      </c>
      <c r="C103" s="139">
        <f t="shared" si="6"/>
        <v>8</v>
      </c>
      <c r="D103" s="139"/>
      <c r="E103" s="502">
        <f>PMT('Benzin - diesel - hybrid'!E$47,$B103,-E$26)</f>
        <v>0</v>
      </c>
      <c r="F103" s="502"/>
      <c r="G103" s="502">
        <f>PMT('Benzin - diesel - hybrid'!G$47,$B103,-G$26)</f>
        <v>0</v>
      </c>
      <c r="H103" s="502"/>
      <c r="I103" s="502">
        <f>PMT('Benzin - diesel - hybrid'!I$47,$B103,-I$26)</f>
        <v>0</v>
      </c>
      <c r="J103" s="502"/>
      <c r="K103" s="502">
        <f>PMT('Benzin - diesel - hybrid'!K$47,$B103,-K$26)</f>
        <v>0</v>
      </c>
      <c r="L103" s="502"/>
      <c r="M103" s="502">
        <f>PMT('Benzin - diesel - hybrid'!M$47,$B103,-M$26)</f>
        <v>0</v>
      </c>
      <c r="N103" s="502"/>
      <c r="O103" s="502">
        <f>PMT('Benzin - diesel - hybrid'!O$47,$B103,-O$26)</f>
        <v>0</v>
      </c>
      <c r="P103" s="502"/>
      <c r="Q103" s="502">
        <f>PMT('Benzin - diesel - hybrid'!Q$47,$B103,-Q$26)</f>
        <v>0</v>
      </c>
      <c r="R103" s="502"/>
      <c r="S103" s="502">
        <f>PMT('Benzin - diesel - hybrid'!S$47,$B103,-S$26)</f>
        <v>0</v>
      </c>
      <c r="U103" s="502">
        <f>PMT('Benzin - diesel - hybrid'!U$47,$B103,-U$26)</f>
        <v>0</v>
      </c>
      <c r="W103" s="502">
        <f>PMT('Benzin - diesel - hybrid'!W$47,$B103,-W$26)</f>
        <v>0</v>
      </c>
    </row>
    <row r="104" spans="1:23">
      <c r="A104" s="1"/>
      <c r="B104" s="139">
        <v>9</v>
      </c>
      <c r="C104" s="139">
        <f t="shared" si="6"/>
        <v>9</v>
      </c>
      <c r="D104" s="139"/>
      <c r="E104" s="502">
        <f>PMT('Benzin - diesel - hybrid'!E$47,$B104,-E$26)</f>
        <v>0</v>
      </c>
      <c r="F104" s="502"/>
      <c r="G104" s="502">
        <f>PMT('Benzin - diesel - hybrid'!G$47,$B104,-G$26)</f>
        <v>0</v>
      </c>
      <c r="H104" s="502"/>
      <c r="I104" s="502">
        <f>PMT('Benzin - diesel - hybrid'!I$47,$B104,-I$26)</f>
        <v>0</v>
      </c>
      <c r="J104" s="502"/>
      <c r="K104" s="502">
        <f>PMT('Benzin - diesel - hybrid'!K$47,$B104,-K$26)</f>
        <v>0</v>
      </c>
      <c r="L104" s="502"/>
      <c r="M104" s="502">
        <f>PMT('Benzin - diesel - hybrid'!M$47,$B104,-M$26)</f>
        <v>0</v>
      </c>
      <c r="N104" s="502"/>
      <c r="O104" s="502">
        <f>PMT('Benzin - diesel - hybrid'!O$47,$B104,-O$26)</f>
        <v>0</v>
      </c>
      <c r="P104" s="502"/>
      <c r="Q104" s="502">
        <f>PMT('Benzin - diesel - hybrid'!Q$47,$B104,-Q$26)</f>
        <v>0</v>
      </c>
      <c r="R104" s="502"/>
      <c r="S104" s="502">
        <f>PMT('Benzin - diesel - hybrid'!S$47,$B104,-S$26)</f>
        <v>0</v>
      </c>
      <c r="U104" s="502">
        <f>PMT('Benzin - diesel - hybrid'!U$47,$B104,-U$26)</f>
        <v>0</v>
      </c>
      <c r="W104" s="502">
        <f>PMT('Benzin - diesel - hybrid'!W$47,$B104,-W$26)</f>
        <v>0</v>
      </c>
    </row>
    <row r="105" spans="1:23">
      <c r="A105" s="1"/>
      <c r="B105" s="139">
        <v>10</v>
      </c>
      <c r="C105" s="139">
        <f t="shared" si="6"/>
        <v>10</v>
      </c>
      <c r="D105" s="139"/>
      <c r="E105" s="502">
        <f>PMT('Benzin - diesel - hybrid'!E$47,$B105,-E$26)</f>
        <v>0</v>
      </c>
      <c r="F105" s="502"/>
      <c r="G105" s="502">
        <f>PMT('Benzin - diesel - hybrid'!G$47,$B105,-G$26)</f>
        <v>0</v>
      </c>
      <c r="H105" s="502"/>
      <c r="I105" s="502">
        <f>PMT('Benzin - diesel - hybrid'!I$47,$B105,-I$26)</f>
        <v>0</v>
      </c>
      <c r="J105" s="502"/>
      <c r="K105" s="502">
        <f>PMT('Benzin - diesel - hybrid'!K$47,$B105,-K$26)</f>
        <v>0</v>
      </c>
      <c r="L105" s="502"/>
      <c r="M105" s="502">
        <f>PMT('Benzin - diesel - hybrid'!M$47,$B105,-M$26)</f>
        <v>0</v>
      </c>
      <c r="N105" s="502"/>
      <c r="O105" s="502">
        <f>PMT('Benzin - diesel - hybrid'!O$47,$B105,-O$26)</f>
        <v>0</v>
      </c>
      <c r="P105" s="502"/>
      <c r="Q105" s="502">
        <f>PMT('Benzin - diesel - hybrid'!Q$47,$B105,-Q$26)</f>
        <v>0</v>
      </c>
      <c r="R105" s="502"/>
      <c r="S105" s="502">
        <f>PMT('Benzin - diesel - hybrid'!S$47,$B105,-S$26)</f>
        <v>0</v>
      </c>
      <c r="U105" s="502">
        <f>PMT('Benzin - diesel - hybrid'!U$47,$B105,-U$26)</f>
        <v>0</v>
      </c>
      <c r="W105" s="502">
        <f>PMT('Benzin - diesel - hybrid'!W$47,$B105,-W$26)</f>
        <v>0</v>
      </c>
    </row>
    <row r="106" spans="1:23">
      <c r="A106" s="1"/>
      <c r="B106" s="139">
        <v>11</v>
      </c>
      <c r="C106" s="139">
        <f t="shared" si="6"/>
        <v>11</v>
      </c>
      <c r="D106" s="139"/>
      <c r="E106" s="502">
        <f>PMT('Benzin - diesel - hybrid'!E$47,$B106,-E$26)</f>
        <v>0</v>
      </c>
      <c r="F106" s="502"/>
      <c r="G106" s="502">
        <f>PMT('Benzin - diesel - hybrid'!G$47,$B106,-G$26)</f>
        <v>0</v>
      </c>
      <c r="H106" s="502"/>
      <c r="I106" s="502">
        <f>PMT('Benzin - diesel - hybrid'!I$47,$B106,-I$26)</f>
        <v>0</v>
      </c>
      <c r="J106" s="502"/>
      <c r="K106" s="502">
        <f>PMT('Benzin - diesel - hybrid'!K$47,$B106,-K$26)</f>
        <v>0</v>
      </c>
      <c r="L106" s="502"/>
      <c r="M106" s="502">
        <f>PMT('Benzin - diesel - hybrid'!M$47,$B106,-M$26)</f>
        <v>0</v>
      </c>
      <c r="N106" s="502"/>
      <c r="O106" s="502">
        <f>PMT('Benzin - diesel - hybrid'!O$47,$B106,-O$26)</f>
        <v>0</v>
      </c>
      <c r="P106" s="502"/>
      <c r="Q106" s="502">
        <f>PMT('Benzin - diesel - hybrid'!Q$47,$B106,-Q$26)</f>
        <v>0</v>
      </c>
      <c r="R106" s="502"/>
      <c r="S106" s="502">
        <f>PMT('Benzin - diesel - hybrid'!S$47,$B106,-S$26)</f>
        <v>0</v>
      </c>
      <c r="U106" s="502">
        <f>PMT('Benzin - diesel - hybrid'!U$47,$B106,-U$26)</f>
        <v>0</v>
      </c>
      <c r="W106" s="502">
        <f>PMT('Benzin - diesel - hybrid'!W$47,$B106,-W$26)</f>
        <v>0</v>
      </c>
    </row>
    <row r="107" spans="1:23">
      <c r="A107" s="1"/>
      <c r="B107" s="139">
        <v>12</v>
      </c>
      <c r="C107" s="139">
        <f t="shared" si="6"/>
        <v>12</v>
      </c>
      <c r="D107" s="139"/>
      <c r="E107" s="502">
        <f>PMT('Benzin - diesel - hybrid'!E$47,$B107,-E$26)</f>
        <v>0</v>
      </c>
      <c r="F107" s="502"/>
      <c r="G107" s="502">
        <f>PMT('Benzin - diesel - hybrid'!G$47,$B107,-G$26)</f>
        <v>0</v>
      </c>
      <c r="H107" s="502"/>
      <c r="I107" s="502">
        <f>PMT('Benzin - diesel - hybrid'!I$47,$B107,-I$26)</f>
        <v>0</v>
      </c>
      <c r="J107" s="502"/>
      <c r="K107" s="502">
        <f>PMT('Benzin - diesel - hybrid'!K$47,$B107,-K$26)</f>
        <v>0</v>
      </c>
      <c r="L107" s="502"/>
      <c r="M107" s="502">
        <f>PMT('Benzin - diesel - hybrid'!M$47,$B107,-M$26)</f>
        <v>0</v>
      </c>
      <c r="N107" s="502"/>
      <c r="O107" s="502">
        <f>PMT('Benzin - diesel - hybrid'!O$47,$B107,-O$26)</f>
        <v>0</v>
      </c>
      <c r="P107" s="502"/>
      <c r="Q107" s="502">
        <f>PMT('Benzin - diesel - hybrid'!Q$47,$B107,-Q$26)</f>
        <v>0</v>
      </c>
      <c r="R107" s="502"/>
      <c r="S107" s="502">
        <f>PMT('Benzin - diesel - hybrid'!S$47,$B107,-S$26)</f>
        <v>0</v>
      </c>
      <c r="U107" s="502">
        <f>PMT('Benzin - diesel - hybrid'!U$47,$B107,-U$26)</f>
        <v>0</v>
      </c>
      <c r="W107" s="502">
        <f>PMT('Benzin - diesel - hybrid'!W$47,$B107,-W$26)</f>
        <v>0</v>
      </c>
    </row>
    <row r="108" spans="1:23">
      <c r="A108" s="1"/>
      <c r="B108" s="139">
        <v>13</v>
      </c>
      <c r="C108" s="139">
        <f t="shared" si="6"/>
        <v>13</v>
      </c>
      <c r="D108" s="139"/>
      <c r="E108" s="502">
        <f>PMT('Benzin - diesel - hybrid'!E$47,$B108,-E$26)</f>
        <v>0</v>
      </c>
      <c r="F108" s="502"/>
      <c r="G108" s="502">
        <f>PMT('Benzin - diesel - hybrid'!G$47,$B108,-G$26)</f>
        <v>0</v>
      </c>
      <c r="H108" s="502"/>
      <c r="I108" s="502">
        <f>PMT('Benzin - diesel - hybrid'!I$47,$B108,-I$26)</f>
        <v>0</v>
      </c>
      <c r="J108" s="502"/>
      <c r="K108" s="502">
        <f>PMT('Benzin - diesel - hybrid'!K$47,$B108,-K$26)</f>
        <v>0</v>
      </c>
      <c r="L108" s="502"/>
      <c r="M108" s="502">
        <f>PMT('Benzin - diesel - hybrid'!M$47,$B108,-M$26)</f>
        <v>0</v>
      </c>
      <c r="N108" s="502"/>
      <c r="O108" s="502">
        <f>PMT('Benzin - diesel - hybrid'!O$47,$B108,-O$26)</f>
        <v>0</v>
      </c>
      <c r="P108" s="502"/>
      <c r="Q108" s="502">
        <f>PMT('Benzin - diesel - hybrid'!Q$47,$B108,-Q$26)</f>
        <v>0</v>
      </c>
      <c r="R108" s="502"/>
      <c r="S108" s="502">
        <f>PMT('Benzin - diesel - hybrid'!S$47,$B108,-S$26)</f>
        <v>0</v>
      </c>
      <c r="U108" s="502">
        <f>PMT('Benzin - diesel - hybrid'!U$47,$B108,-U$26)</f>
        <v>0</v>
      </c>
      <c r="W108" s="502">
        <f>PMT('Benzin - diesel - hybrid'!W$47,$B108,-W$26)</f>
        <v>0</v>
      </c>
    </row>
    <row r="109" spans="1:23">
      <c r="A109" s="1"/>
      <c r="B109" s="139">
        <v>14</v>
      </c>
      <c r="C109" s="139">
        <f t="shared" si="6"/>
        <v>14</v>
      </c>
      <c r="D109" s="139"/>
      <c r="E109" s="502">
        <f>PMT('Benzin - diesel - hybrid'!E$47,$B109,-E$26)</f>
        <v>0</v>
      </c>
      <c r="F109" s="502"/>
      <c r="G109" s="502">
        <f>PMT('Benzin - diesel - hybrid'!G$47,$B109,-G$26)</f>
        <v>0</v>
      </c>
      <c r="H109" s="502"/>
      <c r="I109" s="502">
        <f>PMT('Benzin - diesel - hybrid'!I$47,$B109,-I$26)</f>
        <v>0</v>
      </c>
      <c r="J109" s="502"/>
      <c r="K109" s="502">
        <f>PMT('Benzin - diesel - hybrid'!K$47,$B109,-K$26)</f>
        <v>0</v>
      </c>
      <c r="L109" s="502"/>
      <c r="M109" s="502">
        <f>PMT('Benzin - diesel - hybrid'!M$47,$B109,-M$26)</f>
        <v>0</v>
      </c>
      <c r="N109" s="502"/>
      <c r="O109" s="502">
        <f>PMT('Benzin - diesel - hybrid'!O$47,$B109,-O$26)</f>
        <v>0</v>
      </c>
      <c r="P109" s="502"/>
      <c r="Q109" s="502">
        <f>PMT('Benzin - diesel - hybrid'!Q$47,$B109,-Q$26)</f>
        <v>0</v>
      </c>
      <c r="R109" s="502"/>
      <c r="S109" s="502">
        <f>PMT('Benzin - diesel - hybrid'!S$47,$B109,-S$26)</f>
        <v>0</v>
      </c>
      <c r="U109" s="502">
        <f>PMT('Benzin - diesel - hybrid'!U$47,$B109,-U$26)</f>
        <v>0</v>
      </c>
      <c r="W109" s="502">
        <f>PMT('Benzin - diesel - hybrid'!W$47,$B109,-W$26)</f>
        <v>0</v>
      </c>
    </row>
    <row r="110" spans="1:23">
      <c r="A110" s="1"/>
      <c r="B110" s="139">
        <v>15</v>
      </c>
      <c r="C110" s="139">
        <f t="shared" si="6"/>
        <v>15</v>
      </c>
      <c r="D110" s="139"/>
      <c r="E110" s="502">
        <f>PMT('Benzin - diesel - hybrid'!E$47,$B110,-E$26)</f>
        <v>0</v>
      </c>
      <c r="F110" s="502"/>
      <c r="G110" s="502">
        <f>PMT('Benzin - diesel - hybrid'!G$47,$B110,-G$26)</f>
        <v>0</v>
      </c>
      <c r="H110" s="502"/>
      <c r="I110" s="502">
        <f>PMT('Benzin - diesel - hybrid'!I$47,$B110,-I$26)</f>
        <v>0</v>
      </c>
      <c r="J110" s="502"/>
      <c r="K110" s="502">
        <f>PMT('Benzin - diesel - hybrid'!K$47,$B110,-K$26)</f>
        <v>0</v>
      </c>
      <c r="L110" s="502"/>
      <c r="M110" s="502">
        <f>PMT('Benzin - diesel - hybrid'!M$47,$B110,-M$26)</f>
        <v>0</v>
      </c>
      <c r="N110" s="502"/>
      <c r="O110" s="502">
        <f>PMT('Benzin - diesel - hybrid'!O$47,$B110,-O$26)</f>
        <v>0</v>
      </c>
      <c r="P110" s="502"/>
      <c r="Q110" s="502">
        <f>PMT('Benzin - diesel - hybrid'!Q$47,$B110,-Q$26)</f>
        <v>0</v>
      </c>
      <c r="R110" s="502"/>
      <c r="S110" s="502">
        <f>PMT('Benzin - diesel - hybrid'!S$47,$B110,-S$26)</f>
        <v>0</v>
      </c>
      <c r="U110" s="502">
        <f>PMT('Benzin - diesel - hybrid'!U$47,$B110,-U$26)</f>
        <v>0</v>
      </c>
      <c r="W110" s="502">
        <f>PMT('Benzin - diesel - hybrid'!W$47,$B110,-W$26)</f>
        <v>0</v>
      </c>
    </row>
    <row r="111" spans="1:23">
      <c r="B111" s="139">
        <v>16</v>
      </c>
      <c r="C111" s="139">
        <f t="shared" ref="C111:C115" si="7">B111</f>
        <v>16</v>
      </c>
      <c r="E111" s="502">
        <f>PMT('Benzin - diesel - hybrid'!E$47,$B111,-E$26)</f>
        <v>0</v>
      </c>
      <c r="F111" s="502"/>
      <c r="G111" s="502">
        <f>PMT('Benzin - diesel - hybrid'!G$47,$B111,-G$26)</f>
        <v>0</v>
      </c>
      <c r="H111" s="502"/>
      <c r="I111" s="502">
        <f>PMT('Benzin - diesel - hybrid'!I$47,$B111,-I$26)</f>
        <v>0</v>
      </c>
      <c r="J111" s="502"/>
      <c r="K111" s="502">
        <f>PMT('Benzin - diesel - hybrid'!K$47,$B111,-K$26)</f>
        <v>0</v>
      </c>
      <c r="L111" s="502"/>
      <c r="M111" s="502">
        <f>PMT('Benzin - diesel - hybrid'!M$47,$B111,-M$26)</f>
        <v>0</v>
      </c>
      <c r="N111" s="502"/>
      <c r="O111" s="502">
        <f>PMT('Benzin - diesel - hybrid'!O$47,$B111,-O$26)</f>
        <v>0</v>
      </c>
      <c r="P111" s="502"/>
      <c r="Q111" s="502">
        <f>PMT('Benzin - diesel - hybrid'!Q$47,$B111,-Q$26)</f>
        <v>0</v>
      </c>
      <c r="R111" s="502"/>
      <c r="S111" s="502">
        <f>PMT('Benzin - diesel - hybrid'!S$47,$B111,-S$26)</f>
        <v>0</v>
      </c>
      <c r="U111" s="502">
        <f>PMT('Benzin - diesel - hybrid'!U$47,$B111,-U$26)</f>
        <v>0</v>
      </c>
      <c r="W111" s="502">
        <f>PMT('Benzin - diesel - hybrid'!W$47,$B111,-W$26)</f>
        <v>0</v>
      </c>
    </row>
    <row r="112" spans="1:23">
      <c r="B112" s="139">
        <v>17</v>
      </c>
      <c r="C112" s="139">
        <f t="shared" si="7"/>
        <v>17</v>
      </c>
      <c r="E112" s="502">
        <f>PMT('Benzin - diesel - hybrid'!E$47,$B112,-E$26)</f>
        <v>0</v>
      </c>
      <c r="F112" s="502"/>
      <c r="G112" s="502">
        <f>PMT('Benzin - diesel - hybrid'!G$47,$B112,-G$26)</f>
        <v>0</v>
      </c>
      <c r="H112" s="502"/>
      <c r="I112" s="502">
        <f>PMT('Benzin - diesel - hybrid'!I$47,$B112,-I$26)</f>
        <v>0</v>
      </c>
      <c r="J112" s="502"/>
      <c r="K112" s="502">
        <f>PMT('Benzin - diesel - hybrid'!K$47,$B112,-K$26)</f>
        <v>0</v>
      </c>
      <c r="L112" s="502"/>
      <c r="M112" s="502">
        <f>PMT('Benzin - diesel - hybrid'!M$47,$B112,-M$26)</f>
        <v>0</v>
      </c>
      <c r="N112" s="502"/>
      <c r="O112" s="502">
        <f>PMT('Benzin - diesel - hybrid'!O$47,$B112,-O$26)</f>
        <v>0</v>
      </c>
      <c r="P112" s="502"/>
      <c r="Q112" s="502">
        <f>PMT('Benzin - diesel - hybrid'!Q$47,$B112,-Q$26)</f>
        <v>0</v>
      </c>
      <c r="R112" s="502"/>
      <c r="S112" s="502">
        <f>PMT('Benzin - diesel - hybrid'!S$47,$B112,-S$26)</f>
        <v>0</v>
      </c>
      <c r="U112" s="502">
        <f>PMT('Benzin - diesel - hybrid'!U$47,$B112,-U$26)</f>
        <v>0</v>
      </c>
      <c r="W112" s="502">
        <f>PMT('Benzin - diesel - hybrid'!W$47,$B112,-W$26)</f>
        <v>0</v>
      </c>
    </row>
    <row r="113" spans="1:24">
      <c r="B113" s="139">
        <v>18</v>
      </c>
      <c r="C113" s="139">
        <f t="shared" si="7"/>
        <v>18</v>
      </c>
      <c r="E113" s="502">
        <f>PMT('Benzin - diesel - hybrid'!E$47,$B113,-E$26)</f>
        <v>0</v>
      </c>
      <c r="F113" s="502"/>
      <c r="G113" s="502">
        <f>PMT('Benzin - diesel - hybrid'!G$47,$B113,-G$26)</f>
        <v>0</v>
      </c>
      <c r="H113" s="502"/>
      <c r="I113" s="502">
        <f>PMT('Benzin - diesel - hybrid'!I$47,$B113,-I$26)</f>
        <v>0</v>
      </c>
      <c r="J113" s="502"/>
      <c r="K113" s="502">
        <f>PMT('Benzin - diesel - hybrid'!K$47,$B113,-K$26)</f>
        <v>0</v>
      </c>
      <c r="L113" s="502"/>
      <c r="M113" s="502">
        <f>PMT('Benzin - diesel - hybrid'!M$47,$B113,-M$26)</f>
        <v>0</v>
      </c>
      <c r="N113" s="502"/>
      <c r="O113" s="502">
        <f>PMT('Benzin - diesel - hybrid'!O$47,$B113,-O$26)</f>
        <v>0</v>
      </c>
      <c r="P113" s="502"/>
      <c r="Q113" s="502">
        <f>PMT('Benzin - diesel - hybrid'!Q$47,$B113,-Q$26)</f>
        <v>0</v>
      </c>
      <c r="R113" s="502"/>
      <c r="S113" s="502">
        <f>PMT('Benzin - diesel - hybrid'!S$47,$B113,-S$26)</f>
        <v>0</v>
      </c>
      <c r="U113" s="502">
        <f>PMT('Benzin - diesel - hybrid'!U$47,$B113,-U$26)</f>
        <v>0</v>
      </c>
      <c r="W113" s="502">
        <f>PMT('Benzin - diesel - hybrid'!W$47,$B113,-W$26)</f>
        <v>0</v>
      </c>
    </row>
    <row r="114" spans="1:24">
      <c r="B114" s="139">
        <v>19</v>
      </c>
      <c r="C114" s="139">
        <f t="shared" si="7"/>
        <v>19</v>
      </c>
      <c r="E114" s="502">
        <f>PMT('Benzin - diesel - hybrid'!E$47,$B114,-E$26)</f>
        <v>0</v>
      </c>
      <c r="F114" s="502"/>
      <c r="G114" s="502">
        <f>PMT('Benzin - diesel - hybrid'!G$47,$B114,-G$26)</f>
        <v>0</v>
      </c>
      <c r="H114" s="502"/>
      <c r="I114" s="502">
        <f>PMT('Benzin - diesel - hybrid'!I$47,$B114,-I$26)</f>
        <v>0</v>
      </c>
      <c r="J114" s="502"/>
      <c r="K114" s="502">
        <f>PMT('Benzin - diesel - hybrid'!K$47,$B114,-K$26)</f>
        <v>0</v>
      </c>
      <c r="L114" s="502"/>
      <c r="M114" s="502">
        <f>PMT('Benzin - diesel - hybrid'!M$47,$B114,-M$26)</f>
        <v>0</v>
      </c>
      <c r="N114" s="502"/>
      <c r="O114" s="502">
        <f>PMT('Benzin - diesel - hybrid'!O$47,$B114,-O$26)</f>
        <v>0</v>
      </c>
      <c r="P114" s="502"/>
      <c r="Q114" s="502">
        <f>PMT('Benzin - diesel - hybrid'!Q$47,$B114,-Q$26)</f>
        <v>0</v>
      </c>
      <c r="R114" s="502"/>
      <c r="S114" s="502">
        <f>PMT('Benzin - diesel - hybrid'!S$47,$B114,-S$26)</f>
        <v>0</v>
      </c>
      <c r="U114" s="502">
        <f>PMT('Benzin - diesel - hybrid'!U$47,$B114,-U$26)</f>
        <v>0</v>
      </c>
      <c r="W114" s="502">
        <f>PMT('Benzin - diesel - hybrid'!W$47,$B114,-W$26)</f>
        <v>0</v>
      </c>
    </row>
    <row r="115" spans="1:24">
      <c r="B115" s="139">
        <v>20</v>
      </c>
      <c r="C115" s="139">
        <f t="shared" si="7"/>
        <v>20</v>
      </c>
      <c r="E115" s="502">
        <f>PMT('Benzin - diesel - hybrid'!E$47,$B115,-E$26)</f>
        <v>0</v>
      </c>
      <c r="F115" s="502"/>
      <c r="G115" s="502">
        <f>PMT('Benzin - diesel - hybrid'!G$47,$B115,-G$26)</f>
        <v>0</v>
      </c>
      <c r="H115" s="502"/>
      <c r="I115" s="502">
        <f>PMT('Benzin - diesel - hybrid'!I$47,$B115,-I$26)</f>
        <v>0</v>
      </c>
      <c r="J115" s="502"/>
      <c r="K115" s="502">
        <f>PMT('Benzin - diesel - hybrid'!K$47,$B115,-K$26)</f>
        <v>0</v>
      </c>
      <c r="L115" s="502"/>
      <c r="M115" s="502">
        <f>PMT('Benzin - diesel - hybrid'!M$47,$B115,-M$26)</f>
        <v>0</v>
      </c>
      <c r="N115" s="502"/>
      <c r="O115" s="502">
        <f>PMT('Benzin - diesel - hybrid'!O$47,$B115,-O$26)</f>
        <v>0</v>
      </c>
      <c r="P115" s="502"/>
      <c r="Q115" s="502">
        <f>PMT('Benzin - diesel - hybrid'!Q$47,$B115,-Q$26)</f>
        <v>0</v>
      </c>
      <c r="R115" s="502"/>
      <c r="S115" s="502">
        <f>PMT('Benzin - diesel - hybrid'!S$47,$B115,-S$26)</f>
        <v>0</v>
      </c>
      <c r="U115" s="502">
        <f>PMT('Benzin - diesel - hybrid'!U$47,$B115,-U$26)</f>
        <v>0</v>
      </c>
      <c r="W115" s="502">
        <f>PMT('Benzin - diesel - hybrid'!W$47,$B115,-W$26)</f>
        <v>0</v>
      </c>
    </row>
    <row r="117" spans="1:24" hidden="1" outlineLevel="1">
      <c r="A117" s="277" t="s">
        <v>89</v>
      </c>
      <c r="B117" s="243"/>
      <c r="C117" s="243"/>
      <c r="D117" s="243"/>
      <c r="E117" s="243"/>
      <c r="F117" s="243"/>
      <c r="G117" s="243"/>
      <c r="H117" s="243"/>
      <c r="I117" s="243"/>
      <c r="J117" s="243"/>
      <c r="K117" s="243"/>
      <c r="L117" s="243"/>
      <c r="M117" s="243"/>
      <c r="N117" s="243"/>
      <c r="O117" s="243"/>
      <c r="P117" s="243"/>
      <c r="Q117" s="243"/>
      <c r="R117" s="243"/>
      <c r="S117" s="243"/>
      <c r="T117" s="278"/>
      <c r="U117" s="243"/>
      <c r="V117" s="278"/>
      <c r="W117" s="243"/>
      <c r="X117" s="278"/>
    </row>
    <row r="118" spans="1:24" ht="57" hidden="1" outlineLevel="1">
      <c r="A118" s="279"/>
      <c r="B118" s="280" t="s">
        <v>20</v>
      </c>
      <c r="C118" s="305"/>
      <c r="D118" s="305" t="s">
        <v>21</v>
      </c>
      <c r="E118" s="281" t="str">
        <f>'Benzin - diesel - hybrid'!E8</f>
        <v>PRODUKT 1</v>
      </c>
      <c r="F118" s="306" t="s">
        <v>81</v>
      </c>
      <c r="G118" s="281" t="str">
        <f>'Benzin - diesel - hybrid'!G8</f>
        <v>PRODUKT 2</v>
      </c>
      <c r="H118" s="306" t="s">
        <v>82</v>
      </c>
      <c r="I118" s="281" t="str">
        <f>'Benzin - diesel - hybrid'!I8</f>
        <v>PRODUKT 3</v>
      </c>
      <c r="J118" s="306" t="s">
        <v>83</v>
      </c>
      <c r="K118" s="281" t="str">
        <f>'Benzin - diesel - hybrid'!K8</f>
        <v>PRODUKT 4</v>
      </c>
      <c r="L118" s="306" t="s">
        <v>84</v>
      </c>
      <c r="M118" s="281" t="str">
        <f>'Benzin - diesel - hybrid'!M8</f>
        <v>PRODUKT 5</v>
      </c>
      <c r="N118" s="306" t="s">
        <v>85</v>
      </c>
      <c r="O118" s="281" t="str">
        <f>'Benzin - diesel - hybrid'!O8</f>
        <v>PRODUKT 6</v>
      </c>
      <c r="P118" s="306" t="s">
        <v>86</v>
      </c>
      <c r="Q118" s="281" t="str">
        <f>'Benzin - diesel - hybrid'!Q8</f>
        <v>PRODUKT 7</v>
      </c>
      <c r="R118" s="306" t="s">
        <v>87</v>
      </c>
      <c r="S118" s="281" t="str">
        <f>'Benzin - diesel - hybrid'!S8</f>
        <v>PRODUKT 8</v>
      </c>
      <c r="T118" s="307" t="s">
        <v>88</v>
      </c>
      <c r="U118" s="281">
        <f>'Benzin - diesel - hybrid'!Y8</f>
        <v>0</v>
      </c>
      <c r="V118" s="307" t="s">
        <v>88</v>
      </c>
      <c r="W118" s="281">
        <f>'Benzin - diesel - hybrid'!AA8</f>
        <v>0</v>
      </c>
      <c r="X118" s="307" t="s">
        <v>88</v>
      </c>
    </row>
    <row r="119" spans="1:24" hidden="1" outlineLevel="1">
      <c r="A119" s="308"/>
      <c r="B119" s="282">
        <v>1</v>
      </c>
      <c r="C119" s="282">
        <f>B119</f>
        <v>1</v>
      </c>
      <c r="D119" s="282"/>
      <c r="E119" s="288" t="e">
        <f>'Benzin - diesel - hybrid'!E$39*F119*IF('Benzin - diesel - hybrid'!E$24="nej","",IF('Benzin - diesel - hybrid'!#REF!="ja",VLOOKUP('Benzin - diesel - hybrid'!E$45+($C119-1),Fremskrivninger!$A$9:$L$38,12),'Benzin - diesel - hybrid'!#REF!))/1000</f>
        <v>#REF!</v>
      </c>
      <c r="F119" s="309" t="e">
        <f>('Benzin - diesel - hybrid'!E$15*'Benzin - diesel - hybrid'!E$40*'Benzin - diesel - hybrid'!#REF!/10+'Benzin - diesel - hybrid'!#REF!*365)</f>
        <v>#REF!</v>
      </c>
      <c r="G119" s="288" t="e">
        <f>'Benzin - diesel - hybrid'!G$39*H119*IF('Benzin - diesel - hybrid'!G$24="nej","",IF('Benzin - diesel - hybrid'!#REF!="ja",VLOOKUP('Benzin - diesel - hybrid'!G$45+($C119-1),Fremskrivninger!$A$9:$L$38,12),'Benzin - diesel - hybrid'!#REF!))/1000</f>
        <v>#REF!</v>
      </c>
      <c r="H119" s="309" t="e">
        <f>('Benzin - diesel - hybrid'!G$15*'Benzin - diesel - hybrid'!G$40*'Benzin - diesel - hybrid'!#REF!/10+'Benzin - diesel - hybrid'!#REF!*365)</f>
        <v>#REF!</v>
      </c>
      <c r="I119" s="288" t="e">
        <f>'Benzin - diesel - hybrid'!I$39*J119*IF('Benzin - diesel - hybrid'!I$24="nej","",IF('Benzin - diesel - hybrid'!#REF!="ja",VLOOKUP('Benzin - diesel - hybrid'!I$45+($C119-1),Fremskrivninger!$A$9:$L$38,12),'Benzin - diesel - hybrid'!#REF!))/1000</f>
        <v>#REF!</v>
      </c>
      <c r="J119" s="309" t="e">
        <f>('Benzin - diesel - hybrid'!I$15*'Benzin - diesel - hybrid'!I$40*'Benzin - diesel - hybrid'!#REF!/10+'Benzin - diesel - hybrid'!#REF!*365)</f>
        <v>#REF!</v>
      </c>
      <c r="K119" s="288" t="e">
        <f>'Benzin - diesel - hybrid'!K$39*L119*IF('Benzin - diesel - hybrid'!K$24="nej","",IF('Benzin - diesel - hybrid'!#REF!="ja",VLOOKUP('Benzin - diesel - hybrid'!K$45+($C119-1),Fremskrivninger!$A$9:$L$38,12),'Benzin - diesel - hybrid'!#REF!))/1000</f>
        <v>#REF!</v>
      </c>
      <c r="L119" s="309" t="e">
        <f>('Benzin - diesel - hybrid'!K$15*'Benzin - diesel - hybrid'!K$40*'Benzin - diesel - hybrid'!#REF!/10+'Benzin - diesel - hybrid'!#REF!*365)</f>
        <v>#REF!</v>
      </c>
      <c r="M119" s="288" t="e">
        <f>'Benzin - diesel - hybrid'!M$39*N119*IF('Benzin - diesel - hybrid'!M$24="nej","",IF('Benzin - diesel - hybrid'!#REF!="ja",VLOOKUP('Benzin - diesel - hybrid'!M$45+($C119-1),Fremskrivninger!$A$9:$L$38,12),'Benzin - diesel - hybrid'!#REF!))/1000</f>
        <v>#REF!</v>
      </c>
      <c r="N119" s="309" t="e">
        <f>('Benzin - diesel - hybrid'!M$15*'Benzin - diesel - hybrid'!M$40*'Benzin - diesel - hybrid'!#REF!/10+'Benzin - diesel - hybrid'!#REF!*365)</f>
        <v>#REF!</v>
      </c>
      <c r="O119" s="288" t="e">
        <f>'Benzin - diesel - hybrid'!O$39*P119*IF('Benzin - diesel - hybrid'!O$24="nej","",IF('Benzin - diesel - hybrid'!#REF!="ja",VLOOKUP('Benzin - diesel - hybrid'!O$45+($C119-1),Fremskrivninger!$A$9:$L$38,12),'Benzin - diesel - hybrid'!#REF!))/1000</f>
        <v>#REF!</v>
      </c>
      <c r="P119" s="309" t="e">
        <f>('Benzin - diesel - hybrid'!O$15*'Benzin - diesel - hybrid'!O$40*'Benzin - diesel - hybrid'!#REF!/10+'Benzin - diesel - hybrid'!#REF!*365)</f>
        <v>#REF!</v>
      </c>
      <c r="Q119" s="288" t="e">
        <f>'Benzin - diesel - hybrid'!Q$39*R119*IF('Benzin - diesel - hybrid'!Q$24="nej","",IF('Benzin - diesel - hybrid'!#REF!="ja",VLOOKUP('Benzin - diesel - hybrid'!Q$45+($C119-1),Fremskrivninger!$A$9:$L$38,12),'Benzin - diesel - hybrid'!#REF!))/1000</f>
        <v>#REF!</v>
      </c>
      <c r="R119" s="309" t="e">
        <f>('Benzin - diesel - hybrid'!Q$15*'Benzin - diesel - hybrid'!Q$40*'Benzin - diesel - hybrid'!#REF!/10+'Benzin - diesel - hybrid'!#REF!*365)</f>
        <v>#REF!</v>
      </c>
      <c r="S119" s="288" t="e">
        <f>'Benzin - diesel - hybrid'!S$39*T119*IF('Benzin - diesel - hybrid'!S$24="nej","",IF('Benzin - diesel - hybrid'!#REF!="ja",VLOOKUP('Benzin - diesel - hybrid'!S$45+($C119-1),Fremskrivninger!$A$9:$L$38,12),'Benzin - diesel - hybrid'!#REF!))/1000</f>
        <v>#REF!</v>
      </c>
      <c r="T119" s="309" t="e">
        <f>('Benzin - diesel - hybrid'!S$15*'Benzin - diesel - hybrid'!S$40*'Benzin - diesel - hybrid'!#REF!/10+'Benzin - diesel - hybrid'!#REF!*365)</f>
        <v>#REF!</v>
      </c>
      <c r="U119" s="288" t="e">
        <f>'Benzin - diesel - hybrid'!Y$39*V119*IF('Benzin - diesel - hybrid'!Y$24="nej","",IF('Benzin - diesel - hybrid'!#REF!="ja",VLOOKUP('Benzin - diesel - hybrid'!Y$45+($C119-1),Fremskrivninger!$A$9:$L$38,12),'Benzin - diesel - hybrid'!#REF!))/1000</f>
        <v>#REF!</v>
      </c>
      <c r="V119" s="309" t="e">
        <f>('Benzin - diesel - hybrid'!Y$15*'Benzin - diesel - hybrid'!Y$40*'Benzin - diesel - hybrid'!#REF!/10+'Benzin - diesel - hybrid'!#REF!*365)</f>
        <v>#REF!</v>
      </c>
      <c r="W119" s="288" t="e">
        <f>'Benzin - diesel - hybrid'!AA$39*X119*IF('Benzin - diesel - hybrid'!AA$24="nej","",IF('Benzin - diesel - hybrid'!#REF!="ja",VLOOKUP('Benzin - diesel - hybrid'!AA$45+($C119-1),Fremskrivninger!$A$9:$L$38,12),'Benzin - diesel - hybrid'!#REF!))/1000</f>
        <v>#REF!</v>
      </c>
      <c r="X119" s="309" t="e">
        <f>('Benzin - diesel - hybrid'!AA$15*'Benzin - diesel - hybrid'!AA$40*'Benzin - diesel - hybrid'!#REF!/10+'Benzin - diesel - hybrid'!#REF!*365)</f>
        <v>#REF!</v>
      </c>
    </row>
    <row r="120" spans="1:24" hidden="1" outlineLevel="1">
      <c r="A120" s="308"/>
      <c r="B120" s="282">
        <v>2</v>
      </c>
      <c r="C120" s="282">
        <f t="shared" ref="C120:C138" si="8">B120</f>
        <v>2</v>
      </c>
      <c r="D120" s="282"/>
      <c r="E120" s="288" t="e">
        <f>'Benzin - diesel - hybrid'!E$39*F120*IF('Benzin - diesel - hybrid'!E$24="nej","",IF('Benzin - diesel - hybrid'!#REF!="ja",VLOOKUP('Benzin - diesel - hybrid'!E$45+($C120-1),Fremskrivninger!$A$9:$L$38,12),'Benzin - diesel - hybrid'!#REF!))/1000</f>
        <v>#REF!</v>
      </c>
      <c r="F120" s="309" t="e">
        <f>('Benzin - diesel - hybrid'!E$15*'Benzin - diesel - hybrid'!E$40*'Benzin - diesel - hybrid'!#REF!/10+'Benzin - diesel - hybrid'!#REF!*365)</f>
        <v>#REF!</v>
      </c>
      <c r="G120" s="288" t="e">
        <f>'Benzin - diesel - hybrid'!G$39*H120*IF('Benzin - diesel - hybrid'!G$24="nej","",IF('Benzin - diesel - hybrid'!#REF!="ja",VLOOKUP('Benzin - diesel - hybrid'!G$45+($C120-1),Fremskrivninger!$A$9:$L$38,12),'Benzin - diesel - hybrid'!#REF!))/1000</f>
        <v>#REF!</v>
      </c>
      <c r="H120" s="309" t="e">
        <f>('Benzin - diesel - hybrid'!G$15*'Benzin - diesel - hybrid'!G$40*'Benzin - diesel - hybrid'!#REF!/10+'Benzin - diesel - hybrid'!#REF!*365)</f>
        <v>#REF!</v>
      </c>
      <c r="I120" s="288" t="e">
        <f>'Benzin - diesel - hybrid'!I$39*J120*IF('Benzin - diesel - hybrid'!I$24="nej","",IF('Benzin - diesel - hybrid'!#REF!="ja",VLOOKUP('Benzin - diesel - hybrid'!I$45+($C120-1),Fremskrivninger!$A$9:$L$38,12),'Benzin - diesel - hybrid'!#REF!))/1000</f>
        <v>#REF!</v>
      </c>
      <c r="J120" s="309" t="e">
        <f>('Benzin - diesel - hybrid'!I$15*'Benzin - diesel - hybrid'!I$40*'Benzin - diesel - hybrid'!#REF!/10+'Benzin - diesel - hybrid'!#REF!*365)</f>
        <v>#REF!</v>
      </c>
      <c r="K120" s="288" t="e">
        <f>'Benzin - diesel - hybrid'!K$39*L120*IF('Benzin - diesel - hybrid'!K$24="nej","",IF('Benzin - diesel - hybrid'!#REF!="ja",VLOOKUP('Benzin - diesel - hybrid'!K$45+($C120-1),Fremskrivninger!$A$9:$L$38,12),'Benzin - diesel - hybrid'!#REF!))/1000</f>
        <v>#REF!</v>
      </c>
      <c r="L120" s="309" t="e">
        <f>('Benzin - diesel - hybrid'!K$15*'Benzin - diesel - hybrid'!K$40*'Benzin - diesel - hybrid'!#REF!/10+'Benzin - diesel - hybrid'!#REF!*365)</f>
        <v>#REF!</v>
      </c>
      <c r="M120" s="288" t="e">
        <f>'Benzin - diesel - hybrid'!M$39*N120*IF('Benzin - diesel - hybrid'!M$24="nej","",IF('Benzin - diesel - hybrid'!#REF!="ja",VLOOKUP('Benzin - diesel - hybrid'!M$45+($C120-1),Fremskrivninger!$A$9:$L$38,12),'Benzin - diesel - hybrid'!#REF!))/1000</f>
        <v>#REF!</v>
      </c>
      <c r="N120" s="309" t="e">
        <f>('Benzin - diesel - hybrid'!M$15*'Benzin - diesel - hybrid'!M$40*'Benzin - diesel - hybrid'!#REF!/10+'Benzin - diesel - hybrid'!#REF!*365)</f>
        <v>#REF!</v>
      </c>
      <c r="O120" s="288" t="e">
        <f>'Benzin - diesel - hybrid'!O$39*P120*IF('Benzin - diesel - hybrid'!O$24="nej","",IF('Benzin - diesel - hybrid'!#REF!="ja",VLOOKUP('Benzin - diesel - hybrid'!O$45+($C120-1),Fremskrivninger!$A$9:$L$38,12),'Benzin - diesel - hybrid'!#REF!))/1000</f>
        <v>#REF!</v>
      </c>
      <c r="P120" s="309" t="e">
        <f>('Benzin - diesel - hybrid'!O$15*'Benzin - diesel - hybrid'!O$40*'Benzin - diesel - hybrid'!#REF!/10+'Benzin - diesel - hybrid'!#REF!*365)</f>
        <v>#REF!</v>
      </c>
      <c r="Q120" s="288" t="e">
        <f>'Benzin - diesel - hybrid'!Q$39*R120*IF('Benzin - diesel - hybrid'!Q$24="nej","",IF('Benzin - diesel - hybrid'!#REF!="ja",VLOOKUP('Benzin - diesel - hybrid'!Q$45+($C120-1),Fremskrivninger!$A$9:$L$38,12),'Benzin - diesel - hybrid'!#REF!))/1000</f>
        <v>#REF!</v>
      </c>
      <c r="R120" s="309" t="e">
        <f>('Benzin - diesel - hybrid'!Q$15*'Benzin - diesel - hybrid'!Q$40*'Benzin - diesel - hybrid'!#REF!/10+'Benzin - diesel - hybrid'!#REF!*365)</f>
        <v>#REF!</v>
      </c>
      <c r="S120" s="288" t="e">
        <f>'Benzin - diesel - hybrid'!S$39*T120*IF('Benzin - diesel - hybrid'!S$24="nej","",IF('Benzin - diesel - hybrid'!#REF!="ja",VLOOKUP('Benzin - diesel - hybrid'!S$45+($C120-1),Fremskrivninger!$A$9:$L$38,12),'Benzin - diesel - hybrid'!#REF!))/1000</f>
        <v>#REF!</v>
      </c>
      <c r="T120" s="309" t="e">
        <f>('Benzin - diesel - hybrid'!S$15*'Benzin - diesel - hybrid'!S$40*'Benzin - diesel - hybrid'!#REF!/10+'Benzin - diesel - hybrid'!#REF!*365)</f>
        <v>#REF!</v>
      </c>
      <c r="U120" s="288" t="e">
        <f>'Benzin - diesel - hybrid'!Y$39*V120*IF('Benzin - diesel - hybrid'!Y$24="nej","",IF('Benzin - diesel - hybrid'!#REF!="ja",VLOOKUP('Benzin - diesel - hybrid'!Y$45+($C120-1),Fremskrivninger!$A$9:$L$38,12),'Benzin - diesel - hybrid'!#REF!))/1000</f>
        <v>#REF!</v>
      </c>
      <c r="V120" s="309" t="e">
        <f>('Benzin - diesel - hybrid'!Y$15*'Benzin - diesel - hybrid'!Y$40*'Benzin - diesel - hybrid'!#REF!/10+'Benzin - diesel - hybrid'!#REF!*365)</f>
        <v>#REF!</v>
      </c>
      <c r="W120" s="288" t="e">
        <f>'Benzin - diesel - hybrid'!AA$39*X120*IF('Benzin - diesel - hybrid'!AA$24="nej","",IF('Benzin - diesel - hybrid'!#REF!="ja",VLOOKUP('Benzin - diesel - hybrid'!AA$45+($C120-1),Fremskrivninger!$A$9:$L$38,12),'Benzin - diesel - hybrid'!#REF!))/1000</f>
        <v>#REF!</v>
      </c>
      <c r="X120" s="309" t="e">
        <f>('Benzin - diesel - hybrid'!AA$15*'Benzin - diesel - hybrid'!AA$40*'Benzin - diesel - hybrid'!#REF!/10+'Benzin - diesel - hybrid'!#REF!*365)</f>
        <v>#REF!</v>
      </c>
    </row>
    <row r="121" spans="1:24" hidden="1" outlineLevel="1">
      <c r="A121" s="308"/>
      <c r="B121" s="282">
        <v>3</v>
      </c>
      <c r="C121" s="282">
        <f t="shared" si="8"/>
        <v>3</v>
      </c>
      <c r="D121" s="282"/>
      <c r="E121" s="288" t="e">
        <f>'Benzin - diesel - hybrid'!E$39*F121*IF('Benzin - diesel - hybrid'!E$24="nej","",IF('Benzin - diesel - hybrid'!#REF!="ja",VLOOKUP('Benzin - diesel - hybrid'!E$45+($C121-1),Fremskrivninger!$A$9:$L$38,12),'Benzin - diesel - hybrid'!#REF!))/1000</f>
        <v>#REF!</v>
      </c>
      <c r="F121" s="309" t="e">
        <f>('Benzin - diesel - hybrid'!E$15*'Benzin - diesel - hybrid'!E$40*'Benzin - diesel - hybrid'!#REF!/10+'Benzin - diesel - hybrid'!#REF!*365)</f>
        <v>#REF!</v>
      </c>
      <c r="G121" s="288" t="e">
        <f>'Benzin - diesel - hybrid'!G$39*H121*IF('Benzin - diesel - hybrid'!G$24="nej","",IF('Benzin - diesel - hybrid'!#REF!="ja",VLOOKUP('Benzin - diesel - hybrid'!G$45+($C121-1),Fremskrivninger!$A$9:$L$38,12),'Benzin - diesel - hybrid'!#REF!))/1000</f>
        <v>#REF!</v>
      </c>
      <c r="H121" s="309" t="e">
        <f>('Benzin - diesel - hybrid'!G$15*'Benzin - diesel - hybrid'!G$40*'Benzin - diesel - hybrid'!#REF!/10+'Benzin - diesel - hybrid'!#REF!*365)</f>
        <v>#REF!</v>
      </c>
      <c r="I121" s="288" t="e">
        <f>'Benzin - diesel - hybrid'!I$39*J121*IF('Benzin - diesel - hybrid'!I$24="nej","",IF('Benzin - diesel - hybrid'!#REF!="ja",VLOOKUP('Benzin - diesel - hybrid'!I$45+($C121-1),Fremskrivninger!$A$9:$L$38,12),'Benzin - diesel - hybrid'!#REF!))/1000</f>
        <v>#REF!</v>
      </c>
      <c r="J121" s="309" t="e">
        <f>('Benzin - diesel - hybrid'!I$15*'Benzin - diesel - hybrid'!I$40*'Benzin - diesel - hybrid'!#REF!/10+'Benzin - diesel - hybrid'!#REF!*365)</f>
        <v>#REF!</v>
      </c>
      <c r="K121" s="288" t="e">
        <f>'Benzin - diesel - hybrid'!K$39*L121*IF('Benzin - diesel - hybrid'!K$24="nej","",IF('Benzin - diesel - hybrid'!#REF!="ja",VLOOKUP('Benzin - diesel - hybrid'!K$45+($C121-1),Fremskrivninger!$A$9:$L$38,12),'Benzin - diesel - hybrid'!#REF!))/1000</f>
        <v>#REF!</v>
      </c>
      <c r="L121" s="309" t="e">
        <f>('Benzin - diesel - hybrid'!K$15*'Benzin - diesel - hybrid'!K$40*'Benzin - diesel - hybrid'!#REF!/10+'Benzin - diesel - hybrid'!#REF!*365)</f>
        <v>#REF!</v>
      </c>
      <c r="M121" s="288" t="e">
        <f>'Benzin - diesel - hybrid'!M$39*N121*IF('Benzin - diesel - hybrid'!M$24="nej","",IF('Benzin - diesel - hybrid'!#REF!="ja",VLOOKUP('Benzin - diesel - hybrid'!M$45+($C121-1),Fremskrivninger!$A$9:$L$38,12),'Benzin - diesel - hybrid'!#REF!))/1000</f>
        <v>#REF!</v>
      </c>
      <c r="N121" s="309" t="e">
        <f>('Benzin - diesel - hybrid'!M$15*'Benzin - diesel - hybrid'!M$40*'Benzin - diesel - hybrid'!#REF!/10+'Benzin - diesel - hybrid'!#REF!*365)</f>
        <v>#REF!</v>
      </c>
      <c r="O121" s="288" t="e">
        <f>'Benzin - diesel - hybrid'!O$39*P121*IF('Benzin - diesel - hybrid'!O$24="nej","",IF('Benzin - diesel - hybrid'!#REF!="ja",VLOOKUP('Benzin - diesel - hybrid'!O$45+($C121-1),Fremskrivninger!$A$9:$L$38,12),'Benzin - diesel - hybrid'!#REF!))/1000</f>
        <v>#REF!</v>
      </c>
      <c r="P121" s="309" t="e">
        <f>('Benzin - diesel - hybrid'!O$15*'Benzin - diesel - hybrid'!O$40*'Benzin - diesel - hybrid'!#REF!/10+'Benzin - diesel - hybrid'!#REF!*365)</f>
        <v>#REF!</v>
      </c>
      <c r="Q121" s="288" t="e">
        <f>'Benzin - diesel - hybrid'!Q$39*R121*IF('Benzin - diesel - hybrid'!Q$24="nej","",IF('Benzin - diesel - hybrid'!#REF!="ja",VLOOKUP('Benzin - diesel - hybrid'!Q$45+($C121-1),Fremskrivninger!$A$9:$L$38,12),'Benzin - diesel - hybrid'!#REF!))/1000</f>
        <v>#REF!</v>
      </c>
      <c r="R121" s="309" t="e">
        <f>('Benzin - diesel - hybrid'!Q$15*'Benzin - diesel - hybrid'!Q$40*'Benzin - diesel - hybrid'!#REF!/10+'Benzin - diesel - hybrid'!#REF!*365)</f>
        <v>#REF!</v>
      </c>
      <c r="S121" s="288" t="e">
        <f>'Benzin - diesel - hybrid'!S$39*T121*IF('Benzin - diesel - hybrid'!S$24="nej","",IF('Benzin - diesel - hybrid'!#REF!="ja",VLOOKUP('Benzin - diesel - hybrid'!S$45+($C121-1),Fremskrivninger!$A$9:$L$38,12),'Benzin - diesel - hybrid'!#REF!))/1000</f>
        <v>#REF!</v>
      </c>
      <c r="T121" s="309" t="e">
        <f>('Benzin - diesel - hybrid'!S$15*'Benzin - diesel - hybrid'!S$40*'Benzin - diesel - hybrid'!#REF!/10+'Benzin - diesel - hybrid'!#REF!*365)</f>
        <v>#REF!</v>
      </c>
      <c r="U121" s="288" t="e">
        <f>'Benzin - diesel - hybrid'!Y$39*V121*IF('Benzin - diesel - hybrid'!Y$24="nej","",IF('Benzin - diesel - hybrid'!#REF!="ja",VLOOKUP('Benzin - diesel - hybrid'!Y$45+($C121-1),Fremskrivninger!$A$9:$L$38,12),'Benzin - diesel - hybrid'!#REF!))/1000</f>
        <v>#REF!</v>
      </c>
      <c r="V121" s="309" t="e">
        <f>('Benzin - diesel - hybrid'!Y$15*'Benzin - diesel - hybrid'!Y$40*'Benzin - diesel - hybrid'!#REF!/10+'Benzin - diesel - hybrid'!#REF!*365)</f>
        <v>#REF!</v>
      </c>
      <c r="W121" s="288" t="e">
        <f>'Benzin - diesel - hybrid'!AA$39*X121*IF('Benzin - diesel - hybrid'!AA$24="nej","",IF('Benzin - diesel - hybrid'!#REF!="ja",VLOOKUP('Benzin - diesel - hybrid'!AA$45+($C121-1),Fremskrivninger!$A$9:$L$38,12),'Benzin - diesel - hybrid'!#REF!))/1000</f>
        <v>#REF!</v>
      </c>
      <c r="X121" s="309" t="e">
        <f>('Benzin - diesel - hybrid'!AA$15*'Benzin - diesel - hybrid'!AA$40*'Benzin - diesel - hybrid'!#REF!/10+'Benzin - diesel - hybrid'!#REF!*365)</f>
        <v>#REF!</v>
      </c>
    </row>
    <row r="122" spans="1:24" hidden="1" outlineLevel="1">
      <c r="A122" s="308"/>
      <c r="B122" s="282">
        <v>4</v>
      </c>
      <c r="C122" s="282">
        <f t="shared" si="8"/>
        <v>4</v>
      </c>
      <c r="D122" s="282"/>
      <c r="E122" s="288" t="e">
        <f>'Benzin - diesel - hybrid'!E$39*F122*IF('Benzin - diesel - hybrid'!E$24="nej","",IF('Benzin - diesel - hybrid'!#REF!="ja",VLOOKUP('Benzin - diesel - hybrid'!E$45+($C122-1),Fremskrivninger!$A$9:$L$38,12),'Benzin - diesel - hybrid'!#REF!))/1000</f>
        <v>#REF!</v>
      </c>
      <c r="F122" s="309" t="e">
        <f>('Benzin - diesel - hybrid'!E$15*'Benzin - diesel - hybrid'!E$40*'Benzin - diesel - hybrid'!#REF!/10+'Benzin - diesel - hybrid'!#REF!*365)</f>
        <v>#REF!</v>
      </c>
      <c r="G122" s="288" t="e">
        <f>'Benzin - diesel - hybrid'!G$39*H122*IF('Benzin - diesel - hybrid'!G$24="nej","",IF('Benzin - diesel - hybrid'!#REF!="ja",VLOOKUP('Benzin - diesel - hybrid'!G$45+($C122-1),Fremskrivninger!$A$9:$L$38,12),'Benzin - diesel - hybrid'!#REF!))/1000</f>
        <v>#REF!</v>
      </c>
      <c r="H122" s="309" t="e">
        <f>('Benzin - diesel - hybrid'!G$15*'Benzin - diesel - hybrid'!G$40*'Benzin - diesel - hybrid'!#REF!/10+'Benzin - diesel - hybrid'!#REF!*365)</f>
        <v>#REF!</v>
      </c>
      <c r="I122" s="288" t="e">
        <f>'Benzin - diesel - hybrid'!I$39*J122*IF('Benzin - diesel - hybrid'!I$24="nej","",IF('Benzin - diesel - hybrid'!#REF!="ja",VLOOKUP('Benzin - diesel - hybrid'!I$45+($C122-1),Fremskrivninger!$A$9:$L$38,12),'Benzin - diesel - hybrid'!#REF!))/1000</f>
        <v>#REF!</v>
      </c>
      <c r="J122" s="309" t="e">
        <f>('Benzin - diesel - hybrid'!I$15*'Benzin - diesel - hybrid'!I$40*'Benzin - diesel - hybrid'!#REF!/10+'Benzin - diesel - hybrid'!#REF!*365)</f>
        <v>#REF!</v>
      </c>
      <c r="K122" s="288" t="e">
        <f>'Benzin - diesel - hybrid'!K$39*L122*IF('Benzin - diesel - hybrid'!K$24="nej","",IF('Benzin - diesel - hybrid'!#REF!="ja",VLOOKUP('Benzin - diesel - hybrid'!K$45+($C122-1),Fremskrivninger!$A$9:$L$38,12),'Benzin - diesel - hybrid'!#REF!))/1000</f>
        <v>#REF!</v>
      </c>
      <c r="L122" s="309" t="e">
        <f>('Benzin - diesel - hybrid'!K$15*'Benzin - diesel - hybrid'!K$40*'Benzin - diesel - hybrid'!#REF!/10+'Benzin - diesel - hybrid'!#REF!*365)</f>
        <v>#REF!</v>
      </c>
      <c r="M122" s="288" t="e">
        <f>'Benzin - diesel - hybrid'!M$39*N122*IF('Benzin - diesel - hybrid'!M$24="nej","",IF('Benzin - diesel - hybrid'!#REF!="ja",VLOOKUP('Benzin - diesel - hybrid'!M$45+($C122-1),Fremskrivninger!$A$9:$L$38,12),'Benzin - diesel - hybrid'!#REF!))/1000</f>
        <v>#REF!</v>
      </c>
      <c r="N122" s="309" t="e">
        <f>('Benzin - diesel - hybrid'!M$15*'Benzin - diesel - hybrid'!M$40*'Benzin - diesel - hybrid'!#REF!/10+'Benzin - diesel - hybrid'!#REF!*365)</f>
        <v>#REF!</v>
      </c>
      <c r="O122" s="288" t="e">
        <f>'Benzin - diesel - hybrid'!O$39*P122*IF('Benzin - diesel - hybrid'!O$24="nej","",IF('Benzin - diesel - hybrid'!#REF!="ja",VLOOKUP('Benzin - diesel - hybrid'!O$45+($C122-1),Fremskrivninger!$A$9:$L$38,12),'Benzin - diesel - hybrid'!#REF!))/1000</f>
        <v>#REF!</v>
      </c>
      <c r="P122" s="309" t="e">
        <f>('Benzin - diesel - hybrid'!O$15*'Benzin - diesel - hybrid'!O$40*'Benzin - diesel - hybrid'!#REF!/10+'Benzin - diesel - hybrid'!#REF!*365)</f>
        <v>#REF!</v>
      </c>
      <c r="Q122" s="288" t="e">
        <f>'Benzin - diesel - hybrid'!Q$39*R122*IF('Benzin - diesel - hybrid'!Q$24="nej","",IF('Benzin - diesel - hybrid'!#REF!="ja",VLOOKUP('Benzin - diesel - hybrid'!Q$45+($C122-1),Fremskrivninger!$A$9:$L$38,12),'Benzin - diesel - hybrid'!#REF!))/1000</f>
        <v>#REF!</v>
      </c>
      <c r="R122" s="309" t="e">
        <f>('Benzin - diesel - hybrid'!Q$15*'Benzin - diesel - hybrid'!Q$40*'Benzin - diesel - hybrid'!#REF!/10+'Benzin - diesel - hybrid'!#REF!*365)</f>
        <v>#REF!</v>
      </c>
      <c r="S122" s="288" t="e">
        <f>'Benzin - diesel - hybrid'!S$39*T122*IF('Benzin - diesel - hybrid'!S$24="nej","",IF('Benzin - diesel - hybrid'!#REF!="ja",VLOOKUP('Benzin - diesel - hybrid'!S$45+($C122-1),Fremskrivninger!$A$9:$L$38,12),'Benzin - diesel - hybrid'!#REF!))/1000</f>
        <v>#REF!</v>
      </c>
      <c r="T122" s="309" t="e">
        <f>('Benzin - diesel - hybrid'!S$15*'Benzin - diesel - hybrid'!S$40*'Benzin - diesel - hybrid'!#REF!/10+'Benzin - diesel - hybrid'!#REF!*365)</f>
        <v>#REF!</v>
      </c>
      <c r="U122" s="288" t="e">
        <f>'Benzin - diesel - hybrid'!Y$39*V122*IF('Benzin - diesel - hybrid'!Y$24="nej","",IF('Benzin - diesel - hybrid'!#REF!="ja",VLOOKUP('Benzin - diesel - hybrid'!Y$45+($C122-1),Fremskrivninger!$A$9:$L$38,12),'Benzin - diesel - hybrid'!#REF!))/1000</f>
        <v>#REF!</v>
      </c>
      <c r="V122" s="309" t="e">
        <f>('Benzin - diesel - hybrid'!Y$15*'Benzin - diesel - hybrid'!Y$40*'Benzin - diesel - hybrid'!#REF!/10+'Benzin - diesel - hybrid'!#REF!*365)</f>
        <v>#REF!</v>
      </c>
      <c r="W122" s="288" t="e">
        <f>'Benzin - diesel - hybrid'!AA$39*X122*IF('Benzin - diesel - hybrid'!AA$24="nej","",IF('Benzin - diesel - hybrid'!#REF!="ja",VLOOKUP('Benzin - diesel - hybrid'!AA$45+($C122-1),Fremskrivninger!$A$9:$L$38,12),'Benzin - diesel - hybrid'!#REF!))/1000</f>
        <v>#REF!</v>
      </c>
      <c r="X122" s="309" t="e">
        <f>('Benzin - diesel - hybrid'!AA$15*'Benzin - diesel - hybrid'!AA$40*'Benzin - diesel - hybrid'!#REF!/10+'Benzin - diesel - hybrid'!#REF!*365)</f>
        <v>#REF!</v>
      </c>
    </row>
    <row r="123" spans="1:24" hidden="1" outlineLevel="1">
      <c r="A123" s="308"/>
      <c r="B123" s="282">
        <v>5</v>
      </c>
      <c r="C123" s="282">
        <f t="shared" si="8"/>
        <v>5</v>
      </c>
      <c r="D123" s="282"/>
      <c r="E123" s="288" t="e">
        <f>'Benzin - diesel - hybrid'!E$39*F123*IF('Benzin - diesel - hybrid'!E$24="nej","",IF('Benzin - diesel - hybrid'!#REF!="ja",VLOOKUP('Benzin - diesel - hybrid'!E$45+($C123-1),Fremskrivninger!$A$9:$L$38,12),'Benzin - diesel - hybrid'!#REF!))/1000</f>
        <v>#REF!</v>
      </c>
      <c r="F123" s="309" t="e">
        <f>('Benzin - diesel - hybrid'!E$15*'Benzin - diesel - hybrid'!E$40*'Benzin - diesel - hybrid'!#REF!/10+'Benzin - diesel - hybrid'!#REF!*365)</f>
        <v>#REF!</v>
      </c>
      <c r="G123" s="288" t="e">
        <f>'Benzin - diesel - hybrid'!G$39*H123*IF('Benzin - diesel - hybrid'!G$24="nej","",IF('Benzin - diesel - hybrid'!#REF!="ja",VLOOKUP('Benzin - diesel - hybrid'!G$45+($C123-1),Fremskrivninger!$A$9:$L$38,12),'Benzin - diesel - hybrid'!#REF!))/1000</f>
        <v>#REF!</v>
      </c>
      <c r="H123" s="309" t="e">
        <f>('Benzin - diesel - hybrid'!G$15*'Benzin - diesel - hybrid'!G$40*'Benzin - diesel - hybrid'!#REF!/10+'Benzin - diesel - hybrid'!#REF!*365)</f>
        <v>#REF!</v>
      </c>
      <c r="I123" s="288" t="e">
        <f>'Benzin - diesel - hybrid'!I$39*J123*IF('Benzin - diesel - hybrid'!I$24="nej","",IF('Benzin - diesel - hybrid'!#REF!="ja",VLOOKUP('Benzin - diesel - hybrid'!I$45+($C123-1),Fremskrivninger!$A$9:$L$38,12),'Benzin - diesel - hybrid'!#REF!))/1000</f>
        <v>#REF!</v>
      </c>
      <c r="J123" s="309" t="e">
        <f>('Benzin - diesel - hybrid'!I$15*'Benzin - diesel - hybrid'!I$40*'Benzin - diesel - hybrid'!#REF!/10+'Benzin - diesel - hybrid'!#REF!*365)</f>
        <v>#REF!</v>
      </c>
      <c r="K123" s="288" t="e">
        <f>'Benzin - diesel - hybrid'!K$39*L123*IF('Benzin - diesel - hybrid'!K$24="nej","",IF('Benzin - diesel - hybrid'!#REF!="ja",VLOOKUP('Benzin - diesel - hybrid'!K$45+($C123-1),Fremskrivninger!$A$9:$L$38,12),'Benzin - diesel - hybrid'!#REF!))/1000</f>
        <v>#REF!</v>
      </c>
      <c r="L123" s="309" t="e">
        <f>('Benzin - diesel - hybrid'!K$15*'Benzin - diesel - hybrid'!K$40*'Benzin - diesel - hybrid'!#REF!/10+'Benzin - diesel - hybrid'!#REF!*365)</f>
        <v>#REF!</v>
      </c>
      <c r="M123" s="288" t="e">
        <f>'Benzin - diesel - hybrid'!M$39*N123*IF('Benzin - diesel - hybrid'!M$24="nej","",IF('Benzin - diesel - hybrid'!#REF!="ja",VLOOKUP('Benzin - diesel - hybrid'!M$45+($C123-1),Fremskrivninger!$A$9:$L$38,12),'Benzin - diesel - hybrid'!#REF!))/1000</f>
        <v>#REF!</v>
      </c>
      <c r="N123" s="309" t="e">
        <f>('Benzin - diesel - hybrid'!M$15*'Benzin - diesel - hybrid'!M$40*'Benzin - diesel - hybrid'!#REF!/10+'Benzin - diesel - hybrid'!#REF!*365)</f>
        <v>#REF!</v>
      </c>
      <c r="O123" s="288" t="e">
        <f>'Benzin - diesel - hybrid'!O$39*P123*IF('Benzin - diesel - hybrid'!O$24="nej","",IF('Benzin - diesel - hybrid'!#REF!="ja",VLOOKUP('Benzin - diesel - hybrid'!O$45+($C123-1),Fremskrivninger!$A$9:$L$38,12),'Benzin - diesel - hybrid'!#REF!))/1000</f>
        <v>#REF!</v>
      </c>
      <c r="P123" s="309" t="e">
        <f>('Benzin - diesel - hybrid'!O$15*'Benzin - diesel - hybrid'!O$40*'Benzin - diesel - hybrid'!#REF!/10+'Benzin - diesel - hybrid'!#REF!*365)</f>
        <v>#REF!</v>
      </c>
      <c r="Q123" s="288" t="e">
        <f>'Benzin - diesel - hybrid'!Q$39*R123*IF('Benzin - diesel - hybrid'!Q$24="nej","",IF('Benzin - diesel - hybrid'!#REF!="ja",VLOOKUP('Benzin - diesel - hybrid'!Q$45+($C123-1),Fremskrivninger!$A$9:$L$38,12),'Benzin - diesel - hybrid'!#REF!))/1000</f>
        <v>#REF!</v>
      </c>
      <c r="R123" s="309" t="e">
        <f>('Benzin - diesel - hybrid'!Q$15*'Benzin - diesel - hybrid'!Q$40*'Benzin - diesel - hybrid'!#REF!/10+'Benzin - diesel - hybrid'!#REF!*365)</f>
        <v>#REF!</v>
      </c>
      <c r="S123" s="288" t="e">
        <f>'Benzin - diesel - hybrid'!S$39*T123*IF('Benzin - diesel - hybrid'!S$24="nej","",IF('Benzin - diesel - hybrid'!#REF!="ja",VLOOKUP('Benzin - diesel - hybrid'!S$45+($C123-1),Fremskrivninger!$A$9:$L$38,12),'Benzin - diesel - hybrid'!#REF!))/1000</f>
        <v>#REF!</v>
      </c>
      <c r="T123" s="309" t="e">
        <f>('Benzin - diesel - hybrid'!S$15*'Benzin - diesel - hybrid'!S$40*'Benzin - diesel - hybrid'!#REF!/10+'Benzin - diesel - hybrid'!#REF!*365)</f>
        <v>#REF!</v>
      </c>
      <c r="U123" s="288" t="e">
        <f>'Benzin - diesel - hybrid'!Y$39*V123*IF('Benzin - diesel - hybrid'!Y$24="nej","",IF('Benzin - diesel - hybrid'!#REF!="ja",VLOOKUP('Benzin - diesel - hybrid'!Y$45+($C123-1),Fremskrivninger!$A$9:$L$38,12),'Benzin - diesel - hybrid'!#REF!))/1000</f>
        <v>#REF!</v>
      </c>
      <c r="V123" s="309" t="e">
        <f>('Benzin - diesel - hybrid'!Y$15*'Benzin - diesel - hybrid'!Y$40*'Benzin - diesel - hybrid'!#REF!/10+'Benzin - diesel - hybrid'!#REF!*365)</f>
        <v>#REF!</v>
      </c>
      <c r="W123" s="288" t="e">
        <f>'Benzin - diesel - hybrid'!AA$39*X123*IF('Benzin - diesel - hybrid'!AA$24="nej","",IF('Benzin - diesel - hybrid'!#REF!="ja",VLOOKUP('Benzin - diesel - hybrid'!AA$45+($C123-1),Fremskrivninger!$A$9:$L$38,12),'Benzin - diesel - hybrid'!#REF!))/1000</f>
        <v>#REF!</v>
      </c>
      <c r="X123" s="309" t="e">
        <f>('Benzin - diesel - hybrid'!AA$15*'Benzin - diesel - hybrid'!AA$40*'Benzin - diesel - hybrid'!#REF!/10+'Benzin - diesel - hybrid'!#REF!*365)</f>
        <v>#REF!</v>
      </c>
    </row>
    <row r="124" spans="1:24" hidden="1" outlineLevel="1">
      <c r="A124" s="308"/>
      <c r="B124" s="282">
        <v>6</v>
      </c>
      <c r="C124" s="282">
        <f t="shared" si="8"/>
        <v>6</v>
      </c>
      <c r="D124" s="282"/>
      <c r="E124" s="288" t="e">
        <f>'Benzin - diesel - hybrid'!E$39*F124*IF('Benzin - diesel - hybrid'!E$24="nej","",IF('Benzin - diesel - hybrid'!#REF!="ja",VLOOKUP('Benzin - diesel - hybrid'!E$45+($C124-1),Fremskrivninger!$A$9:$L$38,12),'Benzin - diesel - hybrid'!#REF!))/1000</f>
        <v>#REF!</v>
      </c>
      <c r="F124" s="309" t="e">
        <f>('Benzin - diesel - hybrid'!E$15*'Benzin - diesel - hybrid'!E$40*'Benzin - diesel - hybrid'!#REF!/10+'Benzin - diesel - hybrid'!#REF!*365)</f>
        <v>#REF!</v>
      </c>
      <c r="G124" s="288" t="e">
        <f>'Benzin - diesel - hybrid'!G$39*H124*IF('Benzin - diesel - hybrid'!G$24="nej","",IF('Benzin - diesel - hybrid'!#REF!="ja",VLOOKUP('Benzin - diesel - hybrid'!G$45+($C124-1),Fremskrivninger!$A$9:$L$38,12),'Benzin - diesel - hybrid'!#REF!))/1000</f>
        <v>#REF!</v>
      </c>
      <c r="H124" s="309" t="e">
        <f>('Benzin - diesel - hybrid'!G$15*'Benzin - diesel - hybrid'!G$40*'Benzin - diesel - hybrid'!#REF!/10+'Benzin - diesel - hybrid'!#REF!*365)</f>
        <v>#REF!</v>
      </c>
      <c r="I124" s="288" t="e">
        <f>'Benzin - diesel - hybrid'!I$39*J124*IF('Benzin - diesel - hybrid'!I$24="nej","",IF('Benzin - diesel - hybrid'!#REF!="ja",VLOOKUP('Benzin - diesel - hybrid'!I$45+($C124-1),Fremskrivninger!$A$9:$L$38,12),'Benzin - diesel - hybrid'!#REF!))/1000</f>
        <v>#REF!</v>
      </c>
      <c r="J124" s="309" t="e">
        <f>('Benzin - diesel - hybrid'!I$15*'Benzin - diesel - hybrid'!I$40*'Benzin - diesel - hybrid'!#REF!/10+'Benzin - diesel - hybrid'!#REF!*365)</f>
        <v>#REF!</v>
      </c>
      <c r="K124" s="288" t="e">
        <f>'Benzin - diesel - hybrid'!K$39*L124*IF('Benzin - diesel - hybrid'!K$24="nej","",IF('Benzin - diesel - hybrid'!#REF!="ja",VLOOKUP('Benzin - diesel - hybrid'!K$45+($C124-1),Fremskrivninger!$A$9:$L$38,12),'Benzin - diesel - hybrid'!#REF!))/1000</f>
        <v>#REF!</v>
      </c>
      <c r="L124" s="309" t="e">
        <f>('Benzin - diesel - hybrid'!K$15*'Benzin - diesel - hybrid'!K$40*'Benzin - diesel - hybrid'!#REF!/10+'Benzin - diesel - hybrid'!#REF!*365)</f>
        <v>#REF!</v>
      </c>
      <c r="M124" s="288" t="e">
        <f>'Benzin - diesel - hybrid'!M$39*N124*IF('Benzin - diesel - hybrid'!M$24="nej","",IF('Benzin - diesel - hybrid'!#REF!="ja",VLOOKUP('Benzin - diesel - hybrid'!M$45+($C124-1),Fremskrivninger!$A$9:$L$38,12),'Benzin - diesel - hybrid'!#REF!))/1000</f>
        <v>#REF!</v>
      </c>
      <c r="N124" s="309" t="e">
        <f>('Benzin - diesel - hybrid'!M$15*'Benzin - diesel - hybrid'!M$40*'Benzin - diesel - hybrid'!#REF!/10+'Benzin - diesel - hybrid'!#REF!*365)</f>
        <v>#REF!</v>
      </c>
      <c r="O124" s="288" t="e">
        <f>'Benzin - diesel - hybrid'!O$39*P124*IF('Benzin - diesel - hybrid'!O$24="nej","",IF('Benzin - diesel - hybrid'!#REF!="ja",VLOOKUP('Benzin - diesel - hybrid'!O$45+($C124-1),Fremskrivninger!$A$9:$L$38,12),'Benzin - diesel - hybrid'!#REF!))/1000</f>
        <v>#REF!</v>
      </c>
      <c r="P124" s="309" t="e">
        <f>('Benzin - diesel - hybrid'!O$15*'Benzin - diesel - hybrid'!O$40*'Benzin - diesel - hybrid'!#REF!/10+'Benzin - diesel - hybrid'!#REF!*365)</f>
        <v>#REF!</v>
      </c>
      <c r="Q124" s="288" t="e">
        <f>'Benzin - diesel - hybrid'!Q$39*R124*IF('Benzin - diesel - hybrid'!Q$24="nej","",IF('Benzin - diesel - hybrid'!#REF!="ja",VLOOKUP('Benzin - diesel - hybrid'!Q$45+($C124-1),Fremskrivninger!$A$9:$L$38,12),'Benzin - diesel - hybrid'!#REF!))/1000</f>
        <v>#REF!</v>
      </c>
      <c r="R124" s="309" t="e">
        <f>('Benzin - diesel - hybrid'!Q$15*'Benzin - diesel - hybrid'!Q$40*'Benzin - diesel - hybrid'!#REF!/10+'Benzin - diesel - hybrid'!#REF!*365)</f>
        <v>#REF!</v>
      </c>
      <c r="S124" s="288" t="e">
        <f>'Benzin - diesel - hybrid'!S$39*T124*IF('Benzin - diesel - hybrid'!S$24="nej","",IF('Benzin - diesel - hybrid'!#REF!="ja",VLOOKUP('Benzin - diesel - hybrid'!S$45+($C124-1),Fremskrivninger!$A$9:$L$38,12),'Benzin - diesel - hybrid'!#REF!))/1000</f>
        <v>#REF!</v>
      </c>
      <c r="T124" s="309" t="e">
        <f>('Benzin - diesel - hybrid'!S$15*'Benzin - diesel - hybrid'!S$40*'Benzin - diesel - hybrid'!#REF!/10+'Benzin - diesel - hybrid'!#REF!*365)</f>
        <v>#REF!</v>
      </c>
      <c r="U124" s="288" t="e">
        <f>'Benzin - diesel - hybrid'!Y$39*V124*IF('Benzin - diesel - hybrid'!Y$24="nej","",IF('Benzin - diesel - hybrid'!#REF!="ja",VLOOKUP('Benzin - diesel - hybrid'!Y$45+($C124-1),Fremskrivninger!$A$9:$L$38,12),'Benzin - diesel - hybrid'!#REF!))/1000</f>
        <v>#REF!</v>
      </c>
      <c r="V124" s="309" t="e">
        <f>('Benzin - diesel - hybrid'!Y$15*'Benzin - diesel - hybrid'!Y$40*'Benzin - diesel - hybrid'!#REF!/10+'Benzin - diesel - hybrid'!#REF!*365)</f>
        <v>#REF!</v>
      </c>
      <c r="W124" s="288" t="e">
        <f>'Benzin - diesel - hybrid'!AA$39*X124*IF('Benzin - diesel - hybrid'!AA$24="nej","",IF('Benzin - diesel - hybrid'!#REF!="ja",VLOOKUP('Benzin - diesel - hybrid'!AA$45+($C124-1),Fremskrivninger!$A$9:$L$38,12),'Benzin - diesel - hybrid'!#REF!))/1000</f>
        <v>#REF!</v>
      </c>
      <c r="X124" s="309" t="e">
        <f>('Benzin - diesel - hybrid'!AA$15*'Benzin - diesel - hybrid'!AA$40*'Benzin - diesel - hybrid'!#REF!/10+'Benzin - diesel - hybrid'!#REF!*365)</f>
        <v>#REF!</v>
      </c>
    </row>
    <row r="125" spans="1:24" hidden="1" outlineLevel="1">
      <c r="A125" s="308"/>
      <c r="B125" s="282">
        <v>7</v>
      </c>
      <c r="C125" s="282">
        <f t="shared" si="8"/>
        <v>7</v>
      </c>
      <c r="D125" s="282"/>
      <c r="E125" s="288" t="e">
        <f>'Benzin - diesel - hybrid'!E$39*F125*IF('Benzin - diesel - hybrid'!E$24="nej","",IF('Benzin - diesel - hybrid'!#REF!="ja",VLOOKUP('Benzin - diesel - hybrid'!E$45+($C125-1),Fremskrivninger!$A$9:$L$38,12),'Benzin - diesel - hybrid'!#REF!))/1000</f>
        <v>#REF!</v>
      </c>
      <c r="F125" s="309" t="e">
        <f>('Benzin - diesel - hybrid'!E$15*'Benzin - diesel - hybrid'!E$40*'Benzin - diesel - hybrid'!#REF!/10+'Benzin - diesel - hybrid'!#REF!*365)</f>
        <v>#REF!</v>
      </c>
      <c r="G125" s="288" t="e">
        <f>'Benzin - diesel - hybrid'!G$39*H125*IF('Benzin - diesel - hybrid'!G$24="nej","",IF('Benzin - diesel - hybrid'!#REF!="ja",VLOOKUP('Benzin - diesel - hybrid'!G$45+($C125-1),Fremskrivninger!$A$9:$L$38,12),'Benzin - diesel - hybrid'!#REF!))/1000</f>
        <v>#REF!</v>
      </c>
      <c r="H125" s="309" t="e">
        <f>('Benzin - diesel - hybrid'!G$15*'Benzin - diesel - hybrid'!G$40*'Benzin - diesel - hybrid'!#REF!/10+'Benzin - diesel - hybrid'!#REF!*365)</f>
        <v>#REF!</v>
      </c>
      <c r="I125" s="288" t="e">
        <f>'Benzin - diesel - hybrid'!I$39*J125*IF('Benzin - diesel - hybrid'!I$24="nej","",IF('Benzin - diesel - hybrid'!#REF!="ja",VLOOKUP('Benzin - diesel - hybrid'!I$45+($C125-1),Fremskrivninger!$A$9:$L$38,12),'Benzin - diesel - hybrid'!#REF!))/1000</f>
        <v>#REF!</v>
      </c>
      <c r="J125" s="309" t="e">
        <f>('Benzin - diesel - hybrid'!I$15*'Benzin - diesel - hybrid'!I$40*'Benzin - diesel - hybrid'!#REF!/10+'Benzin - diesel - hybrid'!#REF!*365)</f>
        <v>#REF!</v>
      </c>
      <c r="K125" s="288" t="e">
        <f>'Benzin - diesel - hybrid'!K$39*L125*IF('Benzin - diesel - hybrid'!K$24="nej","",IF('Benzin - diesel - hybrid'!#REF!="ja",VLOOKUP('Benzin - diesel - hybrid'!K$45+($C125-1),Fremskrivninger!$A$9:$L$38,12),'Benzin - diesel - hybrid'!#REF!))/1000</f>
        <v>#REF!</v>
      </c>
      <c r="L125" s="309" t="e">
        <f>('Benzin - diesel - hybrid'!K$15*'Benzin - diesel - hybrid'!K$40*'Benzin - diesel - hybrid'!#REF!/10+'Benzin - diesel - hybrid'!#REF!*365)</f>
        <v>#REF!</v>
      </c>
      <c r="M125" s="288" t="e">
        <f>'Benzin - diesel - hybrid'!M$39*N125*IF('Benzin - diesel - hybrid'!M$24="nej","",IF('Benzin - diesel - hybrid'!#REF!="ja",VLOOKUP('Benzin - diesel - hybrid'!M$45+($C125-1),Fremskrivninger!$A$9:$L$38,12),'Benzin - diesel - hybrid'!#REF!))/1000</f>
        <v>#REF!</v>
      </c>
      <c r="N125" s="309" t="e">
        <f>('Benzin - diesel - hybrid'!M$15*'Benzin - diesel - hybrid'!M$40*'Benzin - diesel - hybrid'!#REF!/10+'Benzin - diesel - hybrid'!#REF!*365)</f>
        <v>#REF!</v>
      </c>
      <c r="O125" s="288" t="e">
        <f>'Benzin - diesel - hybrid'!O$39*P125*IF('Benzin - diesel - hybrid'!O$24="nej","",IF('Benzin - diesel - hybrid'!#REF!="ja",VLOOKUP('Benzin - diesel - hybrid'!O$45+($C125-1),Fremskrivninger!$A$9:$L$38,12),'Benzin - diesel - hybrid'!#REF!))/1000</f>
        <v>#REF!</v>
      </c>
      <c r="P125" s="309" t="e">
        <f>('Benzin - diesel - hybrid'!O$15*'Benzin - diesel - hybrid'!O$40*'Benzin - diesel - hybrid'!#REF!/10+'Benzin - diesel - hybrid'!#REF!*365)</f>
        <v>#REF!</v>
      </c>
      <c r="Q125" s="288" t="e">
        <f>'Benzin - diesel - hybrid'!Q$39*R125*IF('Benzin - diesel - hybrid'!Q$24="nej","",IF('Benzin - diesel - hybrid'!#REF!="ja",VLOOKUP('Benzin - diesel - hybrid'!Q$45+($C125-1),Fremskrivninger!$A$9:$L$38,12),'Benzin - diesel - hybrid'!#REF!))/1000</f>
        <v>#REF!</v>
      </c>
      <c r="R125" s="309" t="e">
        <f>('Benzin - diesel - hybrid'!Q$15*'Benzin - diesel - hybrid'!Q$40*'Benzin - diesel - hybrid'!#REF!/10+'Benzin - diesel - hybrid'!#REF!*365)</f>
        <v>#REF!</v>
      </c>
      <c r="S125" s="288" t="e">
        <f>'Benzin - diesel - hybrid'!S$39*T125*IF('Benzin - diesel - hybrid'!S$24="nej","",IF('Benzin - diesel - hybrid'!#REF!="ja",VLOOKUP('Benzin - diesel - hybrid'!S$45+($C125-1),Fremskrivninger!$A$9:$L$38,12),'Benzin - diesel - hybrid'!#REF!))/1000</f>
        <v>#REF!</v>
      </c>
      <c r="T125" s="309" t="e">
        <f>('Benzin - diesel - hybrid'!S$15*'Benzin - diesel - hybrid'!S$40*'Benzin - diesel - hybrid'!#REF!/10+'Benzin - diesel - hybrid'!#REF!*365)</f>
        <v>#REF!</v>
      </c>
      <c r="U125" s="288" t="e">
        <f>'Benzin - diesel - hybrid'!Y$39*V125*IF('Benzin - diesel - hybrid'!Y$24="nej","",IF('Benzin - diesel - hybrid'!#REF!="ja",VLOOKUP('Benzin - diesel - hybrid'!Y$45+($C125-1),Fremskrivninger!$A$9:$L$38,12),'Benzin - diesel - hybrid'!#REF!))/1000</f>
        <v>#REF!</v>
      </c>
      <c r="V125" s="309" t="e">
        <f>('Benzin - diesel - hybrid'!Y$15*'Benzin - diesel - hybrid'!Y$40*'Benzin - diesel - hybrid'!#REF!/10+'Benzin - diesel - hybrid'!#REF!*365)</f>
        <v>#REF!</v>
      </c>
      <c r="W125" s="288" t="e">
        <f>'Benzin - diesel - hybrid'!AA$39*X125*IF('Benzin - diesel - hybrid'!AA$24="nej","",IF('Benzin - diesel - hybrid'!#REF!="ja",VLOOKUP('Benzin - diesel - hybrid'!AA$45+($C125-1),Fremskrivninger!$A$9:$L$38,12),'Benzin - diesel - hybrid'!#REF!))/1000</f>
        <v>#REF!</v>
      </c>
      <c r="X125" s="309" t="e">
        <f>('Benzin - diesel - hybrid'!AA$15*'Benzin - diesel - hybrid'!AA$40*'Benzin - diesel - hybrid'!#REF!/10+'Benzin - diesel - hybrid'!#REF!*365)</f>
        <v>#REF!</v>
      </c>
    </row>
    <row r="126" spans="1:24" hidden="1" outlineLevel="1">
      <c r="A126" s="308"/>
      <c r="B126" s="282">
        <v>8</v>
      </c>
      <c r="C126" s="282">
        <f t="shared" si="8"/>
        <v>8</v>
      </c>
      <c r="D126" s="282"/>
      <c r="E126" s="288" t="e">
        <f>'Benzin - diesel - hybrid'!E$39*F126*IF('Benzin - diesel - hybrid'!E$24="nej","",IF('Benzin - diesel - hybrid'!#REF!="ja",VLOOKUP('Benzin - diesel - hybrid'!E$45+($C126-1),Fremskrivninger!$A$9:$L$38,12),'Benzin - diesel - hybrid'!#REF!))/1000</f>
        <v>#REF!</v>
      </c>
      <c r="F126" s="309" t="e">
        <f>('Benzin - diesel - hybrid'!E$15*'Benzin - diesel - hybrid'!E$40*'Benzin - diesel - hybrid'!#REF!/10+'Benzin - diesel - hybrid'!#REF!*365)</f>
        <v>#REF!</v>
      </c>
      <c r="G126" s="288" t="e">
        <f>'Benzin - diesel - hybrid'!G$39*H126*IF('Benzin - diesel - hybrid'!G$24="nej","",IF('Benzin - diesel - hybrid'!#REF!="ja",VLOOKUP('Benzin - diesel - hybrid'!G$45+($C126-1),Fremskrivninger!$A$9:$L$38,12),'Benzin - diesel - hybrid'!#REF!))/1000</f>
        <v>#REF!</v>
      </c>
      <c r="H126" s="309" t="e">
        <f>('Benzin - diesel - hybrid'!G$15*'Benzin - diesel - hybrid'!G$40*'Benzin - diesel - hybrid'!#REF!/10+'Benzin - diesel - hybrid'!#REF!*365)</f>
        <v>#REF!</v>
      </c>
      <c r="I126" s="288" t="e">
        <f>'Benzin - diesel - hybrid'!I$39*J126*IF('Benzin - diesel - hybrid'!I$24="nej","",IF('Benzin - diesel - hybrid'!#REF!="ja",VLOOKUP('Benzin - diesel - hybrid'!I$45+($C126-1),Fremskrivninger!$A$9:$L$38,12),'Benzin - diesel - hybrid'!#REF!))/1000</f>
        <v>#REF!</v>
      </c>
      <c r="J126" s="309" t="e">
        <f>('Benzin - diesel - hybrid'!I$15*'Benzin - diesel - hybrid'!I$40*'Benzin - diesel - hybrid'!#REF!/10+'Benzin - diesel - hybrid'!#REF!*365)</f>
        <v>#REF!</v>
      </c>
      <c r="K126" s="288" t="e">
        <f>'Benzin - diesel - hybrid'!K$39*L126*IF('Benzin - diesel - hybrid'!K$24="nej","",IF('Benzin - diesel - hybrid'!#REF!="ja",VLOOKUP('Benzin - diesel - hybrid'!K$45+($C126-1),Fremskrivninger!$A$9:$L$38,12),'Benzin - diesel - hybrid'!#REF!))/1000</f>
        <v>#REF!</v>
      </c>
      <c r="L126" s="309" t="e">
        <f>('Benzin - diesel - hybrid'!K$15*'Benzin - diesel - hybrid'!K$40*'Benzin - diesel - hybrid'!#REF!/10+'Benzin - diesel - hybrid'!#REF!*365)</f>
        <v>#REF!</v>
      </c>
      <c r="M126" s="288" t="e">
        <f>'Benzin - diesel - hybrid'!M$39*N126*IF('Benzin - diesel - hybrid'!M$24="nej","",IF('Benzin - diesel - hybrid'!#REF!="ja",VLOOKUP('Benzin - diesel - hybrid'!M$45+($C126-1),Fremskrivninger!$A$9:$L$38,12),'Benzin - diesel - hybrid'!#REF!))/1000</f>
        <v>#REF!</v>
      </c>
      <c r="N126" s="309" t="e">
        <f>('Benzin - diesel - hybrid'!M$15*'Benzin - diesel - hybrid'!M$40*'Benzin - diesel - hybrid'!#REF!/10+'Benzin - diesel - hybrid'!#REF!*365)</f>
        <v>#REF!</v>
      </c>
      <c r="O126" s="288" t="e">
        <f>'Benzin - diesel - hybrid'!O$39*P126*IF('Benzin - diesel - hybrid'!O$24="nej","",IF('Benzin - diesel - hybrid'!#REF!="ja",VLOOKUP('Benzin - diesel - hybrid'!O$45+($C126-1),Fremskrivninger!$A$9:$L$38,12),'Benzin - diesel - hybrid'!#REF!))/1000</f>
        <v>#REF!</v>
      </c>
      <c r="P126" s="309" t="e">
        <f>('Benzin - diesel - hybrid'!O$15*'Benzin - diesel - hybrid'!O$40*'Benzin - diesel - hybrid'!#REF!/10+'Benzin - diesel - hybrid'!#REF!*365)</f>
        <v>#REF!</v>
      </c>
      <c r="Q126" s="288" t="e">
        <f>'Benzin - diesel - hybrid'!Q$39*R126*IF('Benzin - diesel - hybrid'!Q$24="nej","",IF('Benzin - diesel - hybrid'!#REF!="ja",VLOOKUP('Benzin - diesel - hybrid'!Q$45+($C126-1),Fremskrivninger!$A$9:$L$38,12),'Benzin - diesel - hybrid'!#REF!))/1000</f>
        <v>#REF!</v>
      </c>
      <c r="R126" s="309" t="e">
        <f>('Benzin - diesel - hybrid'!Q$15*'Benzin - diesel - hybrid'!Q$40*'Benzin - diesel - hybrid'!#REF!/10+'Benzin - diesel - hybrid'!#REF!*365)</f>
        <v>#REF!</v>
      </c>
      <c r="S126" s="288" t="e">
        <f>'Benzin - diesel - hybrid'!S$39*T126*IF('Benzin - diesel - hybrid'!S$24="nej","",IF('Benzin - diesel - hybrid'!#REF!="ja",VLOOKUP('Benzin - diesel - hybrid'!S$45+($C126-1),Fremskrivninger!$A$9:$L$38,12),'Benzin - diesel - hybrid'!#REF!))/1000</f>
        <v>#REF!</v>
      </c>
      <c r="T126" s="309" t="e">
        <f>('Benzin - diesel - hybrid'!S$15*'Benzin - diesel - hybrid'!S$40*'Benzin - diesel - hybrid'!#REF!/10+'Benzin - diesel - hybrid'!#REF!*365)</f>
        <v>#REF!</v>
      </c>
      <c r="U126" s="288" t="e">
        <f>'Benzin - diesel - hybrid'!Y$39*V126*IF('Benzin - diesel - hybrid'!Y$24="nej","",IF('Benzin - diesel - hybrid'!#REF!="ja",VLOOKUP('Benzin - diesel - hybrid'!Y$45+($C126-1),Fremskrivninger!$A$9:$L$38,12),'Benzin - diesel - hybrid'!#REF!))/1000</f>
        <v>#REF!</v>
      </c>
      <c r="V126" s="309" t="e">
        <f>('Benzin - diesel - hybrid'!Y$15*'Benzin - diesel - hybrid'!Y$40*'Benzin - diesel - hybrid'!#REF!/10+'Benzin - diesel - hybrid'!#REF!*365)</f>
        <v>#REF!</v>
      </c>
      <c r="W126" s="288" t="e">
        <f>'Benzin - diesel - hybrid'!AA$39*X126*IF('Benzin - diesel - hybrid'!AA$24="nej","",IF('Benzin - diesel - hybrid'!#REF!="ja",VLOOKUP('Benzin - diesel - hybrid'!AA$45+($C126-1),Fremskrivninger!$A$9:$L$38,12),'Benzin - diesel - hybrid'!#REF!))/1000</f>
        <v>#REF!</v>
      </c>
      <c r="X126" s="309" t="e">
        <f>('Benzin - diesel - hybrid'!AA$15*'Benzin - diesel - hybrid'!AA$40*'Benzin - diesel - hybrid'!#REF!/10+'Benzin - diesel - hybrid'!#REF!*365)</f>
        <v>#REF!</v>
      </c>
    </row>
    <row r="127" spans="1:24" hidden="1" outlineLevel="1">
      <c r="A127" s="308"/>
      <c r="B127" s="282">
        <v>9</v>
      </c>
      <c r="C127" s="282">
        <f t="shared" si="8"/>
        <v>9</v>
      </c>
      <c r="D127" s="282"/>
      <c r="E127" s="288" t="e">
        <f>'Benzin - diesel - hybrid'!E$39*F127*IF('Benzin - diesel - hybrid'!E$24="nej","",IF('Benzin - diesel - hybrid'!#REF!="ja",VLOOKUP('Benzin - diesel - hybrid'!E$45+($C127-1),Fremskrivninger!$A$9:$L$38,12),'Benzin - diesel - hybrid'!#REF!))/1000</f>
        <v>#REF!</v>
      </c>
      <c r="F127" s="309" t="e">
        <f>('Benzin - diesel - hybrid'!E$15*'Benzin - diesel - hybrid'!E$40*'Benzin - diesel - hybrid'!#REF!/10+'Benzin - diesel - hybrid'!#REF!*365)</f>
        <v>#REF!</v>
      </c>
      <c r="G127" s="288" t="e">
        <f>'Benzin - diesel - hybrid'!G$39*H127*IF('Benzin - diesel - hybrid'!G$24="nej","",IF('Benzin - diesel - hybrid'!#REF!="ja",VLOOKUP('Benzin - diesel - hybrid'!G$45+($C127-1),Fremskrivninger!$A$9:$L$38,12),'Benzin - diesel - hybrid'!#REF!))/1000</f>
        <v>#REF!</v>
      </c>
      <c r="H127" s="309" t="e">
        <f>('Benzin - diesel - hybrid'!G$15*'Benzin - diesel - hybrid'!G$40*'Benzin - diesel - hybrid'!#REF!/10+'Benzin - diesel - hybrid'!#REF!*365)</f>
        <v>#REF!</v>
      </c>
      <c r="I127" s="288" t="e">
        <f>'Benzin - diesel - hybrid'!I$39*J127*IF('Benzin - diesel - hybrid'!I$24="nej","",IF('Benzin - diesel - hybrid'!#REF!="ja",VLOOKUP('Benzin - diesel - hybrid'!I$45+($C127-1),Fremskrivninger!$A$9:$L$38,12),'Benzin - diesel - hybrid'!#REF!))/1000</f>
        <v>#REF!</v>
      </c>
      <c r="J127" s="309" t="e">
        <f>('Benzin - diesel - hybrid'!I$15*'Benzin - diesel - hybrid'!I$40*'Benzin - diesel - hybrid'!#REF!/10+'Benzin - diesel - hybrid'!#REF!*365)</f>
        <v>#REF!</v>
      </c>
      <c r="K127" s="288" t="e">
        <f>'Benzin - diesel - hybrid'!K$39*L127*IF('Benzin - diesel - hybrid'!K$24="nej","",IF('Benzin - diesel - hybrid'!#REF!="ja",VLOOKUP('Benzin - diesel - hybrid'!K$45+($C127-1),Fremskrivninger!$A$9:$L$38,12),'Benzin - diesel - hybrid'!#REF!))/1000</f>
        <v>#REF!</v>
      </c>
      <c r="L127" s="309" t="e">
        <f>('Benzin - diesel - hybrid'!K$15*'Benzin - diesel - hybrid'!K$40*'Benzin - diesel - hybrid'!#REF!/10+'Benzin - diesel - hybrid'!#REF!*365)</f>
        <v>#REF!</v>
      </c>
      <c r="M127" s="288" t="e">
        <f>'Benzin - diesel - hybrid'!M$39*N127*IF('Benzin - diesel - hybrid'!M$24="nej","",IF('Benzin - diesel - hybrid'!#REF!="ja",VLOOKUP('Benzin - diesel - hybrid'!M$45+($C127-1),Fremskrivninger!$A$9:$L$38,12),'Benzin - diesel - hybrid'!#REF!))/1000</f>
        <v>#REF!</v>
      </c>
      <c r="N127" s="309" t="e">
        <f>('Benzin - diesel - hybrid'!M$15*'Benzin - diesel - hybrid'!M$40*'Benzin - diesel - hybrid'!#REF!/10+'Benzin - diesel - hybrid'!#REF!*365)</f>
        <v>#REF!</v>
      </c>
      <c r="O127" s="288" t="e">
        <f>'Benzin - diesel - hybrid'!O$39*P127*IF('Benzin - diesel - hybrid'!O$24="nej","",IF('Benzin - diesel - hybrid'!#REF!="ja",VLOOKUP('Benzin - diesel - hybrid'!O$45+($C127-1),Fremskrivninger!$A$9:$L$38,12),'Benzin - diesel - hybrid'!#REF!))/1000</f>
        <v>#REF!</v>
      </c>
      <c r="P127" s="309" t="e">
        <f>('Benzin - diesel - hybrid'!O$15*'Benzin - diesel - hybrid'!O$40*'Benzin - diesel - hybrid'!#REF!/10+'Benzin - diesel - hybrid'!#REF!*365)</f>
        <v>#REF!</v>
      </c>
      <c r="Q127" s="288" t="e">
        <f>'Benzin - diesel - hybrid'!Q$39*R127*IF('Benzin - diesel - hybrid'!Q$24="nej","",IF('Benzin - diesel - hybrid'!#REF!="ja",VLOOKUP('Benzin - diesel - hybrid'!Q$45+($C127-1),Fremskrivninger!$A$9:$L$38,12),'Benzin - diesel - hybrid'!#REF!))/1000</f>
        <v>#REF!</v>
      </c>
      <c r="R127" s="309" t="e">
        <f>('Benzin - diesel - hybrid'!Q$15*'Benzin - diesel - hybrid'!Q$40*'Benzin - diesel - hybrid'!#REF!/10+'Benzin - diesel - hybrid'!#REF!*365)</f>
        <v>#REF!</v>
      </c>
      <c r="S127" s="288" t="e">
        <f>'Benzin - diesel - hybrid'!S$39*T127*IF('Benzin - diesel - hybrid'!S$24="nej","",IF('Benzin - diesel - hybrid'!#REF!="ja",VLOOKUP('Benzin - diesel - hybrid'!S$45+($C127-1),Fremskrivninger!$A$9:$L$38,12),'Benzin - diesel - hybrid'!#REF!))/1000</f>
        <v>#REF!</v>
      </c>
      <c r="T127" s="309" t="e">
        <f>('Benzin - diesel - hybrid'!S$15*'Benzin - diesel - hybrid'!S$40*'Benzin - diesel - hybrid'!#REF!/10+'Benzin - diesel - hybrid'!#REF!*365)</f>
        <v>#REF!</v>
      </c>
      <c r="U127" s="288" t="e">
        <f>'Benzin - diesel - hybrid'!Y$39*V127*IF('Benzin - diesel - hybrid'!Y$24="nej","",IF('Benzin - diesel - hybrid'!#REF!="ja",VLOOKUP('Benzin - diesel - hybrid'!Y$45+($C127-1),Fremskrivninger!$A$9:$L$38,12),'Benzin - diesel - hybrid'!#REF!))/1000</f>
        <v>#REF!</v>
      </c>
      <c r="V127" s="309" t="e">
        <f>('Benzin - diesel - hybrid'!Y$15*'Benzin - diesel - hybrid'!Y$40*'Benzin - diesel - hybrid'!#REF!/10+'Benzin - diesel - hybrid'!#REF!*365)</f>
        <v>#REF!</v>
      </c>
      <c r="W127" s="288" t="e">
        <f>'Benzin - diesel - hybrid'!AA$39*X127*IF('Benzin - diesel - hybrid'!AA$24="nej","",IF('Benzin - diesel - hybrid'!#REF!="ja",VLOOKUP('Benzin - diesel - hybrid'!AA$45+($C127-1),Fremskrivninger!$A$9:$L$38,12),'Benzin - diesel - hybrid'!#REF!))/1000</f>
        <v>#REF!</v>
      </c>
      <c r="X127" s="309" t="e">
        <f>('Benzin - diesel - hybrid'!AA$15*'Benzin - diesel - hybrid'!AA$40*'Benzin - diesel - hybrid'!#REF!/10+'Benzin - diesel - hybrid'!#REF!*365)</f>
        <v>#REF!</v>
      </c>
    </row>
    <row r="128" spans="1:24" hidden="1" outlineLevel="1">
      <c r="A128" s="308"/>
      <c r="B128" s="282">
        <v>10</v>
      </c>
      <c r="C128" s="282">
        <f t="shared" si="8"/>
        <v>10</v>
      </c>
      <c r="D128" s="282"/>
      <c r="E128" s="288" t="e">
        <f>'Benzin - diesel - hybrid'!E$39*F128*IF('Benzin - diesel - hybrid'!E$24="nej","",IF('Benzin - diesel - hybrid'!#REF!="ja",VLOOKUP('Benzin - diesel - hybrid'!E$45+($C128-1),Fremskrivninger!$A$9:$L$38,12),'Benzin - diesel - hybrid'!#REF!))/1000</f>
        <v>#REF!</v>
      </c>
      <c r="F128" s="309" t="e">
        <f>('Benzin - diesel - hybrid'!E$15*'Benzin - diesel - hybrid'!E$40*'Benzin - diesel - hybrid'!#REF!/10+'Benzin - diesel - hybrid'!#REF!*365)</f>
        <v>#REF!</v>
      </c>
      <c r="G128" s="288" t="e">
        <f>'Benzin - diesel - hybrid'!G$39*H128*IF('Benzin - diesel - hybrid'!G$24="nej","",IF('Benzin - diesel - hybrid'!#REF!="ja",VLOOKUP('Benzin - diesel - hybrid'!G$45+($C128-1),Fremskrivninger!$A$9:$L$38,12),'Benzin - diesel - hybrid'!#REF!))/1000</f>
        <v>#REF!</v>
      </c>
      <c r="H128" s="309" t="e">
        <f>('Benzin - diesel - hybrid'!G$15*'Benzin - diesel - hybrid'!G$40*'Benzin - diesel - hybrid'!#REF!/10+'Benzin - diesel - hybrid'!#REF!*365)</f>
        <v>#REF!</v>
      </c>
      <c r="I128" s="288" t="e">
        <f>'Benzin - diesel - hybrid'!I$39*J128*IF('Benzin - diesel - hybrid'!I$24="nej","",IF('Benzin - diesel - hybrid'!#REF!="ja",VLOOKUP('Benzin - diesel - hybrid'!I$45+($C128-1),Fremskrivninger!$A$9:$L$38,12),'Benzin - diesel - hybrid'!#REF!))/1000</f>
        <v>#REF!</v>
      </c>
      <c r="J128" s="309" t="e">
        <f>('Benzin - diesel - hybrid'!I$15*'Benzin - diesel - hybrid'!I$40*'Benzin - diesel - hybrid'!#REF!/10+'Benzin - diesel - hybrid'!#REF!*365)</f>
        <v>#REF!</v>
      </c>
      <c r="K128" s="288" t="e">
        <f>'Benzin - diesel - hybrid'!K$39*L128*IF('Benzin - diesel - hybrid'!K$24="nej","",IF('Benzin - diesel - hybrid'!#REF!="ja",VLOOKUP('Benzin - diesel - hybrid'!K$45+($C128-1),Fremskrivninger!$A$9:$L$38,12),'Benzin - diesel - hybrid'!#REF!))/1000</f>
        <v>#REF!</v>
      </c>
      <c r="L128" s="309" t="e">
        <f>('Benzin - diesel - hybrid'!K$15*'Benzin - diesel - hybrid'!K$40*'Benzin - diesel - hybrid'!#REF!/10+'Benzin - diesel - hybrid'!#REF!*365)</f>
        <v>#REF!</v>
      </c>
      <c r="M128" s="288" t="e">
        <f>'Benzin - diesel - hybrid'!M$39*N128*IF('Benzin - diesel - hybrid'!M$24="nej","",IF('Benzin - diesel - hybrid'!#REF!="ja",VLOOKUP('Benzin - diesel - hybrid'!M$45+($C128-1),Fremskrivninger!$A$9:$L$38,12),'Benzin - diesel - hybrid'!#REF!))/1000</f>
        <v>#REF!</v>
      </c>
      <c r="N128" s="309" t="e">
        <f>('Benzin - diesel - hybrid'!M$15*'Benzin - diesel - hybrid'!M$40*'Benzin - diesel - hybrid'!#REF!/10+'Benzin - diesel - hybrid'!#REF!*365)</f>
        <v>#REF!</v>
      </c>
      <c r="O128" s="288" t="e">
        <f>'Benzin - diesel - hybrid'!O$39*P128*IF('Benzin - diesel - hybrid'!O$24="nej","",IF('Benzin - diesel - hybrid'!#REF!="ja",VLOOKUP('Benzin - diesel - hybrid'!O$45+($C128-1),Fremskrivninger!$A$9:$L$38,12),'Benzin - diesel - hybrid'!#REF!))/1000</f>
        <v>#REF!</v>
      </c>
      <c r="P128" s="309" t="e">
        <f>('Benzin - diesel - hybrid'!O$15*'Benzin - diesel - hybrid'!O$40*'Benzin - diesel - hybrid'!#REF!/10+'Benzin - diesel - hybrid'!#REF!*365)</f>
        <v>#REF!</v>
      </c>
      <c r="Q128" s="288" t="e">
        <f>'Benzin - diesel - hybrid'!Q$39*R128*IF('Benzin - diesel - hybrid'!Q$24="nej","",IF('Benzin - diesel - hybrid'!#REF!="ja",VLOOKUP('Benzin - diesel - hybrid'!Q$45+($C128-1),Fremskrivninger!$A$9:$L$38,12),'Benzin - diesel - hybrid'!#REF!))/1000</f>
        <v>#REF!</v>
      </c>
      <c r="R128" s="309" t="e">
        <f>('Benzin - diesel - hybrid'!Q$15*'Benzin - diesel - hybrid'!Q$40*'Benzin - diesel - hybrid'!#REF!/10+'Benzin - diesel - hybrid'!#REF!*365)</f>
        <v>#REF!</v>
      </c>
      <c r="S128" s="288" t="e">
        <f>'Benzin - diesel - hybrid'!S$39*T128*IF('Benzin - diesel - hybrid'!S$24="nej","",IF('Benzin - diesel - hybrid'!#REF!="ja",VLOOKUP('Benzin - diesel - hybrid'!S$45+($C128-1),Fremskrivninger!$A$9:$L$38,12),'Benzin - diesel - hybrid'!#REF!))/1000</f>
        <v>#REF!</v>
      </c>
      <c r="T128" s="309" t="e">
        <f>('Benzin - diesel - hybrid'!S$15*'Benzin - diesel - hybrid'!S$40*'Benzin - diesel - hybrid'!#REF!/10+'Benzin - diesel - hybrid'!#REF!*365)</f>
        <v>#REF!</v>
      </c>
      <c r="U128" s="288" t="e">
        <f>'Benzin - diesel - hybrid'!Y$39*V128*IF('Benzin - diesel - hybrid'!Y$24="nej","",IF('Benzin - diesel - hybrid'!#REF!="ja",VLOOKUP('Benzin - diesel - hybrid'!Y$45+($C128-1),Fremskrivninger!$A$9:$L$38,12),'Benzin - diesel - hybrid'!#REF!))/1000</f>
        <v>#REF!</v>
      </c>
      <c r="V128" s="309" t="e">
        <f>('Benzin - diesel - hybrid'!Y$15*'Benzin - diesel - hybrid'!Y$40*'Benzin - diesel - hybrid'!#REF!/10+'Benzin - diesel - hybrid'!#REF!*365)</f>
        <v>#REF!</v>
      </c>
      <c r="W128" s="288" t="e">
        <f>'Benzin - diesel - hybrid'!AA$39*X128*IF('Benzin - diesel - hybrid'!AA$24="nej","",IF('Benzin - diesel - hybrid'!#REF!="ja",VLOOKUP('Benzin - diesel - hybrid'!AA$45+($C128-1),Fremskrivninger!$A$9:$L$38,12),'Benzin - diesel - hybrid'!#REF!))/1000</f>
        <v>#REF!</v>
      </c>
      <c r="X128" s="309" t="e">
        <f>('Benzin - diesel - hybrid'!AA$15*'Benzin - diesel - hybrid'!AA$40*'Benzin - diesel - hybrid'!#REF!/10+'Benzin - diesel - hybrid'!#REF!*365)</f>
        <v>#REF!</v>
      </c>
    </row>
    <row r="129" spans="1:24" hidden="1" outlineLevel="1">
      <c r="A129" s="308"/>
      <c r="B129" s="282">
        <v>11</v>
      </c>
      <c r="C129" s="282">
        <f t="shared" si="8"/>
        <v>11</v>
      </c>
      <c r="D129" s="282"/>
      <c r="E129" s="288" t="e">
        <f>'Benzin - diesel - hybrid'!E$39*F129*IF('Benzin - diesel - hybrid'!E$24="nej","",IF('Benzin - diesel - hybrid'!#REF!="ja",VLOOKUP('Benzin - diesel - hybrid'!E$45+($C129-1),Fremskrivninger!$A$9:$L$38,12),'Benzin - diesel - hybrid'!#REF!))/1000</f>
        <v>#REF!</v>
      </c>
      <c r="F129" s="309" t="e">
        <f>('Benzin - diesel - hybrid'!E$15*'Benzin - diesel - hybrid'!E$40*'Benzin - diesel - hybrid'!#REF!/10+'Benzin - diesel - hybrid'!#REF!*365)</f>
        <v>#REF!</v>
      </c>
      <c r="G129" s="288" t="e">
        <f>'Benzin - diesel - hybrid'!G$39*H129*IF('Benzin - diesel - hybrid'!G$24="nej","",IF('Benzin - diesel - hybrid'!#REF!="ja",VLOOKUP('Benzin - diesel - hybrid'!G$45+($C129-1),Fremskrivninger!$A$9:$L$38,12),'Benzin - diesel - hybrid'!#REF!))/1000</f>
        <v>#REF!</v>
      </c>
      <c r="H129" s="309" t="e">
        <f>('Benzin - diesel - hybrid'!G$15*'Benzin - diesel - hybrid'!G$40*'Benzin - diesel - hybrid'!#REF!/10+'Benzin - diesel - hybrid'!#REF!*365)</f>
        <v>#REF!</v>
      </c>
      <c r="I129" s="288" t="e">
        <f>'Benzin - diesel - hybrid'!I$39*J129*IF('Benzin - diesel - hybrid'!I$24="nej","",IF('Benzin - diesel - hybrid'!#REF!="ja",VLOOKUP('Benzin - diesel - hybrid'!I$45+($C129-1),Fremskrivninger!$A$9:$L$38,12),'Benzin - diesel - hybrid'!#REF!))/1000</f>
        <v>#REF!</v>
      </c>
      <c r="J129" s="309" t="e">
        <f>('Benzin - diesel - hybrid'!I$15*'Benzin - diesel - hybrid'!I$40*'Benzin - diesel - hybrid'!#REF!/10+'Benzin - diesel - hybrid'!#REF!*365)</f>
        <v>#REF!</v>
      </c>
      <c r="K129" s="288" t="e">
        <f>'Benzin - diesel - hybrid'!K$39*L129*IF('Benzin - diesel - hybrid'!K$24="nej","",IF('Benzin - diesel - hybrid'!#REF!="ja",VLOOKUP('Benzin - diesel - hybrid'!K$45+($C129-1),Fremskrivninger!$A$9:$L$38,12),'Benzin - diesel - hybrid'!#REF!))/1000</f>
        <v>#REF!</v>
      </c>
      <c r="L129" s="309" t="e">
        <f>('Benzin - diesel - hybrid'!K$15*'Benzin - diesel - hybrid'!K$40*'Benzin - diesel - hybrid'!#REF!/10+'Benzin - diesel - hybrid'!#REF!*365)</f>
        <v>#REF!</v>
      </c>
      <c r="M129" s="288" t="e">
        <f>'Benzin - diesel - hybrid'!M$39*N129*IF('Benzin - diesel - hybrid'!M$24="nej","",IF('Benzin - diesel - hybrid'!#REF!="ja",VLOOKUP('Benzin - diesel - hybrid'!M$45+($C129-1),Fremskrivninger!$A$9:$L$38,12),'Benzin - diesel - hybrid'!#REF!))/1000</f>
        <v>#REF!</v>
      </c>
      <c r="N129" s="309" t="e">
        <f>('Benzin - diesel - hybrid'!M$15*'Benzin - diesel - hybrid'!M$40*'Benzin - diesel - hybrid'!#REF!/10+'Benzin - diesel - hybrid'!#REF!*365)</f>
        <v>#REF!</v>
      </c>
      <c r="O129" s="288" t="e">
        <f>'Benzin - diesel - hybrid'!O$39*P129*IF('Benzin - diesel - hybrid'!O$24="nej","",IF('Benzin - diesel - hybrid'!#REF!="ja",VLOOKUP('Benzin - diesel - hybrid'!O$45+($C129-1),Fremskrivninger!$A$9:$L$38,12),'Benzin - diesel - hybrid'!#REF!))/1000</f>
        <v>#REF!</v>
      </c>
      <c r="P129" s="309" t="e">
        <f>('Benzin - diesel - hybrid'!O$15*'Benzin - diesel - hybrid'!O$40*'Benzin - diesel - hybrid'!#REF!/10+'Benzin - diesel - hybrid'!#REF!*365)</f>
        <v>#REF!</v>
      </c>
      <c r="Q129" s="288" t="e">
        <f>'Benzin - diesel - hybrid'!Q$39*R129*IF('Benzin - diesel - hybrid'!Q$24="nej","",IF('Benzin - diesel - hybrid'!#REF!="ja",VLOOKUP('Benzin - diesel - hybrid'!Q$45+($C129-1),Fremskrivninger!$A$9:$L$38,12),'Benzin - diesel - hybrid'!#REF!))/1000</f>
        <v>#REF!</v>
      </c>
      <c r="R129" s="309" t="e">
        <f>('Benzin - diesel - hybrid'!Q$15*'Benzin - diesel - hybrid'!Q$40*'Benzin - diesel - hybrid'!#REF!/10+'Benzin - diesel - hybrid'!#REF!*365)</f>
        <v>#REF!</v>
      </c>
      <c r="S129" s="288" t="e">
        <f>'Benzin - diesel - hybrid'!S$39*T129*IF('Benzin - diesel - hybrid'!S$24="nej","",IF('Benzin - diesel - hybrid'!#REF!="ja",VLOOKUP('Benzin - diesel - hybrid'!S$45+($C129-1),Fremskrivninger!$A$9:$L$38,12),'Benzin - diesel - hybrid'!#REF!))/1000</f>
        <v>#REF!</v>
      </c>
      <c r="T129" s="309" t="e">
        <f>('Benzin - diesel - hybrid'!S$15*'Benzin - diesel - hybrid'!S$40*'Benzin - diesel - hybrid'!#REF!/10+'Benzin - diesel - hybrid'!#REF!*365)</f>
        <v>#REF!</v>
      </c>
      <c r="U129" s="288" t="e">
        <f>'Benzin - diesel - hybrid'!Y$39*V129*IF('Benzin - diesel - hybrid'!Y$24="nej","",IF('Benzin - diesel - hybrid'!#REF!="ja",VLOOKUP('Benzin - diesel - hybrid'!Y$45+($C129-1),Fremskrivninger!$A$9:$L$38,12),'Benzin - diesel - hybrid'!#REF!))/1000</f>
        <v>#REF!</v>
      </c>
      <c r="V129" s="309" t="e">
        <f>('Benzin - diesel - hybrid'!Y$15*'Benzin - diesel - hybrid'!Y$40*'Benzin - diesel - hybrid'!#REF!/10+'Benzin - diesel - hybrid'!#REF!*365)</f>
        <v>#REF!</v>
      </c>
      <c r="W129" s="288" t="e">
        <f>'Benzin - diesel - hybrid'!AA$39*X129*IF('Benzin - diesel - hybrid'!AA$24="nej","",IF('Benzin - diesel - hybrid'!#REF!="ja",VLOOKUP('Benzin - diesel - hybrid'!AA$45+($C129-1),Fremskrivninger!$A$9:$L$38,12),'Benzin - diesel - hybrid'!#REF!))/1000</f>
        <v>#REF!</v>
      </c>
      <c r="X129" s="309" t="e">
        <f>('Benzin - diesel - hybrid'!AA$15*'Benzin - diesel - hybrid'!AA$40*'Benzin - diesel - hybrid'!#REF!/10+'Benzin - diesel - hybrid'!#REF!*365)</f>
        <v>#REF!</v>
      </c>
    </row>
    <row r="130" spans="1:24" hidden="1" outlineLevel="1">
      <c r="A130" s="308"/>
      <c r="B130" s="282">
        <v>12</v>
      </c>
      <c r="C130" s="282">
        <f t="shared" si="8"/>
        <v>12</v>
      </c>
      <c r="D130" s="282"/>
      <c r="E130" s="288" t="e">
        <f>'Benzin - diesel - hybrid'!E$39*F130*IF('Benzin - diesel - hybrid'!E$24="nej","",IF('Benzin - diesel - hybrid'!#REF!="ja",VLOOKUP('Benzin - diesel - hybrid'!E$45+($C130-1),Fremskrivninger!$A$9:$L$38,12),'Benzin - diesel - hybrid'!#REF!))/1000</f>
        <v>#REF!</v>
      </c>
      <c r="F130" s="309" t="e">
        <f>('Benzin - diesel - hybrid'!E$15*'Benzin - diesel - hybrid'!E$40*'Benzin - diesel - hybrid'!#REF!/10+'Benzin - diesel - hybrid'!#REF!*365)</f>
        <v>#REF!</v>
      </c>
      <c r="G130" s="288" t="e">
        <f>'Benzin - diesel - hybrid'!G$39*H130*IF('Benzin - diesel - hybrid'!G$24="nej","",IF('Benzin - diesel - hybrid'!#REF!="ja",VLOOKUP('Benzin - diesel - hybrid'!G$45+($C130-1),Fremskrivninger!$A$9:$L$38,12),'Benzin - diesel - hybrid'!#REF!))/1000</f>
        <v>#REF!</v>
      </c>
      <c r="H130" s="309" t="e">
        <f>('Benzin - diesel - hybrid'!G$15*'Benzin - diesel - hybrid'!G$40*'Benzin - diesel - hybrid'!#REF!/10+'Benzin - diesel - hybrid'!#REF!*365)</f>
        <v>#REF!</v>
      </c>
      <c r="I130" s="288" t="e">
        <f>'Benzin - diesel - hybrid'!I$39*J130*IF('Benzin - diesel - hybrid'!I$24="nej","",IF('Benzin - diesel - hybrid'!#REF!="ja",VLOOKUP('Benzin - diesel - hybrid'!I$45+($C130-1),Fremskrivninger!$A$9:$L$38,12),'Benzin - diesel - hybrid'!#REF!))/1000</f>
        <v>#REF!</v>
      </c>
      <c r="J130" s="309" t="e">
        <f>('Benzin - diesel - hybrid'!I$15*'Benzin - diesel - hybrid'!I$40*'Benzin - diesel - hybrid'!#REF!/10+'Benzin - diesel - hybrid'!#REF!*365)</f>
        <v>#REF!</v>
      </c>
      <c r="K130" s="288" t="e">
        <f>'Benzin - diesel - hybrid'!K$39*L130*IF('Benzin - diesel - hybrid'!K$24="nej","",IF('Benzin - diesel - hybrid'!#REF!="ja",VLOOKUP('Benzin - diesel - hybrid'!K$45+($C130-1),Fremskrivninger!$A$9:$L$38,12),'Benzin - diesel - hybrid'!#REF!))/1000</f>
        <v>#REF!</v>
      </c>
      <c r="L130" s="309" t="e">
        <f>('Benzin - diesel - hybrid'!K$15*'Benzin - diesel - hybrid'!K$40*'Benzin - diesel - hybrid'!#REF!/10+'Benzin - diesel - hybrid'!#REF!*365)</f>
        <v>#REF!</v>
      </c>
      <c r="M130" s="288" t="e">
        <f>'Benzin - diesel - hybrid'!M$39*N130*IF('Benzin - diesel - hybrid'!M$24="nej","",IF('Benzin - diesel - hybrid'!#REF!="ja",VLOOKUP('Benzin - diesel - hybrid'!M$45+($C130-1),Fremskrivninger!$A$9:$L$38,12),'Benzin - diesel - hybrid'!#REF!))/1000</f>
        <v>#REF!</v>
      </c>
      <c r="N130" s="309" t="e">
        <f>('Benzin - diesel - hybrid'!M$15*'Benzin - diesel - hybrid'!M$40*'Benzin - diesel - hybrid'!#REF!/10+'Benzin - diesel - hybrid'!#REF!*365)</f>
        <v>#REF!</v>
      </c>
      <c r="O130" s="288" t="e">
        <f>'Benzin - diesel - hybrid'!O$39*P130*IF('Benzin - diesel - hybrid'!O$24="nej","",IF('Benzin - diesel - hybrid'!#REF!="ja",VLOOKUP('Benzin - diesel - hybrid'!O$45+($C130-1),Fremskrivninger!$A$9:$L$38,12),'Benzin - diesel - hybrid'!#REF!))/1000</f>
        <v>#REF!</v>
      </c>
      <c r="P130" s="309" t="e">
        <f>('Benzin - diesel - hybrid'!O$15*'Benzin - diesel - hybrid'!O$40*'Benzin - diesel - hybrid'!#REF!/10+'Benzin - diesel - hybrid'!#REF!*365)</f>
        <v>#REF!</v>
      </c>
      <c r="Q130" s="288" t="e">
        <f>'Benzin - diesel - hybrid'!Q$39*R130*IF('Benzin - diesel - hybrid'!Q$24="nej","",IF('Benzin - diesel - hybrid'!#REF!="ja",VLOOKUP('Benzin - diesel - hybrid'!Q$45+($C130-1),Fremskrivninger!$A$9:$L$38,12),'Benzin - diesel - hybrid'!#REF!))/1000</f>
        <v>#REF!</v>
      </c>
      <c r="R130" s="309" t="e">
        <f>('Benzin - diesel - hybrid'!Q$15*'Benzin - diesel - hybrid'!Q$40*'Benzin - diesel - hybrid'!#REF!/10+'Benzin - diesel - hybrid'!#REF!*365)</f>
        <v>#REF!</v>
      </c>
      <c r="S130" s="288" t="e">
        <f>'Benzin - diesel - hybrid'!S$39*T130*IF('Benzin - diesel - hybrid'!S$24="nej","",IF('Benzin - diesel - hybrid'!#REF!="ja",VLOOKUP('Benzin - diesel - hybrid'!S$45+($C130-1),Fremskrivninger!$A$9:$L$38,12),'Benzin - diesel - hybrid'!#REF!))/1000</f>
        <v>#REF!</v>
      </c>
      <c r="T130" s="309" t="e">
        <f>('Benzin - diesel - hybrid'!S$15*'Benzin - diesel - hybrid'!S$40*'Benzin - diesel - hybrid'!#REF!/10+'Benzin - diesel - hybrid'!#REF!*365)</f>
        <v>#REF!</v>
      </c>
      <c r="U130" s="288" t="e">
        <f>'Benzin - diesel - hybrid'!Y$39*V130*IF('Benzin - diesel - hybrid'!Y$24="nej","",IF('Benzin - diesel - hybrid'!#REF!="ja",VLOOKUP('Benzin - diesel - hybrid'!Y$45+($C130-1),Fremskrivninger!$A$9:$L$38,12),'Benzin - diesel - hybrid'!#REF!))/1000</f>
        <v>#REF!</v>
      </c>
      <c r="V130" s="309" t="e">
        <f>('Benzin - diesel - hybrid'!Y$15*'Benzin - diesel - hybrid'!Y$40*'Benzin - diesel - hybrid'!#REF!/10+'Benzin - diesel - hybrid'!#REF!*365)</f>
        <v>#REF!</v>
      </c>
      <c r="W130" s="288" t="e">
        <f>'Benzin - diesel - hybrid'!AA$39*X130*IF('Benzin - diesel - hybrid'!AA$24="nej","",IF('Benzin - diesel - hybrid'!#REF!="ja",VLOOKUP('Benzin - diesel - hybrid'!AA$45+($C130-1),Fremskrivninger!$A$9:$L$38,12),'Benzin - diesel - hybrid'!#REF!))/1000</f>
        <v>#REF!</v>
      </c>
      <c r="X130" s="309" t="e">
        <f>('Benzin - diesel - hybrid'!AA$15*'Benzin - diesel - hybrid'!AA$40*'Benzin - diesel - hybrid'!#REF!/10+'Benzin - diesel - hybrid'!#REF!*365)</f>
        <v>#REF!</v>
      </c>
    </row>
    <row r="131" spans="1:24" hidden="1" outlineLevel="1">
      <c r="A131" s="308"/>
      <c r="B131" s="282">
        <v>13</v>
      </c>
      <c r="C131" s="282">
        <f t="shared" si="8"/>
        <v>13</v>
      </c>
      <c r="D131" s="282"/>
      <c r="E131" s="288" t="e">
        <f>'Benzin - diesel - hybrid'!E$39*F131*IF('Benzin - diesel - hybrid'!E$24="nej","",IF('Benzin - diesel - hybrid'!#REF!="ja",VLOOKUP('Benzin - diesel - hybrid'!E$45+($C131-1),Fremskrivninger!$A$9:$L$38,12),'Benzin - diesel - hybrid'!#REF!))/1000</f>
        <v>#REF!</v>
      </c>
      <c r="F131" s="309" t="e">
        <f>('Benzin - diesel - hybrid'!E$15*'Benzin - diesel - hybrid'!E$40*'Benzin - diesel - hybrid'!#REF!/10+'Benzin - diesel - hybrid'!#REF!*365)</f>
        <v>#REF!</v>
      </c>
      <c r="G131" s="288" t="e">
        <f>'Benzin - diesel - hybrid'!G$39*H131*IF('Benzin - diesel - hybrid'!G$24="nej","",IF('Benzin - diesel - hybrid'!#REF!="ja",VLOOKUP('Benzin - diesel - hybrid'!G$45+($C131-1),Fremskrivninger!$A$9:$L$38,12),'Benzin - diesel - hybrid'!#REF!))/1000</f>
        <v>#REF!</v>
      </c>
      <c r="H131" s="309" t="e">
        <f>('Benzin - diesel - hybrid'!G$15*'Benzin - diesel - hybrid'!G$40*'Benzin - diesel - hybrid'!#REF!/10+'Benzin - diesel - hybrid'!#REF!*365)</f>
        <v>#REF!</v>
      </c>
      <c r="I131" s="288" t="e">
        <f>'Benzin - diesel - hybrid'!I$39*J131*IF('Benzin - diesel - hybrid'!I$24="nej","",IF('Benzin - diesel - hybrid'!#REF!="ja",VLOOKUP('Benzin - diesel - hybrid'!I$45+($C131-1),Fremskrivninger!$A$9:$L$38,12),'Benzin - diesel - hybrid'!#REF!))/1000</f>
        <v>#REF!</v>
      </c>
      <c r="J131" s="309" t="e">
        <f>('Benzin - diesel - hybrid'!I$15*'Benzin - diesel - hybrid'!I$40*'Benzin - diesel - hybrid'!#REF!/10+'Benzin - diesel - hybrid'!#REF!*365)</f>
        <v>#REF!</v>
      </c>
      <c r="K131" s="288" t="e">
        <f>'Benzin - diesel - hybrid'!K$39*L131*IF('Benzin - diesel - hybrid'!K$24="nej","",IF('Benzin - diesel - hybrid'!#REF!="ja",VLOOKUP('Benzin - diesel - hybrid'!K$45+($C131-1),Fremskrivninger!$A$9:$L$38,12),'Benzin - diesel - hybrid'!#REF!))/1000</f>
        <v>#REF!</v>
      </c>
      <c r="L131" s="309" t="e">
        <f>('Benzin - diesel - hybrid'!K$15*'Benzin - diesel - hybrid'!K$40*'Benzin - diesel - hybrid'!#REF!/10+'Benzin - diesel - hybrid'!#REF!*365)</f>
        <v>#REF!</v>
      </c>
      <c r="M131" s="288" t="e">
        <f>'Benzin - diesel - hybrid'!M$39*N131*IF('Benzin - diesel - hybrid'!M$24="nej","",IF('Benzin - diesel - hybrid'!#REF!="ja",VLOOKUP('Benzin - diesel - hybrid'!M$45+($C131-1),Fremskrivninger!$A$9:$L$38,12),'Benzin - diesel - hybrid'!#REF!))/1000</f>
        <v>#REF!</v>
      </c>
      <c r="N131" s="309" t="e">
        <f>('Benzin - diesel - hybrid'!M$15*'Benzin - diesel - hybrid'!M$40*'Benzin - diesel - hybrid'!#REF!/10+'Benzin - diesel - hybrid'!#REF!*365)</f>
        <v>#REF!</v>
      </c>
      <c r="O131" s="288" t="e">
        <f>'Benzin - diesel - hybrid'!O$39*P131*IF('Benzin - diesel - hybrid'!O$24="nej","",IF('Benzin - diesel - hybrid'!#REF!="ja",VLOOKUP('Benzin - diesel - hybrid'!O$45+($C131-1),Fremskrivninger!$A$9:$L$38,12),'Benzin - diesel - hybrid'!#REF!))/1000</f>
        <v>#REF!</v>
      </c>
      <c r="P131" s="309" t="e">
        <f>('Benzin - diesel - hybrid'!O$15*'Benzin - diesel - hybrid'!O$40*'Benzin - diesel - hybrid'!#REF!/10+'Benzin - diesel - hybrid'!#REF!*365)</f>
        <v>#REF!</v>
      </c>
      <c r="Q131" s="288" t="e">
        <f>'Benzin - diesel - hybrid'!Q$39*R131*IF('Benzin - diesel - hybrid'!Q$24="nej","",IF('Benzin - diesel - hybrid'!#REF!="ja",VLOOKUP('Benzin - diesel - hybrid'!Q$45+($C131-1),Fremskrivninger!$A$9:$L$38,12),'Benzin - diesel - hybrid'!#REF!))/1000</f>
        <v>#REF!</v>
      </c>
      <c r="R131" s="309" t="e">
        <f>('Benzin - diesel - hybrid'!Q$15*'Benzin - diesel - hybrid'!Q$40*'Benzin - diesel - hybrid'!#REF!/10+'Benzin - diesel - hybrid'!#REF!*365)</f>
        <v>#REF!</v>
      </c>
      <c r="S131" s="288" t="e">
        <f>'Benzin - diesel - hybrid'!S$39*T131*IF('Benzin - diesel - hybrid'!S$24="nej","",IF('Benzin - diesel - hybrid'!#REF!="ja",VLOOKUP('Benzin - diesel - hybrid'!S$45+($C131-1),Fremskrivninger!$A$9:$L$38,12),'Benzin - diesel - hybrid'!#REF!))/1000</f>
        <v>#REF!</v>
      </c>
      <c r="T131" s="309" t="e">
        <f>('Benzin - diesel - hybrid'!S$15*'Benzin - diesel - hybrid'!S$40*'Benzin - diesel - hybrid'!#REF!/10+'Benzin - diesel - hybrid'!#REF!*365)</f>
        <v>#REF!</v>
      </c>
      <c r="U131" s="288" t="e">
        <f>'Benzin - diesel - hybrid'!Y$39*V131*IF('Benzin - diesel - hybrid'!Y$24="nej","",IF('Benzin - diesel - hybrid'!#REF!="ja",VLOOKUP('Benzin - diesel - hybrid'!Y$45+($C131-1),Fremskrivninger!$A$9:$L$38,12),'Benzin - diesel - hybrid'!#REF!))/1000</f>
        <v>#REF!</v>
      </c>
      <c r="V131" s="309" t="e">
        <f>('Benzin - diesel - hybrid'!Y$15*'Benzin - diesel - hybrid'!Y$40*'Benzin - diesel - hybrid'!#REF!/10+'Benzin - diesel - hybrid'!#REF!*365)</f>
        <v>#REF!</v>
      </c>
      <c r="W131" s="288" t="e">
        <f>'Benzin - diesel - hybrid'!AA$39*X131*IF('Benzin - diesel - hybrid'!AA$24="nej","",IF('Benzin - diesel - hybrid'!#REF!="ja",VLOOKUP('Benzin - diesel - hybrid'!AA$45+($C131-1),Fremskrivninger!$A$9:$L$38,12),'Benzin - diesel - hybrid'!#REF!))/1000</f>
        <v>#REF!</v>
      </c>
      <c r="X131" s="309" t="e">
        <f>('Benzin - diesel - hybrid'!AA$15*'Benzin - diesel - hybrid'!AA$40*'Benzin - diesel - hybrid'!#REF!/10+'Benzin - diesel - hybrid'!#REF!*365)</f>
        <v>#REF!</v>
      </c>
    </row>
    <row r="132" spans="1:24" hidden="1" outlineLevel="1">
      <c r="A132" s="308"/>
      <c r="B132" s="282">
        <v>14</v>
      </c>
      <c r="C132" s="282">
        <f t="shared" si="8"/>
        <v>14</v>
      </c>
      <c r="D132" s="282"/>
      <c r="E132" s="288" t="e">
        <f>'Benzin - diesel - hybrid'!E$39*F132*IF('Benzin - diesel - hybrid'!E$24="nej","",IF('Benzin - diesel - hybrid'!#REF!="ja",VLOOKUP('Benzin - diesel - hybrid'!E$45+($C132-1),Fremskrivninger!$A$9:$L$38,12),'Benzin - diesel - hybrid'!#REF!))/1000</f>
        <v>#REF!</v>
      </c>
      <c r="F132" s="309" t="e">
        <f>('Benzin - diesel - hybrid'!E$15*'Benzin - diesel - hybrid'!E$40*'Benzin - diesel - hybrid'!#REF!/10+'Benzin - diesel - hybrid'!#REF!*365)</f>
        <v>#REF!</v>
      </c>
      <c r="G132" s="288" t="e">
        <f>'Benzin - diesel - hybrid'!G$39*H132*IF('Benzin - diesel - hybrid'!G$24="nej","",IF('Benzin - diesel - hybrid'!#REF!="ja",VLOOKUP('Benzin - diesel - hybrid'!G$45+($C132-1),Fremskrivninger!$A$9:$L$38,12),'Benzin - diesel - hybrid'!#REF!))/1000</f>
        <v>#REF!</v>
      </c>
      <c r="H132" s="309" t="e">
        <f>('Benzin - diesel - hybrid'!G$15*'Benzin - diesel - hybrid'!G$40*'Benzin - diesel - hybrid'!#REF!/10+'Benzin - diesel - hybrid'!#REF!*365)</f>
        <v>#REF!</v>
      </c>
      <c r="I132" s="288" t="e">
        <f>'Benzin - diesel - hybrid'!I$39*J132*IF('Benzin - diesel - hybrid'!I$24="nej","",IF('Benzin - diesel - hybrid'!#REF!="ja",VLOOKUP('Benzin - diesel - hybrid'!I$45+($C132-1),Fremskrivninger!$A$9:$L$38,12),'Benzin - diesel - hybrid'!#REF!))/1000</f>
        <v>#REF!</v>
      </c>
      <c r="J132" s="309" t="e">
        <f>('Benzin - diesel - hybrid'!I$15*'Benzin - diesel - hybrid'!I$40*'Benzin - diesel - hybrid'!#REF!/10+'Benzin - diesel - hybrid'!#REF!*365)</f>
        <v>#REF!</v>
      </c>
      <c r="K132" s="288" t="e">
        <f>'Benzin - diesel - hybrid'!K$39*L132*IF('Benzin - diesel - hybrid'!K$24="nej","",IF('Benzin - diesel - hybrid'!#REF!="ja",VLOOKUP('Benzin - diesel - hybrid'!K$45+($C132-1),Fremskrivninger!$A$9:$L$38,12),'Benzin - diesel - hybrid'!#REF!))/1000</f>
        <v>#REF!</v>
      </c>
      <c r="L132" s="309" t="e">
        <f>('Benzin - diesel - hybrid'!K$15*'Benzin - diesel - hybrid'!K$40*'Benzin - diesel - hybrid'!#REF!/10+'Benzin - diesel - hybrid'!#REF!*365)</f>
        <v>#REF!</v>
      </c>
      <c r="M132" s="288" t="e">
        <f>'Benzin - diesel - hybrid'!M$39*N132*IF('Benzin - diesel - hybrid'!M$24="nej","",IF('Benzin - diesel - hybrid'!#REF!="ja",VLOOKUP('Benzin - diesel - hybrid'!M$45+($C132-1),Fremskrivninger!$A$9:$L$38,12),'Benzin - diesel - hybrid'!#REF!))/1000</f>
        <v>#REF!</v>
      </c>
      <c r="N132" s="309" t="e">
        <f>('Benzin - diesel - hybrid'!M$15*'Benzin - diesel - hybrid'!M$40*'Benzin - diesel - hybrid'!#REF!/10+'Benzin - diesel - hybrid'!#REF!*365)</f>
        <v>#REF!</v>
      </c>
      <c r="O132" s="288" t="e">
        <f>'Benzin - diesel - hybrid'!O$39*P132*IF('Benzin - diesel - hybrid'!O$24="nej","",IF('Benzin - diesel - hybrid'!#REF!="ja",VLOOKUP('Benzin - diesel - hybrid'!O$45+($C132-1),Fremskrivninger!$A$9:$L$38,12),'Benzin - diesel - hybrid'!#REF!))/1000</f>
        <v>#REF!</v>
      </c>
      <c r="P132" s="309" t="e">
        <f>('Benzin - diesel - hybrid'!O$15*'Benzin - diesel - hybrid'!O$40*'Benzin - diesel - hybrid'!#REF!/10+'Benzin - diesel - hybrid'!#REF!*365)</f>
        <v>#REF!</v>
      </c>
      <c r="Q132" s="288" t="e">
        <f>'Benzin - diesel - hybrid'!Q$39*R132*IF('Benzin - diesel - hybrid'!Q$24="nej","",IF('Benzin - diesel - hybrid'!#REF!="ja",VLOOKUP('Benzin - diesel - hybrid'!Q$45+($C132-1),Fremskrivninger!$A$9:$L$38,12),'Benzin - diesel - hybrid'!#REF!))/1000</f>
        <v>#REF!</v>
      </c>
      <c r="R132" s="309" t="e">
        <f>('Benzin - diesel - hybrid'!Q$15*'Benzin - diesel - hybrid'!Q$40*'Benzin - diesel - hybrid'!#REF!/10+'Benzin - diesel - hybrid'!#REF!*365)</f>
        <v>#REF!</v>
      </c>
      <c r="S132" s="288" t="e">
        <f>'Benzin - diesel - hybrid'!S$39*T132*IF('Benzin - diesel - hybrid'!S$24="nej","",IF('Benzin - diesel - hybrid'!#REF!="ja",VLOOKUP('Benzin - diesel - hybrid'!S$45+($C132-1),Fremskrivninger!$A$9:$L$38,12),'Benzin - diesel - hybrid'!#REF!))/1000</f>
        <v>#REF!</v>
      </c>
      <c r="T132" s="309" t="e">
        <f>('Benzin - diesel - hybrid'!S$15*'Benzin - diesel - hybrid'!S$40*'Benzin - diesel - hybrid'!#REF!/10+'Benzin - diesel - hybrid'!#REF!*365)</f>
        <v>#REF!</v>
      </c>
      <c r="U132" s="288" t="e">
        <f>'Benzin - diesel - hybrid'!Y$39*V132*IF('Benzin - diesel - hybrid'!Y$24="nej","",IF('Benzin - diesel - hybrid'!#REF!="ja",VLOOKUP('Benzin - diesel - hybrid'!Y$45+($C132-1),Fremskrivninger!$A$9:$L$38,12),'Benzin - diesel - hybrid'!#REF!))/1000</f>
        <v>#REF!</v>
      </c>
      <c r="V132" s="309" t="e">
        <f>('Benzin - diesel - hybrid'!Y$15*'Benzin - diesel - hybrid'!Y$40*'Benzin - diesel - hybrid'!#REF!/10+'Benzin - diesel - hybrid'!#REF!*365)</f>
        <v>#REF!</v>
      </c>
      <c r="W132" s="288" t="e">
        <f>'Benzin - diesel - hybrid'!AA$39*X132*IF('Benzin - diesel - hybrid'!AA$24="nej","",IF('Benzin - diesel - hybrid'!#REF!="ja",VLOOKUP('Benzin - diesel - hybrid'!AA$45+($C132-1),Fremskrivninger!$A$9:$L$38,12),'Benzin - diesel - hybrid'!#REF!))/1000</f>
        <v>#REF!</v>
      </c>
      <c r="X132" s="309" t="e">
        <f>('Benzin - diesel - hybrid'!AA$15*'Benzin - diesel - hybrid'!AA$40*'Benzin - diesel - hybrid'!#REF!/10+'Benzin - diesel - hybrid'!#REF!*365)</f>
        <v>#REF!</v>
      </c>
    </row>
    <row r="133" spans="1:24" hidden="1" outlineLevel="1">
      <c r="A133" s="308"/>
      <c r="B133" s="282">
        <v>15</v>
      </c>
      <c r="C133" s="282">
        <f t="shared" si="8"/>
        <v>15</v>
      </c>
      <c r="D133" s="282"/>
      <c r="E133" s="288" t="e">
        <f>'Benzin - diesel - hybrid'!E$39*F133*IF('Benzin - diesel - hybrid'!E$24="nej","",IF('Benzin - diesel - hybrid'!#REF!="ja",VLOOKUP('Benzin - diesel - hybrid'!E$45+($C133-1),Fremskrivninger!$A$9:$L$38,12),'Benzin - diesel - hybrid'!#REF!))/1000</f>
        <v>#REF!</v>
      </c>
      <c r="F133" s="309" t="e">
        <f>('Benzin - diesel - hybrid'!E$15*'Benzin - diesel - hybrid'!E$40*'Benzin - diesel - hybrid'!#REF!/10+'Benzin - diesel - hybrid'!#REF!*365)</f>
        <v>#REF!</v>
      </c>
      <c r="G133" s="288" t="e">
        <f>'Benzin - diesel - hybrid'!G$39*H133*IF('Benzin - diesel - hybrid'!G$24="nej","",IF('Benzin - diesel - hybrid'!#REF!="ja",VLOOKUP('Benzin - diesel - hybrid'!G$45+($C133-1),Fremskrivninger!$A$9:$L$38,12),'Benzin - diesel - hybrid'!#REF!))/1000</f>
        <v>#REF!</v>
      </c>
      <c r="H133" s="309" t="e">
        <f>('Benzin - diesel - hybrid'!G$15*'Benzin - diesel - hybrid'!G$40*'Benzin - diesel - hybrid'!#REF!/10+'Benzin - diesel - hybrid'!#REF!*365)</f>
        <v>#REF!</v>
      </c>
      <c r="I133" s="288" t="e">
        <f>'Benzin - diesel - hybrid'!I$39*J133*IF('Benzin - diesel - hybrid'!I$24="nej","",IF('Benzin - diesel - hybrid'!#REF!="ja",VLOOKUP('Benzin - diesel - hybrid'!I$45+($C133-1),Fremskrivninger!$A$9:$L$38,12),'Benzin - diesel - hybrid'!#REF!))/1000</f>
        <v>#REF!</v>
      </c>
      <c r="J133" s="309" t="e">
        <f>('Benzin - diesel - hybrid'!I$15*'Benzin - diesel - hybrid'!I$40*'Benzin - diesel - hybrid'!#REF!/10+'Benzin - diesel - hybrid'!#REF!*365)</f>
        <v>#REF!</v>
      </c>
      <c r="K133" s="288" t="e">
        <f>'Benzin - diesel - hybrid'!K$39*L133*IF('Benzin - diesel - hybrid'!K$24="nej","",IF('Benzin - diesel - hybrid'!#REF!="ja",VLOOKUP('Benzin - diesel - hybrid'!K$45+($C133-1),Fremskrivninger!$A$9:$L$38,12),'Benzin - diesel - hybrid'!#REF!))/1000</f>
        <v>#REF!</v>
      </c>
      <c r="L133" s="309" t="e">
        <f>('Benzin - diesel - hybrid'!K$15*'Benzin - diesel - hybrid'!K$40*'Benzin - diesel - hybrid'!#REF!/10+'Benzin - diesel - hybrid'!#REF!*365)</f>
        <v>#REF!</v>
      </c>
      <c r="M133" s="288" t="e">
        <f>'Benzin - diesel - hybrid'!M$39*N133*IF('Benzin - diesel - hybrid'!M$24="nej","",IF('Benzin - diesel - hybrid'!#REF!="ja",VLOOKUP('Benzin - diesel - hybrid'!M$45+($C133-1),Fremskrivninger!$A$9:$L$38,12),'Benzin - diesel - hybrid'!#REF!))/1000</f>
        <v>#REF!</v>
      </c>
      <c r="N133" s="309" t="e">
        <f>('Benzin - diesel - hybrid'!M$15*'Benzin - diesel - hybrid'!M$40*'Benzin - diesel - hybrid'!#REF!/10+'Benzin - diesel - hybrid'!#REF!*365)</f>
        <v>#REF!</v>
      </c>
      <c r="O133" s="288" t="e">
        <f>'Benzin - diesel - hybrid'!O$39*P133*IF('Benzin - diesel - hybrid'!O$24="nej","",IF('Benzin - diesel - hybrid'!#REF!="ja",VLOOKUP('Benzin - diesel - hybrid'!O$45+($C133-1),Fremskrivninger!$A$9:$L$38,12),'Benzin - diesel - hybrid'!#REF!))/1000</f>
        <v>#REF!</v>
      </c>
      <c r="P133" s="309" t="e">
        <f>('Benzin - diesel - hybrid'!O$15*'Benzin - diesel - hybrid'!O$40*'Benzin - diesel - hybrid'!#REF!/10+'Benzin - diesel - hybrid'!#REF!*365)</f>
        <v>#REF!</v>
      </c>
      <c r="Q133" s="288" t="e">
        <f>'Benzin - diesel - hybrid'!Q$39*R133*IF('Benzin - diesel - hybrid'!Q$24="nej","",IF('Benzin - diesel - hybrid'!#REF!="ja",VLOOKUP('Benzin - diesel - hybrid'!Q$45+($C133-1),Fremskrivninger!$A$9:$L$38,12),'Benzin - diesel - hybrid'!#REF!))/1000</f>
        <v>#REF!</v>
      </c>
      <c r="R133" s="309" t="e">
        <f>('Benzin - diesel - hybrid'!Q$15*'Benzin - diesel - hybrid'!Q$40*'Benzin - diesel - hybrid'!#REF!/10+'Benzin - diesel - hybrid'!#REF!*365)</f>
        <v>#REF!</v>
      </c>
      <c r="S133" s="288" t="e">
        <f>'Benzin - diesel - hybrid'!S$39*T133*IF('Benzin - diesel - hybrid'!S$24="nej","",IF('Benzin - diesel - hybrid'!#REF!="ja",VLOOKUP('Benzin - diesel - hybrid'!S$45+($C133-1),Fremskrivninger!$A$9:$L$38,12),'Benzin - diesel - hybrid'!#REF!))/1000</f>
        <v>#REF!</v>
      </c>
      <c r="T133" s="309" t="e">
        <f>('Benzin - diesel - hybrid'!S$15*'Benzin - diesel - hybrid'!S$40*'Benzin - diesel - hybrid'!#REF!/10+'Benzin - diesel - hybrid'!#REF!*365)</f>
        <v>#REF!</v>
      </c>
      <c r="U133" s="288" t="e">
        <f>'Benzin - diesel - hybrid'!Y$39*V133*IF('Benzin - diesel - hybrid'!Y$24="nej","",IF('Benzin - diesel - hybrid'!#REF!="ja",VLOOKUP('Benzin - diesel - hybrid'!Y$45+($C133-1),Fremskrivninger!$A$9:$L$38,12),'Benzin - diesel - hybrid'!#REF!))/1000</f>
        <v>#REF!</v>
      </c>
      <c r="V133" s="309" t="e">
        <f>('Benzin - diesel - hybrid'!Y$15*'Benzin - diesel - hybrid'!Y$40*'Benzin - diesel - hybrid'!#REF!/10+'Benzin - diesel - hybrid'!#REF!*365)</f>
        <v>#REF!</v>
      </c>
      <c r="W133" s="288" t="e">
        <f>'Benzin - diesel - hybrid'!AA$39*X133*IF('Benzin - diesel - hybrid'!AA$24="nej","",IF('Benzin - diesel - hybrid'!#REF!="ja",VLOOKUP('Benzin - diesel - hybrid'!AA$45+($C133-1),Fremskrivninger!$A$9:$L$38,12),'Benzin - diesel - hybrid'!#REF!))/1000</f>
        <v>#REF!</v>
      </c>
      <c r="X133" s="309" t="e">
        <f>('Benzin - diesel - hybrid'!AA$15*'Benzin - diesel - hybrid'!AA$40*'Benzin - diesel - hybrid'!#REF!/10+'Benzin - diesel - hybrid'!#REF!*365)</f>
        <v>#REF!</v>
      </c>
    </row>
    <row r="134" spans="1:24" hidden="1" outlineLevel="1">
      <c r="A134" s="308"/>
      <c r="B134" s="282">
        <v>16</v>
      </c>
      <c r="C134" s="282">
        <f t="shared" si="8"/>
        <v>16</v>
      </c>
      <c r="D134" s="282"/>
      <c r="E134" s="288" t="e">
        <f>'Benzin - diesel - hybrid'!E$39*F134*IF('Benzin - diesel - hybrid'!E$24="nej","",IF('Benzin - diesel - hybrid'!#REF!="ja",VLOOKUP('Benzin - diesel - hybrid'!E$45+($C134-1),Fremskrivninger!$A$9:$L$38,12),'Benzin - diesel - hybrid'!#REF!))/1000</f>
        <v>#REF!</v>
      </c>
      <c r="F134" s="309" t="e">
        <f>('Benzin - diesel - hybrid'!E$15*'Benzin - diesel - hybrid'!E$40*'Benzin - diesel - hybrid'!#REF!/10+'Benzin - diesel - hybrid'!#REF!*365)</f>
        <v>#REF!</v>
      </c>
      <c r="G134" s="288" t="e">
        <f>'Benzin - diesel - hybrid'!G$39*H134*IF('Benzin - diesel - hybrid'!G$24="nej","",IF('Benzin - diesel - hybrid'!#REF!="ja",VLOOKUP('Benzin - diesel - hybrid'!G$45+($C134-1),Fremskrivninger!$A$9:$L$38,12),'Benzin - diesel - hybrid'!#REF!))/1000</f>
        <v>#REF!</v>
      </c>
      <c r="H134" s="309" t="e">
        <f>('Benzin - diesel - hybrid'!G$15*'Benzin - diesel - hybrid'!G$40*'Benzin - diesel - hybrid'!#REF!/10+'Benzin - diesel - hybrid'!#REF!*365)</f>
        <v>#REF!</v>
      </c>
      <c r="I134" s="288" t="e">
        <f>'Benzin - diesel - hybrid'!I$39*J134*IF('Benzin - diesel - hybrid'!I$24="nej","",IF('Benzin - diesel - hybrid'!#REF!="ja",VLOOKUP('Benzin - diesel - hybrid'!I$45+($C134-1),Fremskrivninger!$A$9:$L$38,12),'Benzin - diesel - hybrid'!#REF!))/1000</f>
        <v>#REF!</v>
      </c>
      <c r="J134" s="309" t="e">
        <f>('Benzin - diesel - hybrid'!I$15*'Benzin - diesel - hybrid'!I$40*'Benzin - diesel - hybrid'!#REF!/10+'Benzin - diesel - hybrid'!#REF!*365)</f>
        <v>#REF!</v>
      </c>
      <c r="K134" s="288" t="e">
        <f>'Benzin - diesel - hybrid'!K$39*L134*IF('Benzin - diesel - hybrid'!K$24="nej","",IF('Benzin - diesel - hybrid'!#REF!="ja",VLOOKUP('Benzin - diesel - hybrid'!K$45+($C134-1),Fremskrivninger!$A$9:$L$38,12),'Benzin - diesel - hybrid'!#REF!))/1000</f>
        <v>#REF!</v>
      </c>
      <c r="L134" s="309" t="e">
        <f>('Benzin - diesel - hybrid'!K$15*'Benzin - diesel - hybrid'!K$40*'Benzin - diesel - hybrid'!#REF!/10+'Benzin - diesel - hybrid'!#REF!*365)</f>
        <v>#REF!</v>
      </c>
      <c r="M134" s="288" t="e">
        <f>'Benzin - diesel - hybrid'!M$39*N134*IF('Benzin - diesel - hybrid'!M$24="nej","",IF('Benzin - diesel - hybrid'!#REF!="ja",VLOOKUP('Benzin - diesel - hybrid'!M$45+($C134-1),Fremskrivninger!$A$9:$L$38,12),'Benzin - diesel - hybrid'!#REF!))/1000</f>
        <v>#REF!</v>
      </c>
      <c r="N134" s="309" t="e">
        <f>('Benzin - diesel - hybrid'!M$15*'Benzin - diesel - hybrid'!M$40*'Benzin - diesel - hybrid'!#REF!/10+'Benzin - diesel - hybrid'!#REF!*365)</f>
        <v>#REF!</v>
      </c>
      <c r="O134" s="288" t="e">
        <f>'Benzin - diesel - hybrid'!O$39*P134*IF('Benzin - diesel - hybrid'!O$24="nej","",IF('Benzin - diesel - hybrid'!#REF!="ja",VLOOKUP('Benzin - diesel - hybrid'!O$45+($C134-1),Fremskrivninger!$A$9:$L$38,12),'Benzin - diesel - hybrid'!#REF!))/1000</f>
        <v>#REF!</v>
      </c>
      <c r="P134" s="309" t="e">
        <f>('Benzin - diesel - hybrid'!O$15*'Benzin - diesel - hybrid'!O$40*'Benzin - diesel - hybrid'!#REF!/10+'Benzin - diesel - hybrid'!#REF!*365)</f>
        <v>#REF!</v>
      </c>
      <c r="Q134" s="288" t="e">
        <f>'Benzin - diesel - hybrid'!Q$39*R134*IF('Benzin - diesel - hybrid'!Q$24="nej","",IF('Benzin - diesel - hybrid'!#REF!="ja",VLOOKUP('Benzin - diesel - hybrid'!Q$45+($C134-1),Fremskrivninger!$A$9:$L$38,12),'Benzin - diesel - hybrid'!#REF!))/1000</f>
        <v>#REF!</v>
      </c>
      <c r="R134" s="309" t="e">
        <f>('Benzin - diesel - hybrid'!Q$15*'Benzin - diesel - hybrid'!Q$40*'Benzin - diesel - hybrid'!#REF!/10+'Benzin - diesel - hybrid'!#REF!*365)</f>
        <v>#REF!</v>
      </c>
      <c r="S134" s="288" t="e">
        <f>'Benzin - diesel - hybrid'!S$39*T134*IF('Benzin - diesel - hybrid'!S$24="nej","",IF('Benzin - diesel - hybrid'!#REF!="ja",VLOOKUP('Benzin - diesel - hybrid'!S$45+($C134-1),Fremskrivninger!$A$9:$L$38,12),'Benzin - diesel - hybrid'!#REF!))/1000</f>
        <v>#REF!</v>
      </c>
      <c r="T134" s="309" t="e">
        <f>('Benzin - diesel - hybrid'!S$15*'Benzin - diesel - hybrid'!S$40*'Benzin - diesel - hybrid'!#REF!/10+'Benzin - diesel - hybrid'!#REF!*365)</f>
        <v>#REF!</v>
      </c>
      <c r="U134" s="288" t="e">
        <f>'Benzin - diesel - hybrid'!Y$39*V134*IF('Benzin - diesel - hybrid'!Y$24="nej","",IF('Benzin - diesel - hybrid'!#REF!="ja",VLOOKUP('Benzin - diesel - hybrid'!Y$45+($C134-1),Fremskrivninger!$A$9:$L$38,12),'Benzin - diesel - hybrid'!#REF!))/1000</f>
        <v>#REF!</v>
      </c>
      <c r="V134" s="309" t="e">
        <f>('Benzin - diesel - hybrid'!Y$15*'Benzin - diesel - hybrid'!Y$40*'Benzin - diesel - hybrid'!#REF!/10+'Benzin - diesel - hybrid'!#REF!*365)</f>
        <v>#REF!</v>
      </c>
      <c r="W134" s="288" t="e">
        <f>'Benzin - diesel - hybrid'!AA$39*X134*IF('Benzin - diesel - hybrid'!AA$24="nej","",IF('Benzin - diesel - hybrid'!#REF!="ja",VLOOKUP('Benzin - diesel - hybrid'!AA$45+($C134-1),Fremskrivninger!$A$9:$L$38,12),'Benzin - diesel - hybrid'!#REF!))/1000</f>
        <v>#REF!</v>
      </c>
      <c r="X134" s="309" t="e">
        <f>('Benzin - diesel - hybrid'!AA$15*'Benzin - diesel - hybrid'!AA$40*'Benzin - diesel - hybrid'!#REF!/10+'Benzin - diesel - hybrid'!#REF!*365)</f>
        <v>#REF!</v>
      </c>
    </row>
    <row r="135" spans="1:24" hidden="1" outlineLevel="1">
      <c r="A135" s="308"/>
      <c r="B135" s="282">
        <v>17</v>
      </c>
      <c r="C135" s="282">
        <f t="shared" si="8"/>
        <v>17</v>
      </c>
      <c r="D135" s="282"/>
      <c r="E135" s="288" t="e">
        <f>'Benzin - diesel - hybrid'!E$39*F135*IF('Benzin - diesel - hybrid'!E$24="nej","",IF('Benzin - diesel - hybrid'!#REF!="ja",VLOOKUP('Benzin - diesel - hybrid'!E$45+($C135-1),Fremskrivninger!$A$9:$L$38,12),'Benzin - diesel - hybrid'!#REF!))/1000</f>
        <v>#REF!</v>
      </c>
      <c r="F135" s="309" t="e">
        <f>('Benzin - diesel - hybrid'!E$15*'Benzin - diesel - hybrid'!E$40*'Benzin - diesel - hybrid'!#REF!/10+'Benzin - diesel - hybrid'!#REF!*365)</f>
        <v>#REF!</v>
      </c>
      <c r="G135" s="288" t="e">
        <f>'Benzin - diesel - hybrid'!G$39*H135*IF('Benzin - diesel - hybrid'!G$24="nej","",IF('Benzin - diesel - hybrid'!#REF!="ja",VLOOKUP('Benzin - diesel - hybrid'!G$45+($C135-1),Fremskrivninger!$A$9:$L$38,12),'Benzin - diesel - hybrid'!#REF!))/1000</f>
        <v>#REF!</v>
      </c>
      <c r="H135" s="309" t="e">
        <f>('Benzin - diesel - hybrid'!G$15*'Benzin - diesel - hybrid'!G$40*'Benzin - diesel - hybrid'!#REF!/10+'Benzin - diesel - hybrid'!#REF!*365)</f>
        <v>#REF!</v>
      </c>
      <c r="I135" s="288" t="e">
        <f>'Benzin - diesel - hybrid'!I$39*J135*IF('Benzin - diesel - hybrid'!I$24="nej","",IF('Benzin - diesel - hybrid'!#REF!="ja",VLOOKUP('Benzin - diesel - hybrid'!I$45+($C135-1),Fremskrivninger!$A$9:$L$38,12),'Benzin - diesel - hybrid'!#REF!))/1000</f>
        <v>#REF!</v>
      </c>
      <c r="J135" s="309" t="e">
        <f>('Benzin - diesel - hybrid'!I$15*'Benzin - diesel - hybrid'!I$40*'Benzin - diesel - hybrid'!#REF!/10+'Benzin - diesel - hybrid'!#REF!*365)</f>
        <v>#REF!</v>
      </c>
      <c r="K135" s="288" t="e">
        <f>'Benzin - diesel - hybrid'!K$39*L135*IF('Benzin - diesel - hybrid'!K$24="nej","",IF('Benzin - diesel - hybrid'!#REF!="ja",VLOOKUP('Benzin - diesel - hybrid'!K$45+($C135-1),Fremskrivninger!$A$9:$L$38,12),'Benzin - diesel - hybrid'!#REF!))/1000</f>
        <v>#REF!</v>
      </c>
      <c r="L135" s="309" t="e">
        <f>('Benzin - diesel - hybrid'!K$15*'Benzin - diesel - hybrid'!K$40*'Benzin - diesel - hybrid'!#REF!/10+'Benzin - diesel - hybrid'!#REF!*365)</f>
        <v>#REF!</v>
      </c>
      <c r="M135" s="288" t="e">
        <f>'Benzin - diesel - hybrid'!M$39*N135*IF('Benzin - diesel - hybrid'!M$24="nej","",IF('Benzin - diesel - hybrid'!#REF!="ja",VLOOKUP('Benzin - diesel - hybrid'!M$45+($C135-1),Fremskrivninger!$A$9:$L$38,12),'Benzin - diesel - hybrid'!#REF!))/1000</f>
        <v>#REF!</v>
      </c>
      <c r="N135" s="309" t="e">
        <f>('Benzin - diesel - hybrid'!M$15*'Benzin - diesel - hybrid'!M$40*'Benzin - diesel - hybrid'!#REF!/10+'Benzin - diesel - hybrid'!#REF!*365)</f>
        <v>#REF!</v>
      </c>
      <c r="O135" s="288" t="e">
        <f>'Benzin - diesel - hybrid'!O$39*P135*IF('Benzin - diesel - hybrid'!O$24="nej","",IF('Benzin - diesel - hybrid'!#REF!="ja",VLOOKUP('Benzin - diesel - hybrid'!O$45+($C135-1),Fremskrivninger!$A$9:$L$38,12),'Benzin - diesel - hybrid'!#REF!))/1000</f>
        <v>#REF!</v>
      </c>
      <c r="P135" s="309" t="e">
        <f>('Benzin - diesel - hybrid'!O$15*'Benzin - diesel - hybrid'!O$40*'Benzin - diesel - hybrid'!#REF!/10+'Benzin - diesel - hybrid'!#REF!*365)</f>
        <v>#REF!</v>
      </c>
      <c r="Q135" s="288" t="e">
        <f>'Benzin - diesel - hybrid'!Q$39*R135*IF('Benzin - diesel - hybrid'!Q$24="nej","",IF('Benzin - diesel - hybrid'!#REF!="ja",VLOOKUP('Benzin - diesel - hybrid'!Q$45+($C135-1),Fremskrivninger!$A$9:$L$38,12),'Benzin - diesel - hybrid'!#REF!))/1000</f>
        <v>#REF!</v>
      </c>
      <c r="R135" s="309" t="e">
        <f>('Benzin - diesel - hybrid'!Q$15*'Benzin - diesel - hybrid'!Q$40*'Benzin - diesel - hybrid'!#REF!/10+'Benzin - diesel - hybrid'!#REF!*365)</f>
        <v>#REF!</v>
      </c>
      <c r="S135" s="288" t="e">
        <f>'Benzin - diesel - hybrid'!S$39*T135*IF('Benzin - diesel - hybrid'!S$24="nej","",IF('Benzin - diesel - hybrid'!#REF!="ja",VLOOKUP('Benzin - diesel - hybrid'!S$45+($C135-1),Fremskrivninger!$A$9:$L$38,12),'Benzin - diesel - hybrid'!#REF!))/1000</f>
        <v>#REF!</v>
      </c>
      <c r="T135" s="309" t="e">
        <f>('Benzin - diesel - hybrid'!S$15*'Benzin - diesel - hybrid'!S$40*'Benzin - diesel - hybrid'!#REF!/10+'Benzin - diesel - hybrid'!#REF!*365)</f>
        <v>#REF!</v>
      </c>
      <c r="U135" s="288" t="e">
        <f>'Benzin - diesel - hybrid'!Y$39*V135*IF('Benzin - diesel - hybrid'!Y$24="nej","",IF('Benzin - diesel - hybrid'!#REF!="ja",VLOOKUP('Benzin - diesel - hybrid'!Y$45+($C135-1),Fremskrivninger!$A$9:$L$38,12),'Benzin - diesel - hybrid'!#REF!))/1000</f>
        <v>#REF!</v>
      </c>
      <c r="V135" s="309" t="e">
        <f>('Benzin - diesel - hybrid'!Y$15*'Benzin - diesel - hybrid'!Y$40*'Benzin - diesel - hybrid'!#REF!/10+'Benzin - diesel - hybrid'!#REF!*365)</f>
        <v>#REF!</v>
      </c>
      <c r="W135" s="288" t="e">
        <f>'Benzin - diesel - hybrid'!AA$39*X135*IF('Benzin - diesel - hybrid'!AA$24="nej","",IF('Benzin - diesel - hybrid'!#REF!="ja",VLOOKUP('Benzin - diesel - hybrid'!AA$45+($C135-1),Fremskrivninger!$A$9:$L$38,12),'Benzin - diesel - hybrid'!#REF!))/1000</f>
        <v>#REF!</v>
      </c>
      <c r="X135" s="309" t="e">
        <f>('Benzin - diesel - hybrid'!AA$15*'Benzin - diesel - hybrid'!AA$40*'Benzin - diesel - hybrid'!#REF!/10+'Benzin - diesel - hybrid'!#REF!*365)</f>
        <v>#REF!</v>
      </c>
    </row>
    <row r="136" spans="1:24" hidden="1" outlineLevel="1">
      <c r="A136" s="308"/>
      <c r="B136" s="282">
        <v>18</v>
      </c>
      <c r="C136" s="282">
        <f t="shared" si="8"/>
        <v>18</v>
      </c>
      <c r="D136" s="282"/>
      <c r="E136" s="288" t="e">
        <f>'Benzin - diesel - hybrid'!E$39*F136*IF('Benzin - diesel - hybrid'!E$24="nej","",IF('Benzin - diesel - hybrid'!#REF!="ja",VLOOKUP('Benzin - diesel - hybrid'!E$45+($C136-1),Fremskrivninger!$A$9:$L$38,12),'Benzin - diesel - hybrid'!#REF!))/1000</f>
        <v>#REF!</v>
      </c>
      <c r="F136" s="309" t="e">
        <f>('Benzin - diesel - hybrid'!E$15*'Benzin - diesel - hybrid'!E$40*'Benzin - diesel - hybrid'!#REF!/10+'Benzin - diesel - hybrid'!#REF!*365)</f>
        <v>#REF!</v>
      </c>
      <c r="G136" s="288" t="e">
        <f>'Benzin - diesel - hybrid'!G$39*H136*IF('Benzin - diesel - hybrid'!G$24="nej","",IF('Benzin - diesel - hybrid'!#REF!="ja",VLOOKUP('Benzin - diesel - hybrid'!G$45+($C136-1),Fremskrivninger!$A$9:$L$38,12),'Benzin - diesel - hybrid'!#REF!))/1000</f>
        <v>#REF!</v>
      </c>
      <c r="H136" s="309" t="e">
        <f>('Benzin - diesel - hybrid'!G$15*'Benzin - diesel - hybrid'!G$40*'Benzin - diesel - hybrid'!#REF!/10+'Benzin - diesel - hybrid'!#REF!*365)</f>
        <v>#REF!</v>
      </c>
      <c r="I136" s="288" t="e">
        <f>'Benzin - diesel - hybrid'!I$39*J136*IF('Benzin - diesel - hybrid'!I$24="nej","",IF('Benzin - diesel - hybrid'!#REF!="ja",VLOOKUP('Benzin - diesel - hybrid'!I$45+($C136-1),Fremskrivninger!$A$9:$L$38,12),'Benzin - diesel - hybrid'!#REF!))/1000</f>
        <v>#REF!</v>
      </c>
      <c r="J136" s="309" t="e">
        <f>('Benzin - diesel - hybrid'!I$15*'Benzin - diesel - hybrid'!I$40*'Benzin - diesel - hybrid'!#REF!/10+'Benzin - diesel - hybrid'!#REF!*365)</f>
        <v>#REF!</v>
      </c>
      <c r="K136" s="288" t="e">
        <f>'Benzin - diesel - hybrid'!K$39*L136*IF('Benzin - diesel - hybrid'!K$24="nej","",IF('Benzin - diesel - hybrid'!#REF!="ja",VLOOKUP('Benzin - diesel - hybrid'!K$45+($C136-1),Fremskrivninger!$A$9:$L$38,12),'Benzin - diesel - hybrid'!#REF!))/1000</f>
        <v>#REF!</v>
      </c>
      <c r="L136" s="309" t="e">
        <f>('Benzin - diesel - hybrid'!K$15*'Benzin - diesel - hybrid'!K$40*'Benzin - diesel - hybrid'!#REF!/10+'Benzin - diesel - hybrid'!#REF!*365)</f>
        <v>#REF!</v>
      </c>
      <c r="M136" s="288" t="e">
        <f>'Benzin - diesel - hybrid'!M$39*N136*IF('Benzin - diesel - hybrid'!M$24="nej","",IF('Benzin - diesel - hybrid'!#REF!="ja",VLOOKUP('Benzin - diesel - hybrid'!M$45+($C136-1),Fremskrivninger!$A$9:$L$38,12),'Benzin - diesel - hybrid'!#REF!))/1000</f>
        <v>#REF!</v>
      </c>
      <c r="N136" s="309" t="e">
        <f>('Benzin - diesel - hybrid'!M$15*'Benzin - diesel - hybrid'!M$40*'Benzin - diesel - hybrid'!#REF!/10+'Benzin - diesel - hybrid'!#REF!*365)</f>
        <v>#REF!</v>
      </c>
      <c r="O136" s="288" t="e">
        <f>'Benzin - diesel - hybrid'!O$39*P136*IF('Benzin - diesel - hybrid'!O$24="nej","",IF('Benzin - diesel - hybrid'!#REF!="ja",VLOOKUP('Benzin - diesel - hybrid'!O$45+($C136-1),Fremskrivninger!$A$9:$L$38,12),'Benzin - diesel - hybrid'!#REF!))/1000</f>
        <v>#REF!</v>
      </c>
      <c r="P136" s="309" t="e">
        <f>('Benzin - diesel - hybrid'!O$15*'Benzin - diesel - hybrid'!O$40*'Benzin - diesel - hybrid'!#REF!/10+'Benzin - diesel - hybrid'!#REF!*365)</f>
        <v>#REF!</v>
      </c>
      <c r="Q136" s="288" t="e">
        <f>'Benzin - diesel - hybrid'!Q$39*R136*IF('Benzin - diesel - hybrid'!Q$24="nej","",IF('Benzin - diesel - hybrid'!#REF!="ja",VLOOKUP('Benzin - diesel - hybrid'!Q$45+($C136-1),Fremskrivninger!$A$9:$L$38,12),'Benzin - diesel - hybrid'!#REF!))/1000</f>
        <v>#REF!</v>
      </c>
      <c r="R136" s="309" t="e">
        <f>('Benzin - diesel - hybrid'!Q$15*'Benzin - diesel - hybrid'!Q$40*'Benzin - diesel - hybrid'!#REF!/10+'Benzin - diesel - hybrid'!#REF!*365)</f>
        <v>#REF!</v>
      </c>
      <c r="S136" s="288" t="e">
        <f>'Benzin - diesel - hybrid'!S$39*T136*IF('Benzin - diesel - hybrid'!S$24="nej","",IF('Benzin - diesel - hybrid'!#REF!="ja",VLOOKUP('Benzin - diesel - hybrid'!S$45+($C136-1),Fremskrivninger!$A$9:$L$38,12),'Benzin - diesel - hybrid'!#REF!))/1000</f>
        <v>#REF!</v>
      </c>
      <c r="T136" s="309" t="e">
        <f>('Benzin - diesel - hybrid'!S$15*'Benzin - diesel - hybrid'!S$40*'Benzin - diesel - hybrid'!#REF!/10+'Benzin - diesel - hybrid'!#REF!*365)</f>
        <v>#REF!</v>
      </c>
      <c r="U136" s="288" t="e">
        <f>'Benzin - diesel - hybrid'!Y$39*V136*IF('Benzin - diesel - hybrid'!Y$24="nej","",IF('Benzin - diesel - hybrid'!#REF!="ja",VLOOKUP('Benzin - diesel - hybrid'!Y$45+($C136-1),Fremskrivninger!$A$9:$L$38,12),'Benzin - diesel - hybrid'!#REF!))/1000</f>
        <v>#REF!</v>
      </c>
      <c r="V136" s="309" t="e">
        <f>('Benzin - diesel - hybrid'!Y$15*'Benzin - diesel - hybrid'!Y$40*'Benzin - diesel - hybrid'!#REF!/10+'Benzin - diesel - hybrid'!#REF!*365)</f>
        <v>#REF!</v>
      </c>
      <c r="W136" s="288" t="e">
        <f>'Benzin - diesel - hybrid'!AA$39*X136*IF('Benzin - diesel - hybrid'!AA$24="nej","",IF('Benzin - diesel - hybrid'!#REF!="ja",VLOOKUP('Benzin - diesel - hybrid'!AA$45+($C136-1),Fremskrivninger!$A$9:$L$38,12),'Benzin - diesel - hybrid'!#REF!))/1000</f>
        <v>#REF!</v>
      </c>
      <c r="X136" s="309" t="e">
        <f>('Benzin - diesel - hybrid'!AA$15*'Benzin - diesel - hybrid'!AA$40*'Benzin - diesel - hybrid'!#REF!/10+'Benzin - diesel - hybrid'!#REF!*365)</f>
        <v>#REF!</v>
      </c>
    </row>
    <row r="137" spans="1:24" hidden="1" outlineLevel="1">
      <c r="A137" s="308"/>
      <c r="B137" s="282">
        <v>19</v>
      </c>
      <c r="C137" s="282">
        <f t="shared" si="8"/>
        <v>19</v>
      </c>
      <c r="D137" s="282"/>
      <c r="E137" s="288" t="e">
        <f>'Benzin - diesel - hybrid'!E$39*F137*IF('Benzin - diesel - hybrid'!E$24="nej","",IF('Benzin - diesel - hybrid'!#REF!="ja",VLOOKUP('Benzin - diesel - hybrid'!E$45+($C137-1),Fremskrivninger!$A$9:$L$38,12),'Benzin - diesel - hybrid'!#REF!))/1000</f>
        <v>#REF!</v>
      </c>
      <c r="F137" s="309" t="e">
        <f>('Benzin - diesel - hybrid'!E$15*'Benzin - diesel - hybrid'!E$40*'Benzin - diesel - hybrid'!#REF!/10+'Benzin - diesel - hybrid'!#REF!*365)</f>
        <v>#REF!</v>
      </c>
      <c r="G137" s="288" t="e">
        <f>'Benzin - diesel - hybrid'!G$39*H137*IF('Benzin - diesel - hybrid'!G$24="nej","",IF('Benzin - diesel - hybrid'!#REF!="ja",VLOOKUP('Benzin - diesel - hybrid'!G$45+($C137-1),Fremskrivninger!$A$9:$L$38,12),'Benzin - diesel - hybrid'!#REF!))/1000</f>
        <v>#REF!</v>
      </c>
      <c r="H137" s="309" t="e">
        <f>('Benzin - diesel - hybrid'!G$15*'Benzin - diesel - hybrid'!G$40*'Benzin - diesel - hybrid'!#REF!/10+'Benzin - diesel - hybrid'!#REF!*365)</f>
        <v>#REF!</v>
      </c>
      <c r="I137" s="288" t="e">
        <f>'Benzin - diesel - hybrid'!I$39*J137*IF('Benzin - diesel - hybrid'!I$24="nej","",IF('Benzin - diesel - hybrid'!#REF!="ja",VLOOKUP('Benzin - diesel - hybrid'!I$45+($C137-1),Fremskrivninger!$A$9:$L$38,12),'Benzin - diesel - hybrid'!#REF!))/1000</f>
        <v>#REF!</v>
      </c>
      <c r="J137" s="309" t="e">
        <f>('Benzin - diesel - hybrid'!I$15*'Benzin - diesel - hybrid'!I$40*'Benzin - diesel - hybrid'!#REF!/10+'Benzin - diesel - hybrid'!#REF!*365)</f>
        <v>#REF!</v>
      </c>
      <c r="K137" s="288" t="e">
        <f>'Benzin - diesel - hybrid'!K$39*L137*IF('Benzin - diesel - hybrid'!K$24="nej","",IF('Benzin - diesel - hybrid'!#REF!="ja",VLOOKUP('Benzin - diesel - hybrid'!K$45+($C137-1),Fremskrivninger!$A$9:$L$38,12),'Benzin - diesel - hybrid'!#REF!))/1000</f>
        <v>#REF!</v>
      </c>
      <c r="L137" s="309" t="e">
        <f>('Benzin - diesel - hybrid'!K$15*'Benzin - diesel - hybrid'!K$40*'Benzin - diesel - hybrid'!#REF!/10+'Benzin - diesel - hybrid'!#REF!*365)</f>
        <v>#REF!</v>
      </c>
      <c r="M137" s="288" t="e">
        <f>'Benzin - diesel - hybrid'!M$39*N137*IF('Benzin - diesel - hybrid'!M$24="nej","",IF('Benzin - diesel - hybrid'!#REF!="ja",VLOOKUP('Benzin - diesel - hybrid'!M$45+($C137-1),Fremskrivninger!$A$9:$L$38,12),'Benzin - diesel - hybrid'!#REF!))/1000</f>
        <v>#REF!</v>
      </c>
      <c r="N137" s="309" t="e">
        <f>('Benzin - diesel - hybrid'!M$15*'Benzin - diesel - hybrid'!M$40*'Benzin - diesel - hybrid'!#REF!/10+'Benzin - diesel - hybrid'!#REF!*365)</f>
        <v>#REF!</v>
      </c>
      <c r="O137" s="288" t="e">
        <f>'Benzin - diesel - hybrid'!O$39*P137*IF('Benzin - diesel - hybrid'!O$24="nej","",IF('Benzin - diesel - hybrid'!#REF!="ja",VLOOKUP('Benzin - diesel - hybrid'!O$45+($C137-1),Fremskrivninger!$A$9:$L$38,12),'Benzin - diesel - hybrid'!#REF!))/1000</f>
        <v>#REF!</v>
      </c>
      <c r="P137" s="309" t="e">
        <f>('Benzin - diesel - hybrid'!O$15*'Benzin - diesel - hybrid'!O$40*'Benzin - diesel - hybrid'!#REF!/10+'Benzin - diesel - hybrid'!#REF!*365)</f>
        <v>#REF!</v>
      </c>
      <c r="Q137" s="288" t="e">
        <f>'Benzin - diesel - hybrid'!Q$39*R137*IF('Benzin - diesel - hybrid'!Q$24="nej","",IF('Benzin - diesel - hybrid'!#REF!="ja",VLOOKUP('Benzin - diesel - hybrid'!Q$45+($C137-1),Fremskrivninger!$A$9:$L$38,12),'Benzin - diesel - hybrid'!#REF!))/1000</f>
        <v>#REF!</v>
      </c>
      <c r="R137" s="309" t="e">
        <f>('Benzin - diesel - hybrid'!Q$15*'Benzin - diesel - hybrid'!Q$40*'Benzin - diesel - hybrid'!#REF!/10+'Benzin - diesel - hybrid'!#REF!*365)</f>
        <v>#REF!</v>
      </c>
      <c r="S137" s="288" t="e">
        <f>'Benzin - diesel - hybrid'!S$39*T137*IF('Benzin - diesel - hybrid'!S$24="nej","",IF('Benzin - diesel - hybrid'!#REF!="ja",VLOOKUP('Benzin - diesel - hybrid'!S$45+($C137-1),Fremskrivninger!$A$9:$L$38,12),'Benzin - diesel - hybrid'!#REF!))/1000</f>
        <v>#REF!</v>
      </c>
      <c r="T137" s="309" t="e">
        <f>('Benzin - diesel - hybrid'!S$15*'Benzin - diesel - hybrid'!S$40*'Benzin - diesel - hybrid'!#REF!/10+'Benzin - diesel - hybrid'!#REF!*365)</f>
        <v>#REF!</v>
      </c>
      <c r="U137" s="288" t="e">
        <f>'Benzin - diesel - hybrid'!Y$39*V137*IF('Benzin - diesel - hybrid'!Y$24="nej","",IF('Benzin - diesel - hybrid'!#REF!="ja",VLOOKUP('Benzin - diesel - hybrid'!Y$45+($C137-1),Fremskrivninger!$A$9:$L$38,12),'Benzin - diesel - hybrid'!#REF!))/1000</f>
        <v>#REF!</v>
      </c>
      <c r="V137" s="309" t="e">
        <f>('Benzin - diesel - hybrid'!Y$15*'Benzin - diesel - hybrid'!Y$40*'Benzin - diesel - hybrid'!#REF!/10+'Benzin - diesel - hybrid'!#REF!*365)</f>
        <v>#REF!</v>
      </c>
      <c r="W137" s="288" t="e">
        <f>'Benzin - diesel - hybrid'!AA$39*X137*IF('Benzin - diesel - hybrid'!AA$24="nej","",IF('Benzin - diesel - hybrid'!#REF!="ja",VLOOKUP('Benzin - diesel - hybrid'!AA$45+($C137-1),Fremskrivninger!$A$9:$L$38,12),'Benzin - diesel - hybrid'!#REF!))/1000</f>
        <v>#REF!</v>
      </c>
      <c r="X137" s="309" t="e">
        <f>('Benzin - diesel - hybrid'!AA$15*'Benzin - diesel - hybrid'!AA$40*'Benzin - diesel - hybrid'!#REF!/10+'Benzin - diesel - hybrid'!#REF!*365)</f>
        <v>#REF!</v>
      </c>
    </row>
    <row r="138" spans="1:24" hidden="1" outlineLevel="1">
      <c r="A138" s="308"/>
      <c r="B138" s="282">
        <v>20</v>
      </c>
      <c r="C138" s="282">
        <f t="shared" si="8"/>
        <v>20</v>
      </c>
      <c r="D138" s="282"/>
      <c r="E138" s="288" t="e">
        <f>'Benzin - diesel - hybrid'!E$39*F138*IF('Benzin - diesel - hybrid'!E$24="nej","",IF('Benzin - diesel - hybrid'!#REF!="ja",VLOOKUP('Benzin - diesel - hybrid'!E$45+($C138-1),Fremskrivninger!$A$9:$L$38,12),'Benzin - diesel - hybrid'!#REF!))/1000</f>
        <v>#REF!</v>
      </c>
      <c r="F138" s="309" t="e">
        <f>('Benzin - diesel - hybrid'!E$15*'Benzin - diesel - hybrid'!E$40*'Benzin - diesel - hybrid'!#REF!/10+'Benzin - diesel - hybrid'!#REF!*365)</f>
        <v>#REF!</v>
      </c>
      <c r="G138" s="288" t="e">
        <f>'Benzin - diesel - hybrid'!G$39*H138*IF('Benzin - diesel - hybrid'!G$24="nej","",IF('Benzin - diesel - hybrid'!#REF!="ja",VLOOKUP('Benzin - diesel - hybrid'!G$45+($C138-1),Fremskrivninger!$A$9:$L$38,12),'Benzin - diesel - hybrid'!#REF!))/1000</f>
        <v>#REF!</v>
      </c>
      <c r="H138" s="309" t="e">
        <f>('Benzin - diesel - hybrid'!G$15*'Benzin - diesel - hybrid'!G$40*'Benzin - diesel - hybrid'!#REF!/10+'Benzin - diesel - hybrid'!#REF!*365)</f>
        <v>#REF!</v>
      </c>
      <c r="I138" s="288" t="e">
        <f>'Benzin - diesel - hybrid'!I$39*J138*IF('Benzin - diesel - hybrid'!I$24="nej","",IF('Benzin - diesel - hybrid'!#REF!="ja",VLOOKUP('Benzin - diesel - hybrid'!I$45+($C138-1),Fremskrivninger!$A$9:$L$38,12),'Benzin - diesel - hybrid'!#REF!))/1000</f>
        <v>#REF!</v>
      </c>
      <c r="J138" s="309" t="e">
        <f>('Benzin - diesel - hybrid'!I$15*'Benzin - diesel - hybrid'!I$40*'Benzin - diesel - hybrid'!#REF!/10+'Benzin - diesel - hybrid'!#REF!*365)</f>
        <v>#REF!</v>
      </c>
      <c r="K138" s="288" t="e">
        <f>'Benzin - diesel - hybrid'!K$39*L138*IF('Benzin - diesel - hybrid'!K$24="nej","",IF('Benzin - diesel - hybrid'!#REF!="ja",VLOOKUP('Benzin - diesel - hybrid'!K$45+($C138-1),Fremskrivninger!$A$9:$L$38,12),'Benzin - diesel - hybrid'!#REF!))/1000</f>
        <v>#REF!</v>
      </c>
      <c r="L138" s="309" t="e">
        <f>('Benzin - diesel - hybrid'!K$15*'Benzin - diesel - hybrid'!K$40*'Benzin - diesel - hybrid'!#REF!/10+'Benzin - diesel - hybrid'!#REF!*365)</f>
        <v>#REF!</v>
      </c>
      <c r="M138" s="288" t="e">
        <f>'Benzin - diesel - hybrid'!M$39*N138*IF('Benzin - diesel - hybrid'!M$24="nej","",IF('Benzin - diesel - hybrid'!#REF!="ja",VLOOKUP('Benzin - diesel - hybrid'!M$45+($C138-1),Fremskrivninger!$A$9:$L$38,12),'Benzin - diesel - hybrid'!#REF!))/1000</f>
        <v>#REF!</v>
      </c>
      <c r="N138" s="309" t="e">
        <f>('Benzin - diesel - hybrid'!M$15*'Benzin - diesel - hybrid'!M$40*'Benzin - diesel - hybrid'!#REF!/10+'Benzin - diesel - hybrid'!#REF!*365)</f>
        <v>#REF!</v>
      </c>
      <c r="O138" s="288" t="e">
        <f>'Benzin - diesel - hybrid'!O$39*P138*IF('Benzin - diesel - hybrid'!O$24="nej","",IF('Benzin - diesel - hybrid'!#REF!="ja",VLOOKUP('Benzin - diesel - hybrid'!O$45+($C138-1),Fremskrivninger!$A$9:$L$38,12),'Benzin - diesel - hybrid'!#REF!))/1000</f>
        <v>#REF!</v>
      </c>
      <c r="P138" s="309" t="e">
        <f>('Benzin - diesel - hybrid'!O$15*'Benzin - diesel - hybrid'!O$40*'Benzin - diesel - hybrid'!#REF!/10+'Benzin - diesel - hybrid'!#REF!*365)</f>
        <v>#REF!</v>
      </c>
      <c r="Q138" s="288" t="e">
        <f>'Benzin - diesel - hybrid'!Q$39*R138*IF('Benzin - diesel - hybrid'!Q$24="nej","",IF('Benzin - diesel - hybrid'!#REF!="ja",VLOOKUP('Benzin - diesel - hybrid'!Q$45+($C138-1),Fremskrivninger!$A$9:$L$38,12),'Benzin - diesel - hybrid'!#REF!))/1000</f>
        <v>#REF!</v>
      </c>
      <c r="R138" s="309" t="e">
        <f>('Benzin - diesel - hybrid'!Q$15*'Benzin - diesel - hybrid'!Q$40*'Benzin - diesel - hybrid'!#REF!/10+'Benzin - diesel - hybrid'!#REF!*365)</f>
        <v>#REF!</v>
      </c>
      <c r="S138" s="288" t="e">
        <f>'Benzin - diesel - hybrid'!S$39*T138*IF('Benzin - diesel - hybrid'!S$24="nej","",IF('Benzin - diesel - hybrid'!#REF!="ja",VLOOKUP('Benzin - diesel - hybrid'!S$45+($C138-1),Fremskrivninger!$A$9:$L$38,12),'Benzin - diesel - hybrid'!#REF!))/1000</f>
        <v>#REF!</v>
      </c>
      <c r="T138" s="309" t="e">
        <f>('Benzin - diesel - hybrid'!S$15*'Benzin - diesel - hybrid'!S$40*'Benzin - diesel - hybrid'!#REF!/10+'Benzin - diesel - hybrid'!#REF!*365)</f>
        <v>#REF!</v>
      </c>
      <c r="U138" s="288" t="e">
        <f>'Benzin - diesel - hybrid'!Y$39*V138*IF('Benzin - diesel - hybrid'!Y$24="nej","",IF('Benzin - diesel - hybrid'!#REF!="ja",VLOOKUP('Benzin - diesel - hybrid'!Y$45+($C138-1),Fremskrivninger!$A$9:$L$38,12),'Benzin - diesel - hybrid'!#REF!))/1000</f>
        <v>#REF!</v>
      </c>
      <c r="V138" s="309" t="e">
        <f>('Benzin - diesel - hybrid'!Y$15*'Benzin - diesel - hybrid'!Y$40*'Benzin - diesel - hybrid'!#REF!/10+'Benzin - diesel - hybrid'!#REF!*365)</f>
        <v>#REF!</v>
      </c>
      <c r="W138" s="288" t="e">
        <f>'Benzin - diesel - hybrid'!AA$39*X138*IF('Benzin - diesel - hybrid'!AA$24="nej","",IF('Benzin - diesel - hybrid'!#REF!="ja",VLOOKUP('Benzin - diesel - hybrid'!AA$45+($C138-1),Fremskrivninger!$A$9:$L$38,12),'Benzin - diesel - hybrid'!#REF!))/1000</f>
        <v>#REF!</v>
      </c>
      <c r="X138" s="309" t="e">
        <f>('Benzin - diesel - hybrid'!AA$15*'Benzin - diesel - hybrid'!AA$40*'Benzin - diesel - hybrid'!#REF!/10+'Benzin - diesel - hybrid'!#REF!*365)</f>
        <v>#REF!</v>
      </c>
    </row>
    <row r="139" spans="1:24" hidden="1" outlineLevel="1">
      <c r="A139" s="283"/>
      <c r="B139" s="284"/>
      <c r="C139" s="284"/>
      <c r="D139" s="284"/>
      <c r="E139" s="284"/>
      <c r="F139" s="284"/>
      <c r="G139" s="284"/>
      <c r="H139" s="284"/>
      <c r="I139" s="284"/>
      <c r="J139" s="284"/>
      <c r="K139" s="284"/>
      <c r="L139" s="284"/>
      <c r="M139" s="284"/>
      <c r="N139" s="284"/>
      <c r="O139" s="284"/>
      <c r="P139" s="284"/>
      <c r="Q139" s="284"/>
      <c r="R139" s="284"/>
      <c r="S139" s="284"/>
      <c r="T139" s="285"/>
      <c r="U139" s="284"/>
      <c r="V139" s="285"/>
      <c r="W139" s="284"/>
      <c r="X139" s="285"/>
    </row>
    <row r="140" spans="1:24" collapsed="1">
      <c r="A140" s="286" t="s">
        <v>188</v>
      </c>
      <c r="B140" s="305"/>
      <c r="C140" s="305"/>
      <c r="D140" s="305"/>
      <c r="E140" s="305"/>
      <c r="F140" s="305"/>
      <c r="G140" s="305"/>
      <c r="H140" s="305"/>
      <c r="I140" s="305"/>
      <c r="J140" s="305"/>
      <c r="K140" s="305"/>
      <c r="L140" s="305"/>
      <c r="M140" s="305"/>
      <c r="N140" s="305"/>
      <c r="O140" s="305"/>
      <c r="P140" s="305"/>
      <c r="Q140" s="305"/>
      <c r="R140" s="305"/>
      <c r="S140" s="305"/>
      <c r="T140" s="310"/>
      <c r="U140" s="305"/>
      <c r="V140" s="310"/>
      <c r="W140" s="305"/>
      <c r="X140" s="310"/>
    </row>
    <row r="141" spans="1:24" ht="68.25">
      <c r="A141" s="279"/>
      <c r="B141" s="280" t="s">
        <v>20</v>
      </c>
      <c r="C141" s="305"/>
      <c r="D141" s="305" t="s">
        <v>21</v>
      </c>
      <c r="E141" s="281" t="str">
        <f>'Benzin - diesel - hybrid'!E8</f>
        <v>PRODUKT 1</v>
      </c>
      <c r="F141" s="306" t="str">
        <f>E141&amp;" - Årligt benzinforbrug (liter/år/produkt)"</f>
        <v>PRODUKT 1 - Årligt benzinforbrug (liter/år/produkt)</v>
      </c>
      <c r="G141" s="281" t="str">
        <f>'Benzin - diesel - hybrid'!G8</f>
        <v>PRODUKT 2</v>
      </c>
      <c r="H141" s="306" t="str">
        <f>G141&amp;" - Årligt benzinforbrug (liter/år/produkt)"</f>
        <v>PRODUKT 2 - Årligt benzinforbrug (liter/år/produkt)</v>
      </c>
      <c r="I141" s="281" t="str">
        <f>'Benzin - diesel - hybrid'!I8</f>
        <v>PRODUKT 3</v>
      </c>
      <c r="J141" s="306" t="str">
        <f>I141&amp;" - Årligt benzinforbrug (liter/år/produkt)"</f>
        <v>PRODUKT 3 - Årligt benzinforbrug (liter/år/produkt)</v>
      </c>
      <c r="K141" s="281" t="str">
        <f>'Benzin - diesel - hybrid'!K8</f>
        <v>PRODUKT 4</v>
      </c>
      <c r="L141" s="306" t="str">
        <f>K141&amp;" - Årligt benzinforbrug (liter/år/produkt)"</f>
        <v>PRODUKT 4 - Årligt benzinforbrug (liter/år/produkt)</v>
      </c>
      <c r="M141" s="281" t="str">
        <f>'Benzin - diesel - hybrid'!M8</f>
        <v>PRODUKT 5</v>
      </c>
      <c r="N141" s="306" t="str">
        <f>M141&amp;" - Årligt benzinforbrug (liter/år/produkt)"</f>
        <v>PRODUKT 5 - Årligt benzinforbrug (liter/år/produkt)</v>
      </c>
      <c r="O141" s="281" t="str">
        <f>'Benzin - diesel - hybrid'!O8</f>
        <v>PRODUKT 6</v>
      </c>
      <c r="P141" s="306" t="str">
        <f>O141&amp;" - Årligt benzinforbrug (liter/år/produkt)"</f>
        <v>PRODUKT 6 - Årligt benzinforbrug (liter/år/produkt)</v>
      </c>
      <c r="Q141" s="281" t="str">
        <f>'Benzin - diesel - hybrid'!Q8</f>
        <v>PRODUKT 7</v>
      </c>
      <c r="R141" s="306" t="str">
        <f>Q141&amp;" - Årligt benzinforbrug (liter/år/produkt)"</f>
        <v>PRODUKT 7 - Årligt benzinforbrug (liter/år/produkt)</v>
      </c>
      <c r="S141" s="281" t="str">
        <f>'Benzin - diesel - hybrid'!S8</f>
        <v>PRODUKT 8</v>
      </c>
      <c r="T141" s="306" t="str">
        <f>S141&amp;" - Årligt benzinforbrug (liter/år/produkt)"</f>
        <v>PRODUKT 8 - Årligt benzinforbrug (liter/år/produkt)</v>
      </c>
      <c r="U141" s="281" t="str">
        <f>U25</f>
        <v>PRODUKT 9</v>
      </c>
      <c r="V141" s="306" t="str">
        <f>U141&amp;" - Årligt benzinforbrug (liter/år/produkt)"</f>
        <v>PRODUKT 9 - Årligt benzinforbrug (liter/år/produkt)</v>
      </c>
      <c r="W141" s="281" t="str">
        <f>W25</f>
        <v>PRODUKT 10</v>
      </c>
      <c r="X141" s="306" t="str">
        <f>W141&amp;" - Årligt benzinforbrug (liter/år/produkt)"</f>
        <v>PRODUKT 10 - Årligt benzinforbrug (liter/år/produkt)</v>
      </c>
    </row>
    <row r="142" spans="1:24">
      <c r="A142" s="308"/>
      <c r="B142" s="282">
        <v>1</v>
      </c>
      <c r="C142" s="282">
        <f>B142</f>
        <v>1</v>
      </c>
      <c r="D142" s="282"/>
      <c r="E142" s="288">
        <f>F142*'Benzin - diesel - hybrid'!E$39*VLOOKUP('Benzin - diesel - hybrid'!E$45+($B142-1),Fremskrivninger!$A$48:$H$77,8)/1000</f>
        <v>0</v>
      </c>
      <c r="F142" s="309">
        <f>IFERROR('Benzin - diesel - hybrid'!E$40/'Benzin - diesel - hybrid'!E$15,0)</f>
        <v>0</v>
      </c>
      <c r="G142" s="288">
        <f>H142*'Benzin - diesel - hybrid'!G$39*VLOOKUP('Benzin - diesel - hybrid'!G$45+($B142-1),Fremskrivninger!$A$48:$H$77,8)/1000</f>
        <v>0</v>
      </c>
      <c r="H142" s="309">
        <f>IFERROR('Benzin - diesel - hybrid'!G$40/'Benzin - diesel - hybrid'!G$15,0)</f>
        <v>0</v>
      </c>
      <c r="I142" s="288">
        <f>J142*'Benzin - diesel - hybrid'!I$39*VLOOKUP('Benzin - diesel - hybrid'!I$45+($B142-1),Fremskrivninger!$A$48:$H$77,8)/1000</f>
        <v>0</v>
      </c>
      <c r="J142" s="309">
        <f>IFERROR('Benzin - diesel - hybrid'!I$40/'Benzin - diesel - hybrid'!I$15,0)</f>
        <v>0</v>
      </c>
      <c r="K142" s="288">
        <f>L142*'Benzin - diesel - hybrid'!K$39*VLOOKUP('Benzin - diesel - hybrid'!K$45+($B142-1),Fremskrivninger!$A$48:$H$77,8)/1000</f>
        <v>0</v>
      </c>
      <c r="L142" s="309">
        <f>IFERROR('Benzin - diesel - hybrid'!K$40/'Benzin - diesel - hybrid'!K$15,0)</f>
        <v>0</v>
      </c>
      <c r="M142" s="288">
        <f>N142*'Benzin - diesel - hybrid'!M$39*VLOOKUP('Benzin - diesel - hybrid'!M$45+($B142-1),Fremskrivninger!$A$48:$H$77,8)/1000</f>
        <v>0</v>
      </c>
      <c r="N142" s="309">
        <f>IFERROR('Benzin - diesel - hybrid'!M$40/'Benzin - diesel - hybrid'!M$15,0)</f>
        <v>0</v>
      </c>
      <c r="O142" s="288">
        <f>P142*'Benzin - diesel - hybrid'!O$39*VLOOKUP('Benzin - diesel - hybrid'!O$45+($B142-1),Fremskrivninger!$A$48:$H$77,8)/1000</f>
        <v>0</v>
      </c>
      <c r="P142" s="309">
        <f>IFERROR('Benzin - diesel - hybrid'!O$40/'Benzin - diesel - hybrid'!O$15,0)</f>
        <v>0</v>
      </c>
      <c r="Q142" s="288">
        <f>R142*'Benzin - diesel - hybrid'!Q$39*VLOOKUP('Benzin - diesel - hybrid'!Q$45+($B142-1),Fremskrivninger!$A$48:$H$77,8)/1000</f>
        <v>0</v>
      </c>
      <c r="R142" s="309">
        <f>IFERROR('Benzin - diesel - hybrid'!Q$40/'Benzin - diesel - hybrid'!Q$15,0)</f>
        <v>0</v>
      </c>
      <c r="S142" s="288">
        <f>T142*'Benzin - diesel - hybrid'!S$39*VLOOKUP('Benzin - diesel - hybrid'!S$45+($B142-1),Fremskrivninger!$A$48:$H$77,8)/1000</f>
        <v>0</v>
      </c>
      <c r="T142" s="309">
        <f>IFERROR('Benzin - diesel - hybrid'!S$40/'Benzin - diesel - hybrid'!S$15,0)</f>
        <v>0</v>
      </c>
      <c r="U142" s="288">
        <f>V142*'Benzin - diesel - hybrid'!U$39*VLOOKUP('Benzin - diesel - hybrid'!U$45+($B142-1),Fremskrivninger!$A$48:$H$77,8)/1000</f>
        <v>0</v>
      </c>
      <c r="V142" s="309">
        <f>IFERROR('Benzin - diesel - hybrid'!U$40/'Benzin - diesel - hybrid'!U$15,0)</f>
        <v>0</v>
      </c>
      <c r="W142" s="288">
        <f>X142*'Benzin - diesel - hybrid'!W$39*VLOOKUP('Benzin - diesel - hybrid'!W$45+($B142-1),Fremskrivninger!$A$48:$H$77,8)/1000</f>
        <v>0</v>
      </c>
      <c r="X142" s="309">
        <f>IFERROR('Benzin - diesel - hybrid'!W$40/'Benzin - diesel - hybrid'!W$15,0)</f>
        <v>0</v>
      </c>
    </row>
    <row r="143" spans="1:24">
      <c r="A143" s="308"/>
      <c r="B143" s="282">
        <v>2</v>
      </c>
      <c r="C143" s="282">
        <f t="shared" ref="C143:C161" si="9">B143</f>
        <v>2</v>
      </c>
      <c r="D143" s="282"/>
      <c r="E143" s="288">
        <f>F143*'Benzin - diesel - hybrid'!E$39*VLOOKUP('Benzin - diesel - hybrid'!E$45+($B143-1),Fremskrivninger!$A$48:$H$77,8)/1000</f>
        <v>0</v>
      </c>
      <c r="F143" s="309">
        <f>IFERROR('Benzin - diesel - hybrid'!E$40/'Benzin - diesel - hybrid'!E$15,0)</f>
        <v>0</v>
      </c>
      <c r="G143" s="288">
        <f>H143*'Benzin - diesel - hybrid'!G$39*VLOOKUP('Benzin - diesel - hybrid'!G$45+($B143-1),Fremskrivninger!$A$48:$H$77,8)/1000</f>
        <v>0</v>
      </c>
      <c r="H143" s="309">
        <f>IFERROR('Benzin - diesel - hybrid'!G$40/'Benzin - diesel - hybrid'!G$15,0)</f>
        <v>0</v>
      </c>
      <c r="I143" s="288">
        <f>J143*'Benzin - diesel - hybrid'!I$39*VLOOKUP('Benzin - diesel - hybrid'!I$45+($B143-1),Fremskrivninger!$A$48:$H$77,8)/1000</f>
        <v>0</v>
      </c>
      <c r="J143" s="309">
        <f>IFERROR('Benzin - diesel - hybrid'!I$40/'Benzin - diesel - hybrid'!I$15,0)</f>
        <v>0</v>
      </c>
      <c r="K143" s="288">
        <f>L143*'Benzin - diesel - hybrid'!K$39*VLOOKUP('Benzin - diesel - hybrid'!K$45+($B143-1),Fremskrivninger!$A$48:$H$77,8)/1000</f>
        <v>0</v>
      </c>
      <c r="L143" s="309">
        <f>IFERROR('Benzin - diesel - hybrid'!K$40/'Benzin - diesel - hybrid'!K$15,0)</f>
        <v>0</v>
      </c>
      <c r="M143" s="288">
        <f>N143*'Benzin - diesel - hybrid'!M$39*VLOOKUP('Benzin - diesel - hybrid'!M$45+($B143-1),Fremskrivninger!$A$48:$H$77,8)/1000</f>
        <v>0</v>
      </c>
      <c r="N143" s="309">
        <f>IFERROR('Benzin - diesel - hybrid'!M$40/'Benzin - diesel - hybrid'!M$15,0)</f>
        <v>0</v>
      </c>
      <c r="O143" s="288">
        <f>P143*'Benzin - diesel - hybrid'!O$39*VLOOKUP('Benzin - diesel - hybrid'!O$45+($B143-1),Fremskrivninger!$A$48:$H$77,8)/1000</f>
        <v>0</v>
      </c>
      <c r="P143" s="309">
        <f>IFERROR('Benzin - diesel - hybrid'!O$40/'Benzin - diesel - hybrid'!O$15,0)</f>
        <v>0</v>
      </c>
      <c r="Q143" s="288">
        <f>R143*'Benzin - diesel - hybrid'!Q$39*VLOOKUP('Benzin - diesel - hybrid'!Q$45+($B143-1),Fremskrivninger!$A$48:$H$77,8)/1000</f>
        <v>0</v>
      </c>
      <c r="R143" s="309">
        <f>IFERROR('Benzin - diesel - hybrid'!Q$40/'Benzin - diesel - hybrid'!Q$15,0)</f>
        <v>0</v>
      </c>
      <c r="S143" s="288">
        <f>T143*'Benzin - diesel - hybrid'!S$39*VLOOKUP('Benzin - diesel - hybrid'!S$45+($B143-1),Fremskrivninger!$A$48:$H$77,8)/1000</f>
        <v>0</v>
      </c>
      <c r="T143" s="309">
        <f>IFERROR('Benzin - diesel - hybrid'!S$40/'Benzin - diesel - hybrid'!S$15,0)</f>
        <v>0</v>
      </c>
      <c r="U143" s="288">
        <f>V143*'Benzin - diesel - hybrid'!U$39*VLOOKUP('Benzin - diesel - hybrid'!U$45+($B143-1),Fremskrivninger!$A$48:$H$77,8)/1000</f>
        <v>0</v>
      </c>
      <c r="V143" s="309">
        <f>IFERROR('Benzin - diesel - hybrid'!U$40/'Benzin - diesel - hybrid'!U$15,0)</f>
        <v>0</v>
      </c>
      <c r="W143" s="288">
        <f>X143*'Benzin - diesel - hybrid'!W$39*VLOOKUP('Benzin - diesel - hybrid'!W$45+($B143-1),Fremskrivninger!$A$48:$H$77,8)/1000</f>
        <v>0</v>
      </c>
      <c r="X143" s="309">
        <f>IFERROR('Benzin - diesel - hybrid'!W$40/'Benzin - diesel - hybrid'!W$15,0)</f>
        <v>0</v>
      </c>
    </row>
    <row r="144" spans="1:24">
      <c r="A144" s="308"/>
      <c r="B144" s="282">
        <v>3</v>
      </c>
      <c r="C144" s="282">
        <f t="shared" si="9"/>
        <v>3</v>
      </c>
      <c r="D144" s="282"/>
      <c r="E144" s="288">
        <f>F144*'Benzin - diesel - hybrid'!E$39*VLOOKUP('Benzin - diesel - hybrid'!E$45+($B144-1),Fremskrivninger!$A$48:$H$77,8)/1000</f>
        <v>0</v>
      </c>
      <c r="F144" s="309">
        <f>IFERROR('Benzin - diesel - hybrid'!E$40/'Benzin - diesel - hybrid'!E$15,0)</f>
        <v>0</v>
      </c>
      <c r="G144" s="288">
        <f>H144*'Benzin - diesel - hybrid'!G$39*VLOOKUP('Benzin - diesel - hybrid'!G$45+($B144-1),Fremskrivninger!$A$48:$H$77,8)/1000</f>
        <v>0</v>
      </c>
      <c r="H144" s="309">
        <f>IFERROR('Benzin - diesel - hybrid'!G$40/'Benzin - diesel - hybrid'!G$15,0)</f>
        <v>0</v>
      </c>
      <c r="I144" s="288">
        <f>J144*'Benzin - diesel - hybrid'!I$39*VLOOKUP('Benzin - diesel - hybrid'!I$45+($B144-1),Fremskrivninger!$A$48:$H$77,8)/1000</f>
        <v>0</v>
      </c>
      <c r="J144" s="309">
        <f>IFERROR('Benzin - diesel - hybrid'!I$40/'Benzin - diesel - hybrid'!I$15,0)</f>
        <v>0</v>
      </c>
      <c r="K144" s="288">
        <f>L144*'Benzin - diesel - hybrid'!K$39*VLOOKUP('Benzin - diesel - hybrid'!K$45+($B144-1),Fremskrivninger!$A$48:$H$77,8)/1000</f>
        <v>0</v>
      </c>
      <c r="L144" s="309">
        <f>IFERROR('Benzin - diesel - hybrid'!K$40/'Benzin - diesel - hybrid'!K$15,0)</f>
        <v>0</v>
      </c>
      <c r="M144" s="288">
        <f>N144*'Benzin - diesel - hybrid'!M$39*VLOOKUP('Benzin - diesel - hybrid'!M$45+($B144-1),Fremskrivninger!$A$48:$H$77,8)/1000</f>
        <v>0</v>
      </c>
      <c r="N144" s="309">
        <f>IFERROR('Benzin - diesel - hybrid'!M$40/'Benzin - diesel - hybrid'!M$15,0)</f>
        <v>0</v>
      </c>
      <c r="O144" s="288">
        <f>P144*'Benzin - diesel - hybrid'!O$39*VLOOKUP('Benzin - diesel - hybrid'!O$45+($B144-1),Fremskrivninger!$A$48:$H$77,8)/1000</f>
        <v>0</v>
      </c>
      <c r="P144" s="309">
        <f>IFERROR('Benzin - diesel - hybrid'!O$40/'Benzin - diesel - hybrid'!O$15,0)</f>
        <v>0</v>
      </c>
      <c r="Q144" s="288">
        <f>R144*'Benzin - diesel - hybrid'!Q$39*VLOOKUP('Benzin - diesel - hybrid'!Q$45+($B144-1),Fremskrivninger!$A$48:$H$77,8)/1000</f>
        <v>0</v>
      </c>
      <c r="R144" s="309">
        <f>IFERROR('Benzin - diesel - hybrid'!Q$40/'Benzin - diesel - hybrid'!Q$15,0)</f>
        <v>0</v>
      </c>
      <c r="S144" s="288">
        <f>T144*'Benzin - diesel - hybrid'!S$39*VLOOKUP('Benzin - diesel - hybrid'!S$45+($B144-1),Fremskrivninger!$A$48:$H$77,8)/1000</f>
        <v>0</v>
      </c>
      <c r="T144" s="309">
        <f>IFERROR('Benzin - diesel - hybrid'!S$40/'Benzin - diesel - hybrid'!S$15,0)</f>
        <v>0</v>
      </c>
      <c r="U144" s="288">
        <f>V144*'Benzin - diesel - hybrid'!U$39*VLOOKUP('Benzin - diesel - hybrid'!U$45+($B144-1),Fremskrivninger!$A$48:$H$77,8)/1000</f>
        <v>0</v>
      </c>
      <c r="V144" s="309">
        <f>IFERROR('Benzin - diesel - hybrid'!U$40/'Benzin - diesel - hybrid'!U$15,0)</f>
        <v>0</v>
      </c>
      <c r="W144" s="288">
        <f>X144*'Benzin - diesel - hybrid'!W$39*VLOOKUP('Benzin - diesel - hybrid'!W$45+($B144-1),Fremskrivninger!$A$48:$H$77,8)/1000</f>
        <v>0</v>
      </c>
      <c r="X144" s="309">
        <f>IFERROR('Benzin - diesel - hybrid'!W$40/'Benzin - diesel - hybrid'!W$15,0)</f>
        <v>0</v>
      </c>
    </row>
    <row r="145" spans="1:24">
      <c r="A145" s="308"/>
      <c r="B145" s="282">
        <v>4</v>
      </c>
      <c r="C145" s="282">
        <f t="shared" si="9"/>
        <v>4</v>
      </c>
      <c r="D145" s="282"/>
      <c r="E145" s="288">
        <f>F145*'Benzin - diesel - hybrid'!E$39*VLOOKUP('Benzin - diesel - hybrid'!E$45+($B145-1),Fremskrivninger!$A$48:$H$77,8)/1000</f>
        <v>0</v>
      </c>
      <c r="F145" s="309">
        <f>IFERROR('Benzin - diesel - hybrid'!E$40/'Benzin - diesel - hybrid'!E$15,0)</f>
        <v>0</v>
      </c>
      <c r="G145" s="288">
        <f>H145*'Benzin - diesel - hybrid'!G$39*VLOOKUP('Benzin - diesel - hybrid'!G$45+($B145-1),Fremskrivninger!$A$48:$H$77,8)/1000</f>
        <v>0</v>
      </c>
      <c r="H145" s="309">
        <f>IFERROR('Benzin - diesel - hybrid'!G$40/'Benzin - diesel - hybrid'!G$15,0)</f>
        <v>0</v>
      </c>
      <c r="I145" s="288">
        <f>J145*'Benzin - diesel - hybrid'!I$39*VLOOKUP('Benzin - diesel - hybrid'!I$45+($B145-1),Fremskrivninger!$A$48:$H$77,8)/1000</f>
        <v>0</v>
      </c>
      <c r="J145" s="309">
        <f>IFERROR('Benzin - diesel - hybrid'!I$40/'Benzin - diesel - hybrid'!I$15,0)</f>
        <v>0</v>
      </c>
      <c r="K145" s="288">
        <f>L145*'Benzin - diesel - hybrid'!K$39*VLOOKUP('Benzin - diesel - hybrid'!K$45+($B145-1),Fremskrivninger!$A$48:$H$77,8)/1000</f>
        <v>0</v>
      </c>
      <c r="L145" s="309">
        <f>IFERROR('Benzin - diesel - hybrid'!K$40/'Benzin - diesel - hybrid'!K$15,0)</f>
        <v>0</v>
      </c>
      <c r="M145" s="288">
        <f>N145*'Benzin - diesel - hybrid'!M$39*VLOOKUP('Benzin - diesel - hybrid'!M$45+($B145-1),Fremskrivninger!$A$48:$H$77,8)/1000</f>
        <v>0</v>
      </c>
      <c r="N145" s="309">
        <f>IFERROR('Benzin - diesel - hybrid'!M$40/'Benzin - diesel - hybrid'!M$15,0)</f>
        <v>0</v>
      </c>
      <c r="O145" s="288">
        <f>P145*'Benzin - diesel - hybrid'!O$39*VLOOKUP('Benzin - diesel - hybrid'!O$45+($B145-1),Fremskrivninger!$A$48:$H$77,8)/1000</f>
        <v>0</v>
      </c>
      <c r="P145" s="309">
        <f>IFERROR('Benzin - diesel - hybrid'!O$40/'Benzin - diesel - hybrid'!O$15,0)</f>
        <v>0</v>
      </c>
      <c r="Q145" s="288">
        <f>R145*'Benzin - diesel - hybrid'!Q$39*VLOOKUP('Benzin - diesel - hybrid'!Q$45+($B145-1),Fremskrivninger!$A$48:$H$77,8)/1000</f>
        <v>0</v>
      </c>
      <c r="R145" s="309">
        <f>IFERROR('Benzin - diesel - hybrid'!Q$40/'Benzin - diesel - hybrid'!Q$15,0)</f>
        <v>0</v>
      </c>
      <c r="S145" s="288">
        <f>T145*'Benzin - diesel - hybrid'!S$39*VLOOKUP('Benzin - diesel - hybrid'!S$45+($B145-1),Fremskrivninger!$A$48:$H$77,8)/1000</f>
        <v>0</v>
      </c>
      <c r="T145" s="309">
        <f>IFERROR('Benzin - diesel - hybrid'!S$40/'Benzin - diesel - hybrid'!S$15,0)</f>
        <v>0</v>
      </c>
      <c r="U145" s="288">
        <f>V145*'Benzin - diesel - hybrid'!U$39*VLOOKUP('Benzin - diesel - hybrid'!U$45+($B145-1),Fremskrivninger!$A$48:$H$77,8)/1000</f>
        <v>0</v>
      </c>
      <c r="V145" s="309">
        <f>IFERROR('Benzin - diesel - hybrid'!U$40/'Benzin - diesel - hybrid'!U$15,0)</f>
        <v>0</v>
      </c>
      <c r="W145" s="288">
        <f>X145*'Benzin - diesel - hybrid'!W$39*VLOOKUP('Benzin - diesel - hybrid'!W$45+($B145-1),Fremskrivninger!$A$48:$H$77,8)/1000</f>
        <v>0</v>
      </c>
      <c r="X145" s="309">
        <f>IFERROR('Benzin - diesel - hybrid'!W$40/'Benzin - diesel - hybrid'!W$15,0)</f>
        <v>0</v>
      </c>
    </row>
    <row r="146" spans="1:24">
      <c r="A146" s="308"/>
      <c r="B146" s="282">
        <v>5</v>
      </c>
      <c r="C146" s="282">
        <f t="shared" si="9"/>
        <v>5</v>
      </c>
      <c r="D146" s="282"/>
      <c r="E146" s="288">
        <f>F146*'Benzin - diesel - hybrid'!E$39*VLOOKUP('Benzin - diesel - hybrid'!E$45+($B146-1),Fremskrivninger!$A$48:$H$77,8)/1000</f>
        <v>0</v>
      </c>
      <c r="F146" s="309">
        <f>IFERROR('Benzin - diesel - hybrid'!E$40/'Benzin - diesel - hybrid'!E$15,0)</f>
        <v>0</v>
      </c>
      <c r="G146" s="288">
        <f>H146*'Benzin - diesel - hybrid'!G$39*VLOOKUP('Benzin - diesel - hybrid'!G$45+($B146-1),Fremskrivninger!$A$48:$H$77,8)/1000</f>
        <v>0</v>
      </c>
      <c r="H146" s="309">
        <f>IFERROR('Benzin - diesel - hybrid'!G$40/'Benzin - diesel - hybrid'!G$15,0)</f>
        <v>0</v>
      </c>
      <c r="I146" s="288">
        <f>J146*'Benzin - diesel - hybrid'!I$39*VLOOKUP('Benzin - diesel - hybrid'!I$45+($B146-1),Fremskrivninger!$A$48:$H$77,8)/1000</f>
        <v>0</v>
      </c>
      <c r="J146" s="309">
        <f>IFERROR('Benzin - diesel - hybrid'!I$40/'Benzin - diesel - hybrid'!I$15,0)</f>
        <v>0</v>
      </c>
      <c r="K146" s="288">
        <f>L146*'Benzin - diesel - hybrid'!K$39*VLOOKUP('Benzin - diesel - hybrid'!K$45+($B146-1),Fremskrivninger!$A$48:$H$77,8)/1000</f>
        <v>0</v>
      </c>
      <c r="L146" s="309">
        <f>IFERROR('Benzin - diesel - hybrid'!K$40/'Benzin - diesel - hybrid'!K$15,0)</f>
        <v>0</v>
      </c>
      <c r="M146" s="288">
        <f>N146*'Benzin - diesel - hybrid'!M$39*VLOOKUP('Benzin - diesel - hybrid'!M$45+($B146-1),Fremskrivninger!$A$48:$H$77,8)/1000</f>
        <v>0</v>
      </c>
      <c r="N146" s="309">
        <f>IFERROR('Benzin - diesel - hybrid'!M$40/'Benzin - diesel - hybrid'!M$15,0)</f>
        <v>0</v>
      </c>
      <c r="O146" s="288">
        <f>P146*'Benzin - diesel - hybrid'!O$39*VLOOKUP('Benzin - diesel - hybrid'!O$45+($B146-1),Fremskrivninger!$A$48:$H$77,8)/1000</f>
        <v>0</v>
      </c>
      <c r="P146" s="309">
        <f>IFERROR('Benzin - diesel - hybrid'!O$40/'Benzin - diesel - hybrid'!O$15,0)</f>
        <v>0</v>
      </c>
      <c r="Q146" s="288">
        <f>R146*'Benzin - diesel - hybrid'!Q$39*VLOOKUP('Benzin - diesel - hybrid'!Q$45+($B146-1),Fremskrivninger!$A$48:$H$77,8)/1000</f>
        <v>0</v>
      </c>
      <c r="R146" s="309">
        <f>IFERROR('Benzin - diesel - hybrid'!Q$40/'Benzin - diesel - hybrid'!Q$15,0)</f>
        <v>0</v>
      </c>
      <c r="S146" s="288">
        <f>T146*'Benzin - diesel - hybrid'!S$39*VLOOKUP('Benzin - diesel - hybrid'!S$45+($B146-1),Fremskrivninger!$A$48:$H$77,8)/1000</f>
        <v>0</v>
      </c>
      <c r="T146" s="309">
        <f>IFERROR('Benzin - diesel - hybrid'!S$40/'Benzin - diesel - hybrid'!S$15,0)</f>
        <v>0</v>
      </c>
      <c r="U146" s="288">
        <f>V146*'Benzin - diesel - hybrid'!U$39*VLOOKUP('Benzin - diesel - hybrid'!U$45+($B146-1),Fremskrivninger!$A$48:$H$77,8)/1000</f>
        <v>0</v>
      </c>
      <c r="V146" s="309">
        <f>IFERROR('Benzin - diesel - hybrid'!U$40/'Benzin - diesel - hybrid'!U$15,0)</f>
        <v>0</v>
      </c>
      <c r="W146" s="288">
        <f>X146*'Benzin - diesel - hybrid'!W$39*VLOOKUP('Benzin - diesel - hybrid'!W$45+($B146-1),Fremskrivninger!$A$48:$H$77,8)/1000</f>
        <v>0</v>
      </c>
      <c r="X146" s="309">
        <f>IFERROR('Benzin - diesel - hybrid'!W$40/'Benzin - diesel - hybrid'!W$15,0)</f>
        <v>0</v>
      </c>
    </row>
    <row r="147" spans="1:24">
      <c r="A147" s="308"/>
      <c r="B147" s="282">
        <v>6</v>
      </c>
      <c r="C147" s="282">
        <f t="shared" si="9"/>
        <v>6</v>
      </c>
      <c r="D147" s="282"/>
      <c r="E147" s="288">
        <f>F147*'Benzin - diesel - hybrid'!E$39*VLOOKUP('Benzin - diesel - hybrid'!E$45+($B147-1),Fremskrivninger!$A$48:$H$77,8)/1000</f>
        <v>0</v>
      </c>
      <c r="F147" s="309">
        <f>IFERROR('Benzin - diesel - hybrid'!E$40/'Benzin - diesel - hybrid'!E$15,0)</f>
        <v>0</v>
      </c>
      <c r="G147" s="288">
        <f>H147*'Benzin - diesel - hybrid'!G$39*VLOOKUP('Benzin - diesel - hybrid'!G$45+($B147-1),Fremskrivninger!$A$48:$H$77,8)/1000</f>
        <v>0</v>
      </c>
      <c r="H147" s="309">
        <f>IFERROR('Benzin - diesel - hybrid'!G$40/'Benzin - diesel - hybrid'!G$15,0)</f>
        <v>0</v>
      </c>
      <c r="I147" s="288">
        <f>J147*'Benzin - diesel - hybrid'!I$39*VLOOKUP('Benzin - diesel - hybrid'!I$45+($B147-1),Fremskrivninger!$A$48:$H$77,8)/1000</f>
        <v>0</v>
      </c>
      <c r="J147" s="309">
        <f>IFERROR('Benzin - diesel - hybrid'!I$40/'Benzin - diesel - hybrid'!I$15,0)</f>
        <v>0</v>
      </c>
      <c r="K147" s="288">
        <f>L147*'Benzin - diesel - hybrid'!K$39*VLOOKUP('Benzin - diesel - hybrid'!K$45+($B147-1),Fremskrivninger!$A$48:$H$77,8)/1000</f>
        <v>0</v>
      </c>
      <c r="L147" s="309">
        <f>IFERROR('Benzin - diesel - hybrid'!K$40/'Benzin - diesel - hybrid'!K$15,0)</f>
        <v>0</v>
      </c>
      <c r="M147" s="288">
        <f>N147*'Benzin - diesel - hybrid'!M$39*VLOOKUP('Benzin - diesel - hybrid'!M$45+($B147-1),Fremskrivninger!$A$48:$H$77,8)/1000</f>
        <v>0</v>
      </c>
      <c r="N147" s="309">
        <f>IFERROR('Benzin - diesel - hybrid'!M$40/'Benzin - diesel - hybrid'!M$15,0)</f>
        <v>0</v>
      </c>
      <c r="O147" s="288">
        <f>P147*'Benzin - diesel - hybrid'!O$39*VLOOKUP('Benzin - diesel - hybrid'!O$45+($B147-1),Fremskrivninger!$A$48:$H$77,8)/1000</f>
        <v>0</v>
      </c>
      <c r="P147" s="309">
        <f>IFERROR('Benzin - diesel - hybrid'!O$40/'Benzin - diesel - hybrid'!O$15,0)</f>
        <v>0</v>
      </c>
      <c r="Q147" s="288">
        <f>R147*'Benzin - diesel - hybrid'!Q$39*VLOOKUP('Benzin - diesel - hybrid'!Q$45+($B147-1),Fremskrivninger!$A$48:$H$77,8)/1000</f>
        <v>0</v>
      </c>
      <c r="R147" s="309">
        <f>IFERROR('Benzin - diesel - hybrid'!Q$40/'Benzin - diesel - hybrid'!Q$15,0)</f>
        <v>0</v>
      </c>
      <c r="S147" s="288">
        <f>T147*'Benzin - diesel - hybrid'!S$39*VLOOKUP('Benzin - diesel - hybrid'!S$45+($B147-1),Fremskrivninger!$A$48:$H$77,8)/1000</f>
        <v>0</v>
      </c>
      <c r="T147" s="309">
        <f>IFERROR('Benzin - diesel - hybrid'!S$40/'Benzin - diesel - hybrid'!S$15,0)</f>
        <v>0</v>
      </c>
      <c r="U147" s="288">
        <f>V147*'Benzin - diesel - hybrid'!U$39*VLOOKUP('Benzin - diesel - hybrid'!U$45+($B147-1),Fremskrivninger!$A$48:$H$77,8)/1000</f>
        <v>0</v>
      </c>
      <c r="V147" s="309">
        <f>IFERROR('Benzin - diesel - hybrid'!U$40/'Benzin - diesel - hybrid'!U$15,0)</f>
        <v>0</v>
      </c>
      <c r="W147" s="288">
        <f>X147*'Benzin - diesel - hybrid'!W$39*VLOOKUP('Benzin - diesel - hybrid'!W$45+($B147-1),Fremskrivninger!$A$48:$H$77,8)/1000</f>
        <v>0</v>
      </c>
      <c r="X147" s="309">
        <f>IFERROR('Benzin - diesel - hybrid'!W$40/'Benzin - diesel - hybrid'!W$15,0)</f>
        <v>0</v>
      </c>
    </row>
    <row r="148" spans="1:24">
      <c r="A148" s="308"/>
      <c r="B148" s="282">
        <v>7</v>
      </c>
      <c r="C148" s="282">
        <f t="shared" si="9"/>
        <v>7</v>
      </c>
      <c r="D148" s="282"/>
      <c r="E148" s="288">
        <f>F148*'Benzin - diesel - hybrid'!E$39*VLOOKUP('Benzin - diesel - hybrid'!E$45+($B148-1),Fremskrivninger!$A$48:$H$77,8)/1000</f>
        <v>0</v>
      </c>
      <c r="F148" s="309">
        <f>IFERROR('Benzin - diesel - hybrid'!E$40/'Benzin - diesel - hybrid'!E$15,0)</f>
        <v>0</v>
      </c>
      <c r="G148" s="288">
        <f>H148*'Benzin - diesel - hybrid'!G$39*VLOOKUP('Benzin - diesel - hybrid'!G$45+($B148-1),Fremskrivninger!$A$48:$H$77,8)/1000</f>
        <v>0</v>
      </c>
      <c r="H148" s="309">
        <f>IFERROR('Benzin - diesel - hybrid'!G$40/'Benzin - diesel - hybrid'!G$15,0)</f>
        <v>0</v>
      </c>
      <c r="I148" s="288">
        <f>J148*'Benzin - diesel - hybrid'!I$39*VLOOKUP('Benzin - diesel - hybrid'!I$45+($B148-1),Fremskrivninger!$A$48:$H$77,8)/1000</f>
        <v>0</v>
      </c>
      <c r="J148" s="309">
        <f>IFERROR('Benzin - diesel - hybrid'!I$40/'Benzin - diesel - hybrid'!I$15,0)</f>
        <v>0</v>
      </c>
      <c r="K148" s="288">
        <f>L148*'Benzin - diesel - hybrid'!K$39*VLOOKUP('Benzin - diesel - hybrid'!K$45+($B148-1),Fremskrivninger!$A$48:$H$77,8)/1000</f>
        <v>0</v>
      </c>
      <c r="L148" s="309">
        <f>IFERROR('Benzin - diesel - hybrid'!K$40/'Benzin - diesel - hybrid'!K$15,0)</f>
        <v>0</v>
      </c>
      <c r="M148" s="288">
        <f>N148*'Benzin - diesel - hybrid'!M$39*VLOOKUP('Benzin - diesel - hybrid'!M$45+($B148-1),Fremskrivninger!$A$48:$H$77,8)/1000</f>
        <v>0</v>
      </c>
      <c r="N148" s="309">
        <f>IFERROR('Benzin - diesel - hybrid'!M$40/'Benzin - diesel - hybrid'!M$15,0)</f>
        <v>0</v>
      </c>
      <c r="O148" s="288">
        <f>P148*'Benzin - diesel - hybrid'!O$39*VLOOKUP('Benzin - diesel - hybrid'!O$45+($B148-1),Fremskrivninger!$A$48:$H$77,8)/1000</f>
        <v>0</v>
      </c>
      <c r="P148" s="309">
        <f>IFERROR('Benzin - diesel - hybrid'!O$40/'Benzin - diesel - hybrid'!O$15,0)</f>
        <v>0</v>
      </c>
      <c r="Q148" s="288">
        <f>R148*'Benzin - diesel - hybrid'!Q$39*VLOOKUP('Benzin - diesel - hybrid'!Q$45+($B148-1),Fremskrivninger!$A$48:$H$77,8)/1000</f>
        <v>0</v>
      </c>
      <c r="R148" s="309">
        <f>IFERROR('Benzin - diesel - hybrid'!Q$40/'Benzin - diesel - hybrid'!Q$15,0)</f>
        <v>0</v>
      </c>
      <c r="S148" s="288">
        <f>T148*'Benzin - diesel - hybrid'!S$39*VLOOKUP('Benzin - diesel - hybrid'!S$45+($B148-1),Fremskrivninger!$A$48:$H$77,8)/1000</f>
        <v>0</v>
      </c>
      <c r="T148" s="309">
        <f>IFERROR('Benzin - diesel - hybrid'!S$40/'Benzin - diesel - hybrid'!S$15,0)</f>
        <v>0</v>
      </c>
      <c r="U148" s="288">
        <f>V148*'Benzin - diesel - hybrid'!U$39*VLOOKUP('Benzin - diesel - hybrid'!U$45+($B148-1),Fremskrivninger!$A$48:$H$77,8)/1000</f>
        <v>0</v>
      </c>
      <c r="V148" s="309">
        <f>IFERROR('Benzin - diesel - hybrid'!U$40/'Benzin - diesel - hybrid'!U$15,0)</f>
        <v>0</v>
      </c>
      <c r="W148" s="288">
        <f>X148*'Benzin - diesel - hybrid'!W$39*VLOOKUP('Benzin - diesel - hybrid'!W$45+($B148-1),Fremskrivninger!$A$48:$H$77,8)/1000</f>
        <v>0</v>
      </c>
      <c r="X148" s="309">
        <f>IFERROR('Benzin - diesel - hybrid'!W$40/'Benzin - diesel - hybrid'!W$15,0)</f>
        <v>0</v>
      </c>
    </row>
    <row r="149" spans="1:24">
      <c r="A149" s="308"/>
      <c r="B149" s="282">
        <v>8</v>
      </c>
      <c r="C149" s="282">
        <f t="shared" si="9"/>
        <v>8</v>
      </c>
      <c r="D149" s="282"/>
      <c r="E149" s="288">
        <f>F149*'Benzin - diesel - hybrid'!E$39*VLOOKUP('Benzin - diesel - hybrid'!E$45+($B149-1),Fremskrivninger!$A$48:$H$77,8)/1000</f>
        <v>0</v>
      </c>
      <c r="F149" s="309">
        <f>IFERROR('Benzin - diesel - hybrid'!E$40/'Benzin - diesel - hybrid'!E$15,0)</f>
        <v>0</v>
      </c>
      <c r="G149" s="288">
        <f>H149*'Benzin - diesel - hybrid'!G$39*VLOOKUP('Benzin - diesel - hybrid'!G$45+($B149-1),Fremskrivninger!$A$48:$H$77,8)/1000</f>
        <v>0</v>
      </c>
      <c r="H149" s="309">
        <f>IFERROR('Benzin - diesel - hybrid'!G$40/'Benzin - diesel - hybrid'!G$15,0)</f>
        <v>0</v>
      </c>
      <c r="I149" s="288">
        <f>J149*'Benzin - diesel - hybrid'!I$39*VLOOKUP('Benzin - diesel - hybrid'!I$45+($B149-1),Fremskrivninger!$A$48:$H$77,8)/1000</f>
        <v>0</v>
      </c>
      <c r="J149" s="309">
        <f>IFERROR('Benzin - diesel - hybrid'!I$40/'Benzin - diesel - hybrid'!I$15,0)</f>
        <v>0</v>
      </c>
      <c r="K149" s="288">
        <f>L149*'Benzin - diesel - hybrid'!K$39*VLOOKUP('Benzin - diesel - hybrid'!K$45+($B149-1),Fremskrivninger!$A$48:$H$77,8)/1000</f>
        <v>0</v>
      </c>
      <c r="L149" s="309">
        <f>IFERROR('Benzin - diesel - hybrid'!K$40/'Benzin - diesel - hybrid'!K$15,0)</f>
        <v>0</v>
      </c>
      <c r="M149" s="288">
        <f>N149*'Benzin - diesel - hybrid'!M$39*VLOOKUP('Benzin - diesel - hybrid'!M$45+($B149-1),Fremskrivninger!$A$48:$H$77,8)/1000</f>
        <v>0</v>
      </c>
      <c r="N149" s="309">
        <f>IFERROR('Benzin - diesel - hybrid'!M$40/'Benzin - diesel - hybrid'!M$15,0)</f>
        <v>0</v>
      </c>
      <c r="O149" s="288">
        <f>P149*'Benzin - diesel - hybrid'!O$39*VLOOKUP('Benzin - diesel - hybrid'!O$45+($B149-1),Fremskrivninger!$A$48:$H$77,8)/1000</f>
        <v>0</v>
      </c>
      <c r="P149" s="309">
        <f>IFERROR('Benzin - diesel - hybrid'!O$40/'Benzin - diesel - hybrid'!O$15,0)</f>
        <v>0</v>
      </c>
      <c r="Q149" s="288">
        <f>R149*'Benzin - diesel - hybrid'!Q$39*VLOOKUP('Benzin - diesel - hybrid'!Q$45+($B149-1),Fremskrivninger!$A$48:$H$77,8)/1000</f>
        <v>0</v>
      </c>
      <c r="R149" s="309">
        <f>IFERROR('Benzin - diesel - hybrid'!Q$40/'Benzin - diesel - hybrid'!Q$15,0)</f>
        <v>0</v>
      </c>
      <c r="S149" s="288">
        <f>T149*'Benzin - diesel - hybrid'!S$39*VLOOKUP('Benzin - diesel - hybrid'!S$45+($B149-1),Fremskrivninger!$A$48:$H$77,8)/1000</f>
        <v>0</v>
      </c>
      <c r="T149" s="309">
        <f>IFERROR('Benzin - diesel - hybrid'!S$40/'Benzin - diesel - hybrid'!S$15,0)</f>
        <v>0</v>
      </c>
      <c r="U149" s="288">
        <f>V149*'Benzin - diesel - hybrid'!U$39*VLOOKUP('Benzin - diesel - hybrid'!U$45+($B149-1),Fremskrivninger!$A$48:$H$77,8)/1000</f>
        <v>0</v>
      </c>
      <c r="V149" s="309">
        <f>IFERROR('Benzin - diesel - hybrid'!U$40/'Benzin - diesel - hybrid'!U$15,0)</f>
        <v>0</v>
      </c>
      <c r="W149" s="288">
        <f>X149*'Benzin - diesel - hybrid'!W$39*VLOOKUP('Benzin - diesel - hybrid'!W$45+($B149-1),Fremskrivninger!$A$48:$H$77,8)/1000</f>
        <v>0</v>
      </c>
      <c r="X149" s="309">
        <f>IFERROR('Benzin - diesel - hybrid'!W$40/'Benzin - diesel - hybrid'!W$15,0)</f>
        <v>0</v>
      </c>
    </row>
    <row r="150" spans="1:24">
      <c r="A150" s="308"/>
      <c r="B150" s="282">
        <v>9</v>
      </c>
      <c r="C150" s="282">
        <f t="shared" si="9"/>
        <v>9</v>
      </c>
      <c r="D150" s="282"/>
      <c r="E150" s="288">
        <f>F150*'Benzin - diesel - hybrid'!E$39*VLOOKUP('Benzin - diesel - hybrid'!E$45+($B150-1),Fremskrivninger!$A$48:$H$77,8)/1000</f>
        <v>0</v>
      </c>
      <c r="F150" s="309">
        <f>IFERROR('Benzin - diesel - hybrid'!E$40/'Benzin - diesel - hybrid'!E$15,0)</f>
        <v>0</v>
      </c>
      <c r="G150" s="288">
        <f>H150*'Benzin - diesel - hybrid'!G$39*VLOOKUP('Benzin - diesel - hybrid'!G$45+($B150-1),Fremskrivninger!$A$48:$H$77,8)/1000</f>
        <v>0</v>
      </c>
      <c r="H150" s="309">
        <f>IFERROR('Benzin - diesel - hybrid'!G$40/'Benzin - diesel - hybrid'!G$15,0)</f>
        <v>0</v>
      </c>
      <c r="I150" s="288">
        <f>J150*'Benzin - diesel - hybrid'!I$39*VLOOKUP('Benzin - diesel - hybrid'!I$45+($B150-1),Fremskrivninger!$A$48:$H$77,8)/1000</f>
        <v>0</v>
      </c>
      <c r="J150" s="309">
        <f>IFERROR('Benzin - diesel - hybrid'!I$40/'Benzin - diesel - hybrid'!I$15,0)</f>
        <v>0</v>
      </c>
      <c r="K150" s="288">
        <f>L150*'Benzin - diesel - hybrid'!K$39*VLOOKUP('Benzin - diesel - hybrid'!K$45+($B150-1),Fremskrivninger!$A$48:$H$77,8)/1000</f>
        <v>0</v>
      </c>
      <c r="L150" s="309">
        <f>IFERROR('Benzin - diesel - hybrid'!K$40/'Benzin - diesel - hybrid'!K$15,0)</f>
        <v>0</v>
      </c>
      <c r="M150" s="288">
        <f>N150*'Benzin - diesel - hybrid'!M$39*VLOOKUP('Benzin - diesel - hybrid'!M$45+($B150-1),Fremskrivninger!$A$48:$H$77,8)/1000</f>
        <v>0</v>
      </c>
      <c r="N150" s="309">
        <f>IFERROR('Benzin - diesel - hybrid'!M$40/'Benzin - diesel - hybrid'!M$15,0)</f>
        <v>0</v>
      </c>
      <c r="O150" s="288">
        <f>P150*'Benzin - diesel - hybrid'!O$39*VLOOKUP('Benzin - diesel - hybrid'!O$45+($B150-1),Fremskrivninger!$A$48:$H$77,8)/1000</f>
        <v>0</v>
      </c>
      <c r="P150" s="309">
        <f>IFERROR('Benzin - diesel - hybrid'!O$40/'Benzin - diesel - hybrid'!O$15,0)</f>
        <v>0</v>
      </c>
      <c r="Q150" s="288">
        <f>R150*'Benzin - diesel - hybrid'!Q$39*VLOOKUP('Benzin - diesel - hybrid'!Q$45+($B150-1),Fremskrivninger!$A$48:$H$77,8)/1000</f>
        <v>0</v>
      </c>
      <c r="R150" s="309">
        <f>IFERROR('Benzin - diesel - hybrid'!Q$40/'Benzin - diesel - hybrid'!Q$15,0)</f>
        <v>0</v>
      </c>
      <c r="S150" s="288">
        <f>T150*'Benzin - diesel - hybrid'!S$39*VLOOKUP('Benzin - diesel - hybrid'!S$45+($B150-1),Fremskrivninger!$A$48:$H$77,8)/1000</f>
        <v>0</v>
      </c>
      <c r="T150" s="309">
        <f>IFERROR('Benzin - diesel - hybrid'!S$40/'Benzin - diesel - hybrid'!S$15,0)</f>
        <v>0</v>
      </c>
      <c r="U150" s="288">
        <f>V150*'Benzin - diesel - hybrid'!U$39*VLOOKUP('Benzin - diesel - hybrid'!U$45+($B150-1),Fremskrivninger!$A$48:$H$77,8)/1000</f>
        <v>0</v>
      </c>
      <c r="V150" s="309">
        <f>IFERROR('Benzin - diesel - hybrid'!U$40/'Benzin - diesel - hybrid'!U$15,0)</f>
        <v>0</v>
      </c>
      <c r="W150" s="288">
        <f>X150*'Benzin - diesel - hybrid'!W$39*VLOOKUP('Benzin - diesel - hybrid'!W$45+($B150-1),Fremskrivninger!$A$48:$H$77,8)/1000</f>
        <v>0</v>
      </c>
      <c r="X150" s="309">
        <f>IFERROR('Benzin - diesel - hybrid'!W$40/'Benzin - diesel - hybrid'!W$15,0)</f>
        <v>0</v>
      </c>
    </row>
    <row r="151" spans="1:24">
      <c r="A151" s="308"/>
      <c r="B151" s="282">
        <v>10</v>
      </c>
      <c r="C151" s="282">
        <f t="shared" si="9"/>
        <v>10</v>
      </c>
      <c r="D151" s="282"/>
      <c r="E151" s="288">
        <f>F151*'Benzin - diesel - hybrid'!E$39*VLOOKUP('Benzin - diesel - hybrid'!E$45+($B151-1),Fremskrivninger!$A$48:$H$77,8)/1000</f>
        <v>0</v>
      </c>
      <c r="F151" s="309">
        <f>IFERROR('Benzin - diesel - hybrid'!E$40/'Benzin - diesel - hybrid'!E$15,0)</f>
        <v>0</v>
      </c>
      <c r="G151" s="288">
        <f>H151*'Benzin - diesel - hybrid'!G$39*VLOOKUP('Benzin - diesel - hybrid'!G$45+($B151-1),Fremskrivninger!$A$48:$H$77,8)/1000</f>
        <v>0</v>
      </c>
      <c r="H151" s="309">
        <f>IFERROR('Benzin - diesel - hybrid'!G$40/'Benzin - diesel - hybrid'!G$15,0)</f>
        <v>0</v>
      </c>
      <c r="I151" s="288">
        <f>J151*'Benzin - diesel - hybrid'!I$39*VLOOKUP('Benzin - diesel - hybrid'!I$45+($B151-1),Fremskrivninger!$A$48:$H$77,8)/1000</f>
        <v>0</v>
      </c>
      <c r="J151" s="309">
        <f>IFERROR('Benzin - diesel - hybrid'!I$40/'Benzin - diesel - hybrid'!I$15,0)</f>
        <v>0</v>
      </c>
      <c r="K151" s="288">
        <f>L151*'Benzin - diesel - hybrid'!K$39*VLOOKUP('Benzin - diesel - hybrid'!K$45+($B151-1),Fremskrivninger!$A$48:$H$77,8)/1000</f>
        <v>0</v>
      </c>
      <c r="L151" s="309">
        <f>IFERROR('Benzin - diesel - hybrid'!K$40/'Benzin - diesel - hybrid'!K$15,0)</f>
        <v>0</v>
      </c>
      <c r="M151" s="288">
        <f>N151*'Benzin - diesel - hybrid'!M$39*VLOOKUP('Benzin - diesel - hybrid'!M$45+($B151-1),Fremskrivninger!$A$48:$H$77,8)/1000</f>
        <v>0</v>
      </c>
      <c r="N151" s="309">
        <f>IFERROR('Benzin - diesel - hybrid'!M$40/'Benzin - diesel - hybrid'!M$15,0)</f>
        <v>0</v>
      </c>
      <c r="O151" s="288">
        <f>P151*'Benzin - diesel - hybrid'!O$39*VLOOKUP('Benzin - diesel - hybrid'!O$45+($B151-1),Fremskrivninger!$A$48:$H$77,8)/1000</f>
        <v>0</v>
      </c>
      <c r="P151" s="309">
        <f>IFERROR('Benzin - diesel - hybrid'!O$40/'Benzin - diesel - hybrid'!O$15,0)</f>
        <v>0</v>
      </c>
      <c r="Q151" s="288">
        <f>R151*'Benzin - diesel - hybrid'!Q$39*VLOOKUP('Benzin - diesel - hybrid'!Q$45+($B151-1),Fremskrivninger!$A$48:$H$77,8)/1000</f>
        <v>0</v>
      </c>
      <c r="R151" s="309">
        <f>IFERROR('Benzin - diesel - hybrid'!Q$40/'Benzin - diesel - hybrid'!Q$15,0)</f>
        <v>0</v>
      </c>
      <c r="S151" s="288">
        <f>T151*'Benzin - diesel - hybrid'!S$39*VLOOKUP('Benzin - diesel - hybrid'!S$45+($B151-1),Fremskrivninger!$A$48:$H$77,8)/1000</f>
        <v>0</v>
      </c>
      <c r="T151" s="309">
        <f>IFERROR('Benzin - diesel - hybrid'!S$40/'Benzin - diesel - hybrid'!S$15,0)</f>
        <v>0</v>
      </c>
      <c r="U151" s="288">
        <f>V151*'Benzin - diesel - hybrid'!U$39*VLOOKUP('Benzin - diesel - hybrid'!U$45+($B151-1),Fremskrivninger!$A$48:$H$77,8)/1000</f>
        <v>0</v>
      </c>
      <c r="V151" s="309">
        <f>IFERROR('Benzin - diesel - hybrid'!U$40/'Benzin - diesel - hybrid'!U$15,0)</f>
        <v>0</v>
      </c>
      <c r="W151" s="288">
        <f>X151*'Benzin - diesel - hybrid'!W$39*VLOOKUP('Benzin - diesel - hybrid'!W$45+($B151-1),Fremskrivninger!$A$48:$H$77,8)/1000</f>
        <v>0</v>
      </c>
      <c r="X151" s="309">
        <f>IFERROR('Benzin - diesel - hybrid'!W$40/'Benzin - diesel - hybrid'!W$15,0)</f>
        <v>0</v>
      </c>
    </row>
    <row r="152" spans="1:24">
      <c r="A152" s="308"/>
      <c r="B152" s="282">
        <v>11</v>
      </c>
      <c r="C152" s="282">
        <f t="shared" si="9"/>
        <v>11</v>
      </c>
      <c r="D152" s="282"/>
      <c r="E152" s="288">
        <f>F152*'Benzin - diesel - hybrid'!E$39*VLOOKUP('Benzin - diesel - hybrid'!E$45+($B152-1),Fremskrivninger!$A$48:$H$77,8)/1000</f>
        <v>0</v>
      </c>
      <c r="F152" s="309">
        <f>IFERROR('Benzin - diesel - hybrid'!E$40/'Benzin - diesel - hybrid'!E$15,0)</f>
        <v>0</v>
      </c>
      <c r="G152" s="288">
        <f>H152*'Benzin - diesel - hybrid'!G$39*VLOOKUP('Benzin - diesel - hybrid'!G$45+($B152-1),Fremskrivninger!$A$48:$H$77,8)/1000</f>
        <v>0</v>
      </c>
      <c r="H152" s="309">
        <f>IFERROR('Benzin - diesel - hybrid'!G$40/'Benzin - diesel - hybrid'!G$15,0)</f>
        <v>0</v>
      </c>
      <c r="I152" s="288">
        <f>J152*'Benzin - diesel - hybrid'!I$39*VLOOKUP('Benzin - diesel - hybrid'!I$45+($B152-1),Fremskrivninger!$A$48:$H$77,8)/1000</f>
        <v>0</v>
      </c>
      <c r="J152" s="309">
        <f>IFERROR('Benzin - diesel - hybrid'!I$40/'Benzin - diesel - hybrid'!I$15,0)</f>
        <v>0</v>
      </c>
      <c r="K152" s="288">
        <f>L152*'Benzin - diesel - hybrid'!K$39*VLOOKUP('Benzin - diesel - hybrid'!K$45+($B152-1),Fremskrivninger!$A$48:$H$77,8)/1000</f>
        <v>0</v>
      </c>
      <c r="L152" s="309">
        <f>IFERROR('Benzin - diesel - hybrid'!K$40/'Benzin - diesel - hybrid'!K$15,0)</f>
        <v>0</v>
      </c>
      <c r="M152" s="288">
        <f>N152*'Benzin - diesel - hybrid'!M$39*VLOOKUP('Benzin - diesel - hybrid'!M$45+($B152-1),Fremskrivninger!$A$48:$H$77,8)/1000</f>
        <v>0</v>
      </c>
      <c r="N152" s="309">
        <f>IFERROR('Benzin - diesel - hybrid'!M$40/'Benzin - diesel - hybrid'!M$15,0)</f>
        <v>0</v>
      </c>
      <c r="O152" s="288">
        <f>P152*'Benzin - diesel - hybrid'!O$39*VLOOKUP('Benzin - diesel - hybrid'!O$45+($B152-1),Fremskrivninger!$A$48:$H$77,8)/1000</f>
        <v>0</v>
      </c>
      <c r="P152" s="309">
        <f>IFERROR('Benzin - diesel - hybrid'!O$40/'Benzin - diesel - hybrid'!O$15,0)</f>
        <v>0</v>
      </c>
      <c r="Q152" s="288">
        <f>R152*'Benzin - diesel - hybrid'!Q$39*VLOOKUP('Benzin - diesel - hybrid'!Q$45+($B152-1),Fremskrivninger!$A$48:$H$77,8)/1000</f>
        <v>0</v>
      </c>
      <c r="R152" s="309">
        <f>IFERROR('Benzin - diesel - hybrid'!Q$40/'Benzin - diesel - hybrid'!Q$15,0)</f>
        <v>0</v>
      </c>
      <c r="S152" s="288">
        <f>T152*'Benzin - diesel - hybrid'!S$39*VLOOKUP('Benzin - diesel - hybrid'!S$45+($B152-1),Fremskrivninger!$A$48:$H$77,8)/1000</f>
        <v>0</v>
      </c>
      <c r="T152" s="309">
        <f>IFERROR('Benzin - diesel - hybrid'!S$40/'Benzin - diesel - hybrid'!S$15,0)</f>
        <v>0</v>
      </c>
      <c r="U152" s="288">
        <f>V152*'Benzin - diesel - hybrid'!U$39*VLOOKUP('Benzin - diesel - hybrid'!U$45+($B152-1),Fremskrivninger!$A$48:$H$77,8)/1000</f>
        <v>0</v>
      </c>
      <c r="V152" s="309">
        <f>IFERROR('Benzin - diesel - hybrid'!U$40/'Benzin - diesel - hybrid'!U$15,0)</f>
        <v>0</v>
      </c>
      <c r="W152" s="288">
        <f>X152*'Benzin - diesel - hybrid'!W$39*VLOOKUP('Benzin - diesel - hybrid'!W$45+($B152-1),Fremskrivninger!$A$48:$H$77,8)/1000</f>
        <v>0</v>
      </c>
      <c r="X152" s="309">
        <f>IFERROR('Benzin - diesel - hybrid'!W$40/'Benzin - diesel - hybrid'!W$15,0)</f>
        <v>0</v>
      </c>
    </row>
    <row r="153" spans="1:24">
      <c r="A153" s="308"/>
      <c r="B153" s="282">
        <v>12</v>
      </c>
      <c r="C153" s="282">
        <f t="shared" si="9"/>
        <v>12</v>
      </c>
      <c r="D153" s="282"/>
      <c r="E153" s="288">
        <f>F153*'Benzin - diesel - hybrid'!E$39*VLOOKUP('Benzin - diesel - hybrid'!E$45+($B153-1),Fremskrivninger!$A$48:$H$77,8)/1000</f>
        <v>0</v>
      </c>
      <c r="F153" s="309">
        <f>IFERROR('Benzin - diesel - hybrid'!E$40/'Benzin - diesel - hybrid'!E$15,0)</f>
        <v>0</v>
      </c>
      <c r="G153" s="288">
        <f>H153*'Benzin - diesel - hybrid'!G$39*VLOOKUP('Benzin - diesel - hybrid'!G$45+($B153-1),Fremskrivninger!$A$48:$H$77,8)/1000</f>
        <v>0</v>
      </c>
      <c r="H153" s="309">
        <f>IFERROR('Benzin - diesel - hybrid'!G$40/'Benzin - diesel - hybrid'!G$15,0)</f>
        <v>0</v>
      </c>
      <c r="I153" s="288">
        <f>J153*'Benzin - diesel - hybrid'!I$39*VLOOKUP('Benzin - diesel - hybrid'!I$45+($B153-1),Fremskrivninger!$A$48:$H$77,8)/1000</f>
        <v>0</v>
      </c>
      <c r="J153" s="309">
        <f>IFERROR('Benzin - diesel - hybrid'!I$40/'Benzin - diesel - hybrid'!I$15,0)</f>
        <v>0</v>
      </c>
      <c r="K153" s="288">
        <f>L153*'Benzin - diesel - hybrid'!K$39*VLOOKUP('Benzin - diesel - hybrid'!K$45+($B153-1),Fremskrivninger!$A$48:$H$77,8)/1000</f>
        <v>0</v>
      </c>
      <c r="L153" s="309">
        <f>IFERROR('Benzin - diesel - hybrid'!K$40/'Benzin - diesel - hybrid'!K$15,0)</f>
        <v>0</v>
      </c>
      <c r="M153" s="288">
        <f>N153*'Benzin - diesel - hybrid'!M$39*VLOOKUP('Benzin - diesel - hybrid'!M$45+($B153-1),Fremskrivninger!$A$48:$H$77,8)/1000</f>
        <v>0</v>
      </c>
      <c r="N153" s="309">
        <f>IFERROR('Benzin - diesel - hybrid'!M$40/'Benzin - diesel - hybrid'!M$15,0)</f>
        <v>0</v>
      </c>
      <c r="O153" s="288">
        <f>P153*'Benzin - diesel - hybrid'!O$39*VLOOKUP('Benzin - diesel - hybrid'!O$45+($B153-1),Fremskrivninger!$A$48:$H$77,8)/1000</f>
        <v>0</v>
      </c>
      <c r="P153" s="309">
        <f>IFERROR('Benzin - diesel - hybrid'!O$40/'Benzin - diesel - hybrid'!O$15,0)</f>
        <v>0</v>
      </c>
      <c r="Q153" s="288">
        <f>R153*'Benzin - diesel - hybrid'!Q$39*VLOOKUP('Benzin - diesel - hybrid'!Q$45+($B153-1),Fremskrivninger!$A$48:$H$77,8)/1000</f>
        <v>0</v>
      </c>
      <c r="R153" s="309">
        <f>IFERROR('Benzin - diesel - hybrid'!Q$40/'Benzin - diesel - hybrid'!Q$15,0)</f>
        <v>0</v>
      </c>
      <c r="S153" s="288">
        <f>T153*'Benzin - diesel - hybrid'!S$39*VLOOKUP('Benzin - diesel - hybrid'!S$45+($B153-1),Fremskrivninger!$A$48:$H$77,8)/1000</f>
        <v>0</v>
      </c>
      <c r="T153" s="309">
        <f>IFERROR('Benzin - diesel - hybrid'!S$40/'Benzin - diesel - hybrid'!S$15,0)</f>
        <v>0</v>
      </c>
      <c r="U153" s="288">
        <f>V153*'Benzin - diesel - hybrid'!U$39*VLOOKUP('Benzin - diesel - hybrid'!U$45+($B153-1),Fremskrivninger!$A$48:$H$77,8)/1000</f>
        <v>0</v>
      </c>
      <c r="V153" s="309">
        <f>IFERROR('Benzin - diesel - hybrid'!U$40/'Benzin - diesel - hybrid'!U$15,0)</f>
        <v>0</v>
      </c>
      <c r="W153" s="288">
        <f>X153*'Benzin - diesel - hybrid'!W$39*VLOOKUP('Benzin - diesel - hybrid'!W$45+($B153-1),Fremskrivninger!$A$48:$H$77,8)/1000</f>
        <v>0</v>
      </c>
      <c r="X153" s="309">
        <f>IFERROR('Benzin - diesel - hybrid'!W$40/'Benzin - diesel - hybrid'!W$15,0)</f>
        <v>0</v>
      </c>
    </row>
    <row r="154" spans="1:24">
      <c r="A154" s="308"/>
      <c r="B154" s="282">
        <v>13</v>
      </c>
      <c r="C154" s="282">
        <f t="shared" si="9"/>
        <v>13</v>
      </c>
      <c r="D154" s="282"/>
      <c r="E154" s="288">
        <f>F154*'Benzin - diesel - hybrid'!E$39*VLOOKUP('Benzin - diesel - hybrid'!E$45+($B154-1),Fremskrivninger!$A$48:$H$77,8)/1000</f>
        <v>0</v>
      </c>
      <c r="F154" s="309">
        <f>IFERROR('Benzin - diesel - hybrid'!E$40/'Benzin - diesel - hybrid'!E$15,0)</f>
        <v>0</v>
      </c>
      <c r="G154" s="288">
        <f>H154*'Benzin - diesel - hybrid'!G$39*VLOOKUP('Benzin - diesel - hybrid'!G$45+($B154-1),Fremskrivninger!$A$48:$H$77,8)/1000</f>
        <v>0</v>
      </c>
      <c r="H154" s="309">
        <f>IFERROR('Benzin - diesel - hybrid'!G$40/'Benzin - diesel - hybrid'!G$15,0)</f>
        <v>0</v>
      </c>
      <c r="I154" s="288">
        <f>J154*'Benzin - diesel - hybrid'!I$39*VLOOKUP('Benzin - diesel - hybrid'!I$45+($B154-1),Fremskrivninger!$A$48:$H$77,8)/1000</f>
        <v>0</v>
      </c>
      <c r="J154" s="309">
        <f>IFERROR('Benzin - diesel - hybrid'!I$40/'Benzin - diesel - hybrid'!I$15,0)</f>
        <v>0</v>
      </c>
      <c r="K154" s="288">
        <f>L154*'Benzin - diesel - hybrid'!K$39*VLOOKUP('Benzin - diesel - hybrid'!K$45+($B154-1),Fremskrivninger!$A$48:$H$77,8)/1000</f>
        <v>0</v>
      </c>
      <c r="L154" s="309">
        <f>IFERROR('Benzin - diesel - hybrid'!K$40/'Benzin - diesel - hybrid'!K$15,0)</f>
        <v>0</v>
      </c>
      <c r="M154" s="288">
        <f>N154*'Benzin - diesel - hybrid'!M$39*VLOOKUP('Benzin - diesel - hybrid'!M$45+($B154-1),Fremskrivninger!$A$48:$H$77,8)/1000</f>
        <v>0</v>
      </c>
      <c r="N154" s="309">
        <f>IFERROR('Benzin - diesel - hybrid'!M$40/'Benzin - diesel - hybrid'!M$15,0)</f>
        <v>0</v>
      </c>
      <c r="O154" s="288">
        <f>P154*'Benzin - diesel - hybrid'!O$39*VLOOKUP('Benzin - diesel - hybrid'!O$45+($B154-1),Fremskrivninger!$A$48:$H$77,8)/1000</f>
        <v>0</v>
      </c>
      <c r="P154" s="309">
        <f>IFERROR('Benzin - diesel - hybrid'!O$40/'Benzin - diesel - hybrid'!O$15,0)</f>
        <v>0</v>
      </c>
      <c r="Q154" s="288">
        <f>R154*'Benzin - diesel - hybrid'!Q$39*VLOOKUP('Benzin - diesel - hybrid'!Q$45+($B154-1),Fremskrivninger!$A$48:$H$77,8)/1000</f>
        <v>0</v>
      </c>
      <c r="R154" s="309">
        <f>IFERROR('Benzin - diesel - hybrid'!Q$40/'Benzin - diesel - hybrid'!Q$15,0)</f>
        <v>0</v>
      </c>
      <c r="S154" s="288">
        <f>T154*'Benzin - diesel - hybrid'!S$39*VLOOKUP('Benzin - diesel - hybrid'!S$45+($B154-1),Fremskrivninger!$A$48:$H$77,8)/1000</f>
        <v>0</v>
      </c>
      <c r="T154" s="309">
        <f>IFERROR('Benzin - diesel - hybrid'!S$40/'Benzin - diesel - hybrid'!S$15,0)</f>
        <v>0</v>
      </c>
      <c r="U154" s="288">
        <f>V154*'Benzin - diesel - hybrid'!U$39*VLOOKUP('Benzin - diesel - hybrid'!U$45+($B154-1),Fremskrivninger!$A$48:$H$77,8)/1000</f>
        <v>0</v>
      </c>
      <c r="V154" s="309">
        <f>IFERROR('Benzin - diesel - hybrid'!U$40/'Benzin - diesel - hybrid'!U$15,0)</f>
        <v>0</v>
      </c>
      <c r="W154" s="288">
        <f>X154*'Benzin - diesel - hybrid'!W$39*VLOOKUP('Benzin - diesel - hybrid'!W$45+($B154-1),Fremskrivninger!$A$48:$H$77,8)/1000</f>
        <v>0</v>
      </c>
      <c r="X154" s="309">
        <f>IFERROR('Benzin - diesel - hybrid'!W$40/'Benzin - diesel - hybrid'!W$15,0)</f>
        <v>0</v>
      </c>
    </row>
    <row r="155" spans="1:24">
      <c r="A155" s="308"/>
      <c r="B155" s="282">
        <v>14</v>
      </c>
      <c r="C155" s="282">
        <f t="shared" si="9"/>
        <v>14</v>
      </c>
      <c r="D155" s="282"/>
      <c r="E155" s="288">
        <f>F155*'Benzin - diesel - hybrid'!E$39*VLOOKUP('Benzin - diesel - hybrid'!E$45+($B155-1),Fremskrivninger!$A$48:$H$77,8)/1000</f>
        <v>0</v>
      </c>
      <c r="F155" s="309">
        <f>IFERROR('Benzin - diesel - hybrid'!E$40/'Benzin - diesel - hybrid'!E$15,0)</f>
        <v>0</v>
      </c>
      <c r="G155" s="288">
        <f>H155*'Benzin - diesel - hybrid'!G$39*VLOOKUP('Benzin - diesel - hybrid'!G$45+($B155-1),Fremskrivninger!$A$48:$H$77,8)/1000</f>
        <v>0</v>
      </c>
      <c r="H155" s="309">
        <f>IFERROR('Benzin - diesel - hybrid'!G$40/'Benzin - diesel - hybrid'!G$15,0)</f>
        <v>0</v>
      </c>
      <c r="I155" s="288">
        <f>J155*'Benzin - diesel - hybrid'!I$39*VLOOKUP('Benzin - diesel - hybrid'!I$45+($B155-1),Fremskrivninger!$A$48:$H$77,8)/1000</f>
        <v>0</v>
      </c>
      <c r="J155" s="309">
        <f>IFERROR('Benzin - diesel - hybrid'!I$40/'Benzin - diesel - hybrid'!I$15,0)</f>
        <v>0</v>
      </c>
      <c r="K155" s="288">
        <f>L155*'Benzin - diesel - hybrid'!K$39*VLOOKUP('Benzin - diesel - hybrid'!K$45+($B155-1),Fremskrivninger!$A$48:$H$77,8)/1000</f>
        <v>0</v>
      </c>
      <c r="L155" s="309">
        <f>IFERROR('Benzin - diesel - hybrid'!K$40/'Benzin - diesel - hybrid'!K$15,0)</f>
        <v>0</v>
      </c>
      <c r="M155" s="288">
        <f>N155*'Benzin - diesel - hybrid'!M$39*VLOOKUP('Benzin - diesel - hybrid'!M$45+($B155-1),Fremskrivninger!$A$48:$H$77,8)/1000</f>
        <v>0</v>
      </c>
      <c r="N155" s="309">
        <f>IFERROR('Benzin - diesel - hybrid'!M$40/'Benzin - diesel - hybrid'!M$15,0)</f>
        <v>0</v>
      </c>
      <c r="O155" s="288">
        <f>P155*'Benzin - diesel - hybrid'!O$39*VLOOKUP('Benzin - diesel - hybrid'!O$45+($B155-1),Fremskrivninger!$A$48:$H$77,8)/1000</f>
        <v>0</v>
      </c>
      <c r="P155" s="309">
        <f>IFERROR('Benzin - diesel - hybrid'!O$40/'Benzin - diesel - hybrid'!O$15,0)</f>
        <v>0</v>
      </c>
      <c r="Q155" s="288">
        <f>R155*'Benzin - diesel - hybrid'!Q$39*VLOOKUP('Benzin - diesel - hybrid'!Q$45+($B155-1),Fremskrivninger!$A$48:$H$77,8)/1000</f>
        <v>0</v>
      </c>
      <c r="R155" s="309">
        <f>IFERROR('Benzin - diesel - hybrid'!Q$40/'Benzin - diesel - hybrid'!Q$15,0)</f>
        <v>0</v>
      </c>
      <c r="S155" s="288">
        <f>T155*'Benzin - diesel - hybrid'!S$39*VLOOKUP('Benzin - diesel - hybrid'!S$45+($B155-1),Fremskrivninger!$A$48:$H$77,8)/1000</f>
        <v>0</v>
      </c>
      <c r="T155" s="309">
        <f>IFERROR('Benzin - diesel - hybrid'!S$40/'Benzin - diesel - hybrid'!S$15,0)</f>
        <v>0</v>
      </c>
      <c r="U155" s="288">
        <f>V155*'Benzin - diesel - hybrid'!U$39*VLOOKUP('Benzin - diesel - hybrid'!U$45+($B155-1),Fremskrivninger!$A$48:$H$77,8)/1000</f>
        <v>0</v>
      </c>
      <c r="V155" s="309">
        <f>IFERROR('Benzin - diesel - hybrid'!U$40/'Benzin - diesel - hybrid'!U$15,0)</f>
        <v>0</v>
      </c>
      <c r="W155" s="288">
        <f>X155*'Benzin - diesel - hybrid'!W$39*VLOOKUP('Benzin - diesel - hybrid'!W$45+($B155-1),Fremskrivninger!$A$48:$H$77,8)/1000</f>
        <v>0</v>
      </c>
      <c r="X155" s="309">
        <f>IFERROR('Benzin - diesel - hybrid'!W$40/'Benzin - diesel - hybrid'!W$15,0)</f>
        <v>0</v>
      </c>
    </row>
    <row r="156" spans="1:24">
      <c r="A156" s="308"/>
      <c r="B156" s="282">
        <v>15</v>
      </c>
      <c r="C156" s="282">
        <f t="shared" si="9"/>
        <v>15</v>
      </c>
      <c r="D156" s="282"/>
      <c r="E156" s="288">
        <f>F156*'Benzin - diesel - hybrid'!E$39*VLOOKUP('Benzin - diesel - hybrid'!E$45+($B156-1),Fremskrivninger!$A$48:$H$77,8)/1000</f>
        <v>0</v>
      </c>
      <c r="F156" s="309">
        <f>IFERROR('Benzin - diesel - hybrid'!E$40/'Benzin - diesel - hybrid'!E$15,0)</f>
        <v>0</v>
      </c>
      <c r="G156" s="288">
        <f>H156*'Benzin - diesel - hybrid'!G$39*VLOOKUP('Benzin - diesel - hybrid'!G$45+($B156-1),Fremskrivninger!$A$48:$H$77,8)/1000</f>
        <v>0</v>
      </c>
      <c r="H156" s="309">
        <f>IFERROR('Benzin - diesel - hybrid'!G$40/'Benzin - diesel - hybrid'!G$15,0)</f>
        <v>0</v>
      </c>
      <c r="I156" s="288">
        <f>J156*'Benzin - diesel - hybrid'!I$39*VLOOKUP('Benzin - diesel - hybrid'!I$45+($B156-1),Fremskrivninger!$A$48:$H$77,8)/1000</f>
        <v>0</v>
      </c>
      <c r="J156" s="309">
        <f>IFERROR('Benzin - diesel - hybrid'!I$40/'Benzin - diesel - hybrid'!I$15,0)</f>
        <v>0</v>
      </c>
      <c r="K156" s="288">
        <f>L156*'Benzin - diesel - hybrid'!K$39*VLOOKUP('Benzin - diesel - hybrid'!K$45+($B156-1),Fremskrivninger!$A$48:$H$77,8)/1000</f>
        <v>0</v>
      </c>
      <c r="L156" s="309">
        <f>IFERROR('Benzin - diesel - hybrid'!K$40/'Benzin - diesel - hybrid'!K$15,0)</f>
        <v>0</v>
      </c>
      <c r="M156" s="288">
        <f>N156*'Benzin - diesel - hybrid'!M$39*VLOOKUP('Benzin - diesel - hybrid'!M$45+($B156-1),Fremskrivninger!$A$48:$H$77,8)/1000</f>
        <v>0</v>
      </c>
      <c r="N156" s="309">
        <f>IFERROR('Benzin - diesel - hybrid'!M$40/'Benzin - diesel - hybrid'!M$15,0)</f>
        <v>0</v>
      </c>
      <c r="O156" s="288">
        <f>P156*'Benzin - diesel - hybrid'!O$39*VLOOKUP('Benzin - diesel - hybrid'!O$45+($B156-1),Fremskrivninger!$A$48:$H$77,8)/1000</f>
        <v>0</v>
      </c>
      <c r="P156" s="309">
        <f>IFERROR('Benzin - diesel - hybrid'!O$40/'Benzin - diesel - hybrid'!O$15,0)</f>
        <v>0</v>
      </c>
      <c r="Q156" s="288">
        <f>R156*'Benzin - diesel - hybrid'!Q$39*VLOOKUP('Benzin - diesel - hybrid'!Q$45+($B156-1),Fremskrivninger!$A$48:$H$77,8)/1000</f>
        <v>0</v>
      </c>
      <c r="R156" s="309">
        <f>IFERROR('Benzin - diesel - hybrid'!Q$40/'Benzin - diesel - hybrid'!Q$15,0)</f>
        <v>0</v>
      </c>
      <c r="S156" s="288">
        <f>T156*'Benzin - diesel - hybrid'!S$39*VLOOKUP('Benzin - diesel - hybrid'!S$45+($B156-1),Fremskrivninger!$A$48:$H$77,8)/1000</f>
        <v>0</v>
      </c>
      <c r="T156" s="309">
        <f>IFERROR('Benzin - diesel - hybrid'!S$40/'Benzin - diesel - hybrid'!S$15,0)</f>
        <v>0</v>
      </c>
      <c r="U156" s="288">
        <f>V156*'Benzin - diesel - hybrid'!U$39*VLOOKUP('Benzin - diesel - hybrid'!U$45+($B156-1),Fremskrivninger!$A$48:$H$77,8)/1000</f>
        <v>0</v>
      </c>
      <c r="V156" s="309">
        <f>IFERROR('Benzin - diesel - hybrid'!U$40/'Benzin - diesel - hybrid'!U$15,0)</f>
        <v>0</v>
      </c>
      <c r="W156" s="288">
        <f>X156*'Benzin - diesel - hybrid'!W$39*VLOOKUP('Benzin - diesel - hybrid'!W$45+($B156-1),Fremskrivninger!$A$48:$H$77,8)/1000</f>
        <v>0</v>
      </c>
      <c r="X156" s="309">
        <f>IFERROR('Benzin - diesel - hybrid'!W$40/'Benzin - diesel - hybrid'!W$15,0)</f>
        <v>0</v>
      </c>
    </row>
    <row r="157" spans="1:24">
      <c r="A157" s="308"/>
      <c r="B157" s="282">
        <v>16</v>
      </c>
      <c r="C157" s="282">
        <f t="shared" si="9"/>
        <v>16</v>
      </c>
      <c r="D157" s="282"/>
      <c r="E157" s="288">
        <f>F157*'Benzin - diesel - hybrid'!E$39*VLOOKUP('Benzin - diesel - hybrid'!E$45+($B157-1),Fremskrivninger!$A$48:$H$77,8)/1000</f>
        <v>0</v>
      </c>
      <c r="F157" s="309">
        <f>IFERROR('Benzin - diesel - hybrid'!E$40/'Benzin - diesel - hybrid'!E$15,0)</f>
        <v>0</v>
      </c>
      <c r="G157" s="288">
        <f>H157*'Benzin - diesel - hybrid'!G$39*VLOOKUP('Benzin - diesel - hybrid'!G$45+($B157-1),Fremskrivninger!$A$48:$H$77,8)/1000</f>
        <v>0</v>
      </c>
      <c r="H157" s="309">
        <f>IFERROR('Benzin - diesel - hybrid'!G$40/'Benzin - diesel - hybrid'!G$15,0)</f>
        <v>0</v>
      </c>
      <c r="I157" s="288">
        <f>J157*'Benzin - diesel - hybrid'!I$39*VLOOKUP('Benzin - diesel - hybrid'!I$45+($B157-1),Fremskrivninger!$A$48:$H$77,8)/1000</f>
        <v>0</v>
      </c>
      <c r="J157" s="309">
        <f>IFERROR('Benzin - diesel - hybrid'!I$40/'Benzin - diesel - hybrid'!I$15,0)</f>
        <v>0</v>
      </c>
      <c r="K157" s="288">
        <f>L157*'Benzin - diesel - hybrid'!K$39*VLOOKUP('Benzin - diesel - hybrid'!K$45+($B157-1),Fremskrivninger!$A$48:$H$77,8)/1000</f>
        <v>0</v>
      </c>
      <c r="L157" s="309">
        <f>IFERROR('Benzin - diesel - hybrid'!K$40/'Benzin - diesel - hybrid'!K$15,0)</f>
        <v>0</v>
      </c>
      <c r="M157" s="288">
        <f>N157*'Benzin - diesel - hybrid'!M$39*VLOOKUP('Benzin - diesel - hybrid'!M$45+($B157-1),Fremskrivninger!$A$48:$H$77,8)/1000</f>
        <v>0</v>
      </c>
      <c r="N157" s="309">
        <f>IFERROR('Benzin - diesel - hybrid'!M$40/'Benzin - diesel - hybrid'!M$15,0)</f>
        <v>0</v>
      </c>
      <c r="O157" s="288">
        <f>P157*'Benzin - diesel - hybrid'!O$39*VLOOKUP('Benzin - diesel - hybrid'!O$45+($B157-1),Fremskrivninger!$A$48:$H$77,8)/1000</f>
        <v>0</v>
      </c>
      <c r="P157" s="309">
        <f>IFERROR('Benzin - diesel - hybrid'!O$40/'Benzin - diesel - hybrid'!O$15,0)</f>
        <v>0</v>
      </c>
      <c r="Q157" s="288">
        <f>R157*'Benzin - diesel - hybrid'!Q$39*VLOOKUP('Benzin - diesel - hybrid'!Q$45+($B157-1),Fremskrivninger!$A$48:$H$77,8)/1000</f>
        <v>0</v>
      </c>
      <c r="R157" s="309">
        <f>IFERROR('Benzin - diesel - hybrid'!Q$40/'Benzin - diesel - hybrid'!Q$15,0)</f>
        <v>0</v>
      </c>
      <c r="S157" s="288">
        <f>T157*'Benzin - diesel - hybrid'!S$39*VLOOKUP('Benzin - diesel - hybrid'!S$45+($B157-1),Fremskrivninger!$A$48:$H$77,8)/1000</f>
        <v>0</v>
      </c>
      <c r="T157" s="309">
        <f>IFERROR('Benzin - diesel - hybrid'!S$40/'Benzin - diesel - hybrid'!S$15,0)</f>
        <v>0</v>
      </c>
      <c r="U157" s="288">
        <f>V157*'Benzin - diesel - hybrid'!U$39*VLOOKUP('Benzin - diesel - hybrid'!U$45+($B157-1),Fremskrivninger!$A$48:$H$77,8)/1000</f>
        <v>0</v>
      </c>
      <c r="V157" s="309">
        <f>IFERROR('Benzin - diesel - hybrid'!U$40/'Benzin - diesel - hybrid'!U$15,0)</f>
        <v>0</v>
      </c>
      <c r="W157" s="288">
        <f>X157*'Benzin - diesel - hybrid'!W$39*VLOOKUP('Benzin - diesel - hybrid'!W$45+($B157-1),Fremskrivninger!$A$48:$H$77,8)/1000</f>
        <v>0</v>
      </c>
      <c r="X157" s="309">
        <f>IFERROR('Benzin - diesel - hybrid'!W$40/'Benzin - diesel - hybrid'!W$15,0)</f>
        <v>0</v>
      </c>
    </row>
    <row r="158" spans="1:24">
      <c r="A158" s="308"/>
      <c r="B158" s="282">
        <v>17</v>
      </c>
      <c r="C158" s="282">
        <f t="shared" si="9"/>
        <v>17</v>
      </c>
      <c r="D158" s="282"/>
      <c r="E158" s="288">
        <f>F158*'Benzin - diesel - hybrid'!E$39*VLOOKUP('Benzin - diesel - hybrid'!E$45+($B158-1),Fremskrivninger!$A$48:$H$77,8)/1000</f>
        <v>0</v>
      </c>
      <c r="F158" s="309">
        <f>IFERROR('Benzin - diesel - hybrid'!E$40/'Benzin - diesel - hybrid'!E$15,0)</f>
        <v>0</v>
      </c>
      <c r="G158" s="288">
        <f>H158*'Benzin - diesel - hybrid'!G$39*VLOOKUP('Benzin - diesel - hybrid'!G$45+($B158-1),Fremskrivninger!$A$48:$H$77,8)/1000</f>
        <v>0</v>
      </c>
      <c r="H158" s="309">
        <f>IFERROR('Benzin - diesel - hybrid'!G$40/'Benzin - diesel - hybrid'!G$15,0)</f>
        <v>0</v>
      </c>
      <c r="I158" s="288">
        <f>J158*'Benzin - diesel - hybrid'!I$39*VLOOKUP('Benzin - diesel - hybrid'!I$45+($B158-1),Fremskrivninger!$A$48:$H$77,8)/1000</f>
        <v>0</v>
      </c>
      <c r="J158" s="309">
        <f>IFERROR('Benzin - diesel - hybrid'!I$40/'Benzin - diesel - hybrid'!I$15,0)</f>
        <v>0</v>
      </c>
      <c r="K158" s="288">
        <f>L158*'Benzin - diesel - hybrid'!K$39*VLOOKUP('Benzin - diesel - hybrid'!K$45+($B158-1),Fremskrivninger!$A$48:$H$77,8)/1000</f>
        <v>0</v>
      </c>
      <c r="L158" s="309">
        <f>IFERROR('Benzin - diesel - hybrid'!K$40/'Benzin - diesel - hybrid'!K$15,0)</f>
        <v>0</v>
      </c>
      <c r="M158" s="288">
        <f>N158*'Benzin - diesel - hybrid'!M$39*VLOOKUP('Benzin - diesel - hybrid'!M$45+($B158-1),Fremskrivninger!$A$48:$H$77,8)/1000</f>
        <v>0</v>
      </c>
      <c r="N158" s="309">
        <f>IFERROR('Benzin - diesel - hybrid'!M$40/'Benzin - diesel - hybrid'!M$15,0)</f>
        <v>0</v>
      </c>
      <c r="O158" s="288">
        <f>P158*'Benzin - diesel - hybrid'!O$39*VLOOKUP('Benzin - diesel - hybrid'!O$45+($B158-1),Fremskrivninger!$A$48:$H$77,8)/1000</f>
        <v>0</v>
      </c>
      <c r="P158" s="309">
        <f>IFERROR('Benzin - diesel - hybrid'!O$40/'Benzin - diesel - hybrid'!O$15,0)</f>
        <v>0</v>
      </c>
      <c r="Q158" s="288">
        <f>R158*'Benzin - diesel - hybrid'!Q$39*VLOOKUP('Benzin - diesel - hybrid'!Q$45+($B158-1),Fremskrivninger!$A$48:$H$77,8)/1000</f>
        <v>0</v>
      </c>
      <c r="R158" s="309">
        <f>IFERROR('Benzin - diesel - hybrid'!Q$40/'Benzin - diesel - hybrid'!Q$15,0)</f>
        <v>0</v>
      </c>
      <c r="S158" s="288">
        <f>T158*'Benzin - diesel - hybrid'!S$39*VLOOKUP('Benzin - diesel - hybrid'!S$45+($B158-1),Fremskrivninger!$A$48:$H$77,8)/1000</f>
        <v>0</v>
      </c>
      <c r="T158" s="309">
        <f>IFERROR('Benzin - diesel - hybrid'!S$40/'Benzin - diesel - hybrid'!S$15,0)</f>
        <v>0</v>
      </c>
      <c r="U158" s="288">
        <f>V158*'Benzin - diesel - hybrid'!U$39*VLOOKUP('Benzin - diesel - hybrid'!U$45+($B158-1),Fremskrivninger!$A$48:$H$77,8)/1000</f>
        <v>0</v>
      </c>
      <c r="V158" s="309">
        <f>IFERROR('Benzin - diesel - hybrid'!U$40/'Benzin - diesel - hybrid'!U$15,0)</f>
        <v>0</v>
      </c>
      <c r="W158" s="288">
        <f>X158*'Benzin - diesel - hybrid'!W$39*VLOOKUP('Benzin - diesel - hybrid'!W$45+($B158-1),Fremskrivninger!$A$48:$H$77,8)/1000</f>
        <v>0</v>
      </c>
      <c r="X158" s="309">
        <f>IFERROR('Benzin - diesel - hybrid'!W$40/'Benzin - diesel - hybrid'!W$15,0)</f>
        <v>0</v>
      </c>
    </row>
    <row r="159" spans="1:24">
      <c r="A159" s="308"/>
      <c r="B159" s="282">
        <v>18</v>
      </c>
      <c r="C159" s="282">
        <f t="shared" si="9"/>
        <v>18</v>
      </c>
      <c r="D159" s="282"/>
      <c r="E159" s="288">
        <f>F159*'Benzin - diesel - hybrid'!E$39*VLOOKUP('Benzin - diesel - hybrid'!E$45+($B159-1),Fremskrivninger!$A$48:$H$77,8)/1000</f>
        <v>0</v>
      </c>
      <c r="F159" s="309">
        <f>IFERROR('Benzin - diesel - hybrid'!E$40/'Benzin - diesel - hybrid'!E$15,0)</f>
        <v>0</v>
      </c>
      <c r="G159" s="288">
        <f>H159*'Benzin - diesel - hybrid'!G$39*VLOOKUP('Benzin - diesel - hybrid'!G$45+($B159-1),Fremskrivninger!$A$48:$H$77,8)/1000</f>
        <v>0</v>
      </c>
      <c r="H159" s="309">
        <f>IFERROR('Benzin - diesel - hybrid'!G$40/'Benzin - diesel - hybrid'!G$15,0)</f>
        <v>0</v>
      </c>
      <c r="I159" s="288">
        <f>J159*'Benzin - diesel - hybrid'!I$39*VLOOKUP('Benzin - diesel - hybrid'!I$45+($B159-1),Fremskrivninger!$A$48:$H$77,8)/1000</f>
        <v>0</v>
      </c>
      <c r="J159" s="309">
        <f>IFERROR('Benzin - diesel - hybrid'!I$40/'Benzin - diesel - hybrid'!I$15,0)</f>
        <v>0</v>
      </c>
      <c r="K159" s="288">
        <f>L159*'Benzin - diesel - hybrid'!K$39*VLOOKUP('Benzin - diesel - hybrid'!K$45+($B159-1),Fremskrivninger!$A$48:$H$77,8)/1000</f>
        <v>0</v>
      </c>
      <c r="L159" s="309">
        <f>IFERROR('Benzin - diesel - hybrid'!K$40/'Benzin - diesel - hybrid'!K$15,0)</f>
        <v>0</v>
      </c>
      <c r="M159" s="288">
        <f>N159*'Benzin - diesel - hybrid'!M$39*VLOOKUP('Benzin - diesel - hybrid'!M$45+($B159-1),Fremskrivninger!$A$48:$H$77,8)/1000</f>
        <v>0</v>
      </c>
      <c r="N159" s="309">
        <f>IFERROR('Benzin - diesel - hybrid'!M$40/'Benzin - diesel - hybrid'!M$15,0)</f>
        <v>0</v>
      </c>
      <c r="O159" s="288">
        <f>P159*'Benzin - diesel - hybrid'!O$39*VLOOKUP('Benzin - diesel - hybrid'!O$45+($B159-1),Fremskrivninger!$A$48:$H$77,8)/1000</f>
        <v>0</v>
      </c>
      <c r="P159" s="309">
        <f>IFERROR('Benzin - diesel - hybrid'!O$40/'Benzin - diesel - hybrid'!O$15,0)</f>
        <v>0</v>
      </c>
      <c r="Q159" s="288">
        <f>R159*'Benzin - diesel - hybrid'!Q$39*VLOOKUP('Benzin - diesel - hybrid'!Q$45+($B159-1),Fremskrivninger!$A$48:$H$77,8)/1000</f>
        <v>0</v>
      </c>
      <c r="R159" s="309">
        <f>IFERROR('Benzin - diesel - hybrid'!Q$40/'Benzin - diesel - hybrid'!Q$15,0)</f>
        <v>0</v>
      </c>
      <c r="S159" s="288">
        <f>T159*'Benzin - diesel - hybrid'!S$39*VLOOKUP('Benzin - diesel - hybrid'!S$45+($B159-1),Fremskrivninger!$A$48:$H$77,8)/1000</f>
        <v>0</v>
      </c>
      <c r="T159" s="309">
        <f>IFERROR('Benzin - diesel - hybrid'!S$40/'Benzin - diesel - hybrid'!S$15,0)</f>
        <v>0</v>
      </c>
      <c r="U159" s="288">
        <f>V159*'Benzin - diesel - hybrid'!U$39*VLOOKUP('Benzin - diesel - hybrid'!U$45+($B159-1),Fremskrivninger!$A$48:$H$77,8)/1000</f>
        <v>0</v>
      </c>
      <c r="V159" s="309">
        <f>IFERROR('Benzin - diesel - hybrid'!U$40/'Benzin - diesel - hybrid'!U$15,0)</f>
        <v>0</v>
      </c>
      <c r="W159" s="288">
        <f>X159*'Benzin - diesel - hybrid'!W$39*VLOOKUP('Benzin - diesel - hybrid'!W$45+($B159-1),Fremskrivninger!$A$48:$H$77,8)/1000</f>
        <v>0</v>
      </c>
      <c r="X159" s="309">
        <f>IFERROR('Benzin - diesel - hybrid'!W$40/'Benzin - diesel - hybrid'!W$15,0)</f>
        <v>0</v>
      </c>
    </row>
    <row r="160" spans="1:24">
      <c r="A160" s="308"/>
      <c r="B160" s="282">
        <v>19</v>
      </c>
      <c r="C160" s="282">
        <f t="shared" si="9"/>
        <v>19</v>
      </c>
      <c r="D160" s="282"/>
      <c r="E160" s="288">
        <f>F160*'Benzin - diesel - hybrid'!E$39*VLOOKUP('Benzin - diesel - hybrid'!E$45+($B160-1),Fremskrivninger!$A$48:$H$77,8)/1000</f>
        <v>0</v>
      </c>
      <c r="F160" s="309">
        <f>IFERROR('Benzin - diesel - hybrid'!E$40/'Benzin - diesel - hybrid'!E$15,0)</f>
        <v>0</v>
      </c>
      <c r="G160" s="288">
        <f>H160*'Benzin - diesel - hybrid'!G$39*VLOOKUP('Benzin - diesel - hybrid'!G$45+($B160-1),Fremskrivninger!$A$48:$H$77,8)/1000</f>
        <v>0</v>
      </c>
      <c r="H160" s="309">
        <f>IFERROR('Benzin - diesel - hybrid'!G$40/'Benzin - diesel - hybrid'!G$15,0)</f>
        <v>0</v>
      </c>
      <c r="I160" s="288">
        <f>J160*'Benzin - diesel - hybrid'!I$39*VLOOKUP('Benzin - diesel - hybrid'!I$45+($B160-1),Fremskrivninger!$A$48:$H$77,8)/1000</f>
        <v>0</v>
      </c>
      <c r="J160" s="309">
        <f>IFERROR('Benzin - diesel - hybrid'!I$40/'Benzin - diesel - hybrid'!I$15,0)</f>
        <v>0</v>
      </c>
      <c r="K160" s="288">
        <f>L160*'Benzin - diesel - hybrid'!K$39*VLOOKUP('Benzin - diesel - hybrid'!K$45+($B160-1),Fremskrivninger!$A$48:$H$77,8)/1000</f>
        <v>0</v>
      </c>
      <c r="L160" s="309">
        <f>IFERROR('Benzin - diesel - hybrid'!K$40/'Benzin - diesel - hybrid'!K$15,0)</f>
        <v>0</v>
      </c>
      <c r="M160" s="288">
        <f>N160*'Benzin - diesel - hybrid'!M$39*VLOOKUP('Benzin - diesel - hybrid'!M$45+($B160-1),Fremskrivninger!$A$48:$H$77,8)/1000</f>
        <v>0</v>
      </c>
      <c r="N160" s="309">
        <f>IFERROR('Benzin - diesel - hybrid'!M$40/'Benzin - diesel - hybrid'!M$15,0)</f>
        <v>0</v>
      </c>
      <c r="O160" s="288">
        <f>P160*'Benzin - diesel - hybrid'!O$39*VLOOKUP('Benzin - diesel - hybrid'!O$45+($B160-1),Fremskrivninger!$A$48:$H$77,8)/1000</f>
        <v>0</v>
      </c>
      <c r="P160" s="309">
        <f>IFERROR('Benzin - diesel - hybrid'!O$40/'Benzin - diesel - hybrid'!O$15,0)</f>
        <v>0</v>
      </c>
      <c r="Q160" s="288">
        <f>R160*'Benzin - diesel - hybrid'!Q$39*VLOOKUP('Benzin - diesel - hybrid'!Q$45+($B160-1),Fremskrivninger!$A$48:$H$77,8)/1000</f>
        <v>0</v>
      </c>
      <c r="R160" s="309">
        <f>IFERROR('Benzin - diesel - hybrid'!Q$40/'Benzin - diesel - hybrid'!Q$15,0)</f>
        <v>0</v>
      </c>
      <c r="S160" s="288">
        <f>T160*'Benzin - diesel - hybrid'!S$39*VLOOKUP('Benzin - diesel - hybrid'!S$45+($B160-1),Fremskrivninger!$A$48:$H$77,8)/1000</f>
        <v>0</v>
      </c>
      <c r="T160" s="309">
        <f>IFERROR('Benzin - diesel - hybrid'!S$40/'Benzin - diesel - hybrid'!S$15,0)</f>
        <v>0</v>
      </c>
      <c r="U160" s="288">
        <f>V160*'Benzin - diesel - hybrid'!U$39*VLOOKUP('Benzin - diesel - hybrid'!U$45+($B160-1),Fremskrivninger!$A$48:$H$77,8)/1000</f>
        <v>0</v>
      </c>
      <c r="V160" s="309">
        <f>IFERROR('Benzin - diesel - hybrid'!U$40/'Benzin - diesel - hybrid'!U$15,0)</f>
        <v>0</v>
      </c>
      <c r="W160" s="288">
        <f>X160*'Benzin - diesel - hybrid'!W$39*VLOOKUP('Benzin - diesel - hybrid'!W$45+($B160-1),Fremskrivninger!$A$48:$H$77,8)/1000</f>
        <v>0</v>
      </c>
      <c r="X160" s="309">
        <f>IFERROR('Benzin - diesel - hybrid'!W$40/'Benzin - diesel - hybrid'!W$15,0)</f>
        <v>0</v>
      </c>
    </row>
    <row r="161" spans="1:24">
      <c r="A161" s="311"/>
      <c r="B161" s="287">
        <v>20</v>
      </c>
      <c r="C161" s="287">
        <f t="shared" si="9"/>
        <v>20</v>
      </c>
      <c r="D161" s="287"/>
      <c r="E161" s="288">
        <f>F161*'Benzin - diesel - hybrid'!E$39*VLOOKUP('Benzin - diesel - hybrid'!E$45+($B161-1),Fremskrivninger!$A$48:$H$77,8)/1000</f>
        <v>0</v>
      </c>
      <c r="F161" s="309">
        <f>IFERROR('Benzin - diesel - hybrid'!E$40/'Benzin - diesel - hybrid'!E$15,0)</f>
        <v>0</v>
      </c>
      <c r="G161" s="288">
        <f>H161*'Benzin - diesel - hybrid'!G$39*VLOOKUP('Benzin - diesel - hybrid'!G$45+($B161-1),Fremskrivninger!$A$48:$H$77,8)/1000</f>
        <v>0</v>
      </c>
      <c r="H161" s="309">
        <f>IFERROR('Benzin - diesel - hybrid'!G$40/'Benzin - diesel - hybrid'!G$15,0)</f>
        <v>0</v>
      </c>
      <c r="I161" s="288">
        <f>J161*'Benzin - diesel - hybrid'!I$39*VLOOKUP('Benzin - diesel - hybrid'!I$45+($B161-1),Fremskrivninger!$A$48:$H$77,8)/1000</f>
        <v>0</v>
      </c>
      <c r="J161" s="309">
        <f>IFERROR('Benzin - diesel - hybrid'!I$40/'Benzin - diesel - hybrid'!I$15,0)</f>
        <v>0</v>
      </c>
      <c r="K161" s="288">
        <f>L161*'Benzin - diesel - hybrid'!K$39*VLOOKUP('Benzin - diesel - hybrid'!K$45+($B161-1),Fremskrivninger!$A$48:$H$77,8)/1000</f>
        <v>0</v>
      </c>
      <c r="L161" s="309">
        <f>IFERROR('Benzin - diesel - hybrid'!K$40/'Benzin - diesel - hybrid'!K$15,0)</f>
        <v>0</v>
      </c>
      <c r="M161" s="288">
        <f>N161*'Benzin - diesel - hybrid'!M$39*VLOOKUP('Benzin - diesel - hybrid'!M$45+($B161-1),Fremskrivninger!$A$48:$H$77,8)/1000</f>
        <v>0</v>
      </c>
      <c r="N161" s="309">
        <f>IFERROR('Benzin - diesel - hybrid'!M$40/'Benzin - diesel - hybrid'!M$15,0)</f>
        <v>0</v>
      </c>
      <c r="O161" s="288">
        <f>P161*'Benzin - diesel - hybrid'!O$39*VLOOKUP('Benzin - diesel - hybrid'!O$45+($B161-1),Fremskrivninger!$A$48:$H$77,8)/1000</f>
        <v>0</v>
      </c>
      <c r="P161" s="309">
        <f>IFERROR('Benzin - diesel - hybrid'!O$40/'Benzin - diesel - hybrid'!O$15,0)</f>
        <v>0</v>
      </c>
      <c r="Q161" s="288">
        <f>R161*'Benzin - diesel - hybrid'!Q$39*VLOOKUP('Benzin - diesel - hybrid'!Q$45+($B161-1),Fremskrivninger!$A$48:$H$77,8)/1000</f>
        <v>0</v>
      </c>
      <c r="R161" s="309">
        <f>IFERROR('Benzin - diesel - hybrid'!Q$40/'Benzin - diesel - hybrid'!Q$15,0)</f>
        <v>0</v>
      </c>
      <c r="S161" s="288">
        <f>T161*'Benzin - diesel - hybrid'!S$39*VLOOKUP('Benzin - diesel - hybrid'!S$45+($B161-1),Fremskrivninger!$A$48:$H$77,8)/1000</f>
        <v>0</v>
      </c>
      <c r="T161" s="309">
        <f>IFERROR('Benzin - diesel - hybrid'!S$40/'Benzin - diesel - hybrid'!S$15,0)</f>
        <v>0</v>
      </c>
      <c r="U161" s="288">
        <f>V161*'Benzin - diesel - hybrid'!U$39*VLOOKUP('Benzin - diesel - hybrid'!U$45+($B161-1),Fremskrivninger!$A$48:$H$77,8)/1000</f>
        <v>0</v>
      </c>
      <c r="V161" s="309">
        <f>IFERROR('Benzin - diesel - hybrid'!U$40/'Benzin - diesel - hybrid'!U$15,0)</f>
        <v>0</v>
      </c>
      <c r="W161" s="288">
        <f>X161*'Benzin - diesel - hybrid'!W$39*VLOOKUP('Benzin - diesel - hybrid'!W$45+($B161-1),Fremskrivninger!$A$48:$H$77,8)/1000</f>
        <v>0</v>
      </c>
      <c r="X161" s="309">
        <f>IFERROR('Benzin - diesel - hybrid'!W$40/'Benzin - diesel - hybrid'!W$15,0)</f>
        <v>0</v>
      </c>
    </row>
    <row r="163" spans="1:24">
      <c r="A163" s="286" t="s">
        <v>175</v>
      </c>
      <c r="B163" s="305"/>
      <c r="C163" s="305"/>
      <c r="D163" s="305"/>
      <c r="E163" s="305"/>
      <c r="F163" s="305"/>
      <c r="G163" s="305"/>
      <c r="H163" s="305"/>
      <c r="I163" s="305"/>
      <c r="J163" s="305"/>
      <c r="K163" s="305"/>
      <c r="L163" s="305"/>
      <c r="M163" s="305"/>
      <c r="N163" s="305"/>
      <c r="O163" s="305"/>
      <c r="P163" s="305"/>
      <c r="Q163" s="305"/>
      <c r="R163" s="305"/>
      <c r="S163" s="305"/>
      <c r="T163" s="310"/>
      <c r="U163" s="305"/>
      <c r="V163" s="310"/>
      <c r="W163" s="305"/>
      <c r="X163" s="310"/>
    </row>
    <row r="164" spans="1:24" ht="68.25">
      <c r="A164" s="279"/>
      <c r="B164" s="280" t="s">
        <v>20</v>
      </c>
      <c r="C164" s="305"/>
      <c r="D164" s="305" t="s">
        <v>21</v>
      </c>
      <c r="E164" s="281" t="str">
        <f>E141</f>
        <v>PRODUKT 1</v>
      </c>
      <c r="F164" s="306" t="str">
        <f>E164&amp;" - Årligt dieselforbrug (liter/år/produkt)"</f>
        <v>PRODUKT 1 - Årligt dieselforbrug (liter/år/produkt)</v>
      </c>
      <c r="G164" s="281" t="str">
        <f>G141</f>
        <v>PRODUKT 2</v>
      </c>
      <c r="H164" s="306" t="str">
        <f>G164&amp;" - Årligt dieselforbrug (liter/år/produkt)"</f>
        <v>PRODUKT 2 - Årligt dieselforbrug (liter/år/produkt)</v>
      </c>
      <c r="I164" s="281" t="str">
        <f>I141</f>
        <v>PRODUKT 3</v>
      </c>
      <c r="J164" s="306" t="str">
        <f>I164&amp;" - Årligt dieselforbrug (liter/år/produkt)"</f>
        <v>PRODUKT 3 - Årligt dieselforbrug (liter/år/produkt)</v>
      </c>
      <c r="K164" s="281" t="str">
        <f>K141</f>
        <v>PRODUKT 4</v>
      </c>
      <c r="L164" s="306" t="str">
        <f>K164&amp;" - Årligt dieselforbrug (liter/år/produkt)"</f>
        <v>PRODUKT 4 - Årligt dieselforbrug (liter/år/produkt)</v>
      </c>
      <c r="M164" s="281" t="str">
        <f>M141</f>
        <v>PRODUKT 5</v>
      </c>
      <c r="N164" s="306" t="str">
        <f>M164&amp;" - Årligt dieselforbrug (liter/år/produkt)"</f>
        <v>PRODUKT 5 - Årligt dieselforbrug (liter/år/produkt)</v>
      </c>
      <c r="O164" s="281" t="str">
        <f>O141</f>
        <v>PRODUKT 6</v>
      </c>
      <c r="P164" s="306" t="str">
        <f>O164&amp;" - Årligt dieselforbrug (liter/år/produkt)"</f>
        <v>PRODUKT 6 - Årligt dieselforbrug (liter/år/produkt)</v>
      </c>
      <c r="Q164" s="281" t="str">
        <f>Q141</f>
        <v>PRODUKT 7</v>
      </c>
      <c r="R164" s="306" t="str">
        <f>Q164&amp;" - Årligt dieselforbrug (liter/år/produkt)"</f>
        <v>PRODUKT 7 - Årligt dieselforbrug (liter/år/produkt)</v>
      </c>
      <c r="S164" s="281" t="str">
        <f>S141</f>
        <v>PRODUKT 8</v>
      </c>
      <c r="T164" s="306" t="str">
        <f>S164&amp;" - Årligt dieselforbrug (liter/år/produkt)"</f>
        <v>PRODUKT 8 - Årligt dieselforbrug (liter/år/produkt)</v>
      </c>
      <c r="U164" s="281" t="str">
        <f>U141</f>
        <v>PRODUKT 9</v>
      </c>
      <c r="V164" s="306" t="str">
        <f>U164&amp;" - Årligt dieselforbrug (liter/år/produkt)"</f>
        <v>PRODUKT 9 - Årligt dieselforbrug (liter/år/produkt)</v>
      </c>
      <c r="W164" s="281" t="str">
        <f>W141</f>
        <v>PRODUKT 10</v>
      </c>
      <c r="X164" s="306" t="str">
        <f>W164&amp;" - Årligt dieselforbrug (liter/år/produkt)"</f>
        <v>PRODUKT 10 - Årligt dieselforbrug (liter/år/produkt)</v>
      </c>
    </row>
    <row r="165" spans="1:24">
      <c r="A165" s="308"/>
      <c r="B165" s="282">
        <v>1</v>
      </c>
      <c r="C165" s="282">
        <f>B165</f>
        <v>1</v>
      </c>
      <c r="D165" s="282"/>
      <c r="E165" s="288">
        <f>F142*'Benzin - diesel - hybrid'!E$39*VLOOKUP('Benzin - diesel - hybrid'!E$45+($B165-1),Fremskrivninger!$A$92:$H$121,8)/1000</f>
        <v>0</v>
      </c>
      <c r="F165" s="309">
        <f>IFERROR('Benzin - diesel - hybrid'!E$40/'Benzin - diesel - hybrid'!E$15,0)</f>
        <v>0</v>
      </c>
      <c r="G165" s="288">
        <f>H142*'Benzin - diesel - hybrid'!G$39*VLOOKUP('Benzin - diesel - hybrid'!G$45+($B165-1),Fremskrivninger!$A$92:$H$121,8)/1000</f>
        <v>0</v>
      </c>
      <c r="H165" s="309">
        <f>IFERROR('Benzin - diesel - hybrid'!G$40/'Benzin - diesel - hybrid'!G$15,0)</f>
        <v>0</v>
      </c>
      <c r="I165" s="288">
        <f>J142*'Benzin - diesel - hybrid'!I$39*VLOOKUP('Benzin - diesel - hybrid'!I$45+($B165-1),Fremskrivninger!$A$92:$H$121,8)/1000</f>
        <v>0</v>
      </c>
      <c r="J165" s="309">
        <f>IFERROR('Benzin - diesel - hybrid'!I$40/'Benzin - diesel - hybrid'!I$15,0)</f>
        <v>0</v>
      </c>
      <c r="K165" s="288">
        <f>L142*'Benzin - diesel - hybrid'!K$39*VLOOKUP('Benzin - diesel - hybrid'!K$45+($B165-1),Fremskrivninger!$A$92:$H$121,8)/1000</f>
        <v>0</v>
      </c>
      <c r="L165" s="309">
        <f>IFERROR('Benzin - diesel - hybrid'!K$40/'Benzin - diesel - hybrid'!K$15,0)</f>
        <v>0</v>
      </c>
      <c r="M165" s="288">
        <f>N142*'Benzin - diesel - hybrid'!M$39*VLOOKUP('Benzin - diesel - hybrid'!M$45+($B165-1),Fremskrivninger!$A$92:$H$121,8)/1000</f>
        <v>0</v>
      </c>
      <c r="N165" s="309">
        <f>IFERROR('Benzin - diesel - hybrid'!M$40/'Benzin - diesel - hybrid'!M$15,0)</f>
        <v>0</v>
      </c>
      <c r="O165" s="288">
        <f>P142*'Benzin - diesel - hybrid'!O$39*VLOOKUP('Benzin - diesel - hybrid'!O$45+($B165-1),Fremskrivninger!$A$92:$H$121,8)/1000</f>
        <v>0</v>
      </c>
      <c r="P165" s="309">
        <f>IFERROR('Benzin - diesel - hybrid'!O$40/'Benzin - diesel - hybrid'!O$15,0)</f>
        <v>0</v>
      </c>
      <c r="Q165" s="288">
        <f>R142*'Benzin - diesel - hybrid'!Q$39*VLOOKUP('Benzin - diesel - hybrid'!Q$45+($B165-1),Fremskrivninger!$A$92:$H$121,8)/1000</f>
        <v>0</v>
      </c>
      <c r="R165" s="309">
        <f>IFERROR('Benzin - diesel - hybrid'!Q$40/'Benzin - diesel - hybrid'!Q$15,0)</f>
        <v>0</v>
      </c>
      <c r="S165" s="288">
        <f>T142*'Benzin - diesel - hybrid'!S$39*VLOOKUP('Benzin - diesel - hybrid'!S$45+($B165-1),Fremskrivninger!$A$92:$H$121,8)/1000</f>
        <v>0</v>
      </c>
      <c r="T165" s="309">
        <f>IFERROR('Benzin - diesel - hybrid'!S$40/'Benzin - diesel - hybrid'!S$15,0)</f>
        <v>0</v>
      </c>
      <c r="U165" s="288">
        <f>V142*'Benzin - diesel - hybrid'!U$39*VLOOKUP('Benzin - diesel - hybrid'!U$45+($B165-1),Fremskrivninger!$A$92:$H$121,8)/1000</f>
        <v>0</v>
      </c>
      <c r="V165" s="309">
        <f>IFERROR('Benzin - diesel - hybrid'!U$40/'Benzin - diesel - hybrid'!U$15,0)</f>
        <v>0</v>
      </c>
      <c r="W165" s="288">
        <f>X142*'Benzin - diesel - hybrid'!W$39*VLOOKUP('Benzin - diesel - hybrid'!W$45+($B165-1),Fremskrivninger!$A$92:$H$121,8)/1000</f>
        <v>0</v>
      </c>
      <c r="X165" s="309">
        <f>IFERROR('Benzin - diesel - hybrid'!W$40/'Benzin - diesel - hybrid'!W$15,0)</f>
        <v>0</v>
      </c>
    </row>
    <row r="166" spans="1:24">
      <c r="A166" s="308"/>
      <c r="B166" s="282">
        <v>2</v>
      </c>
      <c r="C166" s="282">
        <f t="shared" ref="C166:C184" si="10">B166</f>
        <v>2</v>
      </c>
      <c r="D166" s="282"/>
      <c r="E166" s="288">
        <f>F143*'Benzin - diesel - hybrid'!E$39*VLOOKUP('Benzin - diesel - hybrid'!E$45+($B166-1),Fremskrivninger!$A$92:$H$121,8)/1000</f>
        <v>0</v>
      </c>
      <c r="F166" s="309">
        <f>IFERROR('Benzin - diesel - hybrid'!E$40/'Benzin - diesel - hybrid'!E$15,0)</f>
        <v>0</v>
      </c>
      <c r="G166" s="288">
        <f>H143*'Benzin - diesel - hybrid'!G$39*VLOOKUP('Benzin - diesel - hybrid'!G$45+($B166-1),Fremskrivninger!$A$92:$H$121,8)/1000</f>
        <v>0</v>
      </c>
      <c r="H166" s="309">
        <f>IFERROR('Benzin - diesel - hybrid'!G$40/'Benzin - diesel - hybrid'!G$15,0)</f>
        <v>0</v>
      </c>
      <c r="I166" s="288">
        <f>J143*'Benzin - diesel - hybrid'!I$39*VLOOKUP('Benzin - diesel - hybrid'!I$45+($B166-1),Fremskrivninger!$A$92:$H$121,8)/1000</f>
        <v>0</v>
      </c>
      <c r="J166" s="309">
        <f>IFERROR('Benzin - diesel - hybrid'!I$40/'Benzin - diesel - hybrid'!I$15,0)</f>
        <v>0</v>
      </c>
      <c r="K166" s="288">
        <f>L143*'Benzin - diesel - hybrid'!K$39*VLOOKUP('Benzin - diesel - hybrid'!K$45+($B166-1),Fremskrivninger!$A$92:$H$121,8)/1000</f>
        <v>0</v>
      </c>
      <c r="L166" s="309">
        <f>IFERROR('Benzin - diesel - hybrid'!K$40/'Benzin - diesel - hybrid'!K$15,0)</f>
        <v>0</v>
      </c>
      <c r="M166" s="288">
        <f>N143*'Benzin - diesel - hybrid'!M$39*VLOOKUP('Benzin - diesel - hybrid'!M$45+($B166-1),Fremskrivninger!$A$92:$H$121,8)/1000</f>
        <v>0</v>
      </c>
      <c r="N166" s="309">
        <f>IFERROR('Benzin - diesel - hybrid'!M$40/'Benzin - diesel - hybrid'!M$15,0)</f>
        <v>0</v>
      </c>
      <c r="O166" s="288">
        <f>P143*'Benzin - diesel - hybrid'!O$39*VLOOKUP('Benzin - diesel - hybrid'!O$45+($B166-1),Fremskrivninger!$A$92:$H$121,8)/1000</f>
        <v>0</v>
      </c>
      <c r="P166" s="309">
        <f>IFERROR('Benzin - diesel - hybrid'!O$40/'Benzin - diesel - hybrid'!O$15,0)</f>
        <v>0</v>
      </c>
      <c r="Q166" s="288">
        <f>R143*'Benzin - diesel - hybrid'!Q$39*VLOOKUP('Benzin - diesel - hybrid'!Q$45+($B166-1),Fremskrivninger!$A$92:$H$121,8)/1000</f>
        <v>0</v>
      </c>
      <c r="R166" s="309">
        <f>IFERROR('Benzin - diesel - hybrid'!Q$40/'Benzin - diesel - hybrid'!Q$15,0)</f>
        <v>0</v>
      </c>
      <c r="S166" s="288">
        <f>T143*'Benzin - diesel - hybrid'!S$39*VLOOKUP('Benzin - diesel - hybrid'!S$45+($B166-1),Fremskrivninger!$A$92:$H$121,8)/1000</f>
        <v>0</v>
      </c>
      <c r="T166" s="309">
        <f>IFERROR('Benzin - diesel - hybrid'!S$40/'Benzin - diesel - hybrid'!S$15,0)</f>
        <v>0</v>
      </c>
      <c r="U166" s="288">
        <f>V143*'Benzin - diesel - hybrid'!U$39*VLOOKUP('Benzin - diesel - hybrid'!U$45+($B166-1),Fremskrivninger!$A$92:$H$121,8)/1000</f>
        <v>0</v>
      </c>
      <c r="V166" s="309">
        <f>IFERROR('Benzin - diesel - hybrid'!U$40/'Benzin - diesel - hybrid'!U$15,0)</f>
        <v>0</v>
      </c>
      <c r="W166" s="288">
        <f>X143*'Benzin - diesel - hybrid'!W$39*VLOOKUP('Benzin - diesel - hybrid'!W$45+($B166-1),Fremskrivninger!$A$92:$H$121,8)/1000</f>
        <v>0</v>
      </c>
      <c r="X166" s="309">
        <f>IFERROR('Benzin - diesel - hybrid'!W$40/'Benzin - diesel - hybrid'!W$15,0)</f>
        <v>0</v>
      </c>
    </row>
    <row r="167" spans="1:24">
      <c r="A167" s="308"/>
      <c r="B167" s="282">
        <v>3</v>
      </c>
      <c r="C167" s="282">
        <f t="shared" si="10"/>
        <v>3</v>
      </c>
      <c r="D167" s="282"/>
      <c r="E167" s="288">
        <f>F144*'Benzin - diesel - hybrid'!E$39*VLOOKUP('Benzin - diesel - hybrid'!E$45+($B167-1),Fremskrivninger!$A$92:$H$121,8)/1000</f>
        <v>0</v>
      </c>
      <c r="F167" s="309">
        <f>IFERROR('Benzin - diesel - hybrid'!E$40/'Benzin - diesel - hybrid'!E$15,0)</f>
        <v>0</v>
      </c>
      <c r="G167" s="288">
        <f>H144*'Benzin - diesel - hybrid'!G$39*VLOOKUP('Benzin - diesel - hybrid'!G$45+($B167-1),Fremskrivninger!$A$92:$H$121,8)/1000</f>
        <v>0</v>
      </c>
      <c r="H167" s="309">
        <f>IFERROR('Benzin - diesel - hybrid'!G$40/'Benzin - diesel - hybrid'!G$15,0)</f>
        <v>0</v>
      </c>
      <c r="I167" s="288">
        <f>J144*'Benzin - diesel - hybrid'!I$39*VLOOKUP('Benzin - diesel - hybrid'!I$45+($B167-1),Fremskrivninger!$A$92:$H$121,8)/1000</f>
        <v>0</v>
      </c>
      <c r="J167" s="309">
        <f>IFERROR('Benzin - diesel - hybrid'!I$40/'Benzin - diesel - hybrid'!I$15,0)</f>
        <v>0</v>
      </c>
      <c r="K167" s="288">
        <f>L144*'Benzin - diesel - hybrid'!K$39*VLOOKUP('Benzin - diesel - hybrid'!K$45+($B167-1),Fremskrivninger!$A$92:$H$121,8)/1000</f>
        <v>0</v>
      </c>
      <c r="L167" s="309">
        <f>IFERROR('Benzin - diesel - hybrid'!K$40/'Benzin - diesel - hybrid'!K$15,0)</f>
        <v>0</v>
      </c>
      <c r="M167" s="288">
        <f>N144*'Benzin - diesel - hybrid'!M$39*VLOOKUP('Benzin - diesel - hybrid'!M$45+($B167-1),Fremskrivninger!$A$92:$H$121,8)/1000</f>
        <v>0</v>
      </c>
      <c r="N167" s="309">
        <f>IFERROR('Benzin - diesel - hybrid'!M$40/'Benzin - diesel - hybrid'!M$15,0)</f>
        <v>0</v>
      </c>
      <c r="O167" s="288">
        <f>P144*'Benzin - diesel - hybrid'!O$39*VLOOKUP('Benzin - diesel - hybrid'!O$45+($B167-1),Fremskrivninger!$A$92:$H$121,8)/1000</f>
        <v>0</v>
      </c>
      <c r="P167" s="309">
        <f>IFERROR('Benzin - diesel - hybrid'!O$40/'Benzin - diesel - hybrid'!O$15,0)</f>
        <v>0</v>
      </c>
      <c r="Q167" s="288">
        <f>R144*'Benzin - diesel - hybrid'!Q$39*VLOOKUP('Benzin - diesel - hybrid'!Q$45+($B167-1),Fremskrivninger!$A$92:$H$121,8)/1000</f>
        <v>0</v>
      </c>
      <c r="R167" s="309">
        <f>IFERROR('Benzin - diesel - hybrid'!Q$40/'Benzin - diesel - hybrid'!Q$15,0)</f>
        <v>0</v>
      </c>
      <c r="S167" s="288">
        <f>T144*'Benzin - diesel - hybrid'!S$39*VLOOKUP('Benzin - diesel - hybrid'!S$45+($B167-1),Fremskrivninger!$A$92:$H$121,8)/1000</f>
        <v>0</v>
      </c>
      <c r="T167" s="309">
        <f>IFERROR('Benzin - diesel - hybrid'!S$40/'Benzin - diesel - hybrid'!S$15,0)</f>
        <v>0</v>
      </c>
      <c r="U167" s="288">
        <f>V144*'Benzin - diesel - hybrid'!U$39*VLOOKUP('Benzin - diesel - hybrid'!U$45+($B167-1),Fremskrivninger!$A$92:$H$121,8)/1000</f>
        <v>0</v>
      </c>
      <c r="V167" s="309">
        <f>IFERROR('Benzin - diesel - hybrid'!U$40/'Benzin - diesel - hybrid'!U$15,0)</f>
        <v>0</v>
      </c>
      <c r="W167" s="288">
        <f>X144*'Benzin - diesel - hybrid'!W$39*VLOOKUP('Benzin - diesel - hybrid'!W$45+($B167-1),Fremskrivninger!$A$92:$H$121,8)/1000</f>
        <v>0</v>
      </c>
      <c r="X167" s="309">
        <f>IFERROR('Benzin - diesel - hybrid'!W$40/'Benzin - diesel - hybrid'!W$15,0)</f>
        <v>0</v>
      </c>
    </row>
    <row r="168" spans="1:24">
      <c r="A168" s="308"/>
      <c r="B168" s="282">
        <v>4</v>
      </c>
      <c r="C168" s="282">
        <f t="shared" si="10"/>
        <v>4</v>
      </c>
      <c r="D168" s="282"/>
      <c r="E168" s="288">
        <f>F145*'Benzin - diesel - hybrid'!E$39*VLOOKUP('Benzin - diesel - hybrid'!E$45+($B168-1),Fremskrivninger!$A$92:$H$121,8)/1000</f>
        <v>0</v>
      </c>
      <c r="F168" s="309">
        <f>IFERROR('Benzin - diesel - hybrid'!E$40/'Benzin - diesel - hybrid'!E$15,0)</f>
        <v>0</v>
      </c>
      <c r="G168" s="288">
        <f>H145*'Benzin - diesel - hybrid'!G$39*VLOOKUP('Benzin - diesel - hybrid'!G$45+($B168-1),Fremskrivninger!$A$92:$H$121,8)/1000</f>
        <v>0</v>
      </c>
      <c r="H168" s="309">
        <f>IFERROR('Benzin - diesel - hybrid'!G$40/'Benzin - diesel - hybrid'!G$15,0)</f>
        <v>0</v>
      </c>
      <c r="I168" s="288">
        <f>J145*'Benzin - diesel - hybrid'!I$39*VLOOKUP('Benzin - diesel - hybrid'!I$45+($B168-1),Fremskrivninger!$A$92:$H$121,8)/1000</f>
        <v>0</v>
      </c>
      <c r="J168" s="309">
        <f>IFERROR('Benzin - diesel - hybrid'!I$40/'Benzin - diesel - hybrid'!I$15,0)</f>
        <v>0</v>
      </c>
      <c r="K168" s="288">
        <f>L145*'Benzin - diesel - hybrid'!K$39*VLOOKUP('Benzin - diesel - hybrid'!K$45+($B168-1),Fremskrivninger!$A$92:$H$121,8)/1000</f>
        <v>0</v>
      </c>
      <c r="L168" s="309">
        <f>IFERROR('Benzin - diesel - hybrid'!K$40/'Benzin - diesel - hybrid'!K$15,0)</f>
        <v>0</v>
      </c>
      <c r="M168" s="288">
        <f>N145*'Benzin - diesel - hybrid'!M$39*VLOOKUP('Benzin - diesel - hybrid'!M$45+($B168-1),Fremskrivninger!$A$92:$H$121,8)/1000</f>
        <v>0</v>
      </c>
      <c r="N168" s="309">
        <f>IFERROR('Benzin - diesel - hybrid'!M$40/'Benzin - diesel - hybrid'!M$15,0)</f>
        <v>0</v>
      </c>
      <c r="O168" s="288">
        <f>P145*'Benzin - diesel - hybrid'!O$39*VLOOKUP('Benzin - diesel - hybrid'!O$45+($B168-1),Fremskrivninger!$A$92:$H$121,8)/1000</f>
        <v>0</v>
      </c>
      <c r="P168" s="309">
        <f>IFERROR('Benzin - diesel - hybrid'!O$40/'Benzin - diesel - hybrid'!O$15,0)</f>
        <v>0</v>
      </c>
      <c r="Q168" s="288">
        <f>R145*'Benzin - diesel - hybrid'!Q$39*VLOOKUP('Benzin - diesel - hybrid'!Q$45+($B168-1),Fremskrivninger!$A$92:$H$121,8)/1000</f>
        <v>0</v>
      </c>
      <c r="R168" s="309">
        <f>IFERROR('Benzin - diesel - hybrid'!Q$40/'Benzin - diesel - hybrid'!Q$15,0)</f>
        <v>0</v>
      </c>
      <c r="S168" s="288">
        <f>T145*'Benzin - diesel - hybrid'!S$39*VLOOKUP('Benzin - diesel - hybrid'!S$45+($B168-1),Fremskrivninger!$A$92:$H$121,8)/1000</f>
        <v>0</v>
      </c>
      <c r="T168" s="309">
        <f>IFERROR('Benzin - diesel - hybrid'!S$40/'Benzin - diesel - hybrid'!S$15,0)</f>
        <v>0</v>
      </c>
      <c r="U168" s="288">
        <f>V145*'Benzin - diesel - hybrid'!U$39*VLOOKUP('Benzin - diesel - hybrid'!U$45+($B168-1),Fremskrivninger!$A$92:$H$121,8)/1000</f>
        <v>0</v>
      </c>
      <c r="V168" s="309">
        <f>IFERROR('Benzin - diesel - hybrid'!U$40/'Benzin - diesel - hybrid'!U$15,0)</f>
        <v>0</v>
      </c>
      <c r="W168" s="288">
        <f>X145*'Benzin - diesel - hybrid'!W$39*VLOOKUP('Benzin - diesel - hybrid'!W$45+($B168-1),Fremskrivninger!$A$92:$H$121,8)/1000</f>
        <v>0</v>
      </c>
      <c r="X168" s="309">
        <f>IFERROR('Benzin - diesel - hybrid'!W$40/'Benzin - diesel - hybrid'!W$15,0)</f>
        <v>0</v>
      </c>
    </row>
    <row r="169" spans="1:24">
      <c r="A169" s="308"/>
      <c r="B169" s="282">
        <v>5</v>
      </c>
      <c r="C169" s="282">
        <f t="shared" si="10"/>
        <v>5</v>
      </c>
      <c r="D169" s="282"/>
      <c r="E169" s="288">
        <f>F146*'Benzin - diesel - hybrid'!E$39*VLOOKUP('Benzin - diesel - hybrid'!E$45+($B169-1),Fremskrivninger!$A$92:$H$121,8)/1000</f>
        <v>0</v>
      </c>
      <c r="F169" s="309">
        <f>IFERROR('Benzin - diesel - hybrid'!E$40/'Benzin - diesel - hybrid'!E$15,0)</f>
        <v>0</v>
      </c>
      <c r="G169" s="288">
        <f>H146*'Benzin - diesel - hybrid'!G$39*VLOOKUP('Benzin - diesel - hybrid'!G$45+($B169-1),Fremskrivninger!$A$92:$H$121,8)/1000</f>
        <v>0</v>
      </c>
      <c r="H169" s="309">
        <f>IFERROR('Benzin - diesel - hybrid'!G$40/'Benzin - diesel - hybrid'!G$15,0)</f>
        <v>0</v>
      </c>
      <c r="I169" s="288">
        <f>J146*'Benzin - diesel - hybrid'!I$39*VLOOKUP('Benzin - diesel - hybrid'!I$45+($B169-1),Fremskrivninger!$A$92:$H$121,8)/1000</f>
        <v>0</v>
      </c>
      <c r="J169" s="309">
        <f>IFERROR('Benzin - diesel - hybrid'!I$40/'Benzin - diesel - hybrid'!I$15,0)</f>
        <v>0</v>
      </c>
      <c r="K169" s="288">
        <f>L146*'Benzin - diesel - hybrid'!K$39*VLOOKUP('Benzin - diesel - hybrid'!K$45+($B169-1),Fremskrivninger!$A$92:$H$121,8)/1000</f>
        <v>0</v>
      </c>
      <c r="L169" s="309">
        <f>IFERROR('Benzin - diesel - hybrid'!K$40/'Benzin - diesel - hybrid'!K$15,0)</f>
        <v>0</v>
      </c>
      <c r="M169" s="288">
        <f>N146*'Benzin - diesel - hybrid'!M$39*VLOOKUP('Benzin - diesel - hybrid'!M$45+($B169-1),Fremskrivninger!$A$92:$H$121,8)/1000</f>
        <v>0</v>
      </c>
      <c r="N169" s="309">
        <f>IFERROR('Benzin - diesel - hybrid'!M$40/'Benzin - diesel - hybrid'!M$15,0)</f>
        <v>0</v>
      </c>
      <c r="O169" s="288">
        <f>P146*'Benzin - diesel - hybrid'!O$39*VLOOKUP('Benzin - diesel - hybrid'!O$45+($B169-1),Fremskrivninger!$A$92:$H$121,8)/1000</f>
        <v>0</v>
      </c>
      <c r="P169" s="309">
        <f>IFERROR('Benzin - diesel - hybrid'!O$40/'Benzin - diesel - hybrid'!O$15,0)</f>
        <v>0</v>
      </c>
      <c r="Q169" s="288">
        <f>R146*'Benzin - diesel - hybrid'!Q$39*VLOOKUP('Benzin - diesel - hybrid'!Q$45+($B169-1),Fremskrivninger!$A$92:$H$121,8)/1000</f>
        <v>0</v>
      </c>
      <c r="R169" s="309">
        <f>IFERROR('Benzin - diesel - hybrid'!Q$40/'Benzin - diesel - hybrid'!Q$15,0)</f>
        <v>0</v>
      </c>
      <c r="S169" s="288">
        <f>T146*'Benzin - diesel - hybrid'!S$39*VLOOKUP('Benzin - diesel - hybrid'!S$45+($B169-1),Fremskrivninger!$A$92:$H$121,8)/1000</f>
        <v>0</v>
      </c>
      <c r="T169" s="309">
        <f>IFERROR('Benzin - diesel - hybrid'!S$40/'Benzin - diesel - hybrid'!S$15,0)</f>
        <v>0</v>
      </c>
      <c r="U169" s="288">
        <f>V146*'Benzin - diesel - hybrid'!U$39*VLOOKUP('Benzin - diesel - hybrid'!U$45+($B169-1),Fremskrivninger!$A$92:$H$121,8)/1000</f>
        <v>0</v>
      </c>
      <c r="V169" s="309">
        <f>IFERROR('Benzin - diesel - hybrid'!U$40/'Benzin - diesel - hybrid'!U$15,0)</f>
        <v>0</v>
      </c>
      <c r="W169" s="288">
        <f>X146*'Benzin - diesel - hybrid'!W$39*VLOOKUP('Benzin - diesel - hybrid'!W$45+($B169-1),Fremskrivninger!$A$92:$H$121,8)/1000</f>
        <v>0</v>
      </c>
      <c r="X169" s="309">
        <f>IFERROR('Benzin - diesel - hybrid'!W$40/'Benzin - diesel - hybrid'!W$15,0)</f>
        <v>0</v>
      </c>
    </row>
    <row r="170" spans="1:24">
      <c r="A170" s="308"/>
      <c r="B170" s="282">
        <v>6</v>
      </c>
      <c r="C170" s="282">
        <f t="shared" si="10"/>
        <v>6</v>
      </c>
      <c r="D170" s="282"/>
      <c r="E170" s="288">
        <f>F147*'Benzin - diesel - hybrid'!E$39*VLOOKUP('Benzin - diesel - hybrid'!E$45+($B170-1),Fremskrivninger!$A$92:$H$121,8)/1000</f>
        <v>0</v>
      </c>
      <c r="F170" s="309">
        <f>IFERROR('Benzin - diesel - hybrid'!E$40/'Benzin - diesel - hybrid'!E$15,0)</f>
        <v>0</v>
      </c>
      <c r="G170" s="288">
        <f>H147*'Benzin - diesel - hybrid'!G$39*VLOOKUP('Benzin - diesel - hybrid'!G$45+($B170-1),Fremskrivninger!$A$92:$H$121,8)/1000</f>
        <v>0</v>
      </c>
      <c r="H170" s="309">
        <f>IFERROR('Benzin - diesel - hybrid'!G$40/'Benzin - diesel - hybrid'!G$15,0)</f>
        <v>0</v>
      </c>
      <c r="I170" s="288">
        <f>J147*'Benzin - diesel - hybrid'!I$39*VLOOKUP('Benzin - diesel - hybrid'!I$45+($B170-1),Fremskrivninger!$A$92:$H$121,8)/1000</f>
        <v>0</v>
      </c>
      <c r="J170" s="309">
        <f>IFERROR('Benzin - diesel - hybrid'!I$40/'Benzin - diesel - hybrid'!I$15,0)</f>
        <v>0</v>
      </c>
      <c r="K170" s="288">
        <f>L147*'Benzin - diesel - hybrid'!K$39*VLOOKUP('Benzin - diesel - hybrid'!K$45+($B170-1),Fremskrivninger!$A$92:$H$121,8)/1000</f>
        <v>0</v>
      </c>
      <c r="L170" s="309">
        <f>IFERROR('Benzin - diesel - hybrid'!K$40/'Benzin - diesel - hybrid'!K$15,0)</f>
        <v>0</v>
      </c>
      <c r="M170" s="288">
        <f>N147*'Benzin - diesel - hybrid'!M$39*VLOOKUP('Benzin - diesel - hybrid'!M$45+($B170-1),Fremskrivninger!$A$92:$H$121,8)/1000</f>
        <v>0</v>
      </c>
      <c r="N170" s="309">
        <f>IFERROR('Benzin - diesel - hybrid'!M$40/'Benzin - diesel - hybrid'!M$15,0)</f>
        <v>0</v>
      </c>
      <c r="O170" s="288">
        <f>P147*'Benzin - diesel - hybrid'!O$39*VLOOKUP('Benzin - diesel - hybrid'!O$45+($B170-1),Fremskrivninger!$A$92:$H$121,8)/1000</f>
        <v>0</v>
      </c>
      <c r="P170" s="309">
        <f>IFERROR('Benzin - diesel - hybrid'!O$40/'Benzin - diesel - hybrid'!O$15,0)</f>
        <v>0</v>
      </c>
      <c r="Q170" s="288">
        <f>R147*'Benzin - diesel - hybrid'!Q$39*VLOOKUP('Benzin - diesel - hybrid'!Q$45+($B170-1),Fremskrivninger!$A$92:$H$121,8)/1000</f>
        <v>0</v>
      </c>
      <c r="R170" s="309">
        <f>IFERROR('Benzin - diesel - hybrid'!Q$40/'Benzin - diesel - hybrid'!Q$15,0)</f>
        <v>0</v>
      </c>
      <c r="S170" s="288">
        <f>T147*'Benzin - diesel - hybrid'!S$39*VLOOKUP('Benzin - diesel - hybrid'!S$45+($B170-1),Fremskrivninger!$A$92:$H$121,8)/1000</f>
        <v>0</v>
      </c>
      <c r="T170" s="309">
        <f>IFERROR('Benzin - diesel - hybrid'!S$40/'Benzin - diesel - hybrid'!S$15,0)</f>
        <v>0</v>
      </c>
      <c r="U170" s="288">
        <f>V147*'Benzin - diesel - hybrid'!U$39*VLOOKUP('Benzin - diesel - hybrid'!U$45+($B170-1),Fremskrivninger!$A$92:$H$121,8)/1000</f>
        <v>0</v>
      </c>
      <c r="V170" s="309">
        <f>IFERROR('Benzin - diesel - hybrid'!U$40/'Benzin - diesel - hybrid'!U$15,0)</f>
        <v>0</v>
      </c>
      <c r="W170" s="288">
        <f>X147*'Benzin - diesel - hybrid'!W$39*VLOOKUP('Benzin - diesel - hybrid'!W$45+($B170-1),Fremskrivninger!$A$92:$H$121,8)/1000</f>
        <v>0</v>
      </c>
      <c r="X170" s="309">
        <f>IFERROR('Benzin - diesel - hybrid'!W$40/'Benzin - diesel - hybrid'!W$15,0)</f>
        <v>0</v>
      </c>
    </row>
    <row r="171" spans="1:24">
      <c r="A171" s="308"/>
      <c r="B171" s="282">
        <v>7</v>
      </c>
      <c r="C171" s="282">
        <f t="shared" si="10"/>
        <v>7</v>
      </c>
      <c r="D171" s="282"/>
      <c r="E171" s="288">
        <f>F148*'Benzin - diesel - hybrid'!E$39*VLOOKUP('Benzin - diesel - hybrid'!E$45+($B171-1),Fremskrivninger!$A$92:$H$121,8)/1000</f>
        <v>0</v>
      </c>
      <c r="F171" s="309">
        <f>IFERROR('Benzin - diesel - hybrid'!E$40/'Benzin - diesel - hybrid'!E$15,0)</f>
        <v>0</v>
      </c>
      <c r="G171" s="288">
        <f>H148*'Benzin - diesel - hybrid'!G$39*VLOOKUP('Benzin - diesel - hybrid'!G$45+($B171-1),Fremskrivninger!$A$92:$H$121,8)/1000</f>
        <v>0</v>
      </c>
      <c r="H171" s="309">
        <f>IFERROR('Benzin - diesel - hybrid'!G$40/'Benzin - diesel - hybrid'!G$15,0)</f>
        <v>0</v>
      </c>
      <c r="I171" s="288">
        <f>J148*'Benzin - diesel - hybrid'!I$39*VLOOKUP('Benzin - diesel - hybrid'!I$45+($B171-1),Fremskrivninger!$A$92:$H$121,8)/1000</f>
        <v>0</v>
      </c>
      <c r="J171" s="309">
        <f>IFERROR('Benzin - diesel - hybrid'!I$40/'Benzin - diesel - hybrid'!I$15,0)</f>
        <v>0</v>
      </c>
      <c r="K171" s="288">
        <f>L148*'Benzin - diesel - hybrid'!K$39*VLOOKUP('Benzin - diesel - hybrid'!K$45+($B171-1),Fremskrivninger!$A$92:$H$121,8)/1000</f>
        <v>0</v>
      </c>
      <c r="L171" s="309">
        <f>IFERROR('Benzin - diesel - hybrid'!K$40/'Benzin - diesel - hybrid'!K$15,0)</f>
        <v>0</v>
      </c>
      <c r="M171" s="288">
        <f>N148*'Benzin - diesel - hybrid'!M$39*VLOOKUP('Benzin - diesel - hybrid'!M$45+($B171-1),Fremskrivninger!$A$92:$H$121,8)/1000</f>
        <v>0</v>
      </c>
      <c r="N171" s="309">
        <f>IFERROR('Benzin - diesel - hybrid'!M$40/'Benzin - diesel - hybrid'!M$15,0)</f>
        <v>0</v>
      </c>
      <c r="O171" s="288">
        <f>P148*'Benzin - diesel - hybrid'!O$39*VLOOKUP('Benzin - diesel - hybrid'!O$45+($B171-1),Fremskrivninger!$A$92:$H$121,8)/1000</f>
        <v>0</v>
      </c>
      <c r="P171" s="309">
        <f>IFERROR('Benzin - diesel - hybrid'!O$40/'Benzin - diesel - hybrid'!O$15,0)</f>
        <v>0</v>
      </c>
      <c r="Q171" s="288">
        <f>R148*'Benzin - diesel - hybrid'!Q$39*VLOOKUP('Benzin - diesel - hybrid'!Q$45+($B171-1),Fremskrivninger!$A$92:$H$121,8)/1000</f>
        <v>0</v>
      </c>
      <c r="R171" s="309">
        <f>IFERROR('Benzin - diesel - hybrid'!Q$40/'Benzin - diesel - hybrid'!Q$15,0)</f>
        <v>0</v>
      </c>
      <c r="S171" s="288">
        <f>T148*'Benzin - diesel - hybrid'!S$39*VLOOKUP('Benzin - diesel - hybrid'!S$45+($B171-1),Fremskrivninger!$A$92:$H$121,8)/1000</f>
        <v>0</v>
      </c>
      <c r="T171" s="309">
        <f>IFERROR('Benzin - diesel - hybrid'!S$40/'Benzin - diesel - hybrid'!S$15,0)</f>
        <v>0</v>
      </c>
      <c r="U171" s="288">
        <f>V148*'Benzin - diesel - hybrid'!U$39*VLOOKUP('Benzin - diesel - hybrid'!U$45+($B171-1),Fremskrivninger!$A$92:$H$121,8)/1000</f>
        <v>0</v>
      </c>
      <c r="V171" s="309">
        <f>IFERROR('Benzin - diesel - hybrid'!U$40/'Benzin - diesel - hybrid'!U$15,0)</f>
        <v>0</v>
      </c>
      <c r="W171" s="288">
        <f>X148*'Benzin - diesel - hybrid'!W$39*VLOOKUP('Benzin - diesel - hybrid'!W$45+($B171-1),Fremskrivninger!$A$92:$H$121,8)/1000</f>
        <v>0</v>
      </c>
      <c r="X171" s="309">
        <f>IFERROR('Benzin - diesel - hybrid'!W$40/'Benzin - diesel - hybrid'!W$15,0)</f>
        <v>0</v>
      </c>
    </row>
    <row r="172" spans="1:24">
      <c r="A172" s="308"/>
      <c r="B172" s="282">
        <v>8</v>
      </c>
      <c r="C172" s="282">
        <f t="shared" si="10"/>
        <v>8</v>
      </c>
      <c r="D172" s="282"/>
      <c r="E172" s="288">
        <f>F149*'Benzin - diesel - hybrid'!E$39*VLOOKUP('Benzin - diesel - hybrid'!E$45+($B172-1),Fremskrivninger!$A$92:$H$121,8)/1000</f>
        <v>0</v>
      </c>
      <c r="F172" s="309">
        <f>IFERROR('Benzin - diesel - hybrid'!E$40/'Benzin - diesel - hybrid'!E$15,0)</f>
        <v>0</v>
      </c>
      <c r="G172" s="288">
        <f>H149*'Benzin - diesel - hybrid'!G$39*VLOOKUP('Benzin - diesel - hybrid'!G$45+($B172-1),Fremskrivninger!$A$92:$H$121,8)/1000</f>
        <v>0</v>
      </c>
      <c r="H172" s="309">
        <f>IFERROR('Benzin - diesel - hybrid'!G$40/'Benzin - diesel - hybrid'!G$15,0)</f>
        <v>0</v>
      </c>
      <c r="I172" s="288">
        <f>J149*'Benzin - diesel - hybrid'!I$39*VLOOKUP('Benzin - diesel - hybrid'!I$45+($B172-1),Fremskrivninger!$A$92:$H$121,8)/1000</f>
        <v>0</v>
      </c>
      <c r="J172" s="309">
        <f>IFERROR('Benzin - diesel - hybrid'!I$40/'Benzin - diesel - hybrid'!I$15,0)</f>
        <v>0</v>
      </c>
      <c r="K172" s="288">
        <f>L149*'Benzin - diesel - hybrid'!K$39*VLOOKUP('Benzin - diesel - hybrid'!K$45+($B172-1),Fremskrivninger!$A$92:$H$121,8)/1000</f>
        <v>0</v>
      </c>
      <c r="L172" s="309">
        <f>IFERROR('Benzin - diesel - hybrid'!K$40/'Benzin - diesel - hybrid'!K$15,0)</f>
        <v>0</v>
      </c>
      <c r="M172" s="288">
        <f>N149*'Benzin - diesel - hybrid'!M$39*VLOOKUP('Benzin - diesel - hybrid'!M$45+($B172-1),Fremskrivninger!$A$92:$H$121,8)/1000</f>
        <v>0</v>
      </c>
      <c r="N172" s="309">
        <f>IFERROR('Benzin - diesel - hybrid'!M$40/'Benzin - diesel - hybrid'!M$15,0)</f>
        <v>0</v>
      </c>
      <c r="O172" s="288">
        <f>P149*'Benzin - diesel - hybrid'!O$39*VLOOKUP('Benzin - diesel - hybrid'!O$45+($B172-1),Fremskrivninger!$A$92:$H$121,8)/1000</f>
        <v>0</v>
      </c>
      <c r="P172" s="309">
        <f>IFERROR('Benzin - diesel - hybrid'!O$40/'Benzin - diesel - hybrid'!O$15,0)</f>
        <v>0</v>
      </c>
      <c r="Q172" s="288">
        <f>R149*'Benzin - diesel - hybrid'!Q$39*VLOOKUP('Benzin - diesel - hybrid'!Q$45+($B172-1),Fremskrivninger!$A$92:$H$121,8)/1000</f>
        <v>0</v>
      </c>
      <c r="R172" s="309">
        <f>IFERROR('Benzin - diesel - hybrid'!Q$40/'Benzin - diesel - hybrid'!Q$15,0)</f>
        <v>0</v>
      </c>
      <c r="S172" s="288">
        <f>T149*'Benzin - diesel - hybrid'!S$39*VLOOKUP('Benzin - diesel - hybrid'!S$45+($B172-1),Fremskrivninger!$A$92:$H$121,8)/1000</f>
        <v>0</v>
      </c>
      <c r="T172" s="309">
        <f>IFERROR('Benzin - diesel - hybrid'!S$40/'Benzin - diesel - hybrid'!S$15,0)</f>
        <v>0</v>
      </c>
      <c r="U172" s="288">
        <f>V149*'Benzin - diesel - hybrid'!U$39*VLOOKUP('Benzin - diesel - hybrid'!U$45+($B172-1),Fremskrivninger!$A$92:$H$121,8)/1000</f>
        <v>0</v>
      </c>
      <c r="V172" s="309">
        <f>IFERROR('Benzin - diesel - hybrid'!U$40/'Benzin - diesel - hybrid'!U$15,0)</f>
        <v>0</v>
      </c>
      <c r="W172" s="288">
        <f>X149*'Benzin - diesel - hybrid'!W$39*VLOOKUP('Benzin - diesel - hybrid'!W$45+($B172-1),Fremskrivninger!$A$92:$H$121,8)/1000</f>
        <v>0</v>
      </c>
      <c r="X172" s="309">
        <f>IFERROR('Benzin - diesel - hybrid'!W$40/'Benzin - diesel - hybrid'!W$15,0)</f>
        <v>0</v>
      </c>
    </row>
    <row r="173" spans="1:24">
      <c r="A173" s="308"/>
      <c r="B173" s="282">
        <v>9</v>
      </c>
      <c r="C173" s="282">
        <f t="shared" si="10"/>
        <v>9</v>
      </c>
      <c r="D173" s="282"/>
      <c r="E173" s="288">
        <f>F150*'Benzin - diesel - hybrid'!E$39*VLOOKUP('Benzin - diesel - hybrid'!E$45+($B173-1),Fremskrivninger!$A$92:$H$121,8)/1000</f>
        <v>0</v>
      </c>
      <c r="F173" s="309">
        <f>IFERROR('Benzin - diesel - hybrid'!E$40/'Benzin - diesel - hybrid'!E$15,0)</f>
        <v>0</v>
      </c>
      <c r="G173" s="288">
        <f>H150*'Benzin - diesel - hybrid'!G$39*VLOOKUP('Benzin - diesel - hybrid'!G$45+($B173-1),Fremskrivninger!$A$92:$H$121,8)/1000</f>
        <v>0</v>
      </c>
      <c r="H173" s="309">
        <f>IFERROR('Benzin - diesel - hybrid'!G$40/'Benzin - diesel - hybrid'!G$15,0)</f>
        <v>0</v>
      </c>
      <c r="I173" s="288">
        <f>J150*'Benzin - diesel - hybrid'!I$39*VLOOKUP('Benzin - diesel - hybrid'!I$45+($B173-1),Fremskrivninger!$A$92:$H$121,8)/1000</f>
        <v>0</v>
      </c>
      <c r="J173" s="309">
        <f>IFERROR('Benzin - diesel - hybrid'!I$40/'Benzin - diesel - hybrid'!I$15,0)</f>
        <v>0</v>
      </c>
      <c r="K173" s="288">
        <f>L150*'Benzin - diesel - hybrid'!K$39*VLOOKUP('Benzin - diesel - hybrid'!K$45+($B173-1),Fremskrivninger!$A$92:$H$121,8)/1000</f>
        <v>0</v>
      </c>
      <c r="L173" s="309">
        <f>IFERROR('Benzin - diesel - hybrid'!K$40/'Benzin - diesel - hybrid'!K$15,0)</f>
        <v>0</v>
      </c>
      <c r="M173" s="288">
        <f>N150*'Benzin - diesel - hybrid'!M$39*VLOOKUP('Benzin - diesel - hybrid'!M$45+($B173-1),Fremskrivninger!$A$92:$H$121,8)/1000</f>
        <v>0</v>
      </c>
      <c r="N173" s="309">
        <f>IFERROR('Benzin - diesel - hybrid'!M$40/'Benzin - diesel - hybrid'!M$15,0)</f>
        <v>0</v>
      </c>
      <c r="O173" s="288">
        <f>P150*'Benzin - diesel - hybrid'!O$39*VLOOKUP('Benzin - diesel - hybrid'!O$45+($B173-1),Fremskrivninger!$A$92:$H$121,8)/1000</f>
        <v>0</v>
      </c>
      <c r="P173" s="309">
        <f>IFERROR('Benzin - diesel - hybrid'!O$40/'Benzin - diesel - hybrid'!O$15,0)</f>
        <v>0</v>
      </c>
      <c r="Q173" s="288">
        <f>R150*'Benzin - diesel - hybrid'!Q$39*VLOOKUP('Benzin - diesel - hybrid'!Q$45+($B173-1),Fremskrivninger!$A$92:$H$121,8)/1000</f>
        <v>0</v>
      </c>
      <c r="R173" s="309">
        <f>IFERROR('Benzin - diesel - hybrid'!Q$40/'Benzin - diesel - hybrid'!Q$15,0)</f>
        <v>0</v>
      </c>
      <c r="S173" s="288">
        <f>T150*'Benzin - diesel - hybrid'!S$39*VLOOKUP('Benzin - diesel - hybrid'!S$45+($B173-1),Fremskrivninger!$A$92:$H$121,8)/1000</f>
        <v>0</v>
      </c>
      <c r="T173" s="309">
        <f>IFERROR('Benzin - diesel - hybrid'!S$40/'Benzin - diesel - hybrid'!S$15,0)</f>
        <v>0</v>
      </c>
      <c r="U173" s="288">
        <f>V150*'Benzin - diesel - hybrid'!U$39*VLOOKUP('Benzin - diesel - hybrid'!U$45+($B173-1),Fremskrivninger!$A$92:$H$121,8)/1000</f>
        <v>0</v>
      </c>
      <c r="V173" s="309">
        <f>IFERROR('Benzin - diesel - hybrid'!U$40/'Benzin - diesel - hybrid'!U$15,0)</f>
        <v>0</v>
      </c>
      <c r="W173" s="288">
        <f>X150*'Benzin - diesel - hybrid'!W$39*VLOOKUP('Benzin - diesel - hybrid'!W$45+($B173-1),Fremskrivninger!$A$92:$H$121,8)/1000</f>
        <v>0</v>
      </c>
      <c r="X173" s="309">
        <f>IFERROR('Benzin - diesel - hybrid'!W$40/'Benzin - diesel - hybrid'!W$15,0)</f>
        <v>0</v>
      </c>
    </row>
    <row r="174" spans="1:24">
      <c r="A174" s="308"/>
      <c r="B174" s="282">
        <v>10</v>
      </c>
      <c r="C174" s="282">
        <f t="shared" si="10"/>
        <v>10</v>
      </c>
      <c r="D174" s="282"/>
      <c r="E174" s="288">
        <f>F151*'Benzin - diesel - hybrid'!E$39*VLOOKUP('Benzin - diesel - hybrid'!E$45+($B174-1),Fremskrivninger!$A$92:$H$121,8)/1000</f>
        <v>0</v>
      </c>
      <c r="F174" s="309">
        <f>IFERROR('Benzin - diesel - hybrid'!E$40/'Benzin - diesel - hybrid'!E$15,0)</f>
        <v>0</v>
      </c>
      <c r="G174" s="288">
        <f>H151*'Benzin - diesel - hybrid'!G$39*VLOOKUP('Benzin - diesel - hybrid'!G$45+($B174-1),Fremskrivninger!$A$92:$H$121,8)/1000</f>
        <v>0</v>
      </c>
      <c r="H174" s="309">
        <f>IFERROR('Benzin - diesel - hybrid'!G$40/'Benzin - diesel - hybrid'!G$15,0)</f>
        <v>0</v>
      </c>
      <c r="I174" s="288">
        <f>J151*'Benzin - diesel - hybrid'!I$39*VLOOKUP('Benzin - diesel - hybrid'!I$45+($B174-1),Fremskrivninger!$A$92:$H$121,8)/1000</f>
        <v>0</v>
      </c>
      <c r="J174" s="309">
        <f>IFERROR('Benzin - diesel - hybrid'!I$40/'Benzin - diesel - hybrid'!I$15,0)</f>
        <v>0</v>
      </c>
      <c r="K174" s="288">
        <f>L151*'Benzin - diesel - hybrid'!K$39*VLOOKUP('Benzin - diesel - hybrid'!K$45+($B174-1),Fremskrivninger!$A$92:$H$121,8)/1000</f>
        <v>0</v>
      </c>
      <c r="L174" s="309">
        <f>IFERROR('Benzin - diesel - hybrid'!K$40/'Benzin - diesel - hybrid'!K$15,0)</f>
        <v>0</v>
      </c>
      <c r="M174" s="288">
        <f>N151*'Benzin - diesel - hybrid'!M$39*VLOOKUP('Benzin - diesel - hybrid'!M$45+($B174-1),Fremskrivninger!$A$92:$H$121,8)/1000</f>
        <v>0</v>
      </c>
      <c r="N174" s="309">
        <f>IFERROR('Benzin - diesel - hybrid'!M$40/'Benzin - diesel - hybrid'!M$15,0)</f>
        <v>0</v>
      </c>
      <c r="O174" s="288">
        <f>P151*'Benzin - diesel - hybrid'!O$39*VLOOKUP('Benzin - diesel - hybrid'!O$45+($B174-1),Fremskrivninger!$A$92:$H$121,8)/1000</f>
        <v>0</v>
      </c>
      <c r="P174" s="309">
        <f>IFERROR('Benzin - diesel - hybrid'!O$40/'Benzin - diesel - hybrid'!O$15,0)</f>
        <v>0</v>
      </c>
      <c r="Q174" s="288">
        <f>R151*'Benzin - diesel - hybrid'!Q$39*VLOOKUP('Benzin - diesel - hybrid'!Q$45+($B174-1),Fremskrivninger!$A$92:$H$121,8)/1000</f>
        <v>0</v>
      </c>
      <c r="R174" s="309">
        <f>IFERROR('Benzin - diesel - hybrid'!Q$40/'Benzin - diesel - hybrid'!Q$15,0)</f>
        <v>0</v>
      </c>
      <c r="S174" s="288">
        <f>T151*'Benzin - diesel - hybrid'!S$39*VLOOKUP('Benzin - diesel - hybrid'!S$45+($B174-1),Fremskrivninger!$A$92:$H$121,8)/1000</f>
        <v>0</v>
      </c>
      <c r="T174" s="309">
        <f>IFERROR('Benzin - diesel - hybrid'!S$40/'Benzin - diesel - hybrid'!S$15,0)</f>
        <v>0</v>
      </c>
      <c r="U174" s="288">
        <f>V151*'Benzin - diesel - hybrid'!U$39*VLOOKUP('Benzin - diesel - hybrid'!U$45+($B174-1),Fremskrivninger!$A$92:$H$121,8)/1000</f>
        <v>0</v>
      </c>
      <c r="V174" s="309">
        <f>IFERROR('Benzin - diesel - hybrid'!U$40/'Benzin - diesel - hybrid'!U$15,0)</f>
        <v>0</v>
      </c>
      <c r="W174" s="288">
        <f>X151*'Benzin - diesel - hybrid'!W$39*VLOOKUP('Benzin - diesel - hybrid'!W$45+($B174-1),Fremskrivninger!$A$92:$H$121,8)/1000</f>
        <v>0</v>
      </c>
      <c r="X174" s="309">
        <f>IFERROR('Benzin - diesel - hybrid'!W$40/'Benzin - diesel - hybrid'!W$15,0)</f>
        <v>0</v>
      </c>
    </row>
    <row r="175" spans="1:24">
      <c r="A175" s="308"/>
      <c r="B175" s="282">
        <v>11</v>
      </c>
      <c r="C175" s="282">
        <f t="shared" si="10"/>
        <v>11</v>
      </c>
      <c r="D175" s="282"/>
      <c r="E175" s="288">
        <f>F152*'Benzin - diesel - hybrid'!E$39*VLOOKUP('Benzin - diesel - hybrid'!E$45+($B175-1),Fremskrivninger!$A$92:$H$121,8)/1000</f>
        <v>0</v>
      </c>
      <c r="F175" s="309">
        <f>IFERROR('Benzin - diesel - hybrid'!E$40/'Benzin - diesel - hybrid'!E$15,0)</f>
        <v>0</v>
      </c>
      <c r="G175" s="288">
        <f>H152*'Benzin - diesel - hybrid'!G$39*VLOOKUP('Benzin - diesel - hybrid'!G$45+($B175-1),Fremskrivninger!$A$92:$H$121,8)/1000</f>
        <v>0</v>
      </c>
      <c r="H175" s="309">
        <f>IFERROR('Benzin - diesel - hybrid'!G$40/'Benzin - diesel - hybrid'!G$15,0)</f>
        <v>0</v>
      </c>
      <c r="I175" s="288">
        <f>J152*'Benzin - diesel - hybrid'!I$39*VLOOKUP('Benzin - diesel - hybrid'!I$45+($B175-1),Fremskrivninger!$A$92:$H$121,8)/1000</f>
        <v>0</v>
      </c>
      <c r="J175" s="309">
        <f>IFERROR('Benzin - diesel - hybrid'!I$40/'Benzin - diesel - hybrid'!I$15,0)</f>
        <v>0</v>
      </c>
      <c r="K175" s="288">
        <f>L152*'Benzin - diesel - hybrid'!K$39*VLOOKUP('Benzin - diesel - hybrid'!K$45+($B175-1),Fremskrivninger!$A$92:$H$121,8)/1000</f>
        <v>0</v>
      </c>
      <c r="L175" s="309">
        <f>IFERROR('Benzin - diesel - hybrid'!K$40/'Benzin - diesel - hybrid'!K$15,0)</f>
        <v>0</v>
      </c>
      <c r="M175" s="288">
        <f>N152*'Benzin - diesel - hybrid'!M$39*VLOOKUP('Benzin - diesel - hybrid'!M$45+($B175-1),Fremskrivninger!$A$92:$H$121,8)/1000</f>
        <v>0</v>
      </c>
      <c r="N175" s="309">
        <f>IFERROR('Benzin - diesel - hybrid'!M$40/'Benzin - diesel - hybrid'!M$15,0)</f>
        <v>0</v>
      </c>
      <c r="O175" s="288">
        <f>P152*'Benzin - diesel - hybrid'!O$39*VLOOKUP('Benzin - diesel - hybrid'!O$45+($B175-1),Fremskrivninger!$A$92:$H$121,8)/1000</f>
        <v>0</v>
      </c>
      <c r="P175" s="309">
        <f>IFERROR('Benzin - diesel - hybrid'!O$40/'Benzin - diesel - hybrid'!O$15,0)</f>
        <v>0</v>
      </c>
      <c r="Q175" s="288">
        <f>R152*'Benzin - diesel - hybrid'!Q$39*VLOOKUP('Benzin - diesel - hybrid'!Q$45+($B175-1),Fremskrivninger!$A$92:$H$121,8)/1000</f>
        <v>0</v>
      </c>
      <c r="R175" s="309">
        <f>IFERROR('Benzin - diesel - hybrid'!Q$40/'Benzin - diesel - hybrid'!Q$15,0)</f>
        <v>0</v>
      </c>
      <c r="S175" s="288">
        <f>T152*'Benzin - diesel - hybrid'!S$39*VLOOKUP('Benzin - diesel - hybrid'!S$45+($B175-1),Fremskrivninger!$A$92:$H$121,8)/1000</f>
        <v>0</v>
      </c>
      <c r="T175" s="309">
        <f>IFERROR('Benzin - diesel - hybrid'!S$40/'Benzin - diesel - hybrid'!S$15,0)</f>
        <v>0</v>
      </c>
      <c r="U175" s="288">
        <f>V152*'Benzin - diesel - hybrid'!U$39*VLOOKUP('Benzin - diesel - hybrid'!U$45+($B175-1),Fremskrivninger!$A$92:$H$121,8)/1000</f>
        <v>0</v>
      </c>
      <c r="V175" s="309">
        <f>IFERROR('Benzin - diesel - hybrid'!U$40/'Benzin - diesel - hybrid'!U$15,0)</f>
        <v>0</v>
      </c>
      <c r="W175" s="288">
        <f>X152*'Benzin - diesel - hybrid'!W$39*VLOOKUP('Benzin - diesel - hybrid'!W$45+($B175-1),Fremskrivninger!$A$92:$H$121,8)/1000</f>
        <v>0</v>
      </c>
      <c r="X175" s="309">
        <f>IFERROR('Benzin - diesel - hybrid'!W$40/'Benzin - diesel - hybrid'!W$15,0)</f>
        <v>0</v>
      </c>
    </row>
    <row r="176" spans="1:24">
      <c r="A176" s="308"/>
      <c r="B176" s="282">
        <v>12</v>
      </c>
      <c r="C176" s="282">
        <f t="shared" si="10"/>
        <v>12</v>
      </c>
      <c r="D176" s="282"/>
      <c r="E176" s="288">
        <f>F153*'Benzin - diesel - hybrid'!E$39*VLOOKUP('Benzin - diesel - hybrid'!E$45+($B176-1),Fremskrivninger!$A$92:$H$121,8)/1000</f>
        <v>0</v>
      </c>
      <c r="F176" s="309">
        <f>IFERROR('Benzin - diesel - hybrid'!E$40/'Benzin - diesel - hybrid'!E$15,0)</f>
        <v>0</v>
      </c>
      <c r="G176" s="288">
        <f>H153*'Benzin - diesel - hybrid'!G$39*VLOOKUP('Benzin - diesel - hybrid'!G$45+($B176-1),Fremskrivninger!$A$92:$H$121,8)/1000</f>
        <v>0</v>
      </c>
      <c r="H176" s="309">
        <f>IFERROR('Benzin - diesel - hybrid'!G$40/'Benzin - diesel - hybrid'!G$15,0)</f>
        <v>0</v>
      </c>
      <c r="I176" s="288">
        <f>J153*'Benzin - diesel - hybrid'!I$39*VLOOKUP('Benzin - diesel - hybrid'!I$45+($B176-1),Fremskrivninger!$A$92:$H$121,8)/1000</f>
        <v>0</v>
      </c>
      <c r="J176" s="309">
        <f>IFERROR('Benzin - diesel - hybrid'!I$40/'Benzin - diesel - hybrid'!I$15,0)</f>
        <v>0</v>
      </c>
      <c r="K176" s="288">
        <f>L153*'Benzin - diesel - hybrid'!K$39*VLOOKUP('Benzin - diesel - hybrid'!K$45+($B176-1),Fremskrivninger!$A$92:$H$121,8)/1000</f>
        <v>0</v>
      </c>
      <c r="L176" s="309">
        <f>IFERROR('Benzin - diesel - hybrid'!K$40/'Benzin - diesel - hybrid'!K$15,0)</f>
        <v>0</v>
      </c>
      <c r="M176" s="288">
        <f>N153*'Benzin - diesel - hybrid'!M$39*VLOOKUP('Benzin - diesel - hybrid'!M$45+($B176-1),Fremskrivninger!$A$92:$H$121,8)/1000</f>
        <v>0</v>
      </c>
      <c r="N176" s="309">
        <f>IFERROR('Benzin - diesel - hybrid'!M$40/'Benzin - diesel - hybrid'!M$15,0)</f>
        <v>0</v>
      </c>
      <c r="O176" s="288">
        <f>P153*'Benzin - diesel - hybrid'!O$39*VLOOKUP('Benzin - diesel - hybrid'!O$45+($B176-1),Fremskrivninger!$A$92:$H$121,8)/1000</f>
        <v>0</v>
      </c>
      <c r="P176" s="309">
        <f>IFERROR('Benzin - diesel - hybrid'!O$40/'Benzin - diesel - hybrid'!O$15,0)</f>
        <v>0</v>
      </c>
      <c r="Q176" s="288">
        <f>R153*'Benzin - diesel - hybrid'!Q$39*VLOOKUP('Benzin - diesel - hybrid'!Q$45+($B176-1),Fremskrivninger!$A$92:$H$121,8)/1000</f>
        <v>0</v>
      </c>
      <c r="R176" s="309">
        <f>IFERROR('Benzin - diesel - hybrid'!Q$40/'Benzin - diesel - hybrid'!Q$15,0)</f>
        <v>0</v>
      </c>
      <c r="S176" s="288">
        <f>T153*'Benzin - diesel - hybrid'!S$39*VLOOKUP('Benzin - diesel - hybrid'!S$45+($B176-1),Fremskrivninger!$A$92:$H$121,8)/1000</f>
        <v>0</v>
      </c>
      <c r="T176" s="309">
        <f>IFERROR('Benzin - diesel - hybrid'!S$40/'Benzin - diesel - hybrid'!S$15,0)</f>
        <v>0</v>
      </c>
      <c r="U176" s="288">
        <f>V153*'Benzin - diesel - hybrid'!U$39*VLOOKUP('Benzin - diesel - hybrid'!U$45+($B176-1),Fremskrivninger!$A$92:$H$121,8)/1000</f>
        <v>0</v>
      </c>
      <c r="V176" s="309">
        <f>IFERROR('Benzin - diesel - hybrid'!U$40/'Benzin - diesel - hybrid'!U$15,0)</f>
        <v>0</v>
      </c>
      <c r="W176" s="288">
        <f>X153*'Benzin - diesel - hybrid'!W$39*VLOOKUP('Benzin - diesel - hybrid'!W$45+($B176-1),Fremskrivninger!$A$92:$H$121,8)/1000</f>
        <v>0</v>
      </c>
      <c r="X176" s="309">
        <f>IFERROR('Benzin - diesel - hybrid'!W$40/'Benzin - diesel - hybrid'!W$15,0)</f>
        <v>0</v>
      </c>
    </row>
    <row r="177" spans="1:24">
      <c r="A177" s="308"/>
      <c r="B177" s="282">
        <v>13</v>
      </c>
      <c r="C177" s="282">
        <f t="shared" si="10"/>
        <v>13</v>
      </c>
      <c r="D177" s="282"/>
      <c r="E177" s="288">
        <f>F154*'Benzin - diesel - hybrid'!E$39*VLOOKUP('Benzin - diesel - hybrid'!E$45+($B177-1),Fremskrivninger!$A$92:$H$121,8)/1000</f>
        <v>0</v>
      </c>
      <c r="F177" s="309">
        <f>IFERROR('Benzin - diesel - hybrid'!E$40/'Benzin - diesel - hybrid'!E$15,0)</f>
        <v>0</v>
      </c>
      <c r="G177" s="288">
        <f>H154*'Benzin - diesel - hybrid'!G$39*VLOOKUP('Benzin - diesel - hybrid'!G$45+($B177-1),Fremskrivninger!$A$92:$H$121,8)/1000</f>
        <v>0</v>
      </c>
      <c r="H177" s="309">
        <f>IFERROR('Benzin - diesel - hybrid'!G$40/'Benzin - diesel - hybrid'!G$15,0)</f>
        <v>0</v>
      </c>
      <c r="I177" s="288">
        <f>J154*'Benzin - diesel - hybrid'!I$39*VLOOKUP('Benzin - diesel - hybrid'!I$45+($B177-1),Fremskrivninger!$A$92:$H$121,8)/1000</f>
        <v>0</v>
      </c>
      <c r="J177" s="309">
        <f>IFERROR('Benzin - diesel - hybrid'!I$40/'Benzin - diesel - hybrid'!I$15,0)</f>
        <v>0</v>
      </c>
      <c r="K177" s="288">
        <f>L154*'Benzin - diesel - hybrid'!K$39*VLOOKUP('Benzin - diesel - hybrid'!K$45+($B177-1),Fremskrivninger!$A$92:$H$121,8)/1000</f>
        <v>0</v>
      </c>
      <c r="L177" s="309">
        <f>IFERROR('Benzin - diesel - hybrid'!K$40/'Benzin - diesel - hybrid'!K$15,0)</f>
        <v>0</v>
      </c>
      <c r="M177" s="288">
        <f>N154*'Benzin - diesel - hybrid'!M$39*VLOOKUP('Benzin - diesel - hybrid'!M$45+($B177-1),Fremskrivninger!$A$92:$H$121,8)/1000</f>
        <v>0</v>
      </c>
      <c r="N177" s="309">
        <f>IFERROR('Benzin - diesel - hybrid'!M$40/'Benzin - diesel - hybrid'!M$15,0)</f>
        <v>0</v>
      </c>
      <c r="O177" s="288">
        <f>P154*'Benzin - diesel - hybrid'!O$39*VLOOKUP('Benzin - diesel - hybrid'!O$45+($B177-1),Fremskrivninger!$A$92:$H$121,8)/1000</f>
        <v>0</v>
      </c>
      <c r="P177" s="309">
        <f>IFERROR('Benzin - diesel - hybrid'!O$40/'Benzin - diesel - hybrid'!O$15,0)</f>
        <v>0</v>
      </c>
      <c r="Q177" s="288">
        <f>R154*'Benzin - diesel - hybrid'!Q$39*VLOOKUP('Benzin - diesel - hybrid'!Q$45+($B177-1),Fremskrivninger!$A$92:$H$121,8)/1000</f>
        <v>0</v>
      </c>
      <c r="R177" s="309">
        <f>IFERROR('Benzin - diesel - hybrid'!Q$40/'Benzin - diesel - hybrid'!Q$15,0)</f>
        <v>0</v>
      </c>
      <c r="S177" s="288">
        <f>T154*'Benzin - diesel - hybrid'!S$39*VLOOKUP('Benzin - diesel - hybrid'!S$45+($B177-1),Fremskrivninger!$A$92:$H$121,8)/1000</f>
        <v>0</v>
      </c>
      <c r="T177" s="309">
        <f>IFERROR('Benzin - diesel - hybrid'!S$40/'Benzin - diesel - hybrid'!S$15,0)</f>
        <v>0</v>
      </c>
      <c r="U177" s="288">
        <f>V154*'Benzin - diesel - hybrid'!U$39*VLOOKUP('Benzin - diesel - hybrid'!U$45+($B177-1),Fremskrivninger!$A$92:$H$121,8)/1000</f>
        <v>0</v>
      </c>
      <c r="V177" s="309">
        <f>IFERROR('Benzin - diesel - hybrid'!U$40/'Benzin - diesel - hybrid'!U$15,0)</f>
        <v>0</v>
      </c>
      <c r="W177" s="288">
        <f>X154*'Benzin - diesel - hybrid'!W$39*VLOOKUP('Benzin - diesel - hybrid'!W$45+($B177-1),Fremskrivninger!$A$92:$H$121,8)/1000</f>
        <v>0</v>
      </c>
      <c r="X177" s="309">
        <f>IFERROR('Benzin - diesel - hybrid'!W$40/'Benzin - diesel - hybrid'!W$15,0)</f>
        <v>0</v>
      </c>
    </row>
    <row r="178" spans="1:24">
      <c r="A178" s="308"/>
      <c r="B178" s="282">
        <v>14</v>
      </c>
      <c r="C178" s="282">
        <f t="shared" si="10"/>
        <v>14</v>
      </c>
      <c r="D178" s="282"/>
      <c r="E178" s="288">
        <f>F155*'Benzin - diesel - hybrid'!E$39*VLOOKUP('Benzin - diesel - hybrid'!E$45+($B178-1),Fremskrivninger!$A$92:$H$121,8)/1000</f>
        <v>0</v>
      </c>
      <c r="F178" s="309">
        <f>IFERROR('Benzin - diesel - hybrid'!E$40/'Benzin - diesel - hybrid'!E$15,0)</f>
        <v>0</v>
      </c>
      <c r="G178" s="288">
        <f>H155*'Benzin - diesel - hybrid'!G$39*VLOOKUP('Benzin - diesel - hybrid'!G$45+($B178-1),Fremskrivninger!$A$92:$H$121,8)/1000</f>
        <v>0</v>
      </c>
      <c r="H178" s="309">
        <f>IFERROR('Benzin - diesel - hybrid'!G$40/'Benzin - diesel - hybrid'!G$15,0)</f>
        <v>0</v>
      </c>
      <c r="I178" s="288">
        <f>J155*'Benzin - diesel - hybrid'!I$39*VLOOKUP('Benzin - diesel - hybrid'!I$45+($B178-1),Fremskrivninger!$A$92:$H$121,8)/1000</f>
        <v>0</v>
      </c>
      <c r="J178" s="309">
        <f>IFERROR('Benzin - diesel - hybrid'!I$40/'Benzin - diesel - hybrid'!I$15,0)</f>
        <v>0</v>
      </c>
      <c r="K178" s="288">
        <f>L155*'Benzin - diesel - hybrid'!K$39*VLOOKUP('Benzin - diesel - hybrid'!K$45+($B178-1),Fremskrivninger!$A$92:$H$121,8)/1000</f>
        <v>0</v>
      </c>
      <c r="L178" s="309">
        <f>IFERROR('Benzin - diesel - hybrid'!K$40/'Benzin - diesel - hybrid'!K$15,0)</f>
        <v>0</v>
      </c>
      <c r="M178" s="288">
        <f>N155*'Benzin - diesel - hybrid'!M$39*VLOOKUP('Benzin - diesel - hybrid'!M$45+($B178-1),Fremskrivninger!$A$92:$H$121,8)/1000</f>
        <v>0</v>
      </c>
      <c r="N178" s="309">
        <f>IFERROR('Benzin - diesel - hybrid'!M$40/'Benzin - diesel - hybrid'!M$15,0)</f>
        <v>0</v>
      </c>
      <c r="O178" s="288">
        <f>P155*'Benzin - diesel - hybrid'!O$39*VLOOKUP('Benzin - diesel - hybrid'!O$45+($B178-1),Fremskrivninger!$A$92:$H$121,8)/1000</f>
        <v>0</v>
      </c>
      <c r="P178" s="309">
        <f>IFERROR('Benzin - diesel - hybrid'!O$40/'Benzin - diesel - hybrid'!O$15,0)</f>
        <v>0</v>
      </c>
      <c r="Q178" s="288">
        <f>R155*'Benzin - diesel - hybrid'!Q$39*VLOOKUP('Benzin - diesel - hybrid'!Q$45+($B178-1),Fremskrivninger!$A$92:$H$121,8)/1000</f>
        <v>0</v>
      </c>
      <c r="R178" s="309">
        <f>IFERROR('Benzin - diesel - hybrid'!Q$40/'Benzin - diesel - hybrid'!Q$15,0)</f>
        <v>0</v>
      </c>
      <c r="S178" s="288">
        <f>T155*'Benzin - diesel - hybrid'!S$39*VLOOKUP('Benzin - diesel - hybrid'!S$45+($B178-1),Fremskrivninger!$A$92:$H$121,8)/1000</f>
        <v>0</v>
      </c>
      <c r="T178" s="309">
        <f>IFERROR('Benzin - diesel - hybrid'!S$40/'Benzin - diesel - hybrid'!S$15,0)</f>
        <v>0</v>
      </c>
      <c r="U178" s="288">
        <f>V155*'Benzin - diesel - hybrid'!U$39*VLOOKUP('Benzin - diesel - hybrid'!U$45+($B178-1),Fremskrivninger!$A$92:$H$121,8)/1000</f>
        <v>0</v>
      </c>
      <c r="V178" s="309">
        <f>IFERROR('Benzin - diesel - hybrid'!U$40/'Benzin - diesel - hybrid'!U$15,0)</f>
        <v>0</v>
      </c>
      <c r="W178" s="288">
        <f>X155*'Benzin - diesel - hybrid'!W$39*VLOOKUP('Benzin - diesel - hybrid'!W$45+($B178-1),Fremskrivninger!$A$92:$H$121,8)/1000</f>
        <v>0</v>
      </c>
      <c r="X178" s="309">
        <f>IFERROR('Benzin - diesel - hybrid'!W$40/'Benzin - diesel - hybrid'!W$15,0)</f>
        <v>0</v>
      </c>
    </row>
    <row r="179" spans="1:24">
      <c r="A179" s="308"/>
      <c r="B179" s="282">
        <v>15</v>
      </c>
      <c r="C179" s="282">
        <f t="shared" si="10"/>
        <v>15</v>
      </c>
      <c r="D179" s="282"/>
      <c r="E179" s="288">
        <f>F156*'Benzin - diesel - hybrid'!E$39*VLOOKUP('Benzin - diesel - hybrid'!E$45+($B179-1),Fremskrivninger!$A$92:$H$121,8)/1000</f>
        <v>0</v>
      </c>
      <c r="F179" s="309">
        <f>IFERROR('Benzin - diesel - hybrid'!E$40/'Benzin - diesel - hybrid'!E$15,0)</f>
        <v>0</v>
      </c>
      <c r="G179" s="288">
        <f>H156*'Benzin - diesel - hybrid'!G$39*VLOOKUP('Benzin - diesel - hybrid'!G$45+($B179-1),Fremskrivninger!$A$92:$H$121,8)/1000</f>
        <v>0</v>
      </c>
      <c r="H179" s="309">
        <f>IFERROR('Benzin - diesel - hybrid'!G$40/'Benzin - diesel - hybrid'!G$15,0)</f>
        <v>0</v>
      </c>
      <c r="I179" s="288">
        <f>J156*'Benzin - diesel - hybrid'!I$39*VLOOKUP('Benzin - diesel - hybrid'!I$45+($B179-1),Fremskrivninger!$A$92:$H$121,8)/1000</f>
        <v>0</v>
      </c>
      <c r="J179" s="309">
        <f>IFERROR('Benzin - diesel - hybrid'!I$40/'Benzin - diesel - hybrid'!I$15,0)</f>
        <v>0</v>
      </c>
      <c r="K179" s="288">
        <f>L156*'Benzin - diesel - hybrid'!K$39*VLOOKUP('Benzin - diesel - hybrid'!K$45+($B179-1),Fremskrivninger!$A$92:$H$121,8)/1000</f>
        <v>0</v>
      </c>
      <c r="L179" s="309">
        <f>IFERROR('Benzin - diesel - hybrid'!K$40/'Benzin - diesel - hybrid'!K$15,0)</f>
        <v>0</v>
      </c>
      <c r="M179" s="288">
        <f>N156*'Benzin - diesel - hybrid'!M$39*VLOOKUP('Benzin - diesel - hybrid'!M$45+($B179-1),Fremskrivninger!$A$92:$H$121,8)/1000</f>
        <v>0</v>
      </c>
      <c r="N179" s="309">
        <f>IFERROR('Benzin - diesel - hybrid'!M$40/'Benzin - diesel - hybrid'!M$15,0)</f>
        <v>0</v>
      </c>
      <c r="O179" s="288">
        <f>P156*'Benzin - diesel - hybrid'!O$39*VLOOKUP('Benzin - diesel - hybrid'!O$45+($B179-1),Fremskrivninger!$A$92:$H$121,8)/1000</f>
        <v>0</v>
      </c>
      <c r="P179" s="309">
        <f>IFERROR('Benzin - diesel - hybrid'!O$40/'Benzin - diesel - hybrid'!O$15,0)</f>
        <v>0</v>
      </c>
      <c r="Q179" s="288">
        <f>R156*'Benzin - diesel - hybrid'!Q$39*VLOOKUP('Benzin - diesel - hybrid'!Q$45+($B179-1),Fremskrivninger!$A$92:$H$121,8)/1000</f>
        <v>0</v>
      </c>
      <c r="R179" s="309">
        <f>IFERROR('Benzin - diesel - hybrid'!Q$40/'Benzin - diesel - hybrid'!Q$15,0)</f>
        <v>0</v>
      </c>
      <c r="S179" s="288">
        <f>T156*'Benzin - diesel - hybrid'!S$39*VLOOKUP('Benzin - diesel - hybrid'!S$45+($B179-1),Fremskrivninger!$A$92:$H$121,8)/1000</f>
        <v>0</v>
      </c>
      <c r="T179" s="309">
        <f>IFERROR('Benzin - diesel - hybrid'!S$40/'Benzin - diesel - hybrid'!S$15,0)</f>
        <v>0</v>
      </c>
      <c r="U179" s="288">
        <f>V156*'Benzin - diesel - hybrid'!U$39*VLOOKUP('Benzin - diesel - hybrid'!U$45+($B179-1),Fremskrivninger!$A$92:$H$121,8)/1000</f>
        <v>0</v>
      </c>
      <c r="V179" s="309">
        <f>IFERROR('Benzin - diesel - hybrid'!U$40/'Benzin - diesel - hybrid'!U$15,0)</f>
        <v>0</v>
      </c>
      <c r="W179" s="288">
        <f>X156*'Benzin - diesel - hybrid'!W$39*VLOOKUP('Benzin - diesel - hybrid'!W$45+($B179-1),Fremskrivninger!$A$92:$H$121,8)/1000</f>
        <v>0</v>
      </c>
      <c r="X179" s="309">
        <f>IFERROR('Benzin - diesel - hybrid'!W$40/'Benzin - diesel - hybrid'!W$15,0)</f>
        <v>0</v>
      </c>
    </row>
    <row r="180" spans="1:24">
      <c r="A180" s="308"/>
      <c r="B180" s="282">
        <v>16</v>
      </c>
      <c r="C180" s="282">
        <f t="shared" si="10"/>
        <v>16</v>
      </c>
      <c r="D180" s="282"/>
      <c r="E180" s="288">
        <f>F157*'Benzin - diesel - hybrid'!E$39*VLOOKUP('Benzin - diesel - hybrid'!E$45+($B180-1),Fremskrivninger!$A$92:$H$121,8)/1000</f>
        <v>0</v>
      </c>
      <c r="F180" s="309">
        <f>IFERROR('Benzin - diesel - hybrid'!E$40/'Benzin - diesel - hybrid'!E$15,0)</f>
        <v>0</v>
      </c>
      <c r="G180" s="288">
        <f>H157*'Benzin - diesel - hybrid'!G$39*VLOOKUP('Benzin - diesel - hybrid'!G$45+($B180-1),Fremskrivninger!$A$92:$H$121,8)/1000</f>
        <v>0</v>
      </c>
      <c r="H180" s="309">
        <f>IFERROR('Benzin - diesel - hybrid'!G$40/'Benzin - diesel - hybrid'!G$15,0)</f>
        <v>0</v>
      </c>
      <c r="I180" s="288">
        <f>J157*'Benzin - diesel - hybrid'!I$39*VLOOKUP('Benzin - diesel - hybrid'!I$45+($B180-1),Fremskrivninger!$A$92:$H$121,8)/1000</f>
        <v>0</v>
      </c>
      <c r="J180" s="309">
        <f>IFERROR('Benzin - diesel - hybrid'!I$40/'Benzin - diesel - hybrid'!I$15,0)</f>
        <v>0</v>
      </c>
      <c r="K180" s="288">
        <f>L157*'Benzin - diesel - hybrid'!K$39*VLOOKUP('Benzin - diesel - hybrid'!K$45+($B180-1),Fremskrivninger!$A$92:$H$121,8)/1000</f>
        <v>0</v>
      </c>
      <c r="L180" s="309">
        <f>IFERROR('Benzin - diesel - hybrid'!K$40/'Benzin - diesel - hybrid'!K$15,0)</f>
        <v>0</v>
      </c>
      <c r="M180" s="288">
        <f>N157*'Benzin - diesel - hybrid'!M$39*VLOOKUP('Benzin - diesel - hybrid'!M$45+($B180-1),Fremskrivninger!$A$92:$H$121,8)/1000</f>
        <v>0</v>
      </c>
      <c r="N180" s="309">
        <f>IFERROR('Benzin - diesel - hybrid'!M$40/'Benzin - diesel - hybrid'!M$15,0)</f>
        <v>0</v>
      </c>
      <c r="O180" s="288">
        <f>P157*'Benzin - diesel - hybrid'!O$39*VLOOKUP('Benzin - diesel - hybrid'!O$45+($B180-1),Fremskrivninger!$A$92:$H$121,8)/1000</f>
        <v>0</v>
      </c>
      <c r="P180" s="309">
        <f>IFERROR('Benzin - diesel - hybrid'!O$40/'Benzin - diesel - hybrid'!O$15,0)</f>
        <v>0</v>
      </c>
      <c r="Q180" s="288">
        <f>R157*'Benzin - diesel - hybrid'!Q$39*VLOOKUP('Benzin - diesel - hybrid'!Q$45+($B180-1),Fremskrivninger!$A$92:$H$121,8)/1000</f>
        <v>0</v>
      </c>
      <c r="R180" s="309">
        <f>IFERROR('Benzin - diesel - hybrid'!Q$40/'Benzin - diesel - hybrid'!Q$15,0)</f>
        <v>0</v>
      </c>
      <c r="S180" s="288">
        <f>T157*'Benzin - diesel - hybrid'!S$39*VLOOKUP('Benzin - diesel - hybrid'!S$45+($B180-1),Fremskrivninger!$A$92:$H$121,8)/1000</f>
        <v>0</v>
      </c>
      <c r="T180" s="309">
        <f>IFERROR('Benzin - diesel - hybrid'!S$40/'Benzin - diesel - hybrid'!S$15,0)</f>
        <v>0</v>
      </c>
      <c r="U180" s="288">
        <f>V157*'Benzin - diesel - hybrid'!U$39*VLOOKUP('Benzin - diesel - hybrid'!U$45+($B180-1),Fremskrivninger!$A$92:$H$121,8)/1000</f>
        <v>0</v>
      </c>
      <c r="V180" s="309">
        <f>IFERROR('Benzin - diesel - hybrid'!U$40/'Benzin - diesel - hybrid'!U$15,0)</f>
        <v>0</v>
      </c>
      <c r="W180" s="288">
        <f>X157*'Benzin - diesel - hybrid'!W$39*VLOOKUP('Benzin - diesel - hybrid'!W$45+($B180-1),Fremskrivninger!$A$92:$H$121,8)/1000</f>
        <v>0</v>
      </c>
      <c r="X180" s="309">
        <f>IFERROR('Benzin - diesel - hybrid'!W$40/'Benzin - diesel - hybrid'!W$15,0)</f>
        <v>0</v>
      </c>
    </row>
    <row r="181" spans="1:24">
      <c r="A181" s="308"/>
      <c r="B181" s="282">
        <v>17</v>
      </c>
      <c r="C181" s="282">
        <f t="shared" si="10"/>
        <v>17</v>
      </c>
      <c r="D181" s="282"/>
      <c r="E181" s="288">
        <f>F158*'Benzin - diesel - hybrid'!E$39*VLOOKUP('Benzin - diesel - hybrid'!E$45+($B181-1),Fremskrivninger!$A$92:$H$121,8)/1000</f>
        <v>0</v>
      </c>
      <c r="F181" s="309">
        <f>IFERROR('Benzin - diesel - hybrid'!E$40/'Benzin - diesel - hybrid'!E$15,0)</f>
        <v>0</v>
      </c>
      <c r="G181" s="288">
        <f>H158*'Benzin - diesel - hybrid'!G$39*VLOOKUP('Benzin - diesel - hybrid'!G$45+($B181-1),Fremskrivninger!$A$92:$H$121,8)/1000</f>
        <v>0</v>
      </c>
      <c r="H181" s="309">
        <f>IFERROR('Benzin - diesel - hybrid'!G$40/'Benzin - diesel - hybrid'!G$15,0)</f>
        <v>0</v>
      </c>
      <c r="I181" s="288">
        <f>J158*'Benzin - diesel - hybrid'!I$39*VLOOKUP('Benzin - diesel - hybrid'!I$45+($B181-1),Fremskrivninger!$A$92:$H$121,8)/1000</f>
        <v>0</v>
      </c>
      <c r="J181" s="309">
        <f>IFERROR('Benzin - diesel - hybrid'!I$40/'Benzin - diesel - hybrid'!I$15,0)</f>
        <v>0</v>
      </c>
      <c r="K181" s="288">
        <f>L158*'Benzin - diesel - hybrid'!K$39*VLOOKUP('Benzin - diesel - hybrid'!K$45+($B181-1),Fremskrivninger!$A$92:$H$121,8)/1000</f>
        <v>0</v>
      </c>
      <c r="L181" s="309">
        <f>IFERROR('Benzin - diesel - hybrid'!K$40/'Benzin - diesel - hybrid'!K$15,0)</f>
        <v>0</v>
      </c>
      <c r="M181" s="288">
        <f>N158*'Benzin - diesel - hybrid'!M$39*VLOOKUP('Benzin - diesel - hybrid'!M$45+($B181-1),Fremskrivninger!$A$92:$H$121,8)/1000</f>
        <v>0</v>
      </c>
      <c r="N181" s="309">
        <f>IFERROR('Benzin - diesel - hybrid'!M$40/'Benzin - diesel - hybrid'!M$15,0)</f>
        <v>0</v>
      </c>
      <c r="O181" s="288">
        <f>P158*'Benzin - diesel - hybrid'!O$39*VLOOKUP('Benzin - diesel - hybrid'!O$45+($B181-1),Fremskrivninger!$A$92:$H$121,8)/1000</f>
        <v>0</v>
      </c>
      <c r="P181" s="309">
        <f>IFERROR('Benzin - diesel - hybrid'!O$40/'Benzin - diesel - hybrid'!O$15,0)</f>
        <v>0</v>
      </c>
      <c r="Q181" s="288">
        <f>R158*'Benzin - diesel - hybrid'!Q$39*VLOOKUP('Benzin - diesel - hybrid'!Q$45+($B181-1),Fremskrivninger!$A$92:$H$121,8)/1000</f>
        <v>0</v>
      </c>
      <c r="R181" s="309">
        <f>IFERROR('Benzin - diesel - hybrid'!Q$40/'Benzin - diesel - hybrid'!Q$15,0)</f>
        <v>0</v>
      </c>
      <c r="S181" s="288">
        <f>T158*'Benzin - diesel - hybrid'!S$39*VLOOKUP('Benzin - diesel - hybrid'!S$45+($B181-1),Fremskrivninger!$A$92:$H$121,8)/1000</f>
        <v>0</v>
      </c>
      <c r="T181" s="309">
        <f>IFERROR('Benzin - diesel - hybrid'!S$40/'Benzin - diesel - hybrid'!S$15,0)</f>
        <v>0</v>
      </c>
      <c r="U181" s="288">
        <f>V158*'Benzin - diesel - hybrid'!U$39*VLOOKUP('Benzin - diesel - hybrid'!U$45+($B181-1),Fremskrivninger!$A$92:$H$121,8)/1000</f>
        <v>0</v>
      </c>
      <c r="V181" s="309">
        <f>IFERROR('Benzin - diesel - hybrid'!U$40/'Benzin - diesel - hybrid'!U$15,0)</f>
        <v>0</v>
      </c>
      <c r="W181" s="288">
        <f>X158*'Benzin - diesel - hybrid'!W$39*VLOOKUP('Benzin - diesel - hybrid'!W$45+($B181-1),Fremskrivninger!$A$92:$H$121,8)/1000</f>
        <v>0</v>
      </c>
      <c r="X181" s="309">
        <f>IFERROR('Benzin - diesel - hybrid'!W$40/'Benzin - diesel - hybrid'!W$15,0)</f>
        <v>0</v>
      </c>
    </row>
    <row r="182" spans="1:24">
      <c r="A182" s="308"/>
      <c r="B182" s="282">
        <v>18</v>
      </c>
      <c r="C182" s="282">
        <f t="shared" si="10"/>
        <v>18</v>
      </c>
      <c r="D182" s="282"/>
      <c r="E182" s="288">
        <f>F159*'Benzin - diesel - hybrid'!E$39*VLOOKUP('Benzin - diesel - hybrid'!E$45+($B182-1),Fremskrivninger!$A$92:$H$121,8)/1000</f>
        <v>0</v>
      </c>
      <c r="F182" s="309">
        <f>IFERROR('Benzin - diesel - hybrid'!E$40/'Benzin - diesel - hybrid'!E$15,0)</f>
        <v>0</v>
      </c>
      <c r="G182" s="288">
        <f>H159*'Benzin - diesel - hybrid'!G$39*VLOOKUP('Benzin - diesel - hybrid'!G$45+($B182-1),Fremskrivninger!$A$92:$H$121,8)/1000</f>
        <v>0</v>
      </c>
      <c r="H182" s="309">
        <f>IFERROR('Benzin - diesel - hybrid'!G$40/'Benzin - diesel - hybrid'!G$15,0)</f>
        <v>0</v>
      </c>
      <c r="I182" s="288">
        <f>J159*'Benzin - diesel - hybrid'!I$39*VLOOKUP('Benzin - diesel - hybrid'!I$45+($B182-1),Fremskrivninger!$A$92:$H$121,8)/1000</f>
        <v>0</v>
      </c>
      <c r="J182" s="309">
        <f>IFERROR('Benzin - diesel - hybrid'!I$40/'Benzin - diesel - hybrid'!I$15,0)</f>
        <v>0</v>
      </c>
      <c r="K182" s="288">
        <f>L159*'Benzin - diesel - hybrid'!K$39*VLOOKUP('Benzin - diesel - hybrid'!K$45+($B182-1),Fremskrivninger!$A$92:$H$121,8)/1000</f>
        <v>0</v>
      </c>
      <c r="L182" s="309">
        <f>IFERROR('Benzin - diesel - hybrid'!K$40/'Benzin - diesel - hybrid'!K$15,0)</f>
        <v>0</v>
      </c>
      <c r="M182" s="288">
        <f>N159*'Benzin - diesel - hybrid'!M$39*VLOOKUP('Benzin - diesel - hybrid'!M$45+($B182-1),Fremskrivninger!$A$92:$H$121,8)/1000</f>
        <v>0</v>
      </c>
      <c r="N182" s="309">
        <f>IFERROR('Benzin - diesel - hybrid'!M$40/'Benzin - diesel - hybrid'!M$15,0)</f>
        <v>0</v>
      </c>
      <c r="O182" s="288">
        <f>P159*'Benzin - diesel - hybrid'!O$39*VLOOKUP('Benzin - diesel - hybrid'!O$45+($B182-1),Fremskrivninger!$A$92:$H$121,8)/1000</f>
        <v>0</v>
      </c>
      <c r="P182" s="309">
        <f>IFERROR('Benzin - diesel - hybrid'!O$40/'Benzin - diesel - hybrid'!O$15,0)</f>
        <v>0</v>
      </c>
      <c r="Q182" s="288">
        <f>R159*'Benzin - diesel - hybrid'!Q$39*VLOOKUP('Benzin - diesel - hybrid'!Q$45+($B182-1),Fremskrivninger!$A$92:$H$121,8)/1000</f>
        <v>0</v>
      </c>
      <c r="R182" s="309">
        <f>IFERROR('Benzin - diesel - hybrid'!Q$40/'Benzin - diesel - hybrid'!Q$15,0)</f>
        <v>0</v>
      </c>
      <c r="S182" s="288">
        <f>T159*'Benzin - diesel - hybrid'!S$39*VLOOKUP('Benzin - diesel - hybrid'!S$45+($B182-1),Fremskrivninger!$A$92:$H$121,8)/1000</f>
        <v>0</v>
      </c>
      <c r="T182" s="309">
        <f>IFERROR('Benzin - diesel - hybrid'!S$40/'Benzin - diesel - hybrid'!S$15,0)</f>
        <v>0</v>
      </c>
      <c r="U182" s="288">
        <f>V159*'Benzin - diesel - hybrid'!U$39*VLOOKUP('Benzin - diesel - hybrid'!U$45+($B182-1),Fremskrivninger!$A$92:$H$121,8)/1000</f>
        <v>0</v>
      </c>
      <c r="V182" s="309">
        <f>IFERROR('Benzin - diesel - hybrid'!U$40/'Benzin - diesel - hybrid'!U$15,0)</f>
        <v>0</v>
      </c>
      <c r="W182" s="288">
        <f>X159*'Benzin - diesel - hybrid'!W$39*VLOOKUP('Benzin - diesel - hybrid'!W$45+($B182-1),Fremskrivninger!$A$92:$H$121,8)/1000</f>
        <v>0</v>
      </c>
      <c r="X182" s="309">
        <f>IFERROR('Benzin - diesel - hybrid'!W$40/'Benzin - diesel - hybrid'!W$15,0)</f>
        <v>0</v>
      </c>
    </row>
    <row r="183" spans="1:24">
      <c r="A183" s="308"/>
      <c r="B183" s="282">
        <v>19</v>
      </c>
      <c r="C183" s="282">
        <f t="shared" si="10"/>
        <v>19</v>
      </c>
      <c r="D183" s="282"/>
      <c r="E183" s="288">
        <f>F160*'Benzin - diesel - hybrid'!E$39*VLOOKUP('Benzin - diesel - hybrid'!E$45+($B183-1),Fremskrivninger!$A$92:$H$121,8)/1000</f>
        <v>0</v>
      </c>
      <c r="F183" s="309">
        <f>IFERROR('Benzin - diesel - hybrid'!E$40/'Benzin - diesel - hybrid'!E$15,0)</f>
        <v>0</v>
      </c>
      <c r="G183" s="288">
        <f>H160*'Benzin - diesel - hybrid'!G$39*VLOOKUP('Benzin - diesel - hybrid'!G$45+($B183-1),Fremskrivninger!$A$92:$H$121,8)/1000</f>
        <v>0</v>
      </c>
      <c r="H183" s="309">
        <f>IFERROR('Benzin - diesel - hybrid'!G$40/'Benzin - diesel - hybrid'!G$15,0)</f>
        <v>0</v>
      </c>
      <c r="I183" s="288">
        <f>J160*'Benzin - diesel - hybrid'!I$39*VLOOKUP('Benzin - diesel - hybrid'!I$45+($B183-1),Fremskrivninger!$A$92:$H$121,8)/1000</f>
        <v>0</v>
      </c>
      <c r="J183" s="309">
        <f>IFERROR('Benzin - diesel - hybrid'!I$40/'Benzin - diesel - hybrid'!I$15,0)</f>
        <v>0</v>
      </c>
      <c r="K183" s="288">
        <f>L160*'Benzin - diesel - hybrid'!K$39*VLOOKUP('Benzin - diesel - hybrid'!K$45+($B183-1),Fremskrivninger!$A$92:$H$121,8)/1000</f>
        <v>0</v>
      </c>
      <c r="L183" s="309">
        <f>IFERROR('Benzin - diesel - hybrid'!K$40/'Benzin - diesel - hybrid'!K$15,0)</f>
        <v>0</v>
      </c>
      <c r="M183" s="288">
        <f>N160*'Benzin - diesel - hybrid'!M$39*VLOOKUP('Benzin - diesel - hybrid'!M$45+($B183-1),Fremskrivninger!$A$92:$H$121,8)/1000</f>
        <v>0</v>
      </c>
      <c r="N183" s="309">
        <f>IFERROR('Benzin - diesel - hybrid'!M$40/'Benzin - diesel - hybrid'!M$15,0)</f>
        <v>0</v>
      </c>
      <c r="O183" s="288">
        <f>P160*'Benzin - diesel - hybrid'!O$39*VLOOKUP('Benzin - diesel - hybrid'!O$45+($B183-1),Fremskrivninger!$A$92:$H$121,8)/1000</f>
        <v>0</v>
      </c>
      <c r="P183" s="309">
        <f>IFERROR('Benzin - diesel - hybrid'!O$40/'Benzin - diesel - hybrid'!O$15,0)</f>
        <v>0</v>
      </c>
      <c r="Q183" s="288">
        <f>R160*'Benzin - diesel - hybrid'!Q$39*VLOOKUP('Benzin - diesel - hybrid'!Q$45+($B183-1),Fremskrivninger!$A$92:$H$121,8)/1000</f>
        <v>0</v>
      </c>
      <c r="R183" s="309">
        <f>IFERROR('Benzin - diesel - hybrid'!Q$40/'Benzin - diesel - hybrid'!Q$15,0)</f>
        <v>0</v>
      </c>
      <c r="S183" s="288">
        <f>T160*'Benzin - diesel - hybrid'!S$39*VLOOKUP('Benzin - diesel - hybrid'!S$45+($B183-1),Fremskrivninger!$A$92:$H$121,8)/1000</f>
        <v>0</v>
      </c>
      <c r="T183" s="309">
        <f>IFERROR('Benzin - diesel - hybrid'!S$40/'Benzin - diesel - hybrid'!S$15,0)</f>
        <v>0</v>
      </c>
      <c r="U183" s="288">
        <f>V160*'Benzin - diesel - hybrid'!U$39*VLOOKUP('Benzin - diesel - hybrid'!U$45+($B183-1),Fremskrivninger!$A$92:$H$121,8)/1000</f>
        <v>0</v>
      </c>
      <c r="V183" s="309">
        <f>IFERROR('Benzin - diesel - hybrid'!U$40/'Benzin - diesel - hybrid'!U$15,0)</f>
        <v>0</v>
      </c>
      <c r="W183" s="288">
        <f>X160*'Benzin - diesel - hybrid'!W$39*VLOOKUP('Benzin - diesel - hybrid'!W$45+($B183-1),Fremskrivninger!$A$92:$H$121,8)/1000</f>
        <v>0</v>
      </c>
      <c r="X183" s="309">
        <f>IFERROR('Benzin - diesel - hybrid'!W$40/'Benzin - diesel - hybrid'!W$15,0)</f>
        <v>0</v>
      </c>
    </row>
    <row r="184" spans="1:24">
      <c r="A184" s="311"/>
      <c r="B184" s="287">
        <v>20</v>
      </c>
      <c r="C184" s="287">
        <f t="shared" si="10"/>
        <v>20</v>
      </c>
      <c r="D184" s="287"/>
      <c r="E184" s="288">
        <f>F161*'Benzin - diesel - hybrid'!E$39*VLOOKUP('Benzin - diesel - hybrid'!E$45+($B184-1),Fremskrivninger!$A$92:$H$121,8)/1000</f>
        <v>0</v>
      </c>
      <c r="F184" s="309">
        <f>IFERROR('Benzin - diesel - hybrid'!E$40/'Benzin - diesel - hybrid'!E$15,0)</f>
        <v>0</v>
      </c>
      <c r="G184" s="288">
        <f>H161*'Benzin - diesel - hybrid'!G$39*VLOOKUP('Benzin - diesel - hybrid'!G$45+($B184-1),Fremskrivninger!$A$92:$H$121,8)/1000</f>
        <v>0</v>
      </c>
      <c r="H184" s="309">
        <f>IFERROR('Benzin - diesel - hybrid'!G$40/'Benzin - diesel - hybrid'!G$15,0)</f>
        <v>0</v>
      </c>
      <c r="I184" s="288">
        <f>J161*'Benzin - diesel - hybrid'!I$39*VLOOKUP('Benzin - diesel - hybrid'!I$45+($B184-1),Fremskrivninger!$A$92:$H$121,8)/1000</f>
        <v>0</v>
      </c>
      <c r="J184" s="309">
        <f>IFERROR('Benzin - diesel - hybrid'!I$40/'Benzin - diesel - hybrid'!I$15,0)</f>
        <v>0</v>
      </c>
      <c r="K184" s="288">
        <f>L161*'Benzin - diesel - hybrid'!K$39*VLOOKUP('Benzin - diesel - hybrid'!K$45+($B184-1),Fremskrivninger!$A$92:$H$121,8)/1000</f>
        <v>0</v>
      </c>
      <c r="L184" s="309">
        <f>IFERROR('Benzin - diesel - hybrid'!K$40/'Benzin - diesel - hybrid'!K$15,0)</f>
        <v>0</v>
      </c>
      <c r="M184" s="288">
        <f>N161*'Benzin - diesel - hybrid'!M$39*VLOOKUP('Benzin - diesel - hybrid'!M$45+($B184-1),Fremskrivninger!$A$92:$H$121,8)/1000</f>
        <v>0</v>
      </c>
      <c r="N184" s="309">
        <f>IFERROR('Benzin - diesel - hybrid'!M$40/'Benzin - diesel - hybrid'!M$15,0)</f>
        <v>0</v>
      </c>
      <c r="O184" s="288">
        <f>P161*'Benzin - diesel - hybrid'!O$39*VLOOKUP('Benzin - diesel - hybrid'!O$45+($B184-1),Fremskrivninger!$A$92:$H$121,8)/1000</f>
        <v>0</v>
      </c>
      <c r="P184" s="309">
        <f>IFERROR('Benzin - diesel - hybrid'!O$40/'Benzin - diesel - hybrid'!O$15,0)</f>
        <v>0</v>
      </c>
      <c r="Q184" s="288">
        <f>R161*'Benzin - diesel - hybrid'!Q$39*VLOOKUP('Benzin - diesel - hybrid'!Q$45+($B184-1),Fremskrivninger!$A$92:$H$121,8)/1000</f>
        <v>0</v>
      </c>
      <c r="R184" s="309">
        <f>IFERROR('Benzin - diesel - hybrid'!Q$40/'Benzin - diesel - hybrid'!Q$15,0)</f>
        <v>0</v>
      </c>
      <c r="S184" s="288">
        <f>T161*'Benzin - diesel - hybrid'!S$39*VLOOKUP('Benzin - diesel - hybrid'!S$45+($B184-1),Fremskrivninger!$A$92:$H$121,8)/1000</f>
        <v>0</v>
      </c>
      <c r="T184" s="309">
        <f>IFERROR('Benzin - diesel - hybrid'!S$40/'Benzin - diesel - hybrid'!S$15,0)</f>
        <v>0</v>
      </c>
      <c r="U184" s="288">
        <f>V161*'Benzin - diesel - hybrid'!U$39*VLOOKUP('Benzin - diesel - hybrid'!U$45+($B184-1),Fremskrivninger!$A$92:$H$121,8)/1000</f>
        <v>0</v>
      </c>
      <c r="V184" s="309">
        <f>IFERROR('Benzin - diesel - hybrid'!U$40/'Benzin - diesel - hybrid'!U$15,0)</f>
        <v>0</v>
      </c>
      <c r="W184" s="288">
        <f>X161*'Benzin - diesel - hybrid'!W$39*VLOOKUP('Benzin - diesel - hybrid'!W$45+($B184-1),Fremskrivninger!$A$92:$H$121,8)/1000</f>
        <v>0</v>
      </c>
      <c r="X184" s="309">
        <f>IFERROR('Benzin - diesel - hybrid'!W$40/'Benzin - diesel - hybrid'!W$15,0)</f>
        <v>0</v>
      </c>
    </row>
    <row r="185" spans="1:24">
      <c r="A185" s="286" t="s">
        <v>80</v>
      </c>
      <c r="B185" s="312"/>
      <c r="C185" s="312"/>
      <c r="D185" s="312"/>
      <c r="E185" s="312"/>
      <c r="F185" s="312"/>
      <c r="G185" s="312"/>
      <c r="H185" s="312"/>
      <c r="I185" s="312"/>
      <c r="J185" s="312"/>
      <c r="K185" s="312"/>
      <c r="L185" s="312"/>
      <c r="M185" s="312"/>
      <c r="N185" s="312"/>
      <c r="O185" s="312"/>
      <c r="P185" s="312"/>
      <c r="Q185" s="312"/>
      <c r="R185" s="312"/>
      <c r="S185" s="312"/>
      <c r="T185" s="310"/>
      <c r="U185" s="312"/>
      <c r="V185" s="310"/>
      <c r="W185" s="312"/>
      <c r="X185" s="310"/>
    </row>
    <row r="186" spans="1:24" ht="68.25">
      <c r="A186" s="279"/>
      <c r="B186" s="300" t="s">
        <v>20</v>
      </c>
      <c r="C186" s="312"/>
      <c r="D186" s="312" t="s">
        <v>21</v>
      </c>
      <c r="E186" s="301" t="str">
        <f>E141&amp;" - Samfundsøkonomiske omkostninger (kr.)"</f>
        <v>PRODUKT 1 - Samfundsøkonomiske omkostninger (kr.)</v>
      </c>
      <c r="F186" s="313" t="str">
        <f>E141&amp;" - Samlet udledning i tons Co2e"</f>
        <v>PRODUKT 1 - Samlet udledning i tons Co2e</v>
      </c>
      <c r="G186" s="301" t="str">
        <f>G141&amp;" - Samfundsøkonomiske omkostninger (kr.)"</f>
        <v>PRODUKT 2 - Samfundsøkonomiske omkostninger (kr.)</v>
      </c>
      <c r="H186" s="313" t="str">
        <f>G141&amp;" - Samlet udledning i tons Co2e"</f>
        <v>PRODUKT 2 - Samlet udledning i tons Co2e</v>
      </c>
      <c r="I186" s="301" t="str">
        <f>I141&amp;" - Samfundsøkonomiske omkostninger (kr.)"</f>
        <v>PRODUKT 3 - Samfundsøkonomiske omkostninger (kr.)</v>
      </c>
      <c r="J186" s="313" t="str">
        <f>I141&amp;" - Samlet udledning i tons Co2e"</f>
        <v>PRODUKT 3 - Samlet udledning i tons Co2e</v>
      </c>
      <c r="K186" s="301" t="str">
        <f>K141&amp;" - Samfundsøkonomiske omkostninger (kr.)"</f>
        <v>PRODUKT 4 - Samfundsøkonomiske omkostninger (kr.)</v>
      </c>
      <c r="L186" s="313" t="str">
        <f>K141&amp;" - Samlet udledning i tons Co2e"</f>
        <v>PRODUKT 4 - Samlet udledning i tons Co2e</v>
      </c>
      <c r="M186" s="301" t="str">
        <f>M141&amp;" - Samfundsøkonomiske omkostninger (kr.)"</f>
        <v>PRODUKT 5 - Samfundsøkonomiske omkostninger (kr.)</v>
      </c>
      <c r="N186" s="313" t="str">
        <f>M141&amp;" - Samlet udledning i tons Co2e"</f>
        <v>PRODUKT 5 - Samlet udledning i tons Co2e</v>
      </c>
      <c r="O186" s="301" t="str">
        <f>O141&amp;" - Samfundsøkonomiske omkostninger (kr.)"</f>
        <v>PRODUKT 6 - Samfundsøkonomiske omkostninger (kr.)</v>
      </c>
      <c r="P186" s="313" t="str">
        <f>O141&amp;" - Samlet udledning i tons Co2e"</f>
        <v>PRODUKT 6 - Samlet udledning i tons Co2e</v>
      </c>
      <c r="Q186" s="301" t="str">
        <f>Q141&amp;" - Samfundsøkonomiske omkostninger (kr.)"</f>
        <v>PRODUKT 7 - Samfundsøkonomiske omkostninger (kr.)</v>
      </c>
      <c r="R186" s="313" t="str">
        <f>Q141&amp;" - Samlet udledning i tons Co2e"</f>
        <v>PRODUKT 7 - Samlet udledning i tons Co2e</v>
      </c>
      <c r="S186" s="301" t="str">
        <f>S141&amp;" - Samfundsøkonomiske omkostninger (kr.)"</f>
        <v>PRODUKT 8 - Samfundsøkonomiske omkostninger (kr.)</v>
      </c>
      <c r="T186" s="313" t="str">
        <f>S141&amp;" - Samlet udledning i tons Co2e"</f>
        <v>PRODUKT 8 - Samlet udledning i tons Co2e</v>
      </c>
      <c r="U186" s="301" t="str">
        <f>U141&amp;" - Samfundsøkonomiske omkostninger (kr.)"</f>
        <v>PRODUKT 9 - Samfundsøkonomiske omkostninger (kr.)</v>
      </c>
      <c r="V186" s="313" t="str">
        <f>U141&amp;" - Samlet udledning i tons Co2e"</f>
        <v>PRODUKT 9 - Samlet udledning i tons Co2e</v>
      </c>
      <c r="W186" s="301" t="str">
        <f>W141&amp;" - Samfundsøkonomiske omkostninger (kr.)"</f>
        <v>PRODUKT 10 - Samfundsøkonomiske omkostninger (kr.)</v>
      </c>
      <c r="X186" s="313" t="str">
        <f>W141&amp;" - Samlet udledning i tons Co2e"</f>
        <v>PRODUKT 10 - Samlet udledning i tons Co2e</v>
      </c>
    </row>
    <row r="187" spans="1:24">
      <c r="A187" s="308"/>
      <c r="B187" s="302">
        <v>1</v>
      </c>
      <c r="C187" s="302">
        <f>B187</f>
        <v>1</v>
      </c>
      <c r="D187" s="302"/>
      <c r="E187" s="500">
        <f>F187*IF('Benzin - diesel - hybrid'!E$24="nej",0,IF('Benzin - diesel - hybrid'!E$32="ja",'Benzin - diesel - hybrid'!E$33,'Benzin - diesel - hybrid'!E$34))*(1+'Benzin - diesel - hybrid'!E$47)^-$C187</f>
        <v>0</v>
      </c>
      <c r="F187" s="314">
        <f>IF('Benzin - diesel - hybrid'!E$49="benzin",E142,IF('Benzin - diesel - hybrid'!E$49="diesel",E165,0))</f>
        <v>0</v>
      </c>
      <c r="G187" s="500">
        <f>H187*IF('Benzin - diesel - hybrid'!G$24="nej",0,IF('Benzin - diesel - hybrid'!G$32="ja",'Benzin - diesel - hybrid'!G$33,'Benzin - diesel - hybrid'!G$34))*(1+'Benzin - diesel - hybrid'!G$47)^-$C187</f>
        <v>0</v>
      </c>
      <c r="H187" s="314">
        <f>IF('Benzin - diesel - hybrid'!G$49="benzin",G142,IF('Benzin - diesel - hybrid'!G$49="diesel",G165,0))</f>
        <v>0</v>
      </c>
      <c r="I187" s="500">
        <f>J187*IF('Benzin - diesel - hybrid'!I$24="nej",0,IF('Benzin - diesel - hybrid'!I$32="ja",'Benzin - diesel - hybrid'!I$33,'Benzin - diesel - hybrid'!I$34))*(1+'Benzin - diesel - hybrid'!I$47)^-$C187</f>
        <v>0</v>
      </c>
      <c r="J187" s="314">
        <f>IF('Benzin - diesel - hybrid'!I$49="benzin",I142,IF('Benzin - diesel - hybrid'!I$49="diesel",I165,0))</f>
        <v>0</v>
      </c>
      <c r="K187" s="500">
        <f>L187*IF('Benzin - diesel - hybrid'!K$24="nej",0,IF('Benzin - diesel - hybrid'!K$32="ja",'Benzin - diesel - hybrid'!K$33,'Benzin - diesel - hybrid'!K$34))*(1+'Benzin - diesel - hybrid'!K$47)^-$C187</f>
        <v>0</v>
      </c>
      <c r="L187" s="314">
        <f>IF('Benzin - diesel - hybrid'!K$49="benzin",K142,IF('Benzin - diesel - hybrid'!K$49="diesel",K165,0))</f>
        <v>0</v>
      </c>
      <c r="M187" s="500">
        <f>N187*IF('Benzin - diesel - hybrid'!M$24="nej",0,IF('Benzin - diesel - hybrid'!M$32="ja",'Benzin - diesel - hybrid'!M$33,'Benzin - diesel - hybrid'!M$34))*(1+'Benzin - diesel - hybrid'!M$47)^-$C187</f>
        <v>0</v>
      </c>
      <c r="N187" s="314">
        <f>IF('Benzin - diesel - hybrid'!M$49="benzin",M142,IF('Benzin - diesel - hybrid'!M$49="diesel",M165,0))</f>
        <v>0</v>
      </c>
      <c r="O187" s="500">
        <f>P187*IF('Benzin - diesel - hybrid'!O$24="nej",0,IF('Benzin - diesel - hybrid'!O$32="ja",'Benzin - diesel - hybrid'!O$33,'Benzin - diesel - hybrid'!O$34))*(1+'Benzin - diesel - hybrid'!O$47)^-$C187</f>
        <v>0</v>
      </c>
      <c r="P187" s="314">
        <f>IF('Benzin - diesel - hybrid'!O$49="benzin",O142,IF('Benzin - diesel - hybrid'!O$49="diesel",O165,0))</f>
        <v>0</v>
      </c>
      <c r="Q187" s="500">
        <f>R187*IF('Benzin - diesel - hybrid'!Q$24="nej",0,IF('Benzin - diesel - hybrid'!Q$32="ja",'Benzin - diesel - hybrid'!Q$33,'Benzin - diesel - hybrid'!Q$34))*(1+'Benzin - diesel - hybrid'!Q$47)^-$C187</f>
        <v>0</v>
      </c>
      <c r="R187" s="314">
        <f>IF('Benzin - diesel - hybrid'!Q$49="benzin",Q142,IF('Benzin - diesel - hybrid'!Q$49="diesel",Q165,0))</f>
        <v>0</v>
      </c>
      <c r="S187" s="500">
        <f>T187*IF('Benzin - diesel - hybrid'!S$24="nej",0,IF('Benzin - diesel - hybrid'!S$32="ja",'Benzin - diesel - hybrid'!S$33,'Benzin - diesel - hybrid'!S$34))*(1+'Benzin - diesel - hybrid'!S$47)^-$C187</f>
        <v>0</v>
      </c>
      <c r="T187" s="314">
        <f>IF('Benzin - diesel - hybrid'!S$49="benzin",S142,IF('Benzin - diesel - hybrid'!S$49="diesel",S165,0))</f>
        <v>0</v>
      </c>
      <c r="U187" s="500">
        <f>V187*IF('Benzin - diesel - hybrid'!U$24="nej",0,IF('Benzin - diesel - hybrid'!U$32="ja",'Benzin - diesel - hybrid'!U$33,'Benzin - diesel - hybrid'!U$34))*(1+'Benzin - diesel - hybrid'!U$47)^-$C187</f>
        <v>0</v>
      </c>
      <c r="V187" s="314">
        <f>IF('Benzin - diesel - hybrid'!U$49="benzin",U142,IF('Benzin - diesel - hybrid'!U$49="diesel",U165,0))</f>
        <v>0</v>
      </c>
      <c r="W187" s="500">
        <f>X187*IF('Benzin - diesel - hybrid'!W$24="nej",0,IF('Benzin - diesel - hybrid'!W$32="ja",'Benzin - diesel - hybrid'!W$33,'Benzin - diesel - hybrid'!W$34))*(1+'Benzin - diesel - hybrid'!W$47)^-$C187</f>
        <v>0</v>
      </c>
      <c r="X187" s="314">
        <f>IF('Benzin - diesel - hybrid'!W$49="benzin",W142,IF('Benzin - diesel - hybrid'!W$49="diesel",W165,0))</f>
        <v>0</v>
      </c>
    </row>
    <row r="188" spans="1:24">
      <c r="A188" s="308"/>
      <c r="B188" s="302">
        <v>2</v>
      </c>
      <c r="C188" s="302">
        <f t="shared" ref="C188:C206" si="11">B188</f>
        <v>2</v>
      </c>
      <c r="D188" s="302"/>
      <c r="E188" s="500">
        <f>F188*IF('Benzin - diesel - hybrid'!E$24="nej",0,IF('Benzin - diesel - hybrid'!E$32="ja",'Benzin - diesel - hybrid'!E$33,'Benzin - diesel - hybrid'!E$34))*(1+'Benzin - diesel - hybrid'!E$47)^-$C188</f>
        <v>0</v>
      </c>
      <c r="F188" s="314">
        <f>IF('Benzin - diesel - hybrid'!E$49="benzin",E143,IF('Benzin - diesel - hybrid'!E$49="diesel",E166,0))</f>
        <v>0</v>
      </c>
      <c r="G188" s="500">
        <f>H188*IF('Benzin - diesel - hybrid'!G$24="nej",0,IF('Benzin - diesel - hybrid'!G$32="ja",'Benzin - diesel - hybrid'!G$33,'Benzin - diesel - hybrid'!G$34))*(1+'Benzin - diesel - hybrid'!G$47)^-$C188</f>
        <v>0</v>
      </c>
      <c r="H188" s="314">
        <f>IF('Benzin - diesel - hybrid'!G$49="benzin",G143,IF('Benzin - diesel - hybrid'!G$49="diesel",G166,0))</f>
        <v>0</v>
      </c>
      <c r="I188" s="500">
        <f>J188*IF('Benzin - diesel - hybrid'!I$24="nej",0,IF('Benzin - diesel - hybrid'!I$32="ja",'Benzin - diesel - hybrid'!I$33,'Benzin - diesel - hybrid'!I$34))*(1+'Benzin - diesel - hybrid'!I$47)^-$C188</f>
        <v>0</v>
      </c>
      <c r="J188" s="314">
        <f>IF('Benzin - diesel - hybrid'!I$49="benzin",I143,IF('Benzin - diesel - hybrid'!I$49="diesel",I166,0))</f>
        <v>0</v>
      </c>
      <c r="K188" s="500">
        <f>L188*IF('Benzin - diesel - hybrid'!K$24="nej",0,IF('Benzin - diesel - hybrid'!K$32="ja",'Benzin - diesel - hybrid'!K$33,'Benzin - diesel - hybrid'!K$34))*(1+'Benzin - diesel - hybrid'!K$47)^-$C188</f>
        <v>0</v>
      </c>
      <c r="L188" s="314">
        <f>IF('Benzin - diesel - hybrid'!K$49="benzin",K143,IF('Benzin - diesel - hybrid'!K$49="diesel",K166,0))</f>
        <v>0</v>
      </c>
      <c r="M188" s="500">
        <f>N188*IF('Benzin - diesel - hybrid'!M$24="nej",0,IF('Benzin - diesel - hybrid'!M$32="ja",'Benzin - diesel - hybrid'!M$33,'Benzin - diesel - hybrid'!M$34))*(1+'Benzin - diesel - hybrid'!M$47)^-$C188</f>
        <v>0</v>
      </c>
      <c r="N188" s="314">
        <f>IF('Benzin - diesel - hybrid'!M$49="benzin",M143,IF('Benzin - diesel - hybrid'!M$49="diesel",M166,0))</f>
        <v>0</v>
      </c>
      <c r="O188" s="500">
        <f>P188*IF('Benzin - diesel - hybrid'!O$24="nej",0,IF('Benzin - diesel - hybrid'!O$32="ja",'Benzin - diesel - hybrid'!O$33,'Benzin - diesel - hybrid'!O$34))*(1+'Benzin - diesel - hybrid'!O$47)^-$C188</f>
        <v>0</v>
      </c>
      <c r="P188" s="314">
        <f>IF('Benzin - diesel - hybrid'!O$49="benzin",O143,IF('Benzin - diesel - hybrid'!O$49="diesel",O166,0))</f>
        <v>0</v>
      </c>
      <c r="Q188" s="500">
        <f>R188*IF('Benzin - diesel - hybrid'!Q$24="nej",0,IF('Benzin - diesel - hybrid'!Q$32="ja",'Benzin - diesel - hybrid'!Q$33,'Benzin - diesel - hybrid'!Q$34))*(1+'Benzin - diesel - hybrid'!Q$47)^-$C188</f>
        <v>0</v>
      </c>
      <c r="R188" s="314">
        <f>IF('Benzin - diesel - hybrid'!Q$49="benzin",Q143,IF('Benzin - diesel - hybrid'!Q$49="diesel",Q166,0))</f>
        <v>0</v>
      </c>
      <c r="S188" s="500">
        <f>T188*IF('Benzin - diesel - hybrid'!S$24="nej",0,IF('Benzin - diesel - hybrid'!S$32="ja",'Benzin - diesel - hybrid'!S$33,'Benzin - diesel - hybrid'!S$34))*(1+'Benzin - diesel - hybrid'!S$47)^-$C188</f>
        <v>0</v>
      </c>
      <c r="T188" s="314">
        <f>IF('Benzin - diesel - hybrid'!S$49="benzin",S143,IF('Benzin - diesel - hybrid'!S$49="diesel",S166,0))</f>
        <v>0</v>
      </c>
      <c r="U188" s="500">
        <f>V188*IF('Benzin - diesel - hybrid'!U$24="nej",0,IF('Benzin - diesel - hybrid'!U$32="ja",'Benzin - diesel - hybrid'!U$33,'Benzin - diesel - hybrid'!U$34))*(1+'Benzin - diesel - hybrid'!U$47)^-$C188</f>
        <v>0</v>
      </c>
      <c r="V188" s="314">
        <f>IF('Benzin - diesel - hybrid'!U$49="benzin",U143,IF('Benzin - diesel - hybrid'!U$49="diesel",U166,0))</f>
        <v>0</v>
      </c>
      <c r="W188" s="500">
        <f>X188*IF('Benzin - diesel - hybrid'!W$24="nej",0,IF('Benzin - diesel - hybrid'!W$32="ja",'Benzin - diesel - hybrid'!W$33,'Benzin - diesel - hybrid'!W$34))*(1+'Benzin - diesel - hybrid'!W$47)^-$C188</f>
        <v>0</v>
      </c>
      <c r="X188" s="314">
        <f>IF('Benzin - diesel - hybrid'!W$49="benzin",W143,IF('Benzin - diesel - hybrid'!W$49="diesel",W166,0))</f>
        <v>0</v>
      </c>
    </row>
    <row r="189" spans="1:24">
      <c r="A189" s="308"/>
      <c r="B189" s="302">
        <v>3</v>
      </c>
      <c r="C189" s="302">
        <f t="shared" si="11"/>
        <v>3</v>
      </c>
      <c r="D189" s="302"/>
      <c r="E189" s="500">
        <f>F189*IF('Benzin - diesel - hybrid'!E$24="nej",0,IF('Benzin - diesel - hybrid'!E$32="ja",'Benzin - diesel - hybrid'!E$33,'Benzin - diesel - hybrid'!E$34))*(1+'Benzin - diesel - hybrid'!E$47)^-$C189</f>
        <v>0</v>
      </c>
      <c r="F189" s="314">
        <f>IF('Benzin - diesel - hybrid'!E$49="benzin",E144,IF('Benzin - diesel - hybrid'!E$49="diesel",E167,0))</f>
        <v>0</v>
      </c>
      <c r="G189" s="500">
        <f>H189*IF('Benzin - diesel - hybrid'!G$24="nej",0,IF('Benzin - diesel - hybrid'!G$32="ja",'Benzin - diesel - hybrid'!G$33,'Benzin - diesel - hybrid'!G$34))*(1+'Benzin - diesel - hybrid'!G$47)^-$C189</f>
        <v>0</v>
      </c>
      <c r="H189" s="314">
        <f>IF('Benzin - diesel - hybrid'!G$49="benzin",G144,IF('Benzin - diesel - hybrid'!G$49="diesel",G167,0))</f>
        <v>0</v>
      </c>
      <c r="I189" s="500">
        <f>J189*IF('Benzin - diesel - hybrid'!I$24="nej",0,IF('Benzin - diesel - hybrid'!I$32="ja",'Benzin - diesel - hybrid'!I$33,'Benzin - diesel - hybrid'!I$34))*(1+'Benzin - diesel - hybrid'!I$47)^-$C189</f>
        <v>0</v>
      </c>
      <c r="J189" s="314">
        <f>IF('Benzin - diesel - hybrid'!I$49="benzin",I144,IF('Benzin - diesel - hybrid'!I$49="diesel",I167,0))</f>
        <v>0</v>
      </c>
      <c r="K189" s="500">
        <f>L189*IF('Benzin - diesel - hybrid'!K$24="nej",0,IF('Benzin - diesel - hybrid'!K$32="ja",'Benzin - diesel - hybrid'!K$33,'Benzin - diesel - hybrid'!K$34))*(1+'Benzin - diesel - hybrid'!K$47)^-$C189</f>
        <v>0</v>
      </c>
      <c r="L189" s="314">
        <f>IF('Benzin - diesel - hybrid'!K$49="benzin",K144,IF('Benzin - diesel - hybrid'!K$49="diesel",K167,0))</f>
        <v>0</v>
      </c>
      <c r="M189" s="500">
        <f>N189*IF('Benzin - diesel - hybrid'!M$24="nej",0,IF('Benzin - diesel - hybrid'!M$32="ja",'Benzin - diesel - hybrid'!M$33,'Benzin - diesel - hybrid'!M$34))*(1+'Benzin - diesel - hybrid'!M$47)^-$C189</f>
        <v>0</v>
      </c>
      <c r="N189" s="314">
        <f>IF('Benzin - diesel - hybrid'!M$49="benzin",M144,IF('Benzin - diesel - hybrid'!M$49="diesel",M167,0))</f>
        <v>0</v>
      </c>
      <c r="O189" s="500">
        <f>P189*IF('Benzin - diesel - hybrid'!O$24="nej",0,IF('Benzin - diesel - hybrid'!O$32="ja",'Benzin - diesel - hybrid'!O$33,'Benzin - diesel - hybrid'!O$34))*(1+'Benzin - diesel - hybrid'!O$47)^-$C189</f>
        <v>0</v>
      </c>
      <c r="P189" s="314">
        <f>IF('Benzin - diesel - hybrid'!O$49="benzin",O144,IF('Benzin - diesel - hybrid'!O$49="diesel",O167,0))</f>
        <v>0</v>
      </c>
      <c r="Q189" s="500">
        <f>R189*IF('Benzin - diesel - hybrid'!Q$24="nej",0,IF('Benzin - diesel - hybrid'!Q$32="ja",'Benzin - diesel - hybrid'!Q$33,'Benzin - diesel - hybrid'!Q$34))*(1+'Benzin - diesel - hybrid'!Q$47)^-$C189</f>
        <v>0</v>
      </c>
      <c r="R189" s="314">
        <f>IF('Benzin - diesel - hybrid'!Q$49="benzin",Q144,IF('Benzin - diesel - hybrid'!Q$49="diesel",Q167,0))</f>
        <v>0</v>
      </c>
      <c r="S189" s="500">
        <f>T189*IF('Benzin - diesel - hybrid'!S$24="nej",0,IF('Benzin - diesel - hybrid'!S$32="ja",'Benzin - diesel - hybrid'!S$33,'Benzin - diesel - hybrid'!S$34))*(1+'Benzin - diesel - hybrid'!S$47)^-$C189</f>
        <v>0</v>
      </c>
      <c r="T189" s="314">
        <f>IF('Benzin - diesel - hybrid'!S$49="benzin",S144,IF('Benzin - diesel - hybrid'!S$49="diesel",S167,0))</f>
        <v>0</v>
      </c>
      <c r="U189" s="500">
        <f>V189*IF('Benzin - diesel - hybrid'!U$24="nej",0,IF('Benzin - diesel - hybrid'!U$32="ja",'Benzin - diesel - hybrid'!U$33,'Benzin - diesel - hybrid'!U$34))*(1+'Benzin - diesel - hybrid'!U$47)^-$C189</f>
        <v>0</v>
      </c>
      <c r="V189" s="314">
        <f>IF('Benzin - diesel - hybrid'!U$49="benzin",U144,IF('Benzin - diesel - hybrid'!U$49="diesel",U167,0))</f>
        <v>0</v>
      </c>
      <c r="W189" s="500">
        <f>X189*IF('Benzin - diesel - hybrid'!W$24="nej",0,IF('Benzin - diesel - hybrid'!W$32="ja",'Benzin - diesel - hybrid'!W$33,'Benzin - diesel - hybrid'!W$34))*(1+'Benzin - diesel - hybrid'!W$47)^-$C189</f>
        <v>0</v>
      </c>
      <c r="X189" s="314">
        <f>IF('Benzin - diesel - hybrid'!W$49="benzin",W144,IF('Benzin - diesel - hybrid'!W$49="diesel",W167,0))</f>
        <v>0</v>
      </c>
    </row>
    <row r="190" spans="1:24">
      <c r="A190" s="308"/>
      <c r="B190" s="302">
        <v>4</v>
      </c>
      <c r="C190" s="302">
        <f t="shared" si="11"/>
        <v>4</v>
      </c>
      <c r="D190" s="302"/>
      <c r="E190" s="500">
        <f>F190*IF('Benzin - diesel - hybrid'!E$24="nej",0,IF('Benzin - diesel - hybrid'!E$32="ja",'Benzin - diesel - hybrid'!E$33,'Benzin - diesel - hybrid'!E$34))*(1+'Benzin - diesel - hybrid'!E$47)^-$C190</f>
        <v>0</v>
      </c>
      <c r="F190" s="314">
        <f>IF('Benzin - diesel - hybrid'!E$49="benzin",E145,IF('Benzin - diesel - hybrid'!E$49="diesel",E168,0))</f>
        <v>0</v>
      </c>
      <c r="G190" s="500">
        <f>H190*IF('Benzin - diesel - hybrid'!G$24="nej",0,IF('Benzin - diesel - hybrid'!G$32="ja",'Benzin - diesel - hybrid'!G$33,'Benzin - diesel - hybrid'!G$34))*(1+'Benzin - diesel - hybrid'!G$47)^-$C190</f>
        <v>0</v>
      </c>
      <c r="H190" s="314">
        <f>IF('Benzin - diesel - hybrid'!G$49="benzin",G145,IF('Benzin - diesel - hybrid'!G$49="diesel",G168,0))</f>
        <v>0</v>
      </c>
      <c r="I190" s="500">
        <f>J190*IF('Benzin - diesel - hybrid'!I$24="nej",0,IF('Benzin - diesel - hybrid'!I$32="ja",'Benzin - diesel - hybrid'!I$33,'Benzin - diesel - hybrid'!I$34))*(1+'Benzin - diesel - hybrid'!I$47)^-$C190</f>
        <v>0</v>
      </c>
      <c r="J190" s="314">
        <f>IF('Benzin - diesel - hybrid'!I$49="benzin",I145,IF('Benzin - diesel - hybrid'!I$49="diesel",I168,0))</f>
        <v>0</v>
      </c>
      <c r="K190" s="500">
        <f>L190*IF('Benzin - diesel - hybrid'!K$24="nej",0,IF('Benzin - diesel - hybrid'!K$32="ja",'Benzin - diesel - hybrid'!K$33,'Benzin - diesel - hybrid'!K$34))*(1+'Benzin - diesel - hybrid'!K$47)^-$C190</f>
        <v>0</v>
      </c>
      <c r="L190" s="314">
        <f>IF('Benzin - diesel - hybrid'!K$49="benzin",K145,IF('Benzin - diesel - hybrid'!K$49="diesel",K168,0))</f>
        <v>0</v>
      </c>
      <c r="M190" s="500">
        <f>N190*IF('Benzin - diesel - hybrid'!M$24="nej",0,IF('Benzin - diesel - hybrid'!M$32="ja",'Benzin - diesel - hybrid'!M$33,'Benzin - diesel - hybrid'!M$34))*(1+'Benzin - diesel - hybrid'!M$47)^-$C190</f>
        <v>0</v>
      </c>
      <c r="N190" s="314">
        <f>IF('Benzin - diesel - hybrid'!M$49="benzin",M145,IF('Benzin - diesel - hybrid'!M$49="diesel",M168,0))</f>
        <v>0</v>
      </c>
      <c r="O190" s="500">
        <f>P190*IF('Benzin - diesel - hybrid'!O$24="nej",0,IF('Benzin - diesel - hybrid'!O$32="ja",'Benzin - diesel - hybrid'!O$33,'Benzin - diesel - hybrid'!O$34))*(1+'Benzin - diesel - hybrid'!O$47)^-$C190</f>
        <v>0</v>
      </c>
      <c r="P190" s="314">
        <f>IF('Benzin - diesel - hybrid'!O$49="benzin",O145,IF('Benzin - diesel - hybrid'!O$49="diesel",O168,0))</f>
        <v>0</v>
      </c>
      <c r="Q190" s="500">
        <f>R190*IF('Benzin - diesel - hybrid'!Q$24="nej",0,IF('Benzin - diesel - hybrid'!Q$32="ja",'Benzin - diesel - hybrid'!Q$33,'Benzin - diesel - hybrid'!Q$34))*(1+'Benzin - diesel - hybrid'!Q$47)^-$C190</f>
        <v>0</v>
      </c>
      <c r="R190" s="314">
        <f>IF('Benzin - diesel - hybrid'!Q$49="benzin",Q145,IF('Benzin - diesel - hybrid'!Q$49="diesel",Q168,0))</f>
        <v>0</v>
      </c>
      <c r="S190" s="500">
        <f>T190*IF('Benzin - diesel - hybrid'!S$24="nej",0,IF('Benzin - diesel - hybrid'!S$32="ja",'Benzin - diesel - hybrid'!S$33,'Benzin - diesel - hybrid'!S$34))*(1+'Benzin - diesel - hybrid'!S$47)^-$C190</f>
        <v>0</v>
      </c>
      <c r="T190" s="314">
        <f>IF('Benzin - diesel - hybrid'!S$49="benzin",S145,IF('Benzin - diesel - hybrid'!S$49="diesel",S168,0))</f>
        <v>0</v>
      </c>
      <c r="U190" s="500">
        <f>V190*IF('Benzin - diesel - hybrid'!U$24="nej",0,IF('Benzin - diesel - hybrid'!U$32="ja",'Benzin - diesel - hybrid'!U$33,'Benzin - diesel - hybrid'!U$34))*(1+'Benzin - diesel - hybrid'!U$47)^-$C190</f>
        <v>0</v>
      </c>
      <c r="V190" s="314">
        <f>IF('Benzin - diesel - hybrid'!U$49="benzin",U145,IF('Benzin - diesel - hybrid'!U$49="diesel",U168,0))</f>
        <v>0</v>
      </c>
      <c r="W190" s="500">
        <f>X190*IF('Benzin - diesel - hybrid'!W$24="nej",0,IF('Benzin - diesel - hybrid'!W$32="ja",'Benzin - diesel - hybrid'!W$33,'Benzin - diesel - hybrid'!W$34))*(1+'Benzin - diesel - hybrid'!W$47)^-$C190</f>
        <v>0</v>
      </c>
      <c r="X190" s="314">
        <f>IF('Benzin - diesel - hybrid'!W$49="benzin",W145,IF('Benzin - diesel - hybrid'!W$49="diesel",W168,0))</f>
        <v>0</v>
      </c>
    </row>
    <row r="191" spans="1:24">
      <c r="A191" s="308"/>
      <c r="B191" s="302">
        <v>5</v>
      </c>
      <c r="C191" s="302">
        <f t="shared" si="11"/>
        <v>5</v>
      </c>
      <c r="D191" s="302"/>
      <c r="E191" s="500">
        <f>F191*IF('Benzin - diesel - hybrid'!E$24="nej",0,IF('Benzin - diesel - hybrid'!E$32="ja",'Benzin - diesel - hybrid'!E$33,'Benzin - diesel - hybrid'!E$34))*(1+'Benzin - diesel - hybrid'!E$47)^-$C191</f>
        <v>0</v>
      </c>
      <c r="F191" s="314">
        <f>IF('Benzin - diesel - hybrid'!E$49="benzin",E146,IF('Benzin - diesel - hybrid'!E$49="diesel",E169,0))</f>
        <v>0</v>
      </c>
      <c r="G191" s="500">
        <f>H191*IF('Benzin - diesel - hybrid'!G$24="nej",0,IF('Benzin - diesel - hybrid'!G$32="ja",'Benzin - diesel - hybrid'!G$33,'Benzin - diesel - hybrid'!G$34))*(1+'Benzin - diesel - hybrid'!G$47)^-$C191</f>
        <v>0</v>
      </c>
      <c r="H191" s="314">
        <f>IF('Benzin - diesel - hybrid'!G$49="benzin",G146,IF('Benzin - diesel - hybrid'!G$49="diesel",G169,0))</f>
        <v>0</v>
      </c>
      <c r="I191" s="500">
        <f>J191*IF('Benzin - diesel - hybrid'!I$24="nej",0,IF('Benzin - diesel - hybrid'!I$32="ja",'Benzin - diesel - hybrid'!I$33,'Benzin - diesel - hybrid'!I$34))*(1+'Benzin - diesel - hybrid'!I$47)^-$C191</f>
        <v>0</v>
      </c>
      <c r="J191" s="314">
        <f>IF('Benzin - diesel - hybrid'!I$49="benzin",I146,IF('Benzin - diesel - hybrid'!I$49="diesel",I169,0))</f>
        <v>0</v>
      </c>
      <c r="K191" s="500">
        <f>L191*IF('Benzin - diesel - hybrid'!K$24="nej",0,IF('Benzin - diesel - hybrid'!K$32="ja",'Benzin - diesel - hybrid'!K$33,'Benzin - diesel - hybrid'!K$34))*(1+'Benzin - diesel - hybrid'!K$47)^-$C191</f>
        <v>0</v>
      </c>
      <c r="L191" s="314">
        <f>IF('Benzin - diesel - hybrid'!K$49="benzin",K146,IF('Benzin - diesel - hybrid'!K$49="diesel",K169,0))</f>
        <v>0</v>
      </c>
      <c r="M191" s="500">
        <f>N191*IF('Benzin - diesel - hybrid'!M$24="nej",0,IF('Benzin - diesel - hybrid'!M$32="ja",'Benzin - diesel - hybrid'!M$33,'Benzin - diesel - hybrid'!M$34))*(1+'Benzin - diesel - hybrid'!M$47)^-$C191</f>
        <v>0</v>
      </c>
      <c r="N191" s="314">
        <f>IF('Benzin - diesel - hybrid'!M$49="benzin",M146,IF('Benzin - diesel - hybrid'!M$49="diesel",M169,0))</f>
        <v>0</v>
      </c>
      <c r="O191" s="500">
        <f>P191*IF('Benzin - diesel - hybrid'!O$24="nej",0,IF('Benzin - diesel - hybrid'!O$32="ja",'Benzin - diesel - hybrid'!O$33,'Benzin - diesel - hybrid'!O$34))*(1+'Benzin - diesel - hybrid'!O$47)^-$C191</f>
        <v>0</v>
      </c>
      <c r="P191" s="314">
        <f>IF('Benzin - diesel - hybrid'!O$49="benzin",O146,IF('Benzin - diesel - hybrid'!O$49="diesel",O169,0))</f>
        <v>0</v>
      </c>
      <c r="Q191" s="500">
        <f>R191*IF('Benzin - diesel - hybrid'!Q$24="nej",0,IF('Benzin - diesel - hybrid'!Q$32="ja",'Benzin - diesel - hybrid'!Q$33,'Benzin - diesel - hybrid'!Q$34))*(1+'Benzin - diesel - hybrid'!Q$47)^-$C191</f>
        <v>0</v>
      </c>
      <c r="R191" s="314">
        <f>IF('Benzin - diesel - hybrid'!Q$49="benzin",Q146,IF('Benzin - diesel - hybrid'!Q$49="diesel",Q169,0))</f>
        <v>0</v>
      </c>
      <c r="S191" s="500">
        <f>T191*IF('Benzin - diesel - hybrid'!S$24="nej",0,IF('Benzin - diesel - hybrid'!S$32="ja",'Benzin - diesel - hybrid'!S$33,'Benzin - diesel - hybrid'!S$34))*(1+'Benzin - diesel - hybrid'!S$47)^-$C191</f>
        <v>0</v>
      </c>
      <c r="T191" s="314">
        <f>IF('Benzin - diesel - hybrid'!S$49="benzin",S146,IF('Benzin - diesel - hybrid'!S$49="diesel",S169,0))</f>
        <v>0</v>
      </c>
      <c r="U191" s="500">
        <f>V191*IF('Benzin - diesel - hybrid'!U$24="nej",0,IF('Benzin - diesel - hybrid'!U$32="ja",'Benzin - diesel - hybrid'!U$33,'Benzin - diesel - hybrid'!U$34))*(1+'Benzin - diesel - hybrid'!U$47)^-$C191</f>
        <v>0</v>
      </c>
      <c r="V191" s="314">
        <f>IF('Benzin - diesel - hybrid'!U$49="benzin",U146,IF('Benzin - diesel - hybrid'!U$49="diesel",U169,0))</f>
        <v>0</v>
      </c>
      <c r="W191" s="500">
        <f>X191*IF('Benzin - diesel - hybrid'!W$24="nej",0,IF('Benzin - diesel - hybrid'!W$32="ja",'Benzin - diesel - hybrid'!W$33,'Benzin - diesel - hybrid'!W$34))*(1+'Benzin - diesel - hybrid'!W$47)^-$C191</f>
        <v>0</v>
      </c>
      <c r="X191" s="314">
        <f>IF('Benzin - diesel - hybrid'!W$49="benzin",W146,IF('Benzin - diesel - hybrid'!W$49="diesel",W169,0))</f>
        <v>0</v>
      </c>
    </row>
    <row r="192" spans="1:24">
      <c r="A192" s="308"/>
      <c r="B192" s="302">
        <v>6</v>
      </c>
      <c r="C192" s="302">
        <f t="shared" si="11"/>
        <v>6</v>
      </c>
      <c r="D192" s="302"/>
      <c r="E192" s="500">
        <f>F192*IF('Benzin - diesel - hybrid'!E$24="nej",0,IF('Benzin - diesel - hybrid'!E$32="ja",'Benzin - diesel - hybrid'!E$33,'Benzin - diesel - hybrid'!E$34))*(1+'Benzin - diesel - hybrid'!E$47)^-$C192</f>
        <v>0</v>
      </c>
      <c r="F192" s="314">
        <f>IF('Benzin - diesel - hybrid'!E$49="benzin",E147,IF('Benzin - diesel - hybrid'!E$49="diesel",E170,0))</f>
        <v>0</v>
      </c>
      <c r="G192" s="500">
        <f>H192*IF('Benzin - diesel - hybrid'!G$24="nej",0,IF('Benzin - diesel - hybrid'!G$32="ja",'Benzin - diesel - hybrid'!G$33,'Benzin - diesel - hybrid'!G$34))*(1+'Benzin - diesel - hybrid'!G$47)^-$C192</f>
        <v>0</v>
      </c>
      <c r="H192" s="314">
        <f>IF('Benzin - diesel - hybrid'!G$49="benzin",G147,IF('Benzin - diesel - hybrid'!G$49="diesel",G170,0))</f>
        <v>0</v>
      </c>
      <c r="I192" s="500">
        <f>J192*IF('Benzin - diesel - hybrid'!I$24="nej",0,IF('Benzin - diesel - hybrid'!I$32="ja",'Benzin - diesel - hybrid'!I$33,'Benzin - diesel - hybrid'!I$34))*(1+'Benzin - diesel - hybrid'!I$47)^-$C192</f>
        <v>0</v>
      </c>
      <c r="J192" s="314">
        <f>IF('Benzin - diesel - hybrid'!I$49="benzin",I147,IF('Benzin - diesel - hybrid'!I$49="diesel",I170,0))</f>
        <v>0</v>
      </c>
      <c r="K192" s="500">
        <f>L192*IF('Benzin - diesel - hybrid'!K$24="nej",0,IF('Benzin - diesel - hybrid'!K$32="ja",'Benzin - diesel - hybrid'!K$33,'Benzin - diesel - hybrid'!K$34))*(1+'Benzin - diesel - hybrid'!K$47)^-$C192</f>
        <v>0</v>
      </c>
      <c r="L192" s="314">
        <f>IF('Benzin - diesel - hybrid'!K$49="benzin",K147,IF('Benzin - diesel - hybrid'!K$49="diesel",K170,0))</f>
        <v>0</v>
      </c>
      <c r="M192" s="500">
        <f>N192*IF('Benzin - diesel - hybrid'!M$24="nej",0,IF('Benzin - diesel - hybrid'!M$32="ja",'Benzin - diesel - hybrid'!M$33,'Benzin - diesel - hybrid'!M$34))*(1+'Benzin - diesel - hybrid'!M$47)^-$C192</f>
        <v>0</v>
      </c>
      <c r="N192" s="314">
        <f>IF('Benzin - diesel - hybrid'!M$49="benzin",M147,IF('Benzin - diesel - hybrid'!M$49="diesel",M170,0))</f>
        <v>0</v>
      </c>
      <c r="O192" s="500">
        <f>P192*IF('Benzin - diesel - hybrid'!O$24="nej",0,IF('Benzin - diesel - hybrid'!O$32="ja",'Benzin - diesel - hybrid'!O$33,'Benzin - diesel - hybrid'!O$34))*(1+'Benzin - diesel - hybrid'!O$47)^-$C192</f>
        <v>0</v>
      </c>
      <c r="P192" s="314">
        <f>IF('Benzin - diesel - hybrid'!O$49="benzin",O147,IF('Benzin - diesel - hybrid'!O$49="diesel",O170,0))</f>
        <v>0</v>
      </c>
      <c r="Q192" s="500">
        <f>R192*IF('Benzin - diesel - hybrid'!Q$24="nej",0,IF('Benzin - diesel - hybrid'!Q$32="ja",'Benzin - diesel - hybrid'!Q$33,'Benzin - diesel - hybrid'!Q$34))*(1+'Benzin - diesel - hybrid'!Q$47)^-$C192</f>
        <v>0</v>
      </c>
      <c r="R192" s="314">
        <f>IF('Benzin - diesel - hybrid'!Q$49="benzin",Q147,IF('Benzin - diesel - hybrid'!Q$49="diesel",Q170,0))</f>
        <v>0</v>
      </c>
      <c r="S192" s="500">
        <f>T192*IF('Benzin - diesel - hybrid'!S$24="nej",0,IF('Benzin - diesel - hybrid'!S$32="ja",'Benzin - diesel - hybrid'!S$33,'Benzin - diesel - hybrid'!S$34))*(1+'Benzin - diesel - hybrid'!S$47)^-$C192</f>
        <v>0</v>
      </c>
      <c r="T192" s="314">
        <f>IF('Benzin - diesel - hybrid'!S$49="benzin",S147,IF('Benzin - diesel - hybrid'!S$49="diesel",S170,0))</f>
        <v>0</v>
      </c>
      <c r="U192" s="500">
        <f>V192*IF('Benzin - diesel - hybrid'!U$24="nej",0,IF('Benzin - diesel - hybrid'!U$32="ja",'Benzin - diesel - hybrid'!U$33,'Benzin - diesel - hybrid'!U$34))*(1+'Benzin - diesel - hybrid'!U$47)^-$C192</f>
        <v>0</v>
      </c>
      <c r="V192" s="314">
        <f>IF('Benzin - diesel - hybrid'!U$49="benzin",U147,IF('Benzin - diesel - hybrid'!U$49="diesel",U170,0))</f>
        <v>0</v>
      </c>
      <c r="W192" s="500">
        <f>X192*IF('Benzin - diesel - hybrid'!W$24="nej",0,IF('Benzin - diesel - hybrid'!W$32="ja",'Benzin - diesel - hybrid'!W$33,'Benzin - diesel - hybrid'!W$34))*(1+'Benzin - diesel - hybrid'!W$47)^-$C192</f>
        <v>0</v>
      </c>
      <c r="X192" s="314">
        <f>IF('Benzin - diesel - hybrid'!W$49="benzin",W147,IF('Benzin - diesel - hybrid'!W$49="diesel",W170,0))</f>
        <v>0</v>
      </c>
    </row>
    <row r="193" spans="1:24">
      <c r="A193" s="308"/>
      <c r="B193" s="302">
        <v>7</v>
      </c>
      <c r="C193" s="302">
        <f t="shared" si="11"/>
        <v>7</v>
      </c>
      <c r="D193" s="302"/>
      <c r="E193" s="500">
        <f>F193*IF('Benzin - diesel - hybrid'!E$24="nej",0,IF('Benzin - diesel - hybrid'!E$32="ja",'Benzin - diesel - hybrid'!E$33,'Benzin - diesel - hybrid'!E$34))*(1+'Benzin - diesel - hybrid'!E$47)^-$C193</f>
        <v>0</v>
      </c>
      <c r="F193" s="314">
        <f>IF('Benzin - diesel - hybrid'!E$49="benzin",E148,IF('Benzin - diesel - hybrid'!E$49="diesel",E171,0))</f>
        <v>0</v>
      </c>
      <c r="G193" s="500">
        <f>H193*IF('Benzin - diesel - hybrid'!G$24="nej",0,IF('Benzin - diesel - hybrid'!G$32="ja",'Benzin - diesel - hybrid'!G$33,'Benzin - diesel - hybrid'!G$34))*(1+'Benzin - diesel - hybrid'!G$47)^-$C193</f>
        <v>0</v>
      </c>
      <c r="H193" s="314">
        <f>IF('Benzin - diesel - hybrid'!G$49="benzin",G148,IF('Benzin - diesel - hybrid'!G$49="diesel",G171,0))</f>
        <v>0</v>
      </c>
      <c r="I193" s="500">
        <f>J193*IF('Benzin - diesel - hybrid'!I$24="nej",0,IF('Benzin - diesel - hybrid'!I$32="ja",'Benzin - diesel - hybrid'!I$33,'Benzin - diesel - hybrid'!I$34))*(1+'Benzin - diesel - hybrid'!I$47)^-$C193</f>
        <v>0</v>
      </c>
      <c r="J193" s="314">
        <f>IF('Benzin - diesel - hybrid'!I$49="benzin",I148,IF('Benzin - diesel - hybrid'!I$49="diesel",I171,0))</f>
        <v>0</v>
      </c>
      <c r="K193" s="500">
        <f>L193*IF('Benzin - diesel - hybrid'!K$24="nej",0,IF('Benzin - diesel - hybrid'!K$32="ja",'Benzin - diesel - hybrid'!K$33,'Benzin - diesel - hybrid'!K$34))*(1+'Benzin - diesel - hybrid'!K$47)^-$C193</f>
        <v>0</v>
      </c>
      <c r="L193" s="314">
        <f>IF('Benzin - diesel - hybrid'!K$49="benzin",K148,IF('Benzin - diesel - hybrid'!K$49="diesel",K171,0))</f>
        <v>0</v>
      </c>
      <c r="M193" s="500">
        <f>N193*IF('Benzin - diesel - hybrid'!M$24="nej",0,IF('Benzin - diesel - hybrid'!M$32="ja",'Benzin - diesel - hybrid'!M$33,'Benzin - diesel - hybrid'!M$34))*(1+'Benzin - diesel - hybrid'!M$47)^-$C193</f>
        <v>0</v>
      </c>
      <c r="N193" s="314">
        <f>IF('Benzin - diesel - hybrid'!M$49="benzin",M148,IF('Benzin - diesel - hybrid'!M$49="diesel",M171,0))</f>
        <v>0</v>
      </c>
      <c r="O193" s="500">
        <f>P193*IF('Benzin - diesel - hybrid'!O$24="nej",0,IF('Benzin - diesel - hybrid'!O$32="ja",'Benzin - diesel - hybrid'!O$33,'Benzin - diesel - hybrid'!O$34))*(1+'Benzin - diesel - hybrid'!O$47)^-$C193</f>
        <v>0</v>
      </c>
      <c r="P193" s="314">
        <f>IF('Benzin - diesel - hybrid'!O$49="benzin",O148,IF('Benzin - diesel - hybrid'!O$49="diesel",O171,0))</f>
        <v>0</v>
      </c>
      <c r="Q193" s="500">
        <f>R193*IF('Benzin - diesel - hybrid'!Q$24="nej",0,IF('Benzin - diesel - hybrid'!Q$32="ja",'Benzin - diesel - hybrid'!Q$33,'Benzin - diesel - hybrid'!Q$34))*(1+'Benzin - diesel - hybrid'!Q$47)^-$C193</f>
        <v>0</v>
      </c>
      <c r="R193" s="314">
        <f>IF('Benzin - diesel - hybrid'!Q$49="benzin",Q148,IF('Benzin - diesel - hybrid'!Q$49="diesel",Q171,0))</f>
        <v>0</v>
      </c>
      <c r="S193" s="500">
        <f>T193*IF('Benzin - diesel - hybrid'!S$24="nej",0,IF('Benzin - diesel - hybrid'!S$32="ja",'Benzin - diesel - hybrid'!S$33,'Benzin - diesel - hybrid'!S$34))*(1+'Benzin - diesel - hybrid'!S$47)^-$C193</f>
        <v>0</v>
      </c>
      <c r="T193" s="314">
        <f>IF('Benzin - diesel - hybrid'!S$49="benzin",S148,IF('Benzin - diesel - hybrid'!S$49="diesel",S171,0))</f>
        <v>0</v>
      </c>
      <c r="U193" s="500">
        <f>V193*IF('Benzin - diesel - hybrid'!U$24="nej",0,IF('Benzin - diesel - hybrid'!U$32="ja",'Benzin - diesel - hybrid'!U$33,'Benzin - diesel - hybrid'!U$34))*(1+'Benzin - diesel - hybrid'!U$47)^-$C193</f>
        <v>0</v>
      </c>
      <c r="V193" s="314">
        <f>IF('Benzin - diesel - hybrid'!U$49="benzin",U148,IF('Benzin - diesel - hybrid'!U$49="diesel",U171,0))</f>
        <v>0</v>
      </c>
      <c r="W193" s="500">
        <f>X193*IF('Benzin - diesel - hybrid'!W$24="nej",0,IF('Benzin - diesel - hybrid'!W$32="ja",'Benzin - diesel - hybrid'!W$33,'Benzin - diesel - hybrid'!W$34))*(1+'Benzin - diesel - hybrid'!W$47)^-$C193</f>
        <v>0</v>
      </c>
      <c r="X193" s="314">
        <f>IF('Benzin - diesel - hybrid'!W$49="benzin",W148,IF('Benzin - diesel - hybrid'!W$49="diesel",W171,0))</f>
        <v>0</v>
      </c>
    </row>
    <row r="194" spans="1:24">
      <c r="A194" s="308"/>
      <c r="B194" s="302">
        <v>8</v>
      </c>
      <c r="C194" s="302">
        <f t="shared" si="11"/>
        <v>8</v>
      </c>
      <c r="D194" s="302"/>
      <c r="E194" s="500">
        <f>F194*IF('Benzin - diesel - hybrid'!E$24="nej",0,IF('Benzin - diesel - hybrid'!E$32="ja",'Benzin - diesel - hybrid'!E$33,'Benzin - diesel - hybrid'!E$34))*(1+'Benzin - diesel - hybrid'!E$47)^-$C194</f>
        <v>0</v>
      </c>
      <c r="F194" s="314">
        <f>IF('Benzin - diesel - hybrid'!E$49="benzin",E149,IF('Benzin - diesel - hybrid'!E$49="diesel",E172,0))</f>
        <v>0</v>
      </c>
      <c r="G194" s="500">
        <f>H194*IF('Benzin - diesel - hybrid'!G$24="nej",0,IF('Benzin - diesel - hybrid'!G$32="ja",'Benzin - diesel - hybrid'!G$33,'Benzin - diesel - hybrid'!G$34))*(1+'Benzin - diesel - hybrid'!G$47)^-$C194</f>
        <v>0</v>
      </c>
      <c r="H194" s="314">
        <f>IF('Benzin - diesel - hybrid'!G$49="benzin",G149,IF('Benzin - diesel - hybrid'!G$49="diesel",G172,0))</f>
        <v>0</v>
      </c>
      <c r="I194" s="500">
        <f>J194*IF('Benzin - diesel - hybrid'!I$24="nej",0,IF('Benzin - diesel - hybrid'!I$32="ja",'Benzin - diesel - hybrid'!I$33,'Benzin - diesel - hybrid'!I$34))*(1+'Benzin - diesel - hybrid'!I$47)^-$C194</f>
        <v>0</v>
      </c>
      <c r="J194" s="314">
        <f>IF('Benzin - diesel - hybrid'!I$49="benzin",I149,IF('Benzin - diesel - hybrid'!I$49="diesel",I172,0))</f>
        <v>0</v>
      </c>
      <c r="K194" s="500">
        <f>L194*IF('Benzin - diesel - hybrid'!K$24="nej",0,IF('Benzin - diesel - hybrid'!K$32="ja",'Benzin - diesel - hybrid'!K$33,'Benzin - diesel - hybrid'!K$34))*(1+'Benzin - diesel - hybrid'!K$47)^-$C194</f>
        <v>0</v>
      </c>
      <c r="L194" s="314">
        <f>IF('Benzin - diesel - hybrid'!K$49="benzin",K149,IF('Benzin - diesel - hybrid'!K$49="diesel",K172,0))</f>
        <v>0</v>
      </c>
      <c r="M194" s="500">
        <f>N194*IF('Benzin - diesel - hybrid'!M$24="nej",0,IF('Benzin - diesel - hybrid'!M$32="ja",'Benzin - diesel - hybrid'!M$33,'Benzin - diesel - hybrid'!M$34))*(1+'Benzin - diesel - hybrid'!M$47)^-$C194</f>
        <v>0</v>
      </c>
      <c r="N194" s="314">
        <f>IF('Benzin - diesel - hybrid'!M$49="benzin",M149,IF('Benzin - diesel - hybrid'!M$49="diesel",M172,0))</f>
        <v>0</v>
      </c>
      <c r="O194" s="500">
        <f>P194*IF('Benzin - diesel - hybrid'!O$24="nej",0,IF('Benzin - diesel - hybrid'!O$32="ja",'Benzin - diesel - hybrid'!O$33,'Benzin - diesel - hybrid'!O$34))*(1+'Benzin - diesel - hybrid'!O$47)^-$C194</f>
        <v>0</v>
      </c>
      <c r="P194" s="314">
        <f>IF('Benzin - diesel - hybrid'!O$49="benzin",O149,IF('Benzin - diesel - hybrid'!O$49="diesel",O172,0))</f>
        <v>0</v>
      </c>
      <c r="Q194" s="500">
        <f>R194*IF('Benzin - diesel - hybrid'!Q$24="nej",0,IF('Benzin - diesel - hybrid'!Q$32="ja",'Benzin - diesel - hybrid'!Q$33,'Benzin - diesel - hybrid'!Q$34))*(1+'Benzin - diesel - hybrid'!Q$47)^-$C194</f>
        <v>0</v>
      </c>
      <c r="R194" s="314">
        <f>IF('Benzin - diesel - hybrid'!Q$49="benzin",Q149,IF('Benzin - diesel - hybrid'!Q$49="diesel",Q172,0))</f>
        <v>0</v>
      </c>
      <c r="S194" s="500">
        <f>T194*IF('Benzin - diesel - hybrid'!S$24="nej",0,IF('Benzin - diesel - hybrid'!S$32="ja",'Benzin - diesel - hybrid'!S$33,'Benzin - diesel - hybrid'!S$34))*(1+'Benzin - diesel - hybrid'!S$47)^-$C194</f>
        <v>0</v>
      </c>
      <c r="T194" s="314">
        <f>IF('Benzin - diesel - hybrid'!S$49="benzin",S149,IF('Benzin - diesel - hybrid'!S$49="diesel",S172,0))</f>
        <v>0</v>
      </c>
      <c r="U194" s="500">
        <f>V194*IF('Benzin - diesel - hybrid'!U$24="nej",0,IF('Benzin - diesel - hybrid'!U$32="ja",'Benzin - diesel - hybrid'!U$33,'Benzin - diesel - hybrid'!U$34))*(1+'Benzin - diesel - hybrid'!U$47)^-$C194</f>
        <v>0</v>
      </c>
      <c r="V194" s="314">
        <f>IF('Benzin - diesel - hybrid'!U$49="benzin",U149,IF('Benzin - diesel - hybrid'!U$49="diesel",U172,0))</f>
        <v>0</v>
      </c>
      <c r="W194" s="500">
        <f>X194*IF('Benzin - diesel - hybrid'!W$24="nej",0,IF('Benzin - diesel - hybrid'!W$32="ja",'Benzin - diesel - hybrid'!W$33,'Benzin - diesel - hybrid'!W$34))*(1+'Benzin - diesel - hybrid'!W$47)^-$C194</f>
        <v>0</v>
      </c>
      <c r="X194" s="314">
        <f>IF('Benzin - diesel - hybrid'!W$49="benzin",W149,IF('Benzin - diesel - hybrid'!W$49="diesel",W172,0))</f>
        <v>0</v>
      </c>
    </row>
    <row r="195" spans="1:24">
      <c r="A195" s="308"/>
      <c r="B195" s="302">
        <v>9</v>
      </c>
      <c r="C195" s="302">
        <f t="shared" si="11"/>
        <v>9</v>
      </c>
      <c r="D195" s="302"/>
      <c r="E195" s="500">
        <f>F195*IF('Benzin - diesel - hybrid'!E$24="nej",0,IF('Benzin - diesel - hybrid'!E$32="ja",'Benzin - diesel - hybrid'!E$33,'Benzin - diesel - hybrid'!E$34))*(1+'Benzin - diesel - hybrid'!E$47)^-$C195</f>
        <v>0</v>
      </c>
      <c r="F195" s="314">
        <f>IF('Benzin - diesel - hybrid'!E$49="benzin",E150,IF('Benzin - diesel - hybrid'!E$49="diesel",E173,0))</f>
        <v>0</v>
      </c>
      <c r="G195" s="500">
        <f>H195*IF('Benzin - diesel - hybrid'!G$24="nej",0,IF('Benzin - diesel - hybrid'!G$32="ja",'Benzin - diesel - hybrid'!G$33,'Benzin - diesel - hybrid'!G$34))*(1+'Benzin - diesel - hybrid'!G$47)^-$C195</f>
        <v>0</v>
      </c>
      <c r="H195" s="314">
        <f>IF('Benzin - diesel - hybrid'!G$49="benzin",G150,IF('Benzin - diesel - hybrid'!G$49="diesel",G173,0))</f>
        <v>0</v>
      </c>
      <c r="I195" s="500">
        <f>J195*IF('Benzin - diesel - hybrid'!I$24="nej",0,IF('Benzin - diesel - hybrid'!I$32="ja",'Benzin - diesel - hybrid'!I$33,'Benzin - diesel - hybrid'!I$34))*(1+'Benzin - diesel - hybrid'!I$47)^-$C195</f>
        <v>0</v>
      </c>
      <c r="J195" s="314">
        <f>IF('Benzin - diesel - hybrid'!I$49="benzin",I150,IF('Benzin - diesel - hybrid'!I$49="diesel",I173,0))</f>
        <v>0</v>
      </c>
      <c r="K195" s="500">
        <f>L195*IF('Benzin - diesel - hybrid'!K$24="nej",0,IF('Benzin - diesel - hybrid'!K$32="ja",'Benzin - diesel - hybrid'!K$33,'Benzin - diesel - hybrid'!K$34))*(1+'Benzin - diesel - hybrid'!K$47)^-$C195</f>
        <v>0</v>
      </c>
      <c r="L195" s="314">
        <f>IF('Benzin - diesel - hybrid'!K$49="benzin",K150,IF('Benzin - diesel - hybrid'!K$49="diesel",K173,0))</f>
        <v>0</v>
      </c>
      <c r="M195" s="500">
        <f>N195*IF('Benzin - diesel - hybrid'!M$24="nej",0,IF('Benzin - diesel - hybrid'!M$32="ja",'Benzin - diesel - hybrid'!M$33,'Benzin - diesel - hybrid'!M$34))*(1+'Benzin - diesel - hybrid'!M$47)^-$C195</f>
        <v>0</v>
      </c>
      <c r="N195" s="314">
        <f>IF('Benzin - diesel - hybrid'!M$49="benzin",M150,IF('Benzin - diesel - hybrid'!M$49="diesel",M173,0))</f>
        <v>0</v>
      </c>
      <c r="O195" s="500">
        <f>P195*IF('Benzin - diesel - hybrid'!O$24="nej",0,IF('Benzin - diesel - hybrid'!O$32="ja",'Benzin - diesel - hybrid'!O$33,'Benzin - diesel - hybrid'!O$34))*(1+'Benzin - diesel - hybrid'!O$47)^-$C195</f>
        <v>0</v>
      </c>
      <c r="P195" s="314">
        <f>IF('Benzin - diesel - hybrid'!O$49="benzin",O150,IF('Benzin - diesel - hybrid'!O$49="diesel",O173,0))</f>
        <v>0</v>
      </c>
      <c r="Q195" s="500">
        <f>R195*IF('Benzin - diesel - hybrid'!Q$24="nej",0,IF('Benzin - diesel - hybrid'!Q$32="ja",'Benzin - diesel - hybrid'!Q$33,'Benzin - diesel - hybrid'!Q$34))*(1+'Benzin - diesel - hybrid'!Q$47)^-$C195</f>
        <v>0</v>
      </c>
      <c r="R195" s="314">
        <f>IF('Benzin - diesel - hybrid'!Q$49="benzin",Q150,IF('Benzin - diesel - hybrid'!Q$49="diesel",Q173,0))</f>
        <v>0</v>
      </c>
      <c r="S195" s="500">
        <f>T195*IF('Benzin - diesel - hybrid'!S$24="nej",0,IF('Benzin - diesel - hybrid'!S$32="ja",'Benzin - diesel - hybrid'!S$33,'Benzin - diesel - hybrid'!S$34))*(1+'Benzin - diesel - hybrid'!S$47)^-$C195</f>
        <v>0</v>
      </c>
      <c r="T195" s="314">
        <f>IF('Benzin - diesel - hybrid'!S$49="benzin",S150,IF('Benzin - diesel - hybrid'!S$49="diesel",S173,0))</f>
        <v>0</v>
      </c>
      <c r="U195" s="500">
        <f>V195*IF('Benzin - diesel - hybrid'!U$24="nej",0,IF('Benzin - diesel - hybrid'!U$32="ja",'Benzin - diesel - hybrid'!U$33,'Benzin - diesel - hybrid'!U$34))*(1+'Benzin - diesel - hybrid'!U$47)^-$C195</f>
        <v>0</v>
      </c>
      <c r="V195" s="314">
        <f>IF('Benzin - diesel - hybrid'!U$49="benzin",U150,IF('Benzin - diesel - hybrid'!U$49="diesel",U173,0))</f>
        <v>0</v>
      </c>
      <c r="W195" s="500">
        <f>X195*IF('Benzin - diesel - hybrid'!W$24="nej",0,IF('Benzin - diesel - hybrid'!W$32="ja",'Benzin - diesel - hybrid'!W$33,'Benzin - diesel - hybrid'!W$34))*(1+'Benzin - diesel - hybrid'!W$47)^-$C195</f>
        <v>0</v>
      </c>
      <c r="X195" s="314">
        <f>IF('Benzin - diesel - hybrid'!W$49="benzin",W150,IF('Benzin - diesel - hybrid'!W$49="diesel",W173,0))</f>
        <v>0</v>
      </c>
    </row>
    <row r="196" spans="1:24">
      <c r="A196" s="308"/>
      <c r="B196" s="302">
        <v>10</v>
      </c>
      <c r="C196" s="302">
        <f t="shared" si="11"/>
        <v>10</v>
      </c>
      <c r="D196" s="302"/>
      <c r="E196" s="500">
        <f>F196*IF('Benzin - diesel - hybrid'!E$24="nej",0,IF('Benzin - diesel - hybrid'!E$32="ja",'Benzin - diesel - hybrid'!E$33,'Benzin - diesel - hybrid'!E$34))*(1+'Benzin - diesel - hybrid'!E$47)^-$C196</f>
        <v>0</v>
      </c>
      <c r="F196" s="314">
        <f>IF('Benzin - diesel - hybrid'!E$49="benzin",E151,IF('Benzin - diesel - hybrid'!E$49="diesel",E174,0))</f>
        <v>0</v>
      </c>
      <c r="G196" s="500">
        <f>H196*IF('Benzin - diesel - hybrid'!G$24="nej",0,IF('Benzin - diesel - hybrid'!G$32="ja",'Benzin - diesel - hybrid'!G$33,'Benzin - diesel - hybrid'!G$34))*(1+'Benzin - diesel - hybrid'!G$47)^-$C196</f>
        <v>0</v>
      </c>
      <c r="H196" s="314">
        <f>IF('Benzin - diesel - hybrid'!G$49="benzin",G151,IF('Benzin - diesel - hybrid'!G$49="diesel",G174,0))</f>
        <v>0</v>
      </c>
      <c r="I196" s="500">
        <f>J196*IF('Benzin - diesel - hybrid'!I$24="nej",0,IF('Benzin - diesel - hybrid'!I$32="ja",'Benzin - diesel - hybrid'!I$33,'Benzin - diesel - hybrid'!I$34))*(1+'Benzin - diesel - hybrid'!I$47)^-$C196</f>
        <v>0</v>
      </c>
      <c r="J196" s="314">
        <f>IF('Benzin - diesel - hybrid'!I$49="benzin",I151,IF('Benzin - diesel - hybrid'!I$49="diesel",I174,0))</f>
        <v>0</v>
      </c>
      <c r="K196" s="500">
        <f>L196*IF('Benzin - diesel - hybrid'!K$24="nej",0,IF('Benzin - diesel - hybrid'!K$32="ja",'Benzin - diesel - hybrid'!K$33,'Benzin - diesel - hybrid'!K$34))*(1+'Benzin - diesel - hybrid'!K$47)^-$C196</f>
        <v>0</v>
      </c>
      <c r="L196" s="314">
        <f>IF('Benzin - diesel - hybrid'!K$49="benzin",K151,IF('Benzin - diesel - hybrid'!K$49="diesel",K174,0))</f>
        <v>0</v>
      </c>
      <c r="M196" s="500">
        <f>N196*IF('Benzin - diesel - hybrid'!M$24="nej",0,IF('Benzin - diesel - hybrid'!M$32="ja",'Benzin - diesel - hybrid'!M$33,'Benzin - diesel - hybrid'!M$34))*(1+'Benzin - diesel - hybrid'!M$47)^-$C196</f>
        <v>0</v>
      </c>
      <c r="N196" s="314">
        <f>IF('Benzin - diesel - hybrid'!M$49="benzin",M151,IF('Benzin - diesel - hybrid'!M$49="diesel",M174,0))</f>
        <v>0</v>
      </c>
      <c r="O196" s="500">
        <f>P196*IF('Benzin - diesel - hybrid'!O$24="nej",0,IF('Benzin - diesel - hybrid'!O$32="ja",'Benzin - diesel - hybrid'!O$33,'Benzin - diesel - hybrid'!O$34))*(1+'Benzin - diesel - hybrid'!O$47)^-$C196</f>
        <v>0</v>
      </c>
      <c r="P196" s="314">
        <f>IF('Benzin - diesel - hybrid'!O$49="benzin",O151,IF('Benzin - diesel - hybrid'!O$49="diesel",O174,0))</f>
        <v>0</v>
      </c>
      <c r="Q196" s="500">
        <f>R196*IF('Benzin - diesel - hybrid'!Q$24="nej",0,IF('Benzin - diesel - hybrid'!Q$32="ja",'Benzin - diesel - hybrid'!Q$33,'Benzin - diesel - hybrid'!Q$34))*(1+'Benzin - diesel - hybrid'!Q$47)^-$C196</f>
        <v>0</v>
      </c>
      <c r="R196" s="314">
        <f>IF('Benzin - diesel - hybrid'!Q$49="benzin",Q151,IF('Benzin - diesel - hybrid'!Q$49="diesel",Q174,0))</f>
        <v>0</v>
      </c>
      <c r="S196" s="500">
        <f>T196*IF('Benzin - diesel - hybrid'!S$24="nej",0,IF('Benzin - diesel - hybrid'!S$32="ja",'Benzin - diesel - hybrid'!S$33,'Benzin - diesel - hybrid'!S$34))*(1+'Benzin - diesel - hybrid'!S$47)^-$C196</f>
        <v>0</v>
      </c>
      <c r="T196" s="314">
        <f>IF('Benzin - diesel - hybrid'!S$49="benzin",S151,IF('Benzin - diesel - hybrid'!S$49="diesel",S174,0))</f>
        <v>0</v>
      </c>
      <c r="U196" s="500">
        <f>V196*IF('Benzin - diesel - hybrid'!U$24="nej",0,IF('Benzin - diesel - hybrid'!U$32="ja",'Benzin - diesel - hybrid'!U$33,'Benzin - diesel - hybrid'!U$34))*(1+'Benzin - diesel - hybrid'!U$47)^-$C196</f>
        <v>0</v>
      </c>
      <c r="V196" s="314">
        <f>IF('Benzin - diesel - hybrid'!U$49="benzin",U151,IF('Benzin - diesel - hybrid'!U$49="diesel",U174,0))</f>
        <v>0</v>
      </c>
      <c r="W196" s="500">
        <f>X196*IF('Benzin - diesel - hybrid'!W$24="nej",0,IF('Benzin - diesel - hybrid'!W$32="ja",'Benzin - diesel - hybrid'!W$33,'Benzin - diesel - hybrid'!W$34))*(1+'Benzin - diesel - hybrid'!W$47)^-$C196</f>
        <v>0</v>
      </c>
      <c r="X196" s="314">
        <f>IF('Benzin - diesel - hybrid'!W$49="benzin",W151,IF('Benzin - diesel - hybrid'!W$49="diesel",W174,0))</f>
        <v>0</v>
      </c>
    </row>
    <row r="197" spans="1:24">
      <c r="A197" s="308"/>
      <c r="B197" s="302">
        <v>11</v>
      </c>
      <c r="C197" s="302">
        <f t="shared" si="11"/>
        <v>11</v>
      </c>
      <c r="D197" s="302"/>
      <c r="E197" s="500">
        <f>F197*IF('Benzin - diesel - hybrid'!E$24="nej",0,IF('Benzin - diesel - hybrid'!E$32="ja",'Benzin - diesel - hybrid'!E$33,'Benzin - diesel - hybrid'!E$34))*(1+'Benzin - diesel - hybrid'!E$47)^-$C197</f>
        <v>0</v>
      </c>
      <c r="F197" s="314">
        <f>IF('Benzin - diesel - hybrid'!E$49="benzin",E152,IF('Benzin - diesel - hybrid'!E$49="diesel",E175,0))</f>
        <v>0</v>
      </c>
      <c r="G197" s="500">
        <f>H197*IF('Benzin - diesel - hybrid'!G$24="nej",0,IF('Benzin - diesel - hybrid'!G$32="ja",'Benzin - diesel - hybrid'!G$33,'Benzin - diesel - hybrid'!G$34))*(1+'Benzin - diesel - hybrid'!G$47)^-$C197</f>
        <v>0</v>
      </c>
      <c r="H197" s="314">
        <f>IF('Benzin - diesel - hybrid'!G$49="benzin",G152,IF('Benzin - diesel - hybrid'!G$49="diesel",G175,0))</f>
        <v>0</v>
      </c>
      <c r="I197" s="500">
        <f>J197*IF('Benzin - diesel - hybrid'!I$24="nej",0,IF('Benzin - diesel - hybrid'!I$32="ja",'Benzin - diesel - hybrid'!I$33,'Benzin - diesel - hybrid'!I$34))*(1+'Benzin - diesel - hybrid'!I$47)^-$C197</f>
        <v>0</v>
      </c>
      <c r="J197" s="314">
        <f>IF('Benzin - diesel - hybrid'!I$49="benzin",I152,IF('Benzin - diesel - hybrid'!I$49="diesel",I175,0))</f>
        <v>0</v>
      </c>
      <c r="K197" s="500">
        <f>L197*IF('Benzin - diesel - hybrid'!K$24="nej",0,IF('Benzin - diesel - hybrid'!K$32="ja",'Benzin - diesel - hybrid'!K$33,'Benzin - diesel - hybrid'!K$34))*(1+'Benzin - diesel - hybrid'!K$47)^-$C197</f>
        <v>0</v>
      </c>
      <c r="L197" s="314">
        <f>IF('Benzin - diesel - hybrid'!K$49="benzin",K152,IF('Benzin - diesel - hybrid'!K$49="diesel",K175,0))</f>
        <v>0</v>
      </c>
      <c r="M197" s="500">
        <f>N197*IF('Benzin - diesel - hybrid'!M$24="nej",0,IF('Benzin - diesel - hybrid'!M$32="ja",'Benzin - diesel - hybrid'!M$33,'Benzin - diesel - hybrid'!M$34))*(1+'Benzin - diesel - hybrid'!M$47)^-$C197</f>
        <v>0</v>
      </c>
      <c r="N197" s="314">
        <f>IF('Benzin - diesel - hybrid'!M$49="benzin",M152,IF('Benzin - diesel - hybrid'!M$49="diesel",M175,0))</f>
        <v>0</v>
      </c>
      <c r="O197" s="500">
        <f>P197*IF('Benzin - diesel - hybrid'!O$24="nej",0,IF('Benzin - diesel - hybrid'!O$32="ja",'Benzin - diesel - hybrid'!O$33,'Benzin - diesel - hybrid'!O$34))*(1+'Benzin - diesel - hybrid'!O$47)^-$C197</f>
        <v>0</v>
      </c>
      <c r="P197" s="314">
        <f>IF('Benzin - diesel - hybrid'!O$49="benzin",O152,IF('Benzin - diesel - hybrid'!O$49="diesel",O175,0))</f>
        <v>0</v>
      </c>
      <c r="Q197" s="500">
        <f>R197*IF('Benzin - diesel - hybrid'!Q$24="nej",0,IF('Benzin - diesel - hybrid'!Q$32="ja",'Benzin - diesel - hybrid'!Q$33,'Benzin - diesel - hybrid'!Q$34))*(1+'Benzin - diesel - hybrid'!Q$47)^-$C197</f>
        <v>0</v>
      </c>
      <c r="R197" s="314">
        <f>IF('Benzin - diesel - hybrid'!Q$49="benzin",Q152,IF('Benzin - diesel - hybrid'!Q$49="diesel",Q175,0))</f>
        <v>0</v>
      </c>
      <c r="S197" s="500">
        <f>T197*IF('Benzin - diesel - hybrid'!S$24="nej",0,IF('Benzin - diesel - hybrid'!S$32="ja",'Benzin - diesel - hybrid'!S$33,'Benzin - diesel - hybrid'!S$34))*(1+'Benzin - diesel - hybrid'!S$47)^-$C197</f>
        <v>0</v>
      </c>
      <c r="T197" s="314">
        <f>IF('Benzin - diesel - hybrid'!S$49="benzin",S152,IF('Benzin - diesel - hybrid'!S$49="diesel",S175,0))</f>
        <v>0</v>
      </c>
      <c r="U197" s="500">
        <f>V197*IF('Benzin - diesel - hybrid'!U$24="nej",0,IF('Benzin - diesel - hybrid'!U$32="ja",'Benzin - diesel - hybrid'!U$33,'Benzin - diesel - hybrid'!U$34))*(1+'Benzin - diesel - hybrid'!U$47)^-$C197</f>
        <v>0</v>
      </c>
      <c r="V197" s="314">
        <f>IF('Benzin - diesel - hybrid'!U$49="benzin",U152,IF('Benzin - diesel - hybrid'!U$49="diesel",U175,0))</f>
        <v>0</v>
      </c>
      <c r="W197" s="500">
        <f>X197*IF('Benzin - diesel - hybrid'!W$24="nej",0,IF('Benzin - diesel - hybrid'!W$32="ja",'Benzin - diesel - hybrid'!W$33,'Benzin - diesel - hybrid'!W$34))*(1+'Benzin - diesel - hybrid'!W$47)^-$C197</f>
        <v>0</v>
      </c>
      <c r="X197" s="314">
        <f>IF('Benzin - diesel - hybrid'!W$49="benzin",W152,IF('Benzin - diesel - hybrid'!W$49="diesel",W175,0))</f>
        <v>0</v>
      </c>
    </row>
    <row r="198" spans="1:24">
      <c r="A198" s="308"/>
      <c r="B198" s="302">
        <v>12</v>
      </c>
      <c r="C198" s="302">
        <f t="shared" si="11"/>
        <v>12</v>
      </c>
      <c r="D198" s="302"/>
      <c r="E198" s="500">
        <f>F198*IF('Benzin - diesel - hybrid'!E$24="nej",0,IF('Benzin - diesel - hybrid'!E$32="ja",'Benzin - diesel - hybrid'!E$33,'Benzin - diesel - hybrid'!E$34))*(1+'Benzin - diesel - hybrid'!E$47)^-$C198</f>
        <v>0</v>
      </c>
      <c r="F198" s="314">
        <f>IF('Benzin - diesel - hybrid'!E$49="benzin",E153,IF('Benzin - diesel - hybrid'!E$49="diesel",E176,0))</f>
        <v>0</v>
      </c>
      <c r="G198" s="500">
        <f>H198*IF('Benzin - diesel - hybrid'!G$24="nej",0,IF('Benzin - diesel - hybrid'!G$32="ja",'Benzin - diesel - hybrid'!G$33,'Benzin - diesel - hybrid'!G$34))*(1+'Benzin - diesel - hybrid'!G$47)^-$C198</f>
        <v>0</v>
      </c>
      <c r="H198" s="314">
        <f>IF('Benzin - diesel - hybrid'!G$49="benzin",G153,IF('Benzin - diesel - hybrid'!G$49="diesel",G176,0))</f>
        <v>0</v>
      </c>
      <c r="I198" s="500">
        <f>J198*IF('Benzin - diesel - hybrid'!I$24="nej",0,IF('Benzin - diesel - hybrid'!I$32="ja",'Benzin - diesel - hybrid'!I$33,'Benzin - diesel - hybrid'!I$34))*(1+'Benzin - diesel - hybrid'!I$47)^-$C198</f>
        <v>0</v>
      </c>
      <c r="J198" s="314">
        <f>IF('Benzin - diesel - hybrid'!I$49="benzin",I153,IF('Benzin - diesel - hybrid'!I$49="diesel",I176,0))</f>
        <v>0</v>
      </c>
      <c r="K198" s="500">
        <f>L198*IF('Benzin - diesel - hybrid'!K$24="nej",0,IF('Benzin - diesel - hybrid'!K$32="ja",'Benzin - diesel - hybrid'!K$33,'Benzin - diesel - hybrid'!K$34))*(1+'Benzin - diesel - hybrid'!K$47)^-$C198</f>
        <v>0</v>
      </c>
      <c r="L198" s="314">
        <f>IF('Benzin - diesel - hybrid'!K$49="benzin",K153,IF('Benzin - diesel - hybrid'!K$49="diesel",K176,0))</f>
        <v>0</v>
      </c>
      <c r="M198" s="500">
        <f>N198*IF('Benzin - diesel - hybrid'!M$24="nej",0,IF('Benzin - diesel - hybrid'!M$32="ja",'Benzin - diesel - hybrid'!M$33,'Benzin - diesel - hybrid'!M$34))*(1+'Benzin - diesel - hybrid'!M$47)^-$C198</f>
        <v>0</v>
      </c>
      <c r="N198" s="314">
        <f>IF('Benzin - diesel - hybrid'!M$49="benzin",M153,IF('Benzin - diesel - hybrid'!M$49="diesel",M176,0))</f>
        <v>0</v>
      </c>
      <c r="O198" s="500">
        <f>P198*IF('Benzin - diesel - hybrid'!O$24="nej",0,IF('Benzin - diesel - hybrid'!O$32="ja",'Benzin - diesel - hybrid'!O$33,'Benzin - diesel - hybrid'!O$34))*(1+'Benzin - diesel - hybrid'!O$47)^-$C198</f>
        <v>0</v>
      </c>
      <c r="P198" s="314">
        <f>IF('Benzin - diesel - hybrid'!O$49="benzin",O153,IF('Benzin - diesel - hybrid'!O$49="diesel",O176,0))</f>
        <v>0</v>
      </c>
      <c r="Q198" s="500">
        <f>R198*IF('Benzin - diesel - hybrid'!Q$24="nej",0,IF('Benzin - diesel - hybrid'!Q$32="ja",'Benzin - diesel - hybrid'!Q$33,'Benzin - diesel - hybrid'!Q$34))*(1+'Benzin - diesel - hybrid'!Q$47)^-$C198</f>
        <v>0</v>
      </c>
      <c r="R198" s="314">
        <f>IF('Benzin - diesel - hybrid'!Q$49="benzin",Q153,IF('Benzin - diesel - hybrid'!Q$49="diesel",Q176,0))</f>
        <v>0</v>
      </c>
      <c r="S198" s="500">
        <f>T198*IF('Benzin - diesel - hybrid'!S$24="nej",0,IF('Benzin - diesel - hybrid'!S$32="ja",'Benzin - diesel - hybrid'!S$33,'Benzin - diesel - hybrid'!S$34))*(1+'Benzin - diesel - hybrid'!S$47)^-$C198</f>
        <v>0</v>
      </c>
      <c r="T198" s="314">
        <f>IF('Benzin - diesel - hybrid'!S$49="benzin",S153,IF('Benzin - diesel - hybrid'!S$49="diesel",S176,0))</f>
        <v>0</v>
      </c>
      <c r="U198" s="500">
        <f>V198*IF('Benzin - diesel - hybrid'!U$24="nej",0,IF('Benzin - diesel - hybrid'!U$32="ja",'Benzin - diesel - hybrid'!U$33,'Benzin - diesel - hybrid'!U$34))*(1+'Benzin - diesel - hybrid'!U$47)^-$C198</f>
        <v>0</v>
      </c>
      <c r="V198" s="314">
        <f>IF('Benzin - diesel - hybrid'!U$49="benzin",U153,IF('Benzin - diesel - hybrid'!U$49="diesel",U176,0))</f>
        <v>0</v>
      </c>
      <c r="W198" s="500">
        <f>X198*IF('Benzin - diesel - hybrid'!W$24="nej",0,IF('Benzin - diesel - hybrid'!W$32="ja",'Benzin - diesel - hybrid'!W$33,'Benzin - diesel - hybrid'!W$34))*(1+'Benzin - diesel - hybrid'!W$47)^-$C198</f>
        <v>0</v>
      </c>
      <c r="X198" s="314">
        <f>IF('Benzin - diesel - hybrid'!W$49="benzin",W153,IF('Benzin - diesel - hybrid'!W$49="diesel",W176,0))</f>
        <v>0</v>
      </c>
    </row>
    <row r="199" spans="1:24">
      <c r="A199" s="308"/>
      <c r="B199" s="302">
        <v>13</v>
      </c>
      <c r="C199" s="302">
        <f t="shared" si="11"/>
        <v>13</v>
      </c>
      <c r="D199" s="302"/>
      <c r="E199" s="500">
        <f>F199*IF('Benzin - diesel - hybrid'!E$24="nej",0,IF('Benzin - diesel - hybrid'!E$32="ja",'Benzin - diesel - hybrid'!E$33,'Benzin - diesel - hybrid'!E$34))*(1+'Benzin - diesel - hybrid'!E$47)^-$C199</f>
        <v>0</v>
      </c>
      <c r="F199" s="314">
        <f>IF('Benzin - diesel - hybrid'!E$49="benzin",E154,IF('Benzin - diesel - hybrid'!E$49="diesel",E177,0))</f>
        <v>0</v>
      </c>
      <c r="G199" s="500">
        <f>H199*IF('Benzin - diesel - hybrid'!G$24="nej",0,IF('Benzin - diesel - hybrid'!G$32="ja",'Benzin - diesel - hybrid'!G$33,'Benzin - diesel - hybrid'!G$34))*(1+'Benzin - diesel - hybrid'!G$47)^-$C199</f>
        <v>0</v>
      </c>
      <c r="H199" s="314">
        <f>IF('Benzin - diesel - hybrid'!G$49="benzin",G154,IF('Benzin - diesel - hybrid'!G$49="diesel",G177,0))</f>
        <v>0</v>
      </c>
      <c r="I199" s="500">
        <f>J199*IF('Benzin - diesel - hybrid'!I$24="nej",0,IF('Benzin - diesel - hybrid'!I$32="ja",'Benzin - diesel - hybrid'!I$33,'Benzin - diesel - hybrid'!I$34))*(1+'Benzin - diesel - hybrid'!I$47)^-$C199</f>
        <v>0</v>
      </c>
      <c r="J199" s="314">
        <f>IF('Benzin - diesel - hybrid'!I$49="benzin",I154,IF('Benzin - diesel - hybrid'!I$49="diesel",I177,0))</f>
        <v>0</v>
      </c>
      <c r="K199" s="500">
        <f>L199*IF('Benzin - diesel - hybrid'!K$24="nej",0,IF('Benzin - diesel - hybrid'!K$32="ja",'Benzin - diesel - hybrid'!K$33,'Benzin - diesel - hybrid'!K$34))*(1+'Benzin - diesel - hybrid'!K$47)^-$C199</f>
        <v>0</v>
      </c>
      <c r="L199" s="314">
        <f>IF('Benzin - diesel - hybrid'!K$49="benzin",K154,IF('Benzin - diesel - hybrid'!K$49="diesel",K177,0))</f>
        <v>0</v>
      </c>
      <c r="M199" s="500">
        <f>N199*IF('Benzin - diesel - hybrid'!M$24="nej",0,IF('Benzin - diesel - hybrid'!M$32="ja",'Benzin - diesel - hybrid'!M$33,'Benzin - diesel - hybrid'!M$34))*(1+'Benzin - diesel - hybrid'!M$47)^-$C199</f>
        <v>0</v>
      </c>
      <c r="N199" s="314">
        <f>IF('Benzin - diesel - hybrid'!M$49="benzin",M154,IF('Benzin - diesel - hybrid'!M$49="diesel",M177,0))</f>
        <v>0</v>
      </c>
      <c r="O199" s="500">
        <f>P199*IF('Benzin - diesel - hybrid'!O$24="nej",0,IF('Benzin - diesel - hybrid'!O$32="ja",'Benzin - diesel - hybrid'!O$33,'Benzin - diesel - hybrid'!O$34))*(1+'Benzin - diesel - hybrid'!O$47)^-$C199</f>
        <v>0</v>
      </c>
      <c r="P199" s="314">
        <f>IF('Benzin - diesel - hybrid'!O$49="benzin",O154,IF('Benzin - diesel - hybrid'!O$49="diesel",O177,0))</f>
        <v>0</v>
      </c>
      <c r="Q199" s="500">
        <f>R199*IF('Benzin - diesel - hybrid'!Q$24="nej",0,IF('Benzin - diesel - hybrid'!Q$32="ja",'Benzin - diesel - hybrid'!Q$33,'Benzin - diesel - hybrid'!Q$34))*(1+'Benzin - diesel - hybrid'!Q$47)^-$C199</f>
        <v>0</v>
      </c>
      <c r="R199" s="314">
        <f>IF('Benzin - diesel - hybrid'!Q$49="benzin",Q154,IF('Benzin - diesel - hybrid'!Q$49="diesel",Q177,0))</f>
        <v>0</v>
      </c>
      <c r="S199" s="500">
        <f>T199*IF('Benzin - diesel - hybrid'!S$24="nej",0,IF('Benzin - diesel - hybrid'!S$32="ja",'Benzin - diesel - hybrid'!S$33,'Benzin - diesel - hybrid'!S$34))*(1+'Benzin - diesel - hybrid'!S$47)^-$C199</f>
        <v>0</v>
      </c>
      <c r="T199" s="314">
        <f>IF('Benzin - diesel - hybrid'!S$49="benzin",S154,IF('Benzin - diesel - hybrid'!S$49="diesel",S177,0))</f>
        <v>0</v>
      </c>
      <c r="U199" s="500">
        <f>V199*IF('Benzin - diesel - hybrid'!U$24="nej",0,IF('Benzin - diesel - hybrid'!U$32="ja",'Benzin - diesel - hybrid'!U$33,'Benzin - diesel - hybrid'!U$34))*(1+'Benzin - diesel - hybrid'!U$47)^-$C199</f>
        <v>0</v>
      </c>
      <c r="V199" s="314">
        <f>IF('Benzin - diesel - hybrid'!U$49="benzin",U154,IF('Benzin - diesel - hybrid'!U$49="diesel",U177,0))</f>
        <v>0</v>
      </c>
      <c r="W199" s="500">
        <f>X199*IF('Benzin - diesel - hybrid'!W$24="nej",0,IF('Benzin - diesel - hybrid'!W$32="ja",'Benzin - diesel - hybrid'!W$33,'Benzin - diesel - hybrid'!W$34))*(1+'Benzin - diesel - hybrid'!W$47)^-$C199</f>
        <v>0</v>
      </c>
      <c r="X199" s="314">
        <f>IF('Benzin - diesel - hybrid'!W$49="benzin",W154,IF('Benzin - diesel - hybrid'!W$49="diesel",W177,0))</f>
        <v>0</v>
      </c>
    </row>
    <row r="200" spans="1:24">
      <c r="A200" s="308"/>
      <c r="B200" s="302">
        <v>14</v>
      </c>
      <c r="C200" s="302">
        <f t="shared" si="11"/>
        <v>14</v>
      </c>
      <c r="D200" s="302"/>
      <c r="E200" s="500">
        <f>F200*IF('Benzin - diesel - hybrid'!E$24="nej",0,IF('Benzin - diesel - hybrid'!E$32="ja",'Benzin - diesel - hybrid'!E$33,'Benzin - diesel - hybrid'!E$34))*(1+'Benzin - diesel - hybrid'!E$47)^-$C200</f>
        <v>0</v>
      </c>
      <c r="F200" s="314">
        <f>IF('Benzin - diesel - hybrid'!E$49="benzin",E155,IF('Benzin - diesel - hybrid'!E$49="diesel",E178,0))</f>
        <v>0</v>
      </c>
      <c r="G200" s="500">
        <f>H200*IF('Benzin - diesel - hybrid'!G$24="nej",0,IF('Benzin - diesel - hybrid'!G$32="ja",'Benzin - diesel - hybrid'!G$33,'Benzin - diesel - hybrid'!G$34))*(1+'Benzin - diesel - hybrid'!G$47)^-$C200</f>
        <v>0</v>
      </c>
      <c r="H200" s="314">
        <f>IF('Benzin - diesel - hybrid'!G$49="benzin",G155,IF('Benzin - diesel - hybrid'!G$49="diesel",G178,0))</f>
        <v>0</v>
      </c>
      <c r="I200" s="500">
        <f>J200*IF('Benzin - diesel - hybrid'!I$24="nej",0,IF('Benzin - diesel - hybrid'!I$32="ja",'Benzin - diesel - hybrid'!I$33,'Benzin - diesel - hybrid'!I$34))*(1+'Benzin - diesel - hybrid'!I$47)^-$C200</f>
        <v>0</v>
      </c>
      <c r="J200" s="314">
        <f>IF('Benzin - diesel - hybrid'!I$49="benzin",I155,IF('Benzin - diesel - hybrid'!I$49="diesel",I178,0))</f>
        <v>0</v>
      </c>
      <c r="K200" s="500">
        <f>L200*IF('Benzin - diesel - hybrid'!K$24="nej",0,IF('Benzin - diesel - hybrid'!K$32="ja",'Benzin - diesel - hybrid'!K$33,'Benzin - diesel - hybrid'!K$34))*(1+'Benzin - diesel - hybrid'!K$47)^-$C200</f>
        <v>0</v>
      </c>
      <c r="L200" s="314">
        <f>IF('Benzin - diesel - hybrid'!K$49="benzin",K155,IF('Benzin - diesel - hybrid'!K$49="diesel",K178,0))</f>
        <v>0</v>
      </c>
      <c r="M200" s="500">
        <f>N200*IF('Benzin - diesel - hybrid'!M$24="nej",0,IF('Benzin - diesel - hybrid'!M$32="ja",'Benzin - diesel - hybrid'!M$33,'Benzin - diesel - hybrid'!M$34))*(1+'Benzin - diesel - hybrid'!M$47)^-$C200</f>
        <v>0</v>
      </c>
      <c r="N200" s="314">
        <f>IF('Benzin - diesel - hybrid'!M$49="benzin",M155,IF('Benzin - diesel - hybrid'!M$49="diesel",M178,0))</f>
        <v>0</v>
      </c>
      <c r="O200" s="500">
        <f>P200*IF('Benzin - diesel - hybrid'!O$24="nej",0,IF('Benzin - diesel - hybrid'!O$32="ja",'Benzin - diesel - hybrid'!O$33,'Benzin - diesel - hybrid'!O$34))*(1+'Benzin - diesel - hybrid'!O$47)^-$C200</f>
        <v>0</v>
      </c>
      <c r="P200" s="314">
        <f>IF('Benzin - diesel - hybrid'!O$49="benzin",O155,IF('Benzin - diesel - hybrid'!O$49="diesel",O178,0))</f>
        <v>0</v>
      </c>
      <c r="Q200" s="500">
        <f>R200*IF('Benzin - diesel - hybrid'!Q$24="nej",0,IF('Benzin - diesel - hybrid'!Q$32="ja",'Benzin - diesel - hybrid'!Q$33,'Benzin - diesel - hybrid'!Q$34))*(1+'Benzin - diesel - hybrid'!Q$47)^-$C200</f>
        <v>0</v>
      </c>
      <c r="R200" s="314">
        <f>IF('Benzin - diesel - hybrid'!Q$49="benzin",Q155,IF('Benzin - diesel - hybrid'!Q$49="diesel",Q178,0))</f>
        <v>0</v>
      </c>
      <c r="S200" s="500">
        <f>T200*IF('Benzin - diesel - hybrid'!S$24="nej",0,IF('Benzin - diesel - hybrid'!S$32="ja",'Benzin - diesel - hybrid'!S$33,'Benzin - diesel - hybrid'!S$34))*(1+'Benzin - diesel - hybrid'!S$47)^-$C200</f>
        <v>0</v>
      </c>
      <c r="T200" s="314">
        <f>IF('Benzin - diesel - hybrid'!S$49="benzin",S155,IF('Benzin - diesel - hybrid'!S$49="diesel",S178,0))</f>
        <v>0</v>
      </c>
      <c r="U200" s="500">
        <f>V200*IF('Benzin - diesel - hybrid'!U$24="nej",0,IF('Benzin - diesel - hybrid'!U$32="ja",'Benzin - diesel - hybrid'!U$33,'Benzin - diesel - hybrid'!U$34))*(1+'Benzin - diesel - hybrid'!U$47)^-$C200</f>
        <v>0</v>
      </c>
      <c r="V200" s="314">
        <f>IF('Benzin - diesel - hybrid'!U$49="benzin",U155,IF('Benzin - diesel - hybrid'!U$49="diesel",U178,0))</f>
        <v>0</v>
      </c>
      <c r="W200" s="500">
        <f>X200*IF('Benzin - diesel - hybrid'!W$24="nej",0,IF('Benzin - diesel - hybrid'!W$32="ja",'Benzin - diesel - hybrid'!W$33,'Benzin - diesel - hybrid'!W$34))*(1+'Benzin - diesel - hybrid'!W$47)^-$C200</f>
        <v>0</v>
      </c>
      <c r="X200" s="314">
        <f>IF('Benzin - diesel - hybrid'!W$49="benzin",W155,IF('Benzin - diesel - hybrid'!W$49="diesel",W178,0))</f>
        <v>0</v>
      </c>
    </row>
    <row r="201" spans="1:24">
      <c r="A201" s="308"/>
      <c r="B201" s="302">
        <v>15</v>
      </c>
      <c r="C201" s="302">
        <f t="shared" si="11"/>
        <v>15</v>
      </c>
      <c r="D201" s="302"/>
      <c r="E201" s="500">
        <f>F201*IF('Benzin - diesel - hybrid'!E$24="nej",0,IF('Benzin - diesel - hybrid'!E$32="ja",'Benzin - diesel - hybrid'!E$33,'Benzin - diesel - hybrid'!E$34))*(1+'Benzin - diesel - hybrid'!E$47)^-$C201</f>
        <v>0</v>
      </c>
      <c r="F201" s="314">
        <f>IF('Benzin - diesel - hybrid'!E$49="benzin",E156,IF('Benzin - diesel - hybrid'!E$49="diesel",E179,0))</f>
        <v>0</v>
      </c>
      <c r="G201" s="500">
        <f>H201*IF('Benzin - diesel - hybrid'!G$24="nej",0,IF('Benzin - diesel - hybrid'!G$32="ja",'Benzin - diesel - hybrid'!G$33,'Benzin - diesel - hybrid'!G$34))*(1+'Benzin - diesel - hybrid'!G$47)^-$C201</f>
        <v>0</v>
      </c>
      <c r="H201" s="314">
        <f>IF('Benzin - diesel - hybrid'!G$49="benzin",G156,IF('Benzin - diesel - hybrid'!G$49="diesel",G179,0))</f>
        <v>0</v>
      </c>
      <c r="I201" s="500">
        <f>J201*IF('Benzin - diesel - hybrid'!I$24="nej",0,IF('Benzin - diesel - hybrid'!I$32="ja",'Benzin - diesel - hybrid'!I$33,'Benzin - diesel - hybrid'!I$34))*(1+'Benzin - diesel - hybrid'!I$47)^-$C201</f>
        <v>0</v>
      </c>
      <c r="J201" s="314">
        <f>IF('Benzin - diesel - hybrid'!I$49="benzin",I156,IF('Benzin - diesel - hybrid'!I$49="diesel",I179,0))</f>
        <v>0</v>
      </c>
      <c r="K201" s="500">
        <f>L201*IF('Benzin - diesel - hybrid'!K$24="nej",0,IF('Benzin - diesel - hybrid'!K$32="ja",'Benzin - diesel - hybrid'!K$33,'Benzin - diesel - hybrid'!K$34))*(1+'Benzin - diesel - hybrid'!K$47)^-$C201</f>
        <v>0</v>
      </c>
      <c r="L201" s="314">
        <f>IF('Benzin - diesel - hybrid'!K$49="benzin",K156,IF('Benzin - diesel - hybrid'!K$49="diesel",K179,0))</f>
        <v>0</v>
      </c>
      <c r="M201" s="500">
        <f>N201*IF('Benzin - diesel - hybrid'!M$24="nej",0,IF('Benzin - diesel - hybrid'!M$32="ja",'Benzin - diesel - hybrid'!M$33,'Benzin - diesel - hybrid'!M$34))*(1+'Benzin - diesel - hybrid'!M$47)^-$C201</f>
        <v>0</v>
      </c>
      <c r="N201" s="314">
        <f>IF('Benzin - diesel - hybrid'!M$49="benzin",M156,IF('Benzin - diesel - hybrid'!M$49="diesel",M179,0))</f>
        <v>0</v>
      </c>
      <c r="O201" s="500">
        <f>P201*IF('Benzin - diesel - hybrid'!O$24="nej",0,IF('Benzin - diesel - hybrid'!O$32="ja",'Benzin - diesel - hybrid'!O$33,'Benzin - diesel - hybrid'!O$34))*(1+'Benzin - diesel - hybrid'!O$47)^-$C201</f>
        <v>0</v>
      </c>
      <c r="P201" s="314">
        <f>IF('Benzin - diesel - hybrid'!O$49="benzin",O156,IF('Benzin - diesel - hybrid'!O$49="diesel",O179,0))</f>
        <v>0</v>
      </c>
      <c r="Q201" s="500">
        <f>R201*IF('Benzin - diesel - hybrid'!Q$24="nej",0,IF('Benzin - diesel - hybrid'!Q$32="ja",'Benzin - diesel - hybrid'!Q$33,'Benzin - diesel - hybrid'!Q$34))*(1+'Benzin - diesel - hybrid'!Q$47)^-$C201</f>
        <v>0</v>
      </c>
      <c r="R201" s="314">
        <f>IF('Benzin - diesel - hybrid'!Q$49="benzin",Q156,IF('Benzin - diesel - hybrid'!Q$49="diesel",Q179,0))</f>
        <v>0</v>
      </c>
      <c r="S201" s="500">
        <f>T201*IF('Benzin - diesel - hybrid'!S$24="nej",0,IF('Benzin - diesel - hybrid'!S$32="ja",'Benzin - diesel - hybrid'!S$33,'Benzin - diesel - hybrid'!S$34))*(1+'Benzin - diesel - hybrid'!S$47)^-$C201</f>
        <v>0</v>
      </c>
      <c r="T201" s="314">
        <f>IF('Benzin - diesel - hybrid'!S$49="benzin",S156,IF('Benzin - diesel - hybrid'!S$49="diesel",S179,0))</f>
        <v>0</v>
      </c>
      <c r="U201" s="500">
        <f>V201*IF('Benzin - diesel - hybrid'!U$24="nej",0,IF('Benzin - diesel - hybrid'!U$32="ja",'Benzin - diesel - hybrid'!U$33,'Benzin - diesel - hybrid'!U$34))*(1+'Benzin - diesel - hybrid'!U$47)^-$C201</f>
        <v>0</v>
      </c>
      <c r="V201" s="314">
        <f>IF('Benzin - diesel - hybrid'!U$49="benzin",U156,IF('Benzin - diesel - hybrid'!U$49="diesel",U179,0))</f>
        <v>0</v>
      </c>
      <c r="W201" s="500">
        <f>X201*IF('Benzin - diesel - hybrid'!W$24="nej",0,IF('Benzin - diesel - hybrid'!W$32="ja",'Benzin - diesel - hybrid'!W$33,'Benzin - diesel - hybrid'!W$34))*(1+'Benzin - diesel - hybrid'!W$47)^-$C201</f>
        <v>0</v>
      </c>
      <c r="X201" s="314">
        <f>IF('Benzin - diesel - hybrid'!W$49="benzin",W156,IF('Benzin - diesel - hybrid'!W$49="diesel",W179,0))</f>
        <v>0</v>
      </c>
    </row>
    <row r="202" spans="1:24">
      <c r="A202" s="308"/>
      <c r="B202" s="302">
        <v>16</v>
      </c>
      <c r="C202" s="302">
        <f t="shared" si="11"/>
        <v>16</v>
      </c>
      <c r="D202" s="302"/>
      <c r="E202" s="500">
        <f>F202*IF('Benzin - diesel - hybrid'!E$24="nej",0,IF('Benzin - diesel - hybrid'!E$32="ja",'Benzin - diesel - hybrid'!E$33,'Benzin - diesel - hybrid'!E$34))*(1+'Benzin - diesel - hybrid'!E$47)^-$C202</f>
        <v>0</v>
      </c>
      <c r="F202" s="314">
        <f>IF('Benzin - diesel - hybrid'!E$49="benzin",E157,IF('Benzin - diesel - hybrid'!E$49="diesel",E180,0))</f>
        <v>0</v>
      </c>
      <c r="G202" s="500">
        <f>H202*IF('Benzin - diesel - hybrid'!G$24="nej",0,IF('Benzin - diesel - hybrid'!G$32="ja",'Benzin - diesel - hybrid'!G$33,'Benzin - diesel - hybrid'!G$34))*(1+'Benzin - diesel - hybrid'!G$47)^-$C202</f>
        <v>0</v>
      </c>
      <c r="H202" s="314">
        <f>IF('Benzin - diesel - hybrid'!G$49="benzin",G157,IF('Benzin - diesel - hybrid'!G$49="diesel",G180,0))</f>
        <v>0</v>
      </c>
      <c r="I202" s="500">
        <f>J202*IF('Benzin - diesel - hybrid'!I$24="nej",0,IF('Benzin - diesel - hybrid'!I$32="ja",'Benzin - diesel - hybrid'!I$33,'Benzin - diesel - hybrid'!I$34))*(1+'Benzin - diesel - hybrid'!I$47)^-$C202</f>
        <v>0</v>
      </c>
      <c r="J202" s="314">
        <f>IF('Benzin - diesel - hybrid'!I$49="benzin",I157,IF('Benzin - diesel - hybrid'!I$49="diesel",I180,0))</f>
        <v>0</v>
      </c>
      <c r="K202" s="500">
        <f>L202*IF('Benzin - diesel - hybrid'!K$24="nej",0,IF('Benzin - diesel - hybrid'!K$32="ja",'Benzin - diesel - hybrid'!K$33,'Benzin - diesel - hybrid'!K$34))*(1+'Benzin - diesel - hybrid'!K$47)^-$C202</f>
        <v>0</v>
      </c>
      <c r="L202" s="314">
        <f>IF('Benzin - diesel - hybrid'!K$49="benzin",K157,IF('Benzin - diesel - hybrid'!K$49="diesel",K180,0))</f>
        <v>0</v>
      </c>
      <c r="M202" s="500">
        <f>N202*IF('Benzin - diesel - hybrid'!M$24="nej",0,IF('Benzin - diesel - hybrid'!M$32="ja",'Benzin - diesel - hybrid'!M$33,'Benzin - diesel - hybrid'!M$34))*(1+'Benzin - diesel - hybrid'!M$47)^-$C202</f>
        <v>0</v>
      </c>
      <c r="N202" s="314">
        <f>IF('Benzin - diesel - hybrid'!M$49="benzin",M157,IF('Benzin - diesel - hybrid'!M$49="diesel",M180,0))</f>
        <v>0</v>
      </c>
      <c r="O202" s="500">
        <f>P202*IF('Benzin - diesel - hybrid'!O$24="nej",0,IF('Benzin - diesel - hybrid'!O$32="ja",'Benzin - diesel - hybrid'!O$33,'Benzin - diesel - hybrid'!O$34))*(1+'Benzin - diesel - hybrid'!O$47)^-$C202</f>
        <v>0</v>
      </c>
      <c r="P202" s="314">
        <f>IF('Benzin - diesel - hybrid'!O$49="benzin",O157,IF('Benzin - diesel - hybrid'!O$49="diesel",O180,0))</f>
        <v>0</v>
      </c>
      <c r="Q202" s="500">
        <f>R202*IF('Benzin - diesel - hybrid'!Q$24="nej",0,IF('Benzin - diesel - hybrid'!Q$32="ja",'Benzin - diesel - hybrid'!Q$33,'Benzin - diesel - hybrid'!Q$34))*(1+'Benzin - diesel - hybrid'!Q$47)^-$C202</f>
        <v>0</v>
      </c>
      <c r="R202" s="314">
        <f>IF('Benzin - diesel - hybrid'!Q$49="benzin",Q157,IF('Benzin - diesel - hybrid'!Q$49="diesel",Q180,0))</f>
        <v>0</v>
      </c>
      <c r="S202" s="500">
        <f>T202*IF('Benzin - diesel - hybrid'!S$24="nej",0,IF('Benzin - diesel - hybrid'!S$32="ja",'Benzin - diesel - hybrid'!S$33,'Benzin - diesel - hybrid'!S$34))*(1+'Benzin - diesel - hybrid'!S$47)^-$C202</f>
        <v>0</v>
      </c>
      <c r="T202" s="314">
        <f>IF('Benzin - diesel - hybrid'!S$49="benzin",S157,IF('Benzin - diesel - hybrid'!S$49="diesel",S180,0))</f>
        <v>0</v>
      </c>
      <c r="U202" s="500">
        <f>V202*IF('Benzin - diesel - hybrid'!U$24="nej",0,IF('Benzin - diesel - hybrid'!U$32="ja",'Benzin - diesel - hybrid'!U$33,'Benzin - diesel - hybrid'!U$34))*(1+'Benzin - diesel - hybrid'!U$47)^-$C202</f>
        <v>0</v>
      </c>
      <c r="V202" s="314">
        <f>IF('Benzin - diesel - hybrid'!U$49="benzin",U157,IF('Benzin - diesel - hybrid'!U$49="diesel",U180,0))</f>
        <v>0</v>
      </c>
      <c r="W202" s="500">
        <f>X202*IF('Benzin - diesel - hybrid'!W$24="nej",0,IF('Benzin - diesel - hybrid'!W$32="ja",'Benzin - diesel - hybrid'!W$33,'Benzin - diesel - hybrid'!W$34))*(1+'Benzin - diesel - hybrid'!W$47)^-$C202</f>
        <v>0</v>
      </c>
      <c r="X202" s="314">
        <f>IF('Benzin - diesel - hybrid'!W$49="benzin",W157,IF('Benzin - diesel - hybrid'!W$49="diesel",W180,0))</f>
        <v>0</v>
      </c>
    </row>
    <row r="203" spans="1:24">
      <c r="A203" s="308"/>
      <c r="B203" s="302">
        <v>17</v>
      </c>
      <c r="C203" s="302">
        <f t="shared" si="11"/>
        <v>17</v>
      </c>
      <c r="D203" s="302"/>
      <c r="E203" s="500">
        <f>F203*IF('Benzin - diesel - hybrid'!E$24="nej",0,IF('Benzin - diesel - hybrid'!E$32="ja",'Benzin - diesel - hybrid'!E$33,'Benzin - diesel - hybrid'!E$34))*(1+'Benzin - diesel - hybrid'!E$47)^-$C203</f>
        <v>0</v>
      </c>
      <c r="F203" s="314">
        <f>IF('Benzin - diesel - hybrid'!E$49="benzin",E158,IF('Benzin - diesel - hybrid'!E$49="diesel",E181,0))</f>
        <v>0</v>
      </c>
      <c r="G203" s="500">
        <f>H203*IF('Benzin - diesel - hybrid'!G$24="nej",0,IF('Benzin - diesel - hybrid'!G$32="ja",'Benzin - diesel - hybrid'!G$33,'Benzin - diesel - hybrid'!G$34))*(1+'Benzin - diesel - hybrid'!G$47)^-$C203</f>
        <v>0</v>
      </c>
      <c r="H203" s="314">
        <f>IF('Benzin - diesel - hybrid'!G$49="benzin",G158,IF('Benzin - diesel - hybrid'!G$49="diesel",G181,0))</f>
        <v>0</v>
      </c>
      <c r="I203" s="500">
        <f>J203*IF('Benzin - diesel - hybrid'!I$24="nej",0,IF('Benzin - diesel - hybrid'!I$32="ja",'Benzin - diesel - hybrid'!I$33,'Benzin - diesel - hybrid'!I$34))*(1+'Benzin - diesel - hybrid'!I$47)^-$C203</f>
        <v>0</v>
      </c>
      <c r="J203" s="314">
        <f>IF('Benzin - diesel - hybrid'!I$49="benzin",I158,IF('Benzin - diesel - hybrid'!I$49="diesel",I181,0))</f>
        <v>0</v>
      </c>
      <c r="K203" s="500">
        <f>L203*IF('Benzin - diesel - hybrid'!K$24="nej",0,IF('Benzin - diesel - hybrid'!K$32="ja",'Benzin - diesel - hybrid'!K$33,'Benzin - diesel - hybrid'!K$34))*(1+'Benzin - diesel - hybrid'!K$47)^-$C203</f>
        <v>0</v>
      </c>
      <c r="L203" s="314">
        <f>IF('Benzin - diesel - hybrid'!K$49="benzin",K158,IF('Benzin - diesel - hybrid'!K$49="diesel",K181,0))</f>
        <v>0</v>
      </c>
      <c r="M203" s="500">
        <f>N203*IF('Benzin - diesel - hybrid'!M$24="nej",0,IF('Benzin - diesel - hybrid'!M$32="ja",'Benzin - diesel - hybrid'!M$33,'Benzin - diesel - hybrid'!M$34))*(1+'Benzin - diesel - hybrid'!M$47)^-$C203</f>
        <v>0</v>
      </c>
      <c r="N203" s="314">
        <f>IF('Benzin - diesel - hybrid'!M$49="benzin",M158,IF('Benzin - diesel - hybrid'!M$49="diesel",M181,0))</f>
        <v>0</v>
      </c>
      <c r="O203" s="500">
        <f>P203*IF('Benzin - diesel - hybrid'!O$24="nej",0,IF('Benzin - diesel - hybrid'!O$32="ja",'Benzin - diesel - hybrid'!O$33,'Benzin - diesel - hybrid'!O$34))*(1+'Benzin - diesel - hybrid'!O$47)^-$C203</f>
        <v>0</v>
      </c>
      <c r="P203" s="314">
        <f>IF('Benzin - diesel - hybrid'!O$49="benzin",O158,IF('Benzin - diesel - hybrid'!O$49="diesel",O181,0))</f>
        <v>0</v>
      </c>
      <c r="Q203" s="500">
        <f>R203*IF('Benzin - diesel - hybrid'!Q$24="nej",0,IF('Benzin - diesel - hybrid'!Q$32="ja",'Benzin - diesel - hybrid'!Q$33,'Benzin - diesel - hybrid'!Q$34))*(1+'Benzin - diesel - hybrid'!Q$47)^-$C203</f>
        <v>0</v>
      </c>
      <c r="R203" s="314">
        <f>IF('Benzin - diesel - hybrid'!Q$49="benzin",Q158,IF('Benzin - diesel - hybrid'!Q$49="diesel",Q181,0))</f>
        <v>0</v>
      </c>
      <c r="S203" s="500">
        <f>T203*IF('Benzin - diesel - hybrid'!S$24="nej",0,IF('Benzin - diesel - hybrid'!S$32="ja",'Benzin - diesel - hybrid'!S$33,'Benzin - diesel - hybrid'!S$34))*(1+'Benzin - diesel - hybrid'!S$47)^-$C203</f>
        <v>0</v>
      </c>
      <c r="T203" s="314">
        <f>IF('Benzin - diesel - hybrid'!S$49="benzin",S158,IF('Benzin - diesel - hybrid'!S$49="diesel",S181,0))</f>
        <v>0</v>
      </c>
      <c r="U203" s="500">
        <f>V203*IF('Benzin - diesel - hybrid'!U$24="nej",0,IF('Benzin - diesel - hybrid'!U$32="ja",'Benzin - diesel - hybrid'!U$33,'Benzin - diesel - hybrid'!U$34))*(1+'Benzin - diesel - hybrid'!U$47)^-$C203</f>
        <v>0</v>
      </c>
      <c r="V203" s="314">
        <f>IF('Benzin - diesel - hybrid'!U$49="benzin",U158,IF('Benzin - diesel - hybrid'!U$49="diesel",U181,0))</f>
        <v>0</v>
      </c>
      <c r="W203" s="500">
        <f>X203*IF('Benzin - diesel - hybrid'!W$24="nej",0,IF('Benzin - diesel - hybrid'!W$32="ja",'Benzin - diesel - hybrid'!W$33,'Benzin - diesel - hybrid'!W$34))*(1+'Benzin - diesel - hybrid'!W$47)^-$C203</f>
        <v>0</v>
      </c>
      <c r="X203" s="314">
        <f>IF('Benzin - diesel - hybrid'!W$49="benzin",W158,IF('Benzin - diesel - hybrid'!W$49="diesel",W181,0))</f>
        <v>0</v>
      </c>
    </row>
    <row r="204" spans="1:24">
      <c r="A204" s="308"/>
      <c r="B204" s="302">
        <v>18</v>
      </c>
      <c r="C204" s="302">
        <f t="shared" si="11"/>
        <v>18</v>
      </c>
      <c r="D204" s="302"/>
      <c r="E204" s="500">
        <f>F204*IF('Benzin - diesel - hybrid'!E$24="nej",0,IF('Benzin - diesel - hybrid'!E$32="ja",'Benzin - diesel - hybrid'!E$33,'Benzin - diesel - hybrid'!E$34))*(1+'Benzin - diesel - hybrid'!E$47)^-$C204</f>
        <v>0</v>
      </c>
      <c r="F204" s="314">
        <f>IF('Benzin - diesel - hybrid'!E$49="benzin",E159,IF('Benzin - diesel - hybrid'!E$49="diesel",E182,0))</f>
        <v>0</v>
      </c>
      <c r="G204" s="500">
        <f>H204*IF('Benzin - diesel - hybrid'!G$24="nej",0,IF('Benzin - diesel - hybrid'!G$32="ja",'Benzin - diesel - hybrid'!G$33,'Benzin - diesel - hybrid'!G$34))*(1+'Benzin - diesel - hybrid'!G$47)^-$C204</f>
        <v>0</v>
      </c>
      <c r="H204" s="314">
        <f>IF('Benzin - diesel - hybrid'!G$49="benzin",G159,IF('Benzin - diesel - hybrid'!G$49="diesel",G182,0))</f>
        <v>0</v>
      </c>
      <c r="I204" s="500">
        <f>J204*IF('Benzin - diesel - hybrid'!I$24="nej",0,IF('Benzin - diesel - hybrid'!I$32="ja",'Benzin - diesel - hybrid'!I$33,'Benzin - diesel - hybrid'!I$34))*(1+'Benzin - diesel - hybrid'!I$47)^-$C204</f>
        <v>0</v>
      </c>
      <c r="J204" s="314">
        <f>IF('Benzin - diesel - hybrid'!I$49="benzin",I159,IF('Benzin - diesel - hybrid'!I$49="diesel",I182,0))</f>
        <v>0</v>
      </c>
      <c r="K204" s="500">
        <f>L204*IF('Benzin - diesel - hybrid'!K$24="nej",0,IF('Benzin - diesel - hybrid'!K$32="ja",'Benzin - diesel - hybrid'!K$33,'Benzin - diesel - hybrid'!K$34))*(1+'Benzin - diesel - hybrid'!K$47)^-$C204</f>
        <v>0</v>
      </c>
      <c r="L204" s="314">
        <f>IF('Benzin - diesel - hybrid'!K$49="benzin",K159,IF('Benzin - diesel - hybrid'!K$49="diesel",K182,0))</f>
        <v>0</v>
      </c>
      <c r="M204" s="500">
        <f>N204*IF('Benzin - diesel - hybrid'!M$24="nej",0,IF('Benzin - diesel - hybrid'!M$32="ja",'Benzin - diesel - hybrid'!M$33,'Benzin - diesel - hybrid'!M$34))*(1+'Benzin - diesel - hybrid'!M$47)^-$C204</f>
        <v>0</v>
      </c>
      <c r="N204" s="314">
        <f>IF('Benzin - diesel - hybrid'!M$49="benzin",M159,IF('Benzin - diesel - hybrid'!M$49="diesel",M182,0))</f>
        <v>0</v>
      </c>
      <c r="O204" s="500">
        <f>P204*IF('Benzin - diesel - hybrid'!O$24="nej",0,IF('Benzin - diesel - hybrid'!O$32="ja",'Benzin - diesel - hybrid'!O$33,'Benzin - diesel - hybrid'!O$34))*(1+'Benzin - diesel - hybrid'!O$47)^-$C204</f>
        <v>0</v>
      </c>
      <c r="P204" s="314">
        <f>IF('Benzin - diesel - hybrid'!O$49="benzin",O159,IF('Benzin - diesel - hybrid'!O$49="diesel",O182,0))</f>
        <v>0</v>
      </c>
      <c r="Q204" s="500">
        <f>R204*IF('Benzin - diesel - hybrid'!Q$24="nej",0,IF('Benzin - diesel - hybrid'!Q$32="ja",'Benzin - diesel - hybrid'!Q$33,'Benzin - diesel - hybrid'!Q$34))*(1+'Benzin - diesel - hybrid'!Q$47)^-$C204</f>
        <v>0</v>
      </c>
      <c r="R204" s="314">
        <f>IF('Benzin - diesel - hybrid'!Q$49="benzin",Q159,IF('Benzin - diesel - hybrid'!Q$49="diesel",Q182,0))</f>
        <v>0</v>
      </c>
      <c r="S204" s="500">
        <f>T204*IF('Benzin - diesel - hybrid'!S$24="nej",0,IF('Benzin - diesel - hybrid'!S$32="ja",'Benzin - diesel - hybrid'!S$33,'Benzin - diesel - hybrid'!S$34))*(1+'Benzin - diesel - hybrid'!S$47)^-$C204</f>
        <v>0</v>
      </c>
      <c r="T204" s="314">
        <f>IF('Benzin - diesel - hybrid'!S$49="benzin",S159,IF('Benzin - diesel - hybrid'!S$49="diesel",S182,0))</f>
        <v>0</v>
      </c>
      <c r="U204" s="500">
        <f>V204*IF('Benzin - diesel - hybrid'!U$24="nej",0,IF('Benzin - diesel - hybrid'!U$32="ja",'Benzin - diesel - hybrid'!U$33,'Benzin - diesel - hybrid'!U$34))*(1+'Benzin - diesel - hybrid'!U$47)^-$C204</f>
        <v>0</v>
      </c>
      <c r="V204" s="314">
        <f>IF('Benzin - diesel - hybrid'!U$49="benzin",U159,IF('Benzin - diesel - hybrid'!U$49="diesel",U182,0))</f>
        <v>0</v>
      </c>
      <c r="W204" s="500">
        <f>X204*IF('Benzin - diesel - hybrid'!W$24="nej",0,IF('Benzin - diesel - hybrid'!W$32="ja",'Benzin - diesel - hybrid'!W$33,'Benzin - diesel - hybrid'!W$34))*(1+'Benzin - diesel - hybrid'!W$47)^-$C204</f>
        <v>0</v>
      </c>
      <c r="X204" s="314">
        <f>IF('Benzin - diesel - hybrid'!W$49="benzin",W159,IF('Benzin - diesel - hybrid'!W$49="diesel",W182,0))</f>
        <v>0</v>
      </c>
    </row>
    <row r="205" spans="1:24">
      <c r="A205" s="308"/>
      <c r="B205" s="302">
        <v>19</v>
      </c>
      <c r="C205" s="302">
        <f t="shared" si="11"/>
        <v>19</v>
      </c>
      <c r="D205" s="302"/>
      <c r="E205" s="500">
        <f>F205*IF('Benzin - diesel - hybrid'!E$24="nej",0,IF('Benzin - diesel - hybrid'!E$32="ja",'Benzin - diesel - hybrid'!E$33,'Benzin - diesel - hybrid'!E$34))*(1+'Benzin - diesel - hybrid'!E$47)^-$C205</f>
        <v>0</v>
      </c>
      <c r="F205" s="314">
        <f>IF('Benzin - diesel - hybrid'!E$49="benzin",E160,IF('Benzin - diesel - hybrid'!E$49="diesel",E183,0))</f>
        <v>0</v>
      </c>
      <c r="G205" s="500">
        <f>H205*IF('Benzin - diesel - hybrid'!G$24="nej",0,IF('Benzin - diesel - hybrid'!G$32="ja",'Benzin - diesel - hybrid'!G$33,'Benzin - diesel - hybrid'!G$34))*(1+'Benzin - diesel - hybrid'!G$47)^-$C205</f>
        <v>0</v>
      </c>
      <c r="H205" s="314">
        <f>IF('Benzin - diesel - hybrid'!G$49="benzin",G160,IF('Benzin - diesel - hybrid'!G$49="diesel",G183,0))</f>
        <v>0</v>
      </c>
      <c r="I205" s="500">
        <f>J205*IF('Benzin - diesel - hybrid'!I$24="nej",0,IF('Benzin - diesel - hybrid'!I$32="ja",'Benzin - diesel - hybrid'!I$33,'Benzin - diesel - hybrid'!I$34))*(1+'Benzin - diesel - hybrid'!I$47)^-$C205</f>
        <v>0</v>
      </c>
      <c r="J205" s="314">
        <f>IF('Benzin - diesel - hybrid'!I$49="benzin",I160,IF('Benzin - diesel - hybrid'!I$49="diesel",I183,0))</f>
        <v>0</v>
      </c>
      <c r="K205" s="500">
        <f>L205*IF('Benzin - diesel - hybrid'!K$24="nej",0,IF('Benzin - diesel - hybrid'!K$32="ja",'Benzin - diesel - hybrid'!K$33,'Benzin - diesel - hybrid'!K$34))*(1+'Benzin - diesel - hybrid'!K$47)^-$C205</f>
        <v>0</v>
      </c>
      <c r="L205" s="314">
        <f>IF('Benzin - diesel - hybrid'!K$49="benzin",K160,IF('Benzin - diesel - hybrid'!K$49="diesel",K183,0))</f>
        <v>0</v>
      </c>
      <c r="M205" s="500">
        <f>N205*IF('Benzin - diesel - hybrid'!M$24="nej",0,IF('Benzin - diesel - hybrid'!M$32="ja",'Benzin - diesel - hybrid'!M$33,'Benzin - diesel - hybrid'!M$34))*(1+'Benzin - diesel - hybrid'!M$47)^-$C205</f>
        <v>0</v>
      </c>
      <c r="N205" s="314">
        <f>IF('Benzin - diesel - hybrid'!M$49="benzin",M160,IF('Benzin - diesel - hybrid'!M$49="diesel",M183,0))</f>
        <v>0</v>
      </c>
      <c r="O205" s="500">
        <f>P205*IF('Benzin - diesel - hybrid'!O$24="nej",0,IF('Benzin - diesel - hybrid'!O$32="ja",'Benzin - diesel - hybrid'!O$33,'Benzin - diesel - hybrid'!O$34))*(1+'Benzin - diesel - hybrid'!O$47)^-$C205</f>
        <v>0</v>
      </c>
      <c r="P205" s="314">
        <f>IF('Benzin - diesel - hybrid'!O$49="benzin",O160,IF('Benzin - diesel - hybrid'!O$49="diesel",O183,0))</f>
        <v>0</v>
      </c>
      <c r="Q205" s="500">
        <f>R205*IF('Benzin - diesel - hybrid'!Q$24="nej",0,IF('Benzin - diesel - hybrid'!Q$32="ja",'Benzin - diesel - hybrid'!Q$33,'Benzin - diesel - hybrid'!Q$34))*(1+'Benzin - diesel - hybrid'!Q$47)^-$C205</f>
        <v>0</v>
      </c>
      <c r="R205" s="314">
        <f>IF('Benzin - diesel - hybrid'!Q$49="benzin",Q160,IF('Benzin - diesel - hybrid'!Q$49="diesel",Q183,0))</f>
        <v>0</v>
      </c>
      <c r="S205" s="500">
        <f>T205*IF('Benzin - diesel - hybrid'!S$24="nej",0,IF('Benzin - diesel - hybrid'!S$32="ja",'Benzin - diesel - hybrid'!S$33,'Benzin - diesel - hybrid'!S$34))*(1+'Benzin - diesel - hybrid'!S$47)^-$C205</f>
        <v>0</v>
      </c>
      <c r="T205" s="314">
        <f>IF('Benzin - diesel - hybrid'!S$49="benzin",S160,IF('Benzin - diesel - hybrid'!S$49="diesel",S183,0))</f>
        <v>0</v>
      </c>
      <c r="U205" s="500">
        <f>V205*IF('Benzin - diesel - hybrid'!U$24="nej",0,IF('Benzin - diesel - hybrid'!U$32="ja",'Benzin - diesel - hybrid'!U$33,'Benzin - diesel - hybrid'!U$34))*(1+'Benzin - diesel - hybrid'!U$47)^-$C205</f>
        <v>0</v>
      </c>
      <c r="V205" s="314">
        <f>IF('Benzin - diesel - hybrid'!U$49="benzin",U160,IF('Benzin - diesel - hybrid'!U$49="diesel",U183,0))</f>
        <v>0</v>
      </c>
      <c r="W205" s="500">
        <f>X205*IF('Benzin - diesel - hybrid'!W$24="nej",0,IF('Benzin - diesel - hybrid'!W$32="ja",'Benzin - diesel - hybrid'!W$33,'Benzin - diesel - hybrid'!W$34))*(1+'Benzin - diesel - hybrid'!W$47)^-$C205</f>
        <v>0</v>
      </c>
      <c r="X205" s="314">
        <f>IF('Benzin - diesel - hybrid'!W$49="benzin",W160,IF('Benzin - diesel - hybrid'!W$49="diesel",W183,0))</f>
        <v>0</v>
      </c>
    </row>
    <row r="206" spans="1:24">
      <c r="A206" s="311"/>
      <c r="B206" s="287">
        <v>20</v>
      </c>
      <c r="C206" s="287">
        <f t="shared" si="11"/>
        <v>20</v>
      </c>
      <c r="D206" s="287"/>
      <c r="E206" s="500">
        <f>F206*IF('Benzin - diesel - hybrid'!E$24="nej",0,IF('Benzin - diesel - hybrid'!E$32="ja",'Benzin - diesel - hybrid'!E$33,'Benzin - diesel - hybrid'!E$34))*(1+'Benzin - diesel - hybrid'!E$47)^-$C206</f>
        <v>0</v>
      </c>
      <c r="F206" s="314">
        <f>IF('Benzin - diesel - hybrid'!E$49="benzin",E161,IF('Benzin - diesel - hybrid'!E$49="diesel",E184,0))</f>
        <v>0</v>
      </c>
      <c r="G206" s="500">
        <f>H206*IF('Benzin - diesel - hybrid'!G$24="nej",0,IF('Benzin - diesel - hybrid'!G$32="ja",'Benzin - diesel - hybrid'!G$33,'Benzin - diesel - hybrid'!G$34))*(1+'Benzin - diesel - hybrid'!G$47)^-$C206</f>
        <v>0</v>
      </c>
      <c r="H206" s="314">
        <f>IF('Benzin - diesel - hybrid'!G$49="benzin",G161,IF('Benzin - diesel - hybrid'!G$49="diesel",G184,0))</f>
        <v>0</v>
      </c>
      <c r="I206" s="500">
        <f>J206*IF('Benzin - diesel - hybrid'!I$24="nej",0,IF('Benzin - diesel - hybrid'!I$32="ja",'Benzin - diesel - hybrid'!I$33,'Benzin - diesel - hybrid'!I$34))*(1+'Benzin - diesel - hybrid'!I$47)^-$C206</f>
        <v>0</v>
      </c>
      <c r="J206" s="314">
        <f>IF('Benzin - diesel - hybrid'!I$49="benzin",I161,IF('Benzin - diesel - hybrid'!I$49="diesel",I184,0))</f>
        <v>0</v>
      </c>
      <c r="K206" s="500">
        <f>L206*IF('Benzin - diesel - hybrid'!K$24="nej",0,IF('Benzin - diesel - hybrid'!K$32="ja",'Benzin - diesel - hybrid'!K$33,'Benzin - diesel - hybrid'!K$34))*(1+'Benzin - diesel - hybrid'!K$47)^-$C206</f>
        <v>0</v>
      </c>
      <c r="L206" s="314">
        <f>IF('Benzin - diesel - hybrid'!K$49="benzin",K161,IF('Benzin - diesel - hybrid'!K$49="diesel",K184,0))</f>
        <v>0</v>
      </c>
      <c r="M206" s="500">
        <f>N206*IF('Benzin - diesel - hybrid'!M$24="nej",0,IF('Benzin - diesel - hybrid'!M$32="ja",'Benzin - diesel - hybrid'!M$33,'Benzin - diesel - hybrid'!M$34))*(1+'Benzin - diesel - hybrid'!M$47)^-$C206</f>
        <v>0</v>
      </c>
      <c r="N206" s="314">
        <f>IF('Benzin - diesel - hybrid'!M$49="benzin",M161,IF('Benzin - diesel - hybrid'!M$49="diesel",M184,0))</f>
        <v>0</v>
      </c>
      <c r="O206" s="500">
        <f>P206*IF('Benzin - diesel - hybrid'!O$24="nej",0,IF('Benzin - diesel - hybrid'!O$32="ja",'Benzin - diesel - hybrid'!O$33,'Benzin - diesel - hybrid'!O$34))*(1+'Benzin - diesel - hybrid'!O$47)^-$C206</f>
        <v>0</v>
      </c>
      <c r="P206" s="314">
        <f>IF('Benzin - diesel - hybrid'!O$49="benzin",O161,IF('Benzin - diesel - hybrid'!O$49="diesel",O184,0))</f>
        <v>0</v>
      </c>
      <c r="Q206" s="500">
        <f>R206*IF('Benzin - diesel - hybrid'!Q$24="nej",0,IF('Benzin - diesel - hybrid'!Q$32="ja",'Benzin - diesel - hybrid'!Q$33,'Benzin - diesel - hybrid'!Q$34))*(1+'Benzin - diesel - hybrid'!Q$47)^-$C206</f>
        <v>0</v>
      </c>
      <c r="R206" s="314">
        <f>IF('Benzin - diesel - hybrid'!Q$49="benzin",Q161,IF('Benzin - diesel - hybrid'!Q$49="diesel",Q184,0))</f>
        <v>0</v>
      </c>
      <c r="S206" s="500">
        <f>T206*IF('Benzin - diesel - hybrid'!S$24="nej",0,IF('Benzin - diesel - hybrid'!S$32="ja",'Benzin - diesel - hybrid'!S$33,'Benzin - diesel - hybrid'!S$34))*(1+'Benzin - diesel - hybrid'!S$47)^-$C206</f>
        <v>0</v>
      </c>
      <c r="T206" s="314">
        <f>IF('Benzin - diesel - hybrid'!S$49="benzin",S161,IF('Benzin - diesel - hybrid'!S$49="diesel",S184,0))</f>
        <v>0</v>
      </c>
      <c r="U206" s="500">
        <f>V206*IF('Benzin - diesel - hybrid'!U$24="nej",0,IF('Benzin - diesel - hybrid'!U$32="ja",'Benzin - diesel - hybrid'!U$33,'Benzin - diesel - hybrid'!U$34))*(1+'Benzin - diesel - hybrid'!U$47)^-$C206</f>
        <v>0</v>
      </c>
      <c r="V206" s="314">
        <f>IF('Benzin - diesel - hybrid'!U$49="benzin",U161,IF('Benzin - diesel - hybrid'!U$49="diesel",U184,0))</f>
        <v>0</v>
      </c>
      <c r="W206" s="500">
        <f>X206*IF('Benzin - diesel - hybrid'!W$24="nej",0,IF('Benzin - diesel - hybrid'!W$32="ja",'Benzin - diesel - hybrid'!W$33,'Benzin - diesel - hybrid'!W$34))*(1+'Benzin - diesel - hybrid'!W$47)^-$C206</f>
        <v>0</v>
      </c>
      <c r="X206" s="314">
        <f>IF('Benzin - diesel - hybrid'!W$49="benzin",W161,IF('Benzin - diesel - hybrid'!W$49="diesel",W184,0))</f>
        <v>0</v>
      </c>
    </row>
  </sheetData>
  <sheetProtection sheet="1" objects="1" scenarios="1"/>
  <pageMargins left="0.7" right="0.7" top="0.75" bottom="0.75" header="0.3" footer="0.3"/>
  <pageSetup paperSize="9" orientation="portrait" r:id="rId1"/>
  <ignoredErrors>
    <ignoredError sqref="B73:S92"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95F28-3EE3-4E6E-9F1C-6F976F18037B}">
  <sheetPr codeName="Sheet5">
    <tabColor rgb="FF92D050"/>
  </sheetPr>
  <dimension ref="A1:BX514"/>
  <sheetViews>
    <sheetView showGridLines="0" zoomScaleNormal="100" zoomScalePageLayoutView="125" workbookViewId="0"/>
  </sheetViews>
  <sheetFormatPr defaultColWidth="0" defaultRowHeight="15" customHeight="1" zeroHeight="1" outlineLevelCol="1"/>
  <cols>
    <col min="1" max="2" width="4.140625" style="14" customWidth="1"/>
    <col min="3" max="3" width="89.85546875" style="14" customWidth="1"/>
    <col min="4" max="4" width="21.85546875" style="87" customWidth="1"/>
    <col min="5" max="5" width="20.7109375" style="88" customWidth="1"/>
    <col min="6" max="6" width="3" style="88" customWidth="1"/>
    <col min="7" max="7" width="20.7109375" style="88" hidden="1" customWidth="1" outlineLevel="1"/>
    <col min="8" max="8" width="2.85546875" style="88" customWidth="1" collapsed="1"/>
    <col min="9" max="9" width="20.7109375" style="88" hidden="1" customWidth="1" outlineLevel="1"/>
    <col min="10" max="10" width="2.42578125" style="88" customWidth="1" collapsed="1"/>
    <col min="11" max="11" width="20.7109375" style="88" hidden="1" customWidth="1" outlineLevel="1"/>
    <col min="12" max="12" width="2.85546875" style="88" customWidth="1" collapsed="1"/>
    <col min="13" max="13" width="20.7109375" style="88" hidden="1" customWidth="1" outlineLevel="1"/>
    <col min="14" max="14" width="2.85546875" style="88" customWidth="1" collapsed="1"/>
    <col min="15" max="15" width="20.7109375" style="88" hidden="1" customWidth="1" outlineLevel="1"/>
    <col min="16" max="16" width="2.42578125" style="88" customWidth="1" collapsed="1"/>
    <col min="17" max="17" width="20.7109375" style="88" hidden="1" customWidth="1" outlineLevel="1"/>
    <col min="18" max="18" width="2.85546875" style="88" customWidth="1" collapsed="1"/>
    <col min="19" max="19" width="20.7109375" style="88" hidden="1" customWidth="1" outlineLevel="1"/>
    <col min="20" max="20" width="3.140625" style="88" customWidth="1" collapsed="1"/>
    <col min="21" max="21" width="20.7109375" style="88" hidden="1" customWidth="1" outlineLevel="1"/>
    <col min="22" max="22" width="2.28515625" style="88" customWidth="1" collapsed="1"/>
    <col min="23" max="23" width="20.7109375" style="88" hidden="1" customWidth="1" outlineLevel="1"/>
    <col min="24" max="24" width="5.140625" style="88" customWidth="1" collapsed="1"/>
    <col min="25" max="25" width="7.140625" style="11" customWidth="1"/>
    <col min="26" max="26" width="2.85546875" style="11" customWidth="1"/>
    <col min="27" max="27" width="8.85546875" style="11" customWidth="1"/>
    <col min="28" max="28" width="58.140625" style="11" customWidth="1"/>
    <col min="29" max="29" width="31" style="11" customWidth="1"/>
    <col min="30" max="31" width="8.85546875" style="11" customWidth="1"/>
    <col min="32" max="46" width="0" style="11" hidden="1" customWidth="1"/>
    <col min="47" max="76" width="0" style="14" hidden="1" customWidth="1"/>
    <col min="77" max="16384" width="8.85546875" style="14" hidden="1"/>
  </cols>
  <sheetData>
    <row r="1" spans="1:76" s="11" customFormat="1" ht="15" customHeight="1">
      <c r="A1" s="8"/>
      <c r="B1" s="121"/>
      <c r="C1" s="121"/>
      <c r="D1" s="122"/>
      <c r="E1" s="8"/>
      <c r="F1" s="8"/>
      <c r="G1" s="8"/>
      <c r="H1" s="8"/>
      <c r="I1" s="8"/>
      <c r="J1" s="8"/>
      <c r="K1" s="8"/>
      <c r="L1" s="8"/>
      <c r="M1" s="8"/>
      <c r="N1" s="8"/>
      <c r="O1" s="8"/>
      <c r="P1" s="8"/>
      <c r="Q1" s="8"/>
      <c r="R1" s="8"/>
      <c r="S1" s="8"/>
      <c r="T1" s="8"/>
      <c r="U1" s="8"/>
      <c r="V1" s="8"/>
      <c r="W1" s="8"/>
      <c r="X1" s="8"/>
      <c r="Y1" s="10"/>
      <c r="Z1" s="10"/>
      <c r="AA1" s="10"/>
      <c r="AB1" s="10"/>
      <c r="AC1" s="10"/>
    </row>
    <row r="2" spans="1:76" ht="15" customHeight="1">
      <c r="A2" s="12"/>
      <c r="B2" s="13" t="s">
        <v>1</v>
      </c>
      <c r="C2" s="122"/>
      <c r="D2" s="122"/>
      <c r="E2" s="8"/>
      <c r="F2" s="10"/>
      <c r="G2" s="10"/>
      <c r="H2" s="10"/>
      <c r="I2" s="8"/>
      <c r="J2" s="10"/>
      <c r="K2" s="10"/>
      <c r="L2" s="10"/>
      <c r="M2" s="8"/>
      <c r="N2" s="10"/>
      <c r="O2" s="10"/>
      <c r="P2" s="10"/>
      <c r="Q2" s="8"/>
      <c r="R2" s="10"/>
      <c r="S2" s="10"/>
      <c r="T2" s="10"/>
      <c r="U2" s="10"/>
      <c r="V2" s="10"/>
      <c r="W2" s="10"/>
      <c r="X2" s="10"/>
      <c r="Y2" s="10"/>
      <c r="Z2" s="10"/>
      <c r="AA2" s="10"/>
      <c r="AB2" s="10"/>
      <c r="AC2" s="10"/>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row>
    <row r="3" spans="1:76" s="19" customFormat="1" ht="69.75" customHeight="1">
      <c r="A3" s="15"/>
      <c r="B3" s="540" t="s">
        <v>227</v>
      </c>
      <c r="C3" s="540"/>
      <c r="D3" s="123"/>
      <c r="E3" s="16"/>
      <c r="F3" s="17"/>
      <c r="G3" s="17"/>
      <c r="H3" s="17"/>
      <c r="I3" s="16"/>
      <c r="J3" s="17"/>
      <c r="K3" s="17"/>
      <c r="L3" s="17"/>
      <c r="M3" s="16"/>
      <c r="N3" s="17"/>
      <c r="O3" s="17"/>
      <c r="P3" s="17"/>
      <c r="Q3" s="16"/>
      <c r="R3" s="17"/>
      <c r="S3" s="17"/>
      <c r="T3" s="17"/>
      <c r="U3" s="17"/>
      <c r="V3" s="17"/>
      <c r="W3" s="17"/>
      <c r="X3" s="17"/>
      <c r="Y3" s="17"/>
      <c r="Z3" s="17"/>
      <c r="AA3" s="17"/>
      <c r="AB3" s="17"/>
      <c r="AC3" s="17"/>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row>
    <row r="4" spans="1:76" ht="15" customHeight="1">
      <c r="A4" s="12"/>
      <c r="B4" s="124"/>
      <c r="C4" s="124"/>
      <c r="D4" s="122"/>
      <c r="E4" s="8"/>
      <c r="F4" s="10"/>
      <c r="G4" s="10"/>
      <c r="H4" s="10"/>
      <c r="I4" s="8"/>
      <c r="J4" s="10"/>
      <c r="K4" s="10"/>
      <c r="L4" s="10"/>
      <c r="M4" s="8"/>
      <c r="N4" s="10"/>
      <c r="O4" s="10"/>
      <c r="P4" s="10"/>
      <c r="Q4" s="8"/>
      <c r="R4" s="10"/>
      <c r="S4" s="10"/>
      <c r="T4" s="10"/>
      <c r="U4" s="10"/>
      <c r="V4" s="10"/>
      <c r="W4" s="10"/>
      <c r="X4" s="10"/>
      <c r="Y4" s="10"/>
      <c r="Z4" s="10"/>
      <c r="AA4" s="10"/>
      <c r="AB4" s="10"/>
      <c r="AC4" s="10"/>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row>
    <row r="5" spans="1:76" ht="15" customHeight="1">
      <c r="A5" s="12"/>
      <c r="B5" s="12"/>
      <c r="C5" s="8"/>
      <c r="D5" s="9"/>
      <c r="E5" s="8"/>
      <c r="F5" s="8"/>
      <c r="G5" s="8"/>
      <c r="H5" s="8"/>
      <c r="I5" s="8"/>
      <c r="J5" s="8"/>
      <c r="K5" s="8"/>
      <c r="L5" s="8"/>
      <c r="M5" s="8"/>
      <c r="N5" s="8"/>
      <c r="O5" s="8"/>
      <c r="P5" s="8"/>
      <c r="Q5" s="8"/>
      <c r="R5" s="8"/>
      <c r="S5" s="8"/>
      <c r="T5" s="8"/>
      <c r="U5" s="8"/>
      <c r="V5" s="8"/>
      <c r="W5" s="8"/>
      <c r="X5" s="8"/>
      <c r="Y5" s="10"/>
      <c r="Z5" s="10"/>
      <c r="AA5" s="10"/>
      <c r="AB5" s="10"/>
      <c r="AC5" s="10"/>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row>
    <row r="6" spans="1:76" ht="15" customHeight="1">
      <c r="A6" s="12"/>
      <c r="B6" s="542" t="s">
        <v>2</v>
      </c>
      <c r="C6" s="543"/>
      <c r="D6" s="543"/>
      <c r="E6" s="543"/>
      <c r="F6" s="92"/>
      <c r="G6" s="92"/>
      <c r="H6" s="92"/>
      <c r="I6" s="93"/>
      <c r="J6" s="92"/>
      <c r="K6" s="93"/>
      <c r="L6" s="93"/>
      <c r="M6" s="93"/>
      <c r="N6" s="93"/>
      <c r="O6" s="93"/>
      <c r="P6" s="93"/>
      <c r="Q6" s="93"/>
      <c r="R6" s="93"/>
      <c r="S6" s="93"/>
      <c r="T6" s="93"/>
      <c r="U6" s="93"/>
      <c r="V6" s="93"/>
      <c r="W6" s="93"/>
      <c r="X6" s="94"/>
      <c r="Y6" s="10"/>
      <c r="Z6" s="10"/>
      <c r="AA6" s="10"/>
      <c r="AB6" s="10"/>
      <c r="AC6" s="10"/>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row>
    <row r="7" spans="1:76" s="19" customFormat="1" ht="25.15" customHeight="1">
      <c r="A7" s="15"/>
      <c r="B7" s="90" t="s">
        <v>217</v>
      </c>
      <c r="C7" s="95"/>
      <c r="D7" s="116"/>
      <c r="E7" s="117"/>
      <c r="F7" s="117"/>
      <c r="G7" s="117"/>
      <c r="H7" s="117"/>
      <c r="I7" s="117"/>
      <c r="J7" s="117"/>
      <c r="K7" s="117"/>
      <c r="L7" s="117"/>
      <c r="M7" s="117"/>
      <c r="N7" s="117"/>
      <c r="O7" s="117"/>
      <c r="P7" s="117"/>
      <c r="Q7" s="117"/>
      <c r="R7" s="117"/>
      <c r="S7" s="117"/>
      <c r="T7" s="117"/>
      <c r="U7" s="117"/>
      <c r="V7" s="117"/>
      <c r="W7" s="117"/>
      <c r="X7" s="118"/>
      <c r="Y7" s="17"/>
      <c r="Z7" s="17"/>
      <c r="AA7" s="17"/>
      <c r="AB7" s="17"/>
      <c r="AC7" s="17"/>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row>
    <row r="8" spans="1:76" s="19" customFormat="1" ht="15" customHeight="1">
      <c r="A8" s="15"/>
      <c r="B8" s="96"/>
      <c r="C8" s="97" t="s">
        <v>5</v>
      </c>
      <c r="D8" s="98" t="s">
        <v>35</v>
      </c>
      <c r="E8" s="7" t="s">
        <v>120</v>
      </c>
      <c r="F8" s="99"/>
      <c r="G8" s="7" t="s">
        <v>191</v>
      </c>
      <c r="H8" s="97"/>
      <c r="I8" s="7" t="s">
        <v>192</v>
      </c>
      <c r="J8" s="99"/>
      <c r="K8" s="7" t="s">
        <v>193</v>
      </c>
      <c r="L8" s="97"/>
      <c r="M8" s="7" t="s">
        <v>194</v>
      </c>
      <c r="N8" s="99"/>
      <c r="O8" s="7" t="s">
        <v>195</v>
      </c>
      <c r="P8" s="97"/>
      <c r="Q8" s="7" t="s">
        <v>196</v>
      </c>
      <c r="R8" s="99"/>
      <c r="S8" s="7" t="s">
        <v>197</v>
      </c>
      <c r="T8" s="117"/>
      <c r="U8" s="7" t="s">
        <v>198</v>
      </c>
      <c r="V8" s="117"/>
      <c r="W8" s="7" t="s">
        <v>199</v>
      </c>
      <c r="X8" s="100"/>
      <c r="Y8" s="17"/>
      <c r="Z8" s="17"/>
      <c r="AA8" s="17"/>
      <c r="AB8" s="17"/>
      <c r="AC8" s="17"/>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row>
    <row r="9" spans="1:76" s="19" customFormat="1" ht="15" customHeight="1">
      <c r="A9" s="15"/>
      <c r="B9" s="96"/>
      <c r="C9" s="127" t="s">
        <v>33</v>
      </c>
      <c r="D9" s="98" t="s">
        <v>35</v>
      </c>
      <c r="E9" s="290"/>
      <c r="F9" s="107"/>
      <c r="G9" s="290"/>
      <c r="H9" s="127"/>
      <c r="I9" s="290"/>
      <c r="J9" s="107"/>
      <c r="K9" s="290"/>
      <c r="L9" s="127"/>
      <c r="M9" s="290"/>
      <c r="N9" s="107"/>
      <c r="O9" s="290"/>
      <c r="P9" s="127"/>
      <c r="Q9" s="290"/>
      <c r="R9" s="107"/>
      <c r="S9" s="290"/>
      <c r="T9" s="117"/>
      <c r="U9" s="290"/>
      <c r="V9" s="117"/>
      <c r="W9" s="290"/>
      <c r="X9" s="100"/>
      <c r="Y9" s="17"/>
      <c r="Z9" s="17"/>
      <c r="AA9" s="17"/>
      <c r="AB9" s="17"/>
      <c r="AC9" s="17"/>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row>
    <row r="10" spans="1:76" s="19" customFormat="1" ht="15" customHeight="1">
      <c r="A10" s="15"/>
      <c r="B10" s="96"/>
      <c r="C10" s="127" t="s">
        <v>34</v>
      </c>
      <c r="D10" s="98" t="s">
        <v>35</v>
      </c>
      <c r="E10" s="290"/>
      <c r="F10" s="107"/>
      <c r="G10" s="290"/>
      <c r="H10" s="127"/>
      <c r="I10" s="290"/>
      <c r="J10" s="107"/>
      <c r="K10" s="290"/>
      <c r="L10" s="127"/>
      <c r="M10" s="290"/>
      <c r="N10" s="107"/>
      <c r="O10" s="290"/>
      <c r="P10" s="127"/>
      <c r="Q10" s="290"/>
      <c r="R10" s="107"/>
      <c r="S10" s="290"/>
      <c r="T10" s="117"/>
      <c r="U10" s="290"/>
      <c r="V10" s="117"/>
      <c r="W10" s="290"/>
      <c r="X10" s="100"/>
      <c r="Y10" s="17"/>
      <c r="Z10" s="17"/>
      <c r="AA10" s="17"/>
      <c r="AB10" s="17"/>
      <c r="AC10" s="17"/>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row>
    <row r="11" spans="1:76" ht="15" customHeight="1">
      <c r="A11" s="12"/>
      <c r="B11" s="101"/>
      <c r="C11" s="102" t="s">
        <v>18</v>
      </c>
      <c r="D11" s="103"/>
      <c r="E11" s="104"/>
      <c r="F11" s="104"/>
      <c r="G11" s="104"/>
      <c r="H11" s="104"/>
      <c r="I11" s="104"/>
      <c r="J11" s="104"/>
      <c r="K11" s="104"/>
      <c r="L11" s="104"/>
      <c r="M11" s="104"/>
      <c r="N11" s="104"/>
      <c r="O11" s="104"/>
      <c r="P11" s="104"/>
      <c r="Q11" s="104"/>
      <c r="R11" s="104"/>
      <c r="S11" s="104"/>
      <c r="T11" s="117"/>
      <c r="U11" s="104"/>
      <c r="V11" s="117"/>
      <c r="W11" s="104"/>
      <c r="X11" s="105"/>
      <c r="Y11" s="10"/>
      <c r="Z11" s="10"/>
      <c r="AA11" s="10"/>
      <c r="AB11" s="10"/>
      <c r="AC11" s="10"/>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row>
    <row r="12" spans="1:76" ht="15" customHeight="1">
      <c r="A12" s="12"/>
      <c r="B12" s="106"/>
      <c r="C12" s="446" t="s">
        <v>209</v>
      </c>
      <c r="D12" s="447" t="s">
        <v>128</v>
      </c>
      <c r="E12" s="207"/>
      <c r="F12" s="267"/>
      <c r="G12" s="207"/>
      <c r="H12" s="267"/>
      <c r="I12" s="207"/>
      <c r="J12" s="267"/>
      <c r="K12" s="207"/>
      <c r="L12" s="267"/>
      <c r="M12" s="207"/>
      <c r="N12" s="267"/>
      <c r="O12" s="207"/>
      <c r="P12" s="267"/>
      <c r="Q12" s="207"/>
      <c r="R12" s="267"/>
      <c r="S12" s="207"/>
      <c r="T12" s="117"/>
      <c r="U12" s="207"/>
      <c r="V12" s="117"/>
      <c r="W12" s="207"/>
      <c r="X12" s="108"/>
      <c r="Y12" s="10"/>
      <c r="Z12" s="10"/>
      <c r="AA12" s="10"/>
      <c r="AB12" s="10"/>
      <c r="AC12" s="10"/>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row>
    <row r="13" spans="1:76" ht="15" customHeight="1">
      <c r="A13" s="12"/>
      <c r="B13" s="106"/>
      <c r="C13" s="98"/>
      <c r="D13" s="98"/>
      <c r="E13" s="125"/>
      <c r="F13" s="107"/>
      <c r="G13" s="125"/>
      <c r="H13" s="168"/>
      <c r="I13" s="125"/>
      <c r="J13" s="107"/>
      <c r="K13" s="125"/>
      <c r="L13" s="107"/>
      <c r="M13" s="125"/>
      <c r="N13" s="107"/>
      <c r="O13" s="125"/>
      <c r="P13" s="107"/>
      <c r="Q13" s="125"/>
      <c r="R13" s="107"/>
      <c r="S13" s="125"/>
      <c r="T13" s="117"/>
      <c r="U13" s="125"/>
      <c r="V13" s="117"/>
      <c r="W13" s="125"/>
      <c r="X13" s="108"/>
      <c r="Y13" s="10"/>
      <c r="Z13" s="10"/>
      <c r="AA13" s="10"/>
      <c r="AB13" s="10"/>
      <c r="AC13" s="10"/>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row>
    <row r="14" spans="1:76" ht="15" customHeight="1">
      <c r="A14" s="12"/>
      <c r="B14" s="109"/>
      <c r="C14" s="110" t="s">
        <v>19</v>
      </c>
      <c r="D14" s="110"/>
      <c r="E14" s="110"/>
      <c r="F14" s="110"/>
      <c r="G14" s="110"/>
      <c r="H14" s="168"/>
      <c r="I14" s="110"/>
      <c r="J14" s="110"/>
      <c r="K14" s="110"/>
      <c r="L14" s="107"/>
      <c r="M14" s="110"/>
      <c r="N14" s="110"/>
      <c r="O14" s="110"/>
      <c r="P14" s="107"/>
      <c r="Q14" s="110"/>
      <c r="R14" s="110"/>
      <c r="S14" s="110"/>
      <c r="T14" s="117"/>
      <c r="U14" s="110"/>
      <c r="V14" s="117"/>
      <c r="W14" s="110"/>
      <c r="X14" s="108"/>
      <c r="Y14" s="10"/>
      <c r="Z14" s="10"/>
      <c r="AA14" s="10"/>
      <c r="AB14" s="10"/>
      <c r="AC14" s="10"/>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row>
    <row r="15" spans="1:76" ht="15" customHeight="1">
      <c r="A15" s="12"/>
      <c r="B15" s="106"/>
      <c r="C15" s="448" t="s">
        <v>234</v>
      </c>
      <c r="D15" s="447" t="s">
        <v>190</v>
      </c>
      <c r="E15" s="89"/>
      <c r="F15" s="107"/>
      <c r="G15" s="89"/>
      <c r="H15" s="107"/>
      <c r="I15" s="89"/>
      <c r="J15" s="107"/>
      <c r="K15" s="89"/>
      <c r="L15" s="107"/>
      <c r="M15" s="89"/>
      <c r="N15" s="107"/>
      <c r="O15" s="89"/>
      <c r="P15" s="107"/>
      <c r="Q15" s="89"/>
      <c r="R15" s="107"/>
      <c r="S15" s="89"/>
      <c r="T15" s="117"/>
      <c r="U15" s="89"/>
      <c r="V15" s="117"/>
      <c r="W15" s="89"/>
      <c r="X15" s="108"/>
      <c r="Y15" s="10"/>
      <c r="Z15" s="10"/>
      <c r="AA15" s="10"/>
      <c r="AB15" s="10"/>
      <c r="AC15" s="10"/>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row>
    <row r="16" spans="1:76" ht="15" customHeight="1">
      <c r="A16" s="12"/>
      <c r="B16" s="106"/>
      <c r="C16" s="98"/>
      <c r="D16" s="98"/>
      <c r="E16" s="125"/>
      <c r="F16" s="107"/>
      <c r="G16" s="125"/>
      <c r="H16" s="107"/>
      <c r="I16" s="125"/>
      <c r="J16" s="107"/>
      <c r="K16" s="125"/>
      <c r="L16" s="107"/>
      <c r="M16" s="125"/>
      <c r="N16" s="107"/>
      <c r="O16" s="125"/>
      <c r="P16" s="107"/>
      <c r="Q16" s="125"/>
      <c r="R16" s="107"/>
      <c r="S16" s="125"/>
      <c r="T16" s="117"/>
      <c r="U16" s="125"/>
      <c r="V16" s="117"/>
      <c r="W16" s="125"/>
      <c r="X16" s="108"/>
      <c r="Y16" s="10"/>
      <c r="Z16" s="10"/>
      <c r="AA16" s="10"/>
      <c r="AB16" s="10"/>
      <c r="AC16" s="10"/>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row>
    <row r="17" spans="1:76" ht="15" customHeight="1">
      <c r="A17" s="12"/>
      <c r="B17" s="106"/>
      <c r="C17" s="97" t="s">
        <v>24</v>
      </c>
      <c r="D17" s="126"/>
      <c r="E17" s="125"/>
      <c r="F17" s="107"/>
      <c r="G17" s="125"/>
      <c r="H17" s="127"/>
      <c r="I17" s="125"/>
      <c r="J17" s="107"/>
      <c r="K17" s="125"/>
      <c r="L17" s="127"/>
      <c r="M17" s="125"/>
      <c r="N17" s="107"/>
      <c r="O17" s="125"/>
      <c r="P17" s="127"/>
      <c r="Q17" s="125"/>
      <c r="R17" s="107"/>
      <c r="S17" s="125"/>
      <c r="T17" s="117"/>
      <c r="U17" s="125"/>
      <c r="V17" s="117"/>
      <c r="W17" s="125"/>
      <c r="X17" s="108"/>
      <c r="Y17" s="10"/>
      <c r="Z17" s="10"/>
      <c r="AA17" s="10"/>
      <c r="AB17" s="10"/>
      <c r="AC17" s="10"/>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row>
    <row r="18" spans="1:76" ht="15" customHeight="1">
      <c r="A18" s="12"/>
      <c r="B18" s="106"/>
      <c r="C18" s="304" t="s">
        <v>233</v>
      </c>
      <c r="D18" s="447" t="s">
        <v>150</v>
      </c>
      <c r="E18" s="207"/>
      <c r="F18" s="267"/>
      <c r="G18" s="207"/>
      <c r="H18" s="275"/>
      <c r="I18" s="207"/>
      <c r="J18" s="267"/>
      <c r="K18" s="207"/>
      <c r="L18" s="275"/>
      <c r="M18" s="207"/>
      <c r="N18" s="267"/>
      <c r="O18" s="207"/>
      <c r="P18" s="275"/>
      <c r="Q18" s="207"/>
      <c r="R18" s="267"/>
      <c r="S18" s="207"/>
      <c r="T18" s="117"/>
      <c r="U18" s="207"/>
      <c r="V18" s="117"/>
      <c r="W18" s="207"/>
      <c r="X18" s="108"/>
      <c r="Y18" s="10"/>
      <c r="Z18" s="10"/>
      <c r="AA18" s="10"/>
      <c r="AB18" s="10"/>
      <c r="AC18" s="10"/>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row>
    <row r="19" spans="1:76" ht="15" customHeight="1">
      <c r="A19" s="12"/>
      <c r="B19" s="106"/>
      <c r="C19" s="304" t="s">
        <v>129</v>
      </c>
      <c r="D19" s="447" t="s">
        <v>150</v>
      </c>
      <c r="E19" s="207"/>
      <c r="F19" s="267"/>
      <c r="G19" s="207"/>
      <c r="H19" s="275"/>
      <c r="I19" s="207"/>
      <c r="J19" s="267"/>
      <c r="K19" s="207"/>
      <c r="L19" s="275"/>
      <c r="M19" s="207"/>
      <c r="N19" s="267"/>
      <c r="O19" s="207"/>
      <c r="P19" s="275"/>
      <c r="Q19" s="207"/>
      <c r="R19" s="267"/>
      <c r="S19" s="207"/>
      <c r="T19" s="117"/>
      <c r="U19" s="207"/>
      <c r="V19" s="117"/>
      <c r="W19" s="207"/>
      <c r="X19" s="108"/>
      <c r="Y19" s="10"/>
      <c r="Z19" s="10"/>
      <c r="AA19" s="10"/>
      <c r="AB19" s="10"/>
      <c r="AC19" s="10"/>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row>
    <row r="20" spans="1:76" ht="15" customHeight="1">
      <c r="A20" s="12"/>
      <c r="B20" s="106"/>
      <c r="C20" s="303"/>
      <c r="D20" s="127"/>
      <c r="E20" s="127"/>
      <c r="F20" s="127"/>
      <c r="G20" s="127"/>
      <c r="H20" s="127"/>
      <c r="I20" s="127"/>
      <c r="J20" s="127"/>
      <c r="K20" s="127"/>
      <c r="L20" s="127"/>
      <c r="M20" s="127"/>
      <c r="N20" s="127"/>
      <c r="O20" s="127"/>
      <c r="P20" s="127"/>
      <c r="Q20" s="127"/>
      <c r="R20" s="127"/>
      <c r="S20" s="127"/>
      <c r="T20" s="127"/>
      <c r="U20" s="127"/>
      <c r="V20" s="127"/>
      <c r="W20" s="127"/>
      <c r="X20" s="108"/>
      <c r="Y20" s="10"/>
      <c r="Z20" s="10"/>
      <c r="AA20" s="10"/>
      <c r="AB20" s="10"/>
      <c r="AC20" s="10"/>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row>
    <row r="21" spans="1:76" ht="25.15" customHeight="1">
      <c r="A21" s="12"/>
      <c r="B21" s="507" t="s">
        <v>216</v>
      </c>
      <c r="C21" s="508"/>
      <c r="D21" s="509"/>
      <c r="E21" s="509"/>
      <c r="F21" s="509"/>
      <c r="G21" s="509"/>
      <c r="H21" s="509"/>
      <c r="I21" s="509"/>
      <c r="J21" s="509"/>
      <c r="K21" s="509"/>
      <c r="L21" s="509"/>
      <c r="M21" s="509"/>
      <c r="N21" s="509"/>
      <c r="O21" s="509"/>
      <c r="P21" s="509"/>
      <c r="Q21" s="509"/>
      <c r="R21" s="509"/>
      <c r="S21" s="509"/>
      <c r="T21" s="509"/>
      <c r="U21" s="509"/>
      <c r="V21" s="509"/>
      <c r="W21" s="509"/>
      <c r="X21" s="108"/>
      <c r="Y21" s="10"/>
      <c r="Z21" s="10"/>
      <c r="AA21" s="10"/>
      <c r="AB21" s="10"/>
      <c r="AC21" s="10"/>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row>
    <row r="22" spans="1:76" ht="15" customHeight="1">
      <c r="A22" s="12"/>
      <c r="B22" s="511"/>
      <c r="C22" s="508"/>
      <c r="D22" s="509"/>
      <c r="E22" s="509"/>
      <c r="F22" s="509"/>
      <c r="G22" s="509"/>
      <c r="H22" s="509"/>
      <c r="I22" s="509"/>
      <c r="J22" s="509"/>
      <c r="K22" s="509"/>
      <c r="L22" s="509"/>
      <c r="M22" s="509"/>
      <c r="N22" s="509"/>
      <c r="O22" s="509"/>
      <c r="P22" s="509"/>
      <c r="Q22" s="509"/>
      <c r="R22" s="509"/>
      <c r="S22" s="509"/>
      <c r="T22" s="509"/>
      <c r="U22" s="509"/>
      <c r="V22" s="509"/>
      <c r="W22" s="509"/>
      <c r="X22" s="108"/>
      <c r="Y22" s="10"/>
      <c r="Z22" s="10"/>
      <c r="AA22" s="10"/>
      <c r="AB22" s="10"/>
      <c r="AC22" s="10"/>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row>
    <row r="23" spans="1:76" ht="15" customHeight="1">
      <c r="A23" s="12"/>
      <c r="B23" s="511"/>
      <c r="C23" s="512" t="s">
        <v>26</v>
      </c>
      <c r="D23" s="509"/>
      <c r="E23" s="510"/>
      <c r="F23" s="509"/>
      <c r="G23" s="509"/>
      <c r="H23" s="509"/>
      <c r="I23" s="509"/>
      <c r="J23" s="509"/>
      <c r="K23" s="509"/>
      <c r="L23" s="509"/>
      <c r="M23" s="509"/>
      <c r="N23" s="509"/>
      <c r="O23" s="509"/>
      <c r="P23" s="509"/>
      <c r="Q23" s="509"/>
      <c r="R23" s="509"/>
      <c r="S23" s="509"/>
      <c r="T23" s="509"/>
      <c r="U23" s="509"/>
      <c r="V23" s="509"/>
      <c r="W23" s="509"/>
      <c r="X23" s="108"/>
      <c r="Y23" s="10"/>
      <c r="Z23" s="10"/>
      <c r="AA23" s="10"/>
      <c r="AB23" s="10"/>
      <c r="AC23" s="10"/>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row>
    <row r="24" spans="1:76" ht="15" customHeight="1">
      <c r="A24" s="12"/>
      <c r="B24" s="511"/>
      <c r="C24" s="448" t="s">
        <v>189</v>
      </c>
      <c r="D24" s="447" t="s">
        <v>131</v>
      </c>
      <c r="E24" s="89"/>
      <c r="F24" s="510"/>
      <c r="G24" s="89"/>
      <c r="H24" s="503"/>
      <c r="I24" s="89"/>
      <c r="J24" s="504"/>
      <c r="K24" s="89"/>
      <c r="L24" s="505"/>
      <c r="M24" s="89"/>
      <c r="N24" s="504"/>
      <c r="O24" s="89"/>
      <c r="P24" s="505"/>
      <c r="Q24" s="89"/>
      <c r="R24" s="504"/>
      <c r="S24" s="89"/>
      <c r="T24" s="506"/>
      <c r="U24" s="89"/>
      <c r="V24" s="506"/>
      <c r="W24" s="89"/>
      <c r="X24" s="108"/>
      <c r="Y24" s="10"/>
      <c r="Z24" s="10"/>
      <c r="AA24" s="10"/>
      <c r="AB24" s="10"/>
      <c r="AC24" s="10"/>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row>
    <row r="25" spans="1:76" ht="15" customHeight="1">
      <c r="A25" s="12"/>
      <c r="B25" s="111"/>
      <c r="C25" s="112"/>
      <c r="D25" s="120"/>
      <c r="E25" s="113"/>
      <c r="F25" s="114"/>
      <c r="G25" s="113"/>
      <c r="H25" s="114"/>
      <c r="I25" s="113"/>
      <c r="J25" s="114"/>
      <c r="K25" s="113"/>
      <c r="L25" s="114"/>
      <c r="M25" s="113"/>
      <c r="N25" s="114"/>
      <c r="O25" s="113"/>
      <c r="P25" s="114"/>
      <c r="Q25" s="113"/>
      <c r="R25" s="114"/>
      <c r="S25" s="113"/>
      <c r="T25" s="113"/>
      <c r="U25" s="113"/>
      <c r="V25" s="113"/>
      <c r="W25" s="113"/>
      <c r="X25" s="115"/>
      <c r="Y25" s="10"/>
      <c r="Z25" s="10"/>
      <c r="AA25" s="10"/>
      <c r="AB25" s="10"/>
      <c r="AC25" s="10"/>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row>
    <row r="26" spans="1:76" ht="15" customHeight="1">
      <c r="A26" s="12"/>
      <c r="B26" s="20"/>
      <c r="C26" s="21"/>
      <c r="D26" s="20"/>
      <c r="E26" s="12"/>
      <c r="F26" s="12"/>
      <c r="G26" s="12"/>
      <c r="H26" s="12"/>
      <c r="I26" s="12"/>
      <c r="J26" s="12"/>
      <c r="K26" s="12"/>
      <c r="L26" s="12"/>
      <c r="M26" s="12"/>
      <c r="N26" s="12"/>
      <c r="O26" s="12"/>
      <c r="P26" s="12"/>
      <c r="Q26" s="12"/>
      <c r="R26" s="12"/>
      <c r="S26" s="12"/>
      <c r="T26" s="12"/>
      <c r="U26" s="12"/>
      <c r="V26" s="12"/>
      <c r="W26" s="12"/>
      <c r="X26" s="12"/>
      <c r="Y26" s="10"/>
      <c r="Z26" s="10"/>
      <c r="AA26" s="10"/>
      <c r="AB26" s="10"/>
      <c r="AC26" s="10"/>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row>
    <row r="27" spans="1:76" ht="15" customHeight="1">
      <c r="A27" s="12"/>
      <c r="B27" s="169"/>
      <c r="C27" s="170"/>
      <c r="D27" s="171"/>
      <c r="E27" s="172"/>
      <c r="F27" s="172"/>
      <c r="G27" s="172"/>
      <c r="H27" s="172"/>
      <c r="I27" s="172"/>
      <c r="J27" s="173"/>
      <c r="K27" s="172"/>
      <c r="L27" s="170"/>
      <c r="M27" s="172"/>
      <c r="N27" s="173"/>
      <c r="O27" s="172"/>
      <c r="P27" s="170"/>
      <c r="Q27" s="172"/>
      <c r="R27" s="173"/>
      <c r="S27" s="172"/>
      <c r="T27" s="172"/>
      <c r="U27" s="172"/>
      <c r="V27" s="172"/>
      <c r="W27" s="172"/>
      <c r="X27" s="174"/>
      <c r="Y27" s="10"/>
      <c r="Z27" s="10"/>
      <c r="AA27" s="10"/>
      <c r="AB27" s="10"/>
      <c r="AC27" s="10"/>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row>
    <row r="28" spans="1:76" ht="25.15" customHeight="1">
      <c r="A28" s="12"/>
      <c r="B28" s="175" t="s">
        <v>221</v>
      </c>
      <c r="C28" s="176"/>
      <c r="D28" s="176"/>
      <c r="E28" s="177"/>
      <c r="F28" s="177"/>
      <c r="G28" s="177"/>
      <c r="H28" s="177"/>
      <c r="I28" s="177"/>
      <c r="J28" s="178"/>
      <c r="K28" s="177"/>
      <c r="L28" s="179"/>
      <c r="M28" s="177"/>
      <c r="N28" s="178"/>
      <c r="O28" s="177"/>
      <c r="P28" s="179"/>
      <c r="Q28" s="177"/>
      <c r="R28" s="178"/>
      <c r="S28" s="177"/>
      <c r="T28" s="177"/>
      <c r="U28" s="177"/>
      <c r="V28" s="177"/>
      <c r="W28" s="177"/>
      <c r="X28" s="180"/>
      <c r="Y28" s="10"/>
      <c r="Z28" s="10"/>
      <c r="AA28" s="10"/>
      <c r="AB28" s="10"/>
      <c r="AC28" s="10"/>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row>
    <row r="29" spans="1:76" ht="15" customHeight="1">
      <c r="A29" s="12"/>
      <c r="B29" s="175"/>
      <c r="C29" s="181" t="s">
        <v>36</v>
      </c>
      <c r="D29" s="176"/>
      <c r="E29" s="182" t="s">
        <v>37</v>
      </c>
      <c r="F29" s="177"/>
      <c r="G29" s="183" t="str">
        <f>$E$29</f>
        <v>Ja</v>
      </c>
      <c r="H29" s="177"/>
      <c r="I29" s="183" t="str">
        <f>$E$29</f>
        <v>Ja</v>
      </c>
      <c r="J29" s="178"/>
      <c r="K29" s="183" t="str">
        <f>$E$29</f>
        <v>Ja</v>
      </c>
      <c r="L29" s="179"/>
      <c r="M29" s="183" t="str">
        <f>$E$29</f>
        <v>Ja</v>
      </c>
      <c r="N29" s="178"/>
      <c r="O29" s="183" t="str">
        <f>$E$29</f>
        <v>Ja</v>
      </c>
      <c r="P29" s="179"/>
      <c r="Q29" s="183" t="str">
        <f>$E$29</f>
        <v>Ja</v>
      </c>
      <c r="R29" s="178"/>
      <c r="S29" s="183" t="str">
        <f>$E$29</f>
        <v>Ja</v>
      </c>
      <c r="T29" s="177"/>
      <c r="U29" s="183" t="str">
        <f>$E$29</f>
        <v>Ja</v>
      </c>
      <c r="V29" s="177"/>
      <c r="W29" s="183" t="str">
        <f>$E$29</f>
        <v>Ja</v>
      </c>
      <c r="X29" s="180"/>
      <c r="Y29" s="10"/>
      <c r="Z29" s="10"/>
      <c r="AA29" s="10"/>
      <c r="AB29" s="10"/>
      <c r="AC29" s="10"/>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row>
    <row r="30" spans="1:76" ht="15" customHeight="1">
      <c r="A30" s="12"/>
      <c r="B30" s="175"/>
      <c r="C30" s="184"/>
      <c r="D30" s="176"/>
      <c r="E30" s="177"/>
      <c r="F30" s="177"/>
      <c r="G30" s="177"/>
      <c r="H30" s="177"/>
      <c r="I30" s="177"/>
      <c r="J30" s="178"/>
      <c r="K30" s="177"/>
      <c r="L30" s="179"/>
      <c r="M30" s="177"/>
      <c r="N30" s="178"/>
      <c r="O30" s="177"/>
      <c r="P30" s="179"/>
      <c r="Q30" s="177"/>
      <c r="R30" s="178"/>
      <c r="S30" s="177"/>
      <c r="T30" s="177"/>
      <c r="U30" s="177"/>
      <c r="V30" s="177"/>
      <c r="W30" s="177"/>
      <c r="X30" s="180"/>
      <c r="Y30" s="10"/>
      <c r="Z30" s="10"/>
      <c r="AA30" s="10"/>
      <c r="AB30" s="10"/>
      <c r="AC30" s="10"/>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row>
    <row r="31" spans="1:76" ht="15" customHeight="1">
      <c r="A31" s="12"/>
      <c r="B31" s="175"/>
      <c r="C31" s="185" t="s">
        <v>222</v>
      </c>
      <c r="D31" s="186" t="s">
        <v>38</v>
      </c>
      <c r="E31" s="182" t="s">
        <v>37</v>
      </c>
      <c r="F31" s="177"/>
      <c r="G31" s="183" t="str">
        <f>$E31</f>
        <v>Ja</v>
      </c>
      <c r="H31" s="177"/>
      <c r="I31" s="183" t="str">
        <f>$E31</f>
        <v>Ja</v>
      </c>
      <c r="J31" s="178"/>
      <c r="K31" s="183" t="str">
        <f>$E31</f>
        <v>Ja</v>
      </c>
      <c r="L31" s="179"/>
      <c r="M31" s="183" t="str">
        <f>$E31</f>
        <v>Ja</v>
      </c>
      <c r="N31" s="178"/>
      <c r="O31" s="183" t="str">
        <f>$E31</f>
        <v>Ja</v>
      </c>
      <c r="P31" s="179"/>
      <c r="Q31" s="183" t="str">
        <f>$E31</f>
        <v>Ja</v>
      </c>
      <c r="R31" s="178"/>
      <c r="S31" s="183" t="str">
        <f>$E31</f>
        <v>Ja</v>
      </c>
      <c r="T31" s="177"/>
      <c r="U31" s="183" t="str">
        <f>$E31</f>
        <v>Ja</v>
      </c>
      <c r="V31" s="177"/>
      <c r="W31" s="183" t="str">
        <f>$E31</f>
        <v>Ja</v>
      </c>
      <c r="X31" s="180"/>
      <c r="Y31" s="10"/>
      <c r="Z31" s="10"/>
      <c r="AA31" s="10"/>
      <c r="AB31" s="10"/>
      <c r="AC31" s="10"/>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row>
    <row r="32" spans="1:76" ht="15" customHeight="1">
      <c r="A32" s="12"/>
      <c r="B32" s="187"/>
      <c r="C32" s="188" t="s">
        <v>223</v>
      </c>
      <c r="D32" s="186" t="s">
        <v>39</v>
      </c>
      <c r="E32" s="456">
        <f>VLOOKUP(E54,Fremskrivninger!$A$9:$L$38,12)</f>
        <v>8.8999999999999996E-2</v>
      </c>
      <c r="F32" s="451"/>
      <c r="G32" s="183">
        <f>$E32</f>
        <v>8.8999999999999996E-2</v>
      </c>
      <c r="H32" s="451"/>
      <c r="I32" s="183">
        <f>$E32</f>
        <v>8.8999999999999996E-2</v>
      </c>
      <c r="J32" s="454"/>
      <c r="K32" s="183">
        <f>$E32</f>
        <v>8.8999999999999996E-2</v>
      </c>
      <c r="L32" s="455"/>
      <c r="M32" s="183">
        <f>$E32</f>
        <v>8.8999999999999996E-2</v>
      </c>
      <c r="N32" s="454"/>
      <c r="O32" s="183">
        <f>$E32</f>
        <v>8.8999999999999996E-2</v>
      </c>
      <c r="P32" s="455"/>
      <c r="Q32" s="183">
        <f>$E32</f>
        <v>8.8999999999999996E-2</v>
      </c>
      <c r="R32" s="454"/>
      <c r="S32" s="183">
        <f>$E32</f>
        <v>8.8999999999999996E-2</v>
      </c>
      <c r="T32" s="451"/>
      <c r="U32" s="183">
        <f>$E32</f>
        <v>8.8999999999999996E-2</v>
      </c>
      <c r="V32" s="451"/>
      <c r="W32" s="183">
        <f>$E32</f>
        <v>8.8999999999999996E-2</v>
      </c>
      <c r="X32" s="180"/>
      <c r="Y32" s="10"/>
      <c r="Z32" s="10"/>
      <c r="AA32" s="10"/>
      <c r="AB32" s="10"/>
      <c r="AC32" s="10"/>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row>
    <row r="33" spans="1:76" ht="15" customHeight="1">
      <c r="A33" s="12"/>
      <c r="B33" s="187"/>
      <c r="C33" s="188" t="s">
        <v>224</v>
      </c>
      <c r="D33" s="186" t="s">
        <v>39</v>
      </c>
      <c r="E33" s="450"/>
      <c r="F33" s="451"/>
      <c r="G33" s="452">
        <f>$E33</f>
        <v>0</v>
      </c>
      <c r="H33" s="451"/>
      <c r="I33" s="452">
        <f>$E33</f>
        <v>0</v>
      </c>
      <c r="J33" s="454"/>
      <c r="K33" s="452">
        <f>$E33</f>
        <v>0</v>
      </c>
      <c r="L33" s="455"/>
      <c r="M33" s="452">
        <f>$E33</f>
        <v>0</v>
      </c>
      <c r="N33" s="454"/>
      <c r="O33" s="452">
        <f>$E33</f>
        <v>0</v>
      </c>
      <c r="P33" s="455"/>
      <c r="Q33" s="452">
        <f>$E33</f>
        <v>0</v>
      </c>
      <c r="R33" s="454"/>
      <c r="S33" s="452">
        <f>$E33</f>
        <v>0</v>
      </c>
      <c r="T33" s="451"/>
      <c r="U33" s="452">
        <f>$E33</f>
        <v>0</v>
      </c>
      <c r="V33" s="451"/>
      <c r="W33" s="452">
        <f>$E33</f>
        <v>0</v>
      </c>
      <c r="X33" s="180"/>
      <c r="Y33" s="10"/>
      <c r="Z33" s="10"/>
      <c r="AA33" s="10"/>
      <c r="AB33" s="10"/>
      <c r="AC33" s="10"/>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row>
    <row r="34" spans="1:76" ht="15" customHeight="1">
      <c r="A34" s="12"/>
      <c r="B34" s="187"/>
      <c r="C34" s="188"/>
      <c r="D34" s="186"/>
      <c r="E34" s="186"/>
      <c r="F34" s="186"/>
      <c r="G34" s="186"/>
      <c r="H34" s="186"/>
      <c r="I34" s="186"/>
      <c r="J34" s="186"/>
      <c r="K34" s="186"/>
      <c r="L34" s="186"/>
      <c r="M34" s="186"/>
      <c r="N34" s="186"/>
      <c r="O34" s="186"/>
      <c r="P34" s="186"/>
      <c r="Q34" s="186"/>
      <c r="R34" s="186"/>
      <c r="S34" s="186"/>
      <c r="T34" s="177"/>
      <c r="U34" s="186"/>
      <c r="V34" s="177"/>
      <c r="W34" s="186"/>
      <c r="X34" s="180"/>
      <c r="Y34" s="10"/>
      <c r="Z34" s="10"/>
      <c r="AA34" s="10"/>
      <c r="AB34" s="10"/>
      <c r="AC34" s="10"/>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row>
    <row r="35" spans="1:76" ht="15" customHeight="1">
      <c r="A35" s="12"/>
      <c r="B35" s="187"/>
      <c r="C35" s="185" t="s">
        <v>144</v>
      </c>
      <c r="D35" s="186" t="s">
        <v>38</v>
      </c>
      <c r="E35" s="182" t="s">
        <v>37</v>
      </c>
      <c r="F35" s="189"/>
      <c r="G35" s="183" t="str">
        <f>$E$35</f>
        <v>Ja</v>
      </c>
      <c r="H35" s="176"/>
      <c r="I35" s="183" t="str">
        <f>$E$35</f>
        <v>Ja</v>
      </c>
      <c r="J35" s="190"/>
      <c r="K35" s="183" t="str">
        <f>$E$35</f>
        <v>Ja</v>
      </c>
      <c r="L35" s="191"/>
      <c r="M35" s="183" t="str">
        <f>$E$35</f>
        <v>Ja</v>
      </c>
      <c r="N35" s="190"/>
      <c r="O35" s="183" t="str">
        <f>$E$35</f>
        <v>Ja</v>
      </c>
      <c r="P35" s="191"/>
      <c r="Q35" s="183" t="str">
        <f>$E$35</f>
        <v>Ja</v>
      </c>
      <c r="R35" s="190"/>
      <c r="S35" s="183" t="str">
        <f>$E$35</f>
        <v>Ja</v>
      </c>
      <c r="T35" s="177"/>
      <c r="U35" s="183" t="str">
        <f>$E$35</f>
        <v>Ja</v>
      </c>
      <c r="V35" s="177"/>
      <c r="W35" s="183" t="str">
        <f>$E$35</f>
        <v>Ja</v>
      </c>
      <c r="X35" s="180"/>
      <c r="Y35" s="10"/>
      <c r="Z35" s="10"/>
      <c r="AA35" s="10"/>
      <c r="AB35" s="10"/>
      <c r="AC35" s="10"/>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row>
    <row r="36" spans="1:76" ht="15" customHeight="1">
      <c r="A36" s="12"/>
      <c r="B36" s="187"/>
      <c r="C36" s="188" t="s">
        <v>145</v>
      </c>
      <c r="D36" s="186" t="s">
        <v>147</v>
      </c>
      <c r="E36" s="456">
        <f>VLOOKUP($E$54,Fremskrivninger!$A$48:$H$77,8)</f>
        <v>2.52</v>
      </c>
      <c r="F36" s="451"/>
      <c r="G36" s="183">
        <f>$E$36</f>
        <v>2.52</v>
      </c>
      <c r="H36" s="453"/>
      <c r="I36" s="183">
        <f>$E$36</f>
        <v>2.52</v>
      </c>
      <c r="J36" s="454"/>
      <c r="K36" s="183">
        <f>$E$36</f>
        <v>2.52</v>
      </c>
      <c r="L36" s="455"/>
      <c r="M36" s="183">
        <f>$E$36</f>
        <v>2.52</v>
      </c>
      <c r="N36" s="454"/>
      <c r="O36" s="183">
        <f>$E$36</f>
        <v>2.52</v>
      </c>
      <c r="P36" s="455"/>
      <c r="Q36" s="183">
        <f>$E$36</f>
        <v>2.52</v>
      </c>
      <c r="R36" s="454"/>
      <c r="S36" s="183">
        <f>$E$36</f>
        <v>2.52</v>
      </c>
      <c r="T36" s="451"/>
      <c r="U36" s="183">
        <f>$E$36</f>
        <v>2.52</v>
      </c>
      <c r="V36" s="451"/>
      <c r="W36" s="183">
        <f>$E$36</f>
        <v>2.52</v>
      </c>
      <c r="X36" s="180"/>
      <c r="Y36" s="10"/>
      <c r="Z36" s="10"/>
      <c r="AA36" s="10"/>
      <c r="AB36" s="10"/>
      <c r="AC36" s="10"/>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row>
    <row r="37" spans="1:76" ht="15" customHeight="1">
      <c r="A37" s="12"/>
      <c r="B37" s="187"/>
      <c r="C37" s="188" t="s">
        <v>146</v>
      </c>
      <c r="D37" s="186" t="s">
        <v>147</v>
      </c>
      <c r="E37" s="456">
        <f>VLOOKUP($E$54,Fremskrivninger!$A$92:$H$121,8)</f>
        <v>2.98</v>
      </c>
      <c r="F37" s="451"/>
      <c r="G37" s="183">
        <f>$E$37</f>
        <v>2.98</v>
      </c>
      <c r="H37" s="453"/>
      <c r="I37" s="183">
        <f>$E$37</f>
        <v>2.98</v>
      </c>
      <c r="J37" s="454"/>
      <c r="K37" s="183">
        <f>$E$37</f>
        <v>2.98</v>
      </c>
      <c r="L37" s="455"/>
      <c r="M37" s="183">
        <f>$E$37</f>
        <v>2.98</v>
      </c>
      <c r="N37" s="454"/>
      <c r="O37" s="183">
        <f>$E$37</f>
        <v>2.98</v>
      </c>
      <c r="P37" s="455"/>
      <c r="Q37" s="183">
        <f>$E$37</f>
        <v>2.98</v>
      </c>
      <c r="R37" s="454"/>
      <c r="S37" s="183">
        <f>$E$37</f>
        <v>2.98</v>
      </c>
      <c r="T37" s="451"/>
      <c r="U37" s="183">
        <f>$E$37</f>
        <v>2.98</v>
      </c>
      <c r="V37" s="451"/>
      <c r="W37" s="183">
        <f>$E$37</f>
        <v>2.98</v>
      </c>
      <c r="X37" s="180"/>
      <c r="Y37" s="10"/>
      <c r="Z37" s="10"/>
      <c r="AA37" s="10"/>
      <c r="AB37" s="10"/>
      <c r="AC37" s="10"/>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row>
    <row r="38" spans="1:76" ht="15" customHeight="1">
      <c r="A38" s="12"/>
      <c r="B38" s="187"/>
      <c r="C38" s="188" t="s">
        <v>228</v>
      </c>
      <c r="D38" s="186" t="s">
        <v>147</v>
      </c>
      <c r="E38" s="450"/>
      <c r="F38" s="451"/>
      <c r="G38" s="452">
        <f>$E$38</f>
        <v>0</v>
      </c>
      <c r="H38" s="453"/>
      <c r="I38" s="452">
        <f>$E$38</f>
        <v>0</v>
      </c>
      <c r="J38" s="454"/>
      <c r="K38" s="452">
        <f>$E$38</f>
        <v>0</v>
      </c>
      <c r="L38" s="455"/>
      <c r="M38" s="452">
        <f>$E$38</f>
        <v>0</v>
      </c>
      <c r="N38" s="454"/>
      <c r="O38" s="452">
        <f>$E$38</f>
        <v>0</v>
      </c>
      <c r="P38" s="455"/>
      <c r="Q38" s="452">
        <f>$E$38</f>
        <v>0</v>
      </c>
      <c r="R38" s="454"/>
      <c r="S38" s="452">
        <f>$E$38</f>
        <v>0</v>
      </c>
      <c r="T38" s="451"/>
      <c r="U38" s="452">
        <f>$E$38</f>
        <v>0</v>
      </c>
      <c r="V38" s="451"/>
      <c r="W38" s="452">
        <f>$E$38</f>
        <v>0</v>
      </c>
      <c r="X38" s="180"/>
      <c r="Y38" s="10"/>
      <c r="Z38" s="10"/>
      <c r="AA38" s="10"/>
      <c r="AB38" s="10"/>
      <c r="AC38" s="10"/>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row>
    <row r="39" spans="1:76" ht="15" customHeight="1">
      <c r="A39" s="12"/>
      <c r="B39" s="187"/>
      <c r="C39" s="188" t="s">
        <v>142</v>
      </c>
      <c r="D39" s="186" t="s">
        <v>147</v>
      </c>
      <c r="E39" s="450"/>
      <c r="F39" s="451"/>
      <c r="G39" s="452">
        <f>$E$38</f>
        <v>0</v>
      </c>
      <c r="H39" s="453"/>
      <c r="I39" s="452">
        <f>$E$38</f>
        <v>0</v>
      </c>
      <c r="J39" s="454"/>
      <c r="K39" s="452">
        <f>$E$38</f>
        <v>0</v>
      </c>
      <c r="L39" s="455"/>
      <c r="M39" s="452">
        <f>$E$38</f>
        <v>0</v>
      </c>
      <c r="N39" s="454"/>
      <c r="O39" s="452">
        <f>$E$38</f>
        <v>0</v>
      </c>
      <c r="P39" s="455"/>
      <c r="Q39" s="452">
        <f>$E$38</f>
        <v>0</v>
      </c>
      <c r="R39" s="454"/>
      <c r="S39" s="452">
        <f>$E$38</f>
        <v>0</v>
      </c>
      <c r="T39" s="451"/>
      <c r="U39" s="452">
        <f>$E$38</f>
        <v>0</v>
      </c>
      <c r="V39" s="451"/>
      <c r="W39" s="452">
        <f>$E$38</f>
        <v>0</v>
      </c>
      <c r="X39" s="180"/>
      <c r="Y39" s="10"/>
      <c r="Z39" s="10"/>
      <c r="AA39" s="10"/>
      <c r="AB39" s="10"/>
      <c r="AC39" s="10"/>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row>
    <row r="40" spans="1:76" ht="15" customHeight="1">
      <c r="A40" s="12"/>
      <c r="B40" s="187"/>
      <c r="C40" s="186"/>
      <c r="D40" s="186"/>
      <c r="E40" s="176"/>
      <c r="F40" s="192"/>
      <c r="G40" s="176"/>
      <c r="H40" s="176"/>
      <c r="I40" s="193"/>
      <c r="J40" s="193"/>
      <c r="K40" s="193"/>
      <c r="L40" s="193"/>
      <c r="M40" s="193"/>
      <c r="N40" s="193"/>
      <c r="O40" s="193"/>
      <c r="P40" s="193"/>
      <c r="Q40" s="193"/>
      <c r="R40" s="193"/>
      <c r="S40" s="193"/>
      <c r="T40" s="177"/>
      <c r="U40" s="193"/>
      <c r="V40" s="177"/>
      <c r="W40" s="193"/>
      <c r="X40" s="180"/>
      <c r="Y40" s="10"/>
      <c r="Z40" s="10"/>
      <c r="AA40" s="10"/>
      <c r="AB40" s="10"/>
      <c r="AC40" s="10"/>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row>
    <row r="41" spans="1:76" ht="15" customHeight="1">
      <c r="A41" s="12"/>
      <c r="B41" s="187"/>
      <c r="C41" s="194" t="s">
        <v>74</v>
      </c>
      <c r="D41" s="176"/>
      <c r="E41" s="182" t="s">
        <v>37</v>
      </c>
      <c r="F41" s="177"/>
      <c r="G41" s="183" t="str">
        <f>$E$41</f>
        <v>Ja</v>
      </c>
      <c r="H41" s="177"/>
      <c r="I41" s="183" t="str">
        <f>$E$41</f>
        <v>Ja</v>
      </c>
      <c r="J41" s="178"/>
      <c r="K41" s="183" t="str">
        <f>$E$41</f>
        <v>Ja</v>
      </c>
      <c r="L41" s="179"/>
      <c r="M41" s="183" t="str">
        <f>$E$41</f>
        <v>Ja</v>
      </c>
      <c r="N41" s="178"/>
      <c r="O41" s="183" t="str">
        <f>$E$41</f>
        <v>Ja</v>
      </c>
      <c r="P41" s="179"/>
      <c r="Q41" s="183" t="str">
        <f>$E$41</f>
        <v>Ja</v>
      </c>
      <c r="R41" s="178"/>
      <c r="S41" s="183" t="str">
        <f>$E$41</f>
        <v>Ja</v>
      </c>
      <c r="T41" s="177"/>
      <c r="U41" s="183" t="str">
        <f>$E$41</f>
        <v>Ja</v>
      </c>
      <c r="V41" s="177"/>
      <c r="W41" s="183" t="str">
        <f>$E$41</f>
        <v>Ja</v>
      </c>
      <c r="X41" s="180"/>
      <c r="Y41" s="10"/>
      <c r="Z41" s="10"/>
      <c r="AA41" s="10"/>
      <c r="AB41" s="10"/>
      <c r="AC41" s="10"/>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row>
    <row r="42" spans="1:76" ht="15" customHeight="1">
      <c r="A42" s="12"/>
      <c r="B42" s="187"/>
      <c r="C42" s="186" t="s">
        <v>219</v>
      </c>
      <c r="D42" s="186" t="s">
        <v>40</v>
      </c>
      <c r="E42" s="195">
        <v>1500</v>
      </c>
      <c r="F42" s="196"/>
      <c r="G42" s="197">
        <f>$E$42</f>
        <v>1500</v>
      </c>
      <c r="H42" s="196"/>
      <c r="I42" s="197">
        <f>$E$42</f>
        <v>1500</v>
      </c>
      <c r="J42" s="198"/>
      <c r="K42" s="197">
        <f>$E$42</f>
        <v>1500</v>
      </c>
      <c r="L42" s="199"/>
      <c r="M42" s="197">
        <f>$E$42</f>
        <v>1500</v>
      </c>
      <c r="N42" s="198"/>
      <c r="O42" s="197">
        <f>$E$42</f>
        <v>1500</v>
      </c>
      <c r="P42" s="199"/>
      <c r="Q42" s="197">
        <f>$E$42</f>
        <v>1500</v>
      </c>
      <c r="R42" s="198"/>
      <c r="S42" s="197">
        <f>$E$42</f>
        <v>1500</v>
      </c>
      <c r="T42" s="177"/>
      <c r="U42" s="197">
        <f>$E$42</f>
        <v>1500</v>
      </c>
      <c r="V42" s="177"/>
      <c r="W42" s="197">
        <f>$E$42</f>
        <v>1500</v>
      </c>
      <c r="X42" s="180"/>
      <c r="Y42" s="10"/>
      <c r="Z42" s="10"/>
      <c r="AA42" s="10"/>
      <c r="AB42" s="10"/>
      <c r="AC42" s="10"/>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row>
    <row r="43" spans="1:76" ht="15" customHeight="1">
      <c r="A43" s="12"/>
      <c r="B43" s="187"/>
      <c r="C43" s="186" t="s">
        <v>220</v>
      </c>
      <c r="D43" s="186" t="s">
        <v>40</v>
      </c>
      <c r="E43" s="195"/>
      <c r="F43" s="196"/>
      <c r="G43" s="197">
        <f>$E$43</f>
        <v>0</v>
      </c>
      <c r="H43" s="196"/>
      <c r="I43" s="197">
        <f>$E$43</f>
        <v>0</v>
      </c>
      <c r="J43" s="198"/>
      <c r="K43" s="197">
        <f>$E$43</f>
        <v>0</v>
      </c>
      <c r="L43" s="199"/>
      <c r="M43" s="197">
        <f>$E$43</f>
        <v>0</v>
      </c>
      <c r="N43" s="198"/>
      <c r="O43" s="197">
        <f>$E$43</f>
        <v>0</v>
      </c>
      <c r="P43" s="199"/>
      <c r="Q43" s="197">
        <f>$E$43</f>
        <v>0</v>
      </c>
      <c r="R43" s="198"/>
      <c r="S43" s="197">
        <f>$E$43</f>
        <v>0</v>
      </c>
      <c r="T43" s="177"/>
      <c r="U43" s="197">
        <f>$E$43</f>
        <v>0</v>
      </c>
      <c r="V43" s="177"/>
      <c r="W43" s="197">
        <f>$E$43</f>
        <v>0</v>
      </c>
      <c r="X43" s="180"/>
      <c r="Y43" s="10"/>
      <c r="Z43" s="10"/>
      <c r="AA43" s="10"/>
      <c r="AB43" s="10"/>
      <c r="AC43" s="10"/>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row>
    <row r="44" spans="1:76" ht="15" customHeight="1">
      <c r="A44" s="12"/>
      <c r="B44" s="200"/>
      <c r="C44" s="201"/>
      <c r="D44" s="202"/>
      <c r="E44" s="203"/>
      <c r="F44" s="203"/>
      <c r="G44" s="203"/>
      <c r="H44" s="203"/>
      <c r="I44" s="203"/>
      <c r="J44" s="204"/>
      <c r="K44" s="203"/>
      <c r="L44" s="205"/>
      <c r="M44" s="203"/>
      <c r="N44" s="204"/>
      <c r="O44" s="203"/>
      <c r="P44" s="205"/>
      <c r="Q44" s="203"/>
      <c r="R44" s="204"/>
      <c r="S44" s="203"/>
      <c r="T44" s="203"/>
      <c r="U44" s="203"/>
      <c r="V44" s="203"/>
      <c r="W44" s="203"/>
      <c r="X44" s="206"/>
      <c r="Y44" s="10"/>
      <c r="Z44" s="10"/>
      <c r="AA44" s="10"/>
      <c r="AB44" s="10"/>
      <c r="AC44" s="10"/>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row>
    <row r="45" spans="1:76" ht="15" customHeight="1">
      <c r="A45" s="12"/>
      <c r="B45" s="20"/>
      <c r="C45" s="21"/>
      <c r="D45" s="20"/>
      <c r="E45" s="12"/>
      <c r="F45" s="12"/>
      <c r="G45" s="12"/>
      <c r="H45" s="12"/>
      <c r="I45" s="12"/>
      <c r="J45" s="12"/>
      <c r="K45" s="12"/>
      <c r="L45" s="12"/>
      <c r="M45" s="12"/>
      <c r="N45" s="12"/>
      <c r="O45" s="12"/>
      <c r="P45" s="12"/>
      <c r="Q45" s="12"/>
      <c r="R45" s="12"/>
      <c r="S45" s="12"/>
      <c r="T45" s="12"/>
      <c r="U45" s="12"/>
      <c r="V45" s="12"/>
      <c r="W45" s="12"/>
      <c r="X45" s="12"/>
      <c r="Y45" s="10"/>
      <c r="Z45" s="10"/>
      <c r="AA45" s="10"/>
      <c r="AB45" s="10"/>
      <c r="AC45" s="10"/>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row>
    <row r="46" spans="1:76" ht="15" customHeight="1">
      <c r="A46" s="12"/>
      <c r="B46" s="544" t="s">
        <v>3</v>
      </c>
      <c r="C46" s="545"/>
      <c r="D46" s="545"/>
      <c r="E46" s="22"/>
      <c r="F46" s="22"/>
      <c r="G46" s="22"/>
      <c r="H46" s="22"/>
      <c r="I46" s="22"/>
      <c r="J46" s="22"/>
      <c r="K46" s="22"/>
      <c r="L46" s="22"/>
      <c r="M46" s="22"/>
      <c r="N46" s="22"/>
      <c r="O46" s="22"/>
      <c r="P46" s="22"/>
      <c r="Q46" s="22"/>
      <c r="R46" s="22"/>
      <c r="S46" s="22"/>
      <c r="T46" s="22"/>
      <c r="U46" s="22"/>
      <c r="V46" s="22"/>
      <c r="W46" s="22"/>
      <c r="X46" s="23"/>
      <c r="Y46" s="10"/>
      <c r="Z46" s="10"/>
      <c r="AA46" s="10"/>
      <c r="AB46" s="10"/>
      <c r="AC46" s="10"/>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row>
    <row r="47" spans="1:76" ht="25.15" customHeight="1">
      <c r="A47" s="12"/>
      <c r="B47" s="91" t="s">
        <v>22</v>
      </c>
      <c r="C47" s="119"/>
      <c r="D47" s="25"/>
      <c r="E47" s="26"/>
      <c r="F47" s="26"/>
      <c r="G47" s="26"/>
      <c r="H47" s="26"/>
      <c r="I47" s="26"/>
      <c r="J47" s="26"/>
      <c r="K47" s="26"/>
      <c r="L47" s="26"/>
      <c r="M47" s="26"/>
      <c r="N47" s="26"/>
      <c r="O47" s="26"/>
      <c r="P47" s="26"/>
      <c r="Q47" s="26"/>
      <c r="R47" s="26"/>
      <c r="S47" s="26"/>
      <c r="T47" s="26"/>
      <c r="U47" s="26"/>
      <c r="V47" s="26"/>
      <c r="W47" s="26"/>
      <c r="X47" s="27"/>
      <c r="Y47" s="10"/>
      <c r="Z47" s="10"/>
      <c r="AA47" s="10"/>
      <c r="AB47" s="10"/>
      <c r="AC47" s="10"/>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row>
    <row r="48" spans="1:76" ht="15" customHeight="1">
      <c r="A48" s="12"/>
      <c r="B48" s="24"/>
      <c r="C48" s="28" t="s">
        <v>75</v>
      </c>
      <c r="D48" s="28" t="s">
        <v>15</v>
      </c>
      <c r="E48" s="89"/>
      <c r="F48" s="29"/>
      <c r="G48" s="289">
        <f>$E$48</f>
        <v>0</v>
      </c>
      <c r="H48" s="29"/>
      <c r="I48" s="289">
        <f>$E$48</f>
        <v>0</v>
      </c>
      <c r="J48" s="29"/>
      <c r="K48" s="289">
        <f>$E$48</f>
        <v>0</v>
      </c>
      <c r="L48" s="29"/>
      <c r="M48" s="289">
        <f>$E$48</f>
        <v>0</v>
      </c>
      <c r="N48" s="29"/>
      <c r="O48" s="289">
        <f>$E$48</f>
        <v>0</v>
      </c>
      <c r="P48" s="29"/>
      <c r="Q48" s="289">
        <f>$E$48</f>
        <v>0</v>
      </c>
      <c r="R48" s="29"/>
      <c r="S48" s="289">
        <f>$E$48</f>
        <v>0</v>
      </c>
      <c r="T48" s="26"/>
      <c r="U48" s="289">
        <f>$E$48</f>
        <v>0</v>
      </c>
      <c r="V48" s="26"/>
      <c r="W48" s="289">
        <f>$E$48</f>
        <v>0</v>
      </c>
      <c r="X48" s="27"/>
      <c r="Y48" s="10"/>
      <c r="Z48" s="10"/>
      <c r="AA48" s="10"/>
      <c r="AB48" s="10"/>
      <c r="AC48" s="10"/>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row>
    <row r="49" spans="1:76" ht="15" customHeight="1">
      <c r="A49" s="12"/>
      <c r="B49" s="24"/>
      <c r="C49" s="28" t="s">
        <v>132</v>
      </c>
      <c r="D49" s="28" t="s">
        <v>208</v>
      </c>
      <c r="E49" s="89"/>
      <c r="F49" s="29"/>
      <c r="G49" s="289">
        <f>$E$49</f>
        <v>0</v>
      </c>
      <c r="H49" s="29"/>
      <c r="I49" s="289">
        <f>$E$49</f>
        <v>0</v>
      </c>
      <c r="J49" s="29"/>
      <c r="K49" s="289">
        <f>$E$49</f>
        <v>0</v>
      </c>
      <c r="L49" s="29"/>
      <c r="M49" s="289">
        <f>$E$49</f>
        <v>0</v>
      </c>
      <c r="N49" s="29"/>
      <c r="O49" s="289">
        <f>$E$49</f>
        <v>0</v>
      </c>
      <c r="P49" s="29"/>
      <c r="Q49" s="289">
        <f>$E$49</f>
        <v>0</v>
      </c>
      <c r="R49" s="29"/>
      <c r="S49" s="289">
        <f>$E$49</f>
        <v>0</v>
      </c>
      <c r="T49" s="26"/>
      <c r="U49" s="289">
        <f>$E$49</f>
        <v>0</v>
      </c>
      <c r="V49" s="26"/>
      <c r="W49" s="289">
        <f>$E$49</f>
        <v>0</v>
      </c>
      <c r="X49" s="27"/>
      <c r="Y49" s="10"/>
      <c r="Z49" s="10"/>
      <c r="AA49" s="10"/>
      <c r="AB49" s="10"/>
      <c r="AC49" s="10"/>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row>
    <row r="50" spans="1:76" ht="15" customHeight="1">
      <c r="A50" s="12"/>
      <c r="B50" s="30"/>
      <c r="C50" s="31"/>
      <c r="D50" s="32"/>
      <c r="E50" s="33"/>
      <c r="F50" s="34"/>
      <c r="G50" s="33"/>
      <c r="H50" s="34"/>
      <c r="I50" s="33"/>
      <c r="J50" s="34"/>
      <c r="K50" s="33"/>
      <c r="L50" s="34"/>
      <c r="M50" s="33"/>
      <c r="N50" s="34"/>
      <c r="O50" s="33"/>
      <c r="P50" s="34"/>
      <c r="Q50" s="33"/>
      <c r="R50" s="34"/>
      <c r="S50" s="33"/>
      <c r="T50" s="33"/>
      <c r="U50" s="33"/>
      <c r="V50" s="33"/>
      <c r="W50" s="33"/>
      <c r="X50" s="35"/>
      <c r="Y50" s="10"/>
      <c r="Z50" s="10"/>
      <c r="AA50" s="10"/>
      <c r="AB50" s="10"/>
      <c r="AC50" s="10"/>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row>
    <row r="51" spans="1:76" ht="15" customHeight="1">
      <c r="A51" s="12"/>
      <c r="B51" s="20"/>
      <c r="C51" s="21"/>
      <c r="D51" s="20"/>
      <c r="E51" s="12"/>
      <c r="F51" s="12"/>
      <c r="G51" s="12"/>
      <c r="H51" s="12"/>
      <c r="I51" s="12"/>
      <c r="J51" s="12"/>
      <c r="K51" s="12"/>
      <c r="L51" s="12"/>
      <c r="M51" s="12"/>
      <c r="N51" s="12"/>
      <c r="O51" s="12"/>
      <c r="P51" s="12"/>
      <c r="Q51" s="12"/>
      <c r="R51" s="12"/>
      <c r="S51" s="12"/>
      <c r="T51" s="12"/>
      <c r="U51" s="12"/>
      <c r="V51" s="12"/>
      <c r="W51" s="12"/>
      <c r="X51" s="12"/>
      <c r="Y51" s="10"/>
      <c r="Z51" s="10"/>
      <c r="AA51" s="10"/>
      <c r="AB51" s="10"/>
      <c r="AC51" s="10"/>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row>
    <row r="52" spans="1:76" ht="15" customHeight="1">
      <c r="A52" s="12"/>
      <c r="B52" s="546" t="s">
        <v>3</v>
      </c>
      <c r="C52" s="547"/>
      <c r="D52" s="547"/>
      <c r="E52" s="36"/>
      <c r="F52" s="36"/>
      <c r="G52" s="36"/>
      <c r="H52" s="36"/>
      <c r="I52" s="36"/>
      <c r="J52" s="36"/>
      <c r="K52" s="36"/>
      <c r="L52" s="36"/>
      <c r="M52" s="36"/>
      <c r="N52" s="36"/>
      <c r="O52" s="36"/>
      <c r="P52" s="36"/>
      <c r="Q52" s="36"/>
      <c r="R52" s="36"/>
      <c r="S52" s="36"/>
      <c r="T52" s="36"/>
      <c r="U52" s="36"/>
      <c r="V52" s="36"/>
      <c r="W52" s="36"/>
      <c r="X52" s="37"/>
      <c r="Y52" s="10"/>
      <c r="Z52" s="10"/>
      <c r="AA52" s="10"/>
      <c r="AB52" s="10"/>
      <c r="AC52" s="10"/>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row>
    <row r="53" spans="1:76" ht="25.15" customHeight="1">
      <c r="A53" s="12"/>
      <c r="B53" s="548" t="s">
        <v>23</v>
      </c>
      <c r="C53" s="549"/>
      <c r="D53" s="549"/>
      <c r="E53" s="39"/>
      <c r="F53" s="39"/>
      <c r="G53" s="39"/>
      <c r="H53" s="39"/>
      <c r="I53" s="39"/>
      <c r="J53" s="39"/>
      <c r="K53" s="39"/>
      <c r="L53" s="39"/>
      <c r="M53" s="39"/>
      <c r="N53" s="39"/>
      <c r="O53" s="39"/>
      <c r="P53" s="39"/>
      <c r="Q53" s="39"/>
      <c r="R53" s="39"/>
      <c r="S53" s="39"/>
      <c r="T53" s="39"/>
      <c r="U53" s="39"/>
      <c r="V53" s="39"/>
      <c r="W53" s="39"/>
      <c r="X53" s="40"/>
      <c r="Y53" s="10"/>
      <c r="Z53" s="10"/>
      <c r="AA53" s="10"/>
      <c r="AB53" s="10"/>
      <c r="AC53" s="10"/>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row>
    <row r="54" spans="1:76" ht="15" customHeight="1">
      <c r="A54" s="12"/>
      <c r="B54" s="317"/>
      <c r="C54" s="209" t="s">
        <v>42</v>
      </c>
      <c r="D54" s="209" t="s">
        <v>43</v>
      </c>
      <c r="E54" s="210">
        <v>2021</v>
      </c>
      <c r="F54" s="208"/>
      <c r="G54" s="211">
        <v>2021</v>
      </c>
      <c r="H54" s="209"/>
      <c r="I54" s="211">
        <v>2021</v>
      </c>
      <c r="J54" s="208"/>
      <c r="K54" s="211">
        <v>2021</v>
      </c>
      <c r="L54" s="209"/>
      <c r="M54" s="211">
        <v>2021</v>
      </c>
      <c r="N54" s="208"/>
      <c r="O54" s="211">
        <v>2021</v>
      </c>
      <c r="P54" s="209"/>
      <c r="Q54" s="211">
        <v>2021</v>
      </c>
      <c r="R54" s="208"/>
      <c r="S54" s="211">
        <v>2021</v>
      </c>
      <c r="T54" s="39"/>
      <c r="U54" s="211">
        <v>2021</v>
      </c>
      <c r="V54" s="39"/>
      <c r="W54" s="211">
        <v>2021</v>
      </c>
      <c r="X54" s="40"/>
      <c r="Y54" s="10"/>
      <c r="Z54" s="10"/>
      <c r="AA54" s="10"/>
      <c r="AB54" s="10"/>
      <c r="AC54" s="10"/>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row>
    <row r="55" spans="1:76" ht="15" customHeight="1">
      <c r="A55" s="12"/>
      <c r="B55" s="38"/>
      <c r="C55" s="41" t="s">
        <v>21</v>
      </c>
      <c r="D55" s="41" t="s">
        <v>0</v>
      </c>
      <c r="E55" s="266">
        <v>4</v>
      </c>
      <c r="F55" s="42"/>
      <c r="G55" s="165">
        <f>$E$55</f>
        <v>4</v>
      </c>
      <c r="H55" s="42"/>
      <c r="I55" s="165">
        <f>$E$55</f>
        <v>4</v>
      </c>
      <c r="J55" s="42"/>
      <c r="K55" s="165">
        <f>$E$55</f>
        <v>4</v>
      </c>
      <c r="L55" s="42"/>
      <c r="M55" s="165">
        <f>$E$55</f>
        <v>4</v>
      </c>
      <c r="N55" s="42"/>
      <c r="O55" s="165">
        <f>$E$55</f>
        <v>4</v>
      </c>
      <c r="P55" s="42"/>
      <c r="Q55" s="165">
        <f>$E$55</f>
        <v>4</v>
      </c>
      <c r="R55" s="42"/>
      <c r="S55" s="165">
        <f>$E$55</f>
        <v>4</v>
      </c>
      <c r="T55" s="39"/>
      <c r="U55" s="165">
        <f>$E$55</f>
        <v>4</v>
      </c>
      <c r="V55" s="39"/>
      <c r="W55" s="165">
        <f>$E$55</f>
        <v>4</v>
      </c>
      <c r="X55" s="40"/>
      <c r="Y55" s="10"/>
      <c r="Z55" s="10"/>
      <c r="AA55" s="10"/>
      <c r="AB55" s="10"/>
      <c r="AC55" s="10"/>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row>
    <row r="56" spans="1:76" ht="15" customHeight="1">
      <c r="A56" s="12"/>
      <c r="B56" s="38"/>
      <c r="C56" s="41" t="s">
        <v>4</v>
      </c>
      <c r="D56" s="41" t="s">
        <v>73</v>
      </c>
      <c r="E56" s="534">
        <v>3.5000000000000003E-2</v>
      </c>
      <c r="F56" s="535"/>
      <c r="G56" s="534">
        <f>$E$56</f>
        <v>3.5000000000000003E-2</v>
      </c>
      <c r="H56" s="536"/>
      <c r="I56" s="534">
        <f>$E$56</f>
        <v>3.5000000000000003E-2</v>
      </c>
      <c r="J56" s="536"/>
      <c r="K56" s="534">
        <f>$E$56</f>
        <v>3.5000000000000003E-2</v>
      </c>
      <c r="L56" s="535"/>
      <c r="M56" s="534">
        <f>$E$56</f>
        <v>3.5000000000000003E-2</v>
      </c>
      <c r="N56" s="535"/>
      <c r="O56" s="534">
        <f>$E$56</f>
        <v>3.5000000000000003E-2</v>
      </c>
      <c r="P56" s="535"/>
      <c r="Q56" s="534">
        <f>$E$56</f>
        <v>3.5000000000000003E-2</v>
      </c>
      <c r="R56" s="535"/>
      <c r="S56" s="534">
        <f>$E$56</f>
        <v>3.5000000000000003E-2</v>
      </c>
      <c r="T56" s="537"/>
      <c r="U56" s="534">
        <f>$E$56</f>
        <v>3.5000000000000003E-2</v>
      </c>
      <c r="V56" s="537"/>
      <c r="W56" s="534">
        <f>$E$56</f>
        <v>3.5000000000000003E-2</v>
      </c>
      <c r="X56" s="40"/>
      <c r="Y56" s="10"/>
      <c r="Z56" s="10"/>
      <c r="AA56" s="10"/>
      <c r="AB56" s="10"/>
      <c r="AC56" s="10"/>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row>
    <row r="57" spans="1:76" ht="15" customHeight="1">
      <c r="A57" s="12"/>
      <c r="B57" s="38"/>
      <c r="C57" s="41"/>
      <c r="D57" s="41"/>
      <c r="E57" s="41"/>
      <c r="F57" s="41"/>
      <c r="G57" s="41"/>
      <c r="H57" s="41"/>
      <c r="I57" s="41"/>
      <c r="J57" s="41"/>
      <c r="K57" s="41"/>
      <c r="L57" s="41"/>
      <c r="M57" s="41"/>
      <c r="N57" s="41"/>
      <c r="O57" s="41"/>
      <c r="P57" s="41"/>
      <c r="Q57" s="41"/>
      <c r="R57" s="41"/>
      <c r="S57" s="41"/>
      <c r="T57" s="41"/>
      <c r="U57" s="41"/>
      <c r="V57" s="41"/>
      <c r="W57" s="41"/>
      <c r="X57" s="40"/>
      <c r="Y57" s="10"/>
      <c r="Z57" s="10"/>
      <c r="AA57" s="10"/>
      <c r="AB57" s="10"/>
      <c r="AC57" s="10"/>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row>
    <row r="58" spans="1:76" ht="15" customHeight="1">
      <c r="A58" s="12"/>
      <c r="B58" s="38"/>
      <c r="C58" s="376" t="s">
        <v>201</v>
      </c>
      <c r="D58" s="514"/>
      <c r="E58" s="41"/>
      <c r="F58" s="41"/>
      <c r="G58" s="41"/>
      <c r="H58" s="41"/>
      <c r="I58" s="41"/>
      <c r="J58" s="41"/>
      <c r="K58" s="41"/>
      <c r="L58" s="41"/>
      <c r="M58" s="41"/>
      <c r="N58" s="41"/>
      <c r="O58" s="41"/>
      <c r="P58" s="41"/>
      <c r="Q58" s="41"/>
      <c r="R58" s="41"/>
      <c r="S58" s="41"/>
      <c r="T58" s="41"/>
      <c r="U58" s="41"/>
      <c r="V58" s="41"/>
      <c r="W58" s="41"/>
      <c r="X58" s="40"/>
      <c r="Y58" s="10"/>
      <c r="Z58" s="10"/>
      <c r="AA58" s="10"/>
      <c r="AB58" s="10"/>
      <c r="AC58" s="10"/>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row>
    <row r="59" spans="1:76" ht="15" customHeight="1">
      <c r="A59" s="12"/>
      <c r="B59" s="38"/>
      <c r="C59" s="515" t="s">
        <v>202</v>
      </c>
      <c r="D59" s="384" t="s">
        <v>206</v>
      </c>
      <c r="E59" s="218"/>
      <c r="F59" s="41"/>
      <c r="G59" s="218">
        <f>$E$59</f>
        <v>0</v>
      </c>
      <c r="H59" s="41"/>
      <c r="I59" s="218">
        <f>$E$59</f>
        <v>0</v>
      </c>
      <c r="J59" s="41"/>
      <c r="K59" s="218">
        <f>$E$59</f>
        <v>0</v>
      </c>
      <c r="L59" s="41"/>
      <c r="M59" s="218">
        <v>1</v>
      </c>
      <c r="N59" s="41"/>
      <c r="O59" s="218">
        <f>$E$59</f>
        <v>0</v>
      </c>
      <c r="P59" s="41"/>
      <c r="Q59" s="218">
        <f>$E$59</f>
        <v>0</v>
      </c>
      <c r="R59" s="41"/>
      <c r="S59" s="218">
        <f>$E$59</f>
        <v>0</v>
      </c>
      <c r="T59" s="41"/>
      <c r="U59" s="218">
        <f>$E$59</f>
        <v>0</v>
      </c>
      <c r="V59" s="41"/>
      <c r="W59" s="218">
        <f>$E$59</f>
        <v>0</v>
      </c>
      <c r="X59" s="40"/>
      <c r="Y59" s="10"/>
      <c r="Z59" s="10"/>
      <c r="AA59" s="10"/>
      <c r="AB59" s="10"/>
      <c r="AC59" s="10"/>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row>
    <row r="60" spans="1:76" ht="15" customHeight="1">
      <c r="A60" s="12"/>
      <c r="B60" s="38"/>
      <c r="C60" s="384" t="s">
        <v>204</v>
      </c>
      <c r="D60" s="514" t="s">
        <v>205</v>
      </c>
      <c r="E60" s="516"/>
      <c r="F60" s="517"/>
      <c r="G60" s="516">
        <f>$E$60</f>
        <v>0</v>
      </c>
      <c r="H60" s="517"/>
      <c r="I60" s="516">
        <f>$E$60</f>
        <v>0</v>
      </c>
      <c r="J60" s="517"/>
      <c r="K60" s="516">
        <f>$E$60</f>
        <v>0</v>
      </c>
      <c r="L60" s="517"/>
      <c r="M60" s="516">
        <f>$E$60</f>
        <v>0</v>
      </c>
      <c r="N60" s="517"/>
      <c r="O60" s="516">
        <f>$E$60</f>
        <v>0</v>
      </c>
      <c r="P60" s="517"/>
      <c r="Q60" s="516">
        <f>$E$60</f>
        <v>0</v>
      </c>
      <c r="R60" s="517"/>
      <c r="S60" s="516">
        <f>$E$60</f>
        <v>0</v>
      </c>
      <c r="T60" s="517"/>
      <c r="U60" s="516">
        <f>$E$60</f>
        <v>0</v>
      </c>
      <c r="V60" s="517"/>
      <c r="W60" s="516">
        <f>$E$60</f>
        <v>0</v>
      </c>
      <c r="X60" s="40"/>
      <c r="Y60" s="10"/>
      <c r="Z60" s="10"/>
      <c r="AA60" s="10"/>
      <c r="AB60" s="10"/>
      <c r="AC60" s="10"/>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row>
    <row r="61" spans="1:76" ht="15" customHeight="1">
      <c r="A61" s="12"/>
      <c r="B61" s="38"/>
      <c r="C61" s="384"/>
      <c r="D61" s="514"/>
      <c r="E61" s="514"/>
      <c r="F61" s="514"/>
      <c r="G61" s="514"/>
      <c r="H61" s="514"/>
      <c r="I61" s="514"/>
      <c r="J61" s="514"/>
      <c r="K61" s="514"/>
      <c r="L61" s="514"/>
      <c r="M61" s="514"/>
      <c r="N61" s="514"/>
      <c r="O61" s="514"/>
      <c r="P61" s="514"/>
      <c r="Q61" s="514"/>
      <c r="R61" s="514"/>
      <c r="S61" s="514"/>
      <c r="T61" s="514"/>
      <c r="U61" s="514"/>
      <c r="V61" s="514"/>
      <c r="W61" s="514"/>
      <c r="X61" s="40"/>
      <c r="Y61" s="10"/>
      <c r="Z61" s="10"/>
      <c r="AA61" s="10"/>
      <c r="AB61" s="10"/>
      <c r="AC61" s="10"/>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row>
    <row r="62" spans="1:76" ht="15" customHeight="1">
      <c r="A62" s="12"/>
      <c r="B62" s="38"/>
      <c r="C62" s="376" t="s">
        <v>26</v>
      </c>
      <c r="D62" s="514"/>
      <c r="E62" s="41"/>
      <c r="F62" s="41"/>
      <c r="G62" s="41"/>
      <c r="H62" s="41"/>
      <c r="I62" s="41"/>
      <c r="J62" s="41"/>
      <c r="K62" s="41"/>
      <c r="L62" s="41"/>
      <c r="M62" s="41"/>
      <c r="N62" s="41"/>
      <c r="O62" s="41"/>
      <c r="P62" s="41"/>
      <c r="Q62" s="41"/>
      <c r="R62" s="41"/>
      <c r="S62" s="41"/>
      <c r="T62" s="41"/>
      <c r="U62" s="41"/>
      <c r="V62" s="41"/>
      <c r="W62" s="41"/>
      <c r="X62" s="40"/>
      <c r="Y62" s="10"/>
      <c r="Z62" s="10"/>
      <c r="AA62" s="10"/>
      <c r="AB62" s="10"/>
      <c r="AC62" s="10"/>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row>
    <row r="63" spans="1:76" ht="15" customHeight="1">
      <c r="A63" s="12"/>
      <c r="B63" s="38"/>
      <c r="C63" s="515" t="s">
        <v>203</v>
      </c>
      <c r="D63" s="384" t="s">
        <v>207</v>
      </c>
      <c r="E63" s="218"/>
      <c r="F63" s="41"/>
      <c r="G63" s="218"/>
      <c r="H63" s="41"/>
      <c r="I63" s="218"/>
      <c r="J63" s="41"/>
      <c r="K63" s="218"/>
      <c r="L63" s="41"/>
      <c r="M63" s="218"/>
      <c r="N63" s="41"/>
      <c r="O63" s="218"/>
      <c r="P63" s="41"/>
      <c r="Q63" s="218"/>
      <c r="R63" s="41"/>
      <c r="S63" s="218"/>
      <c r="T63" s="41"/>
      <c r="U63" s="218"/>
      <c r="V63" s="41"/>
      <c r="W63" s="218"/>
      <c r="X63" s="40"/>
      <c r="Y63" s="10"/>
      <c r="Z63" s="10"/>
      <c r="AA63" s="10"/>
      <c r="AB63" s="10"/>
      <c r="AC63" s="10"/>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row>
    <row r="64" spans="1:76" ht="15" customHeight="1">
      <c r="A64" s="12"/>
      <c r="B64" s="38"/>
      <c r="C64" s="515"/>
      <c r="D64" s="384"/>
      <c r="E64" s="41"/>
      <c r="F64" s="41"/>
      <c r="G64" s="41"/>
      <c r="H64" s="41"/>
      <c r="I64" s="41"/>
      <c r="J64" s="41"/>
      <c r="K64" s="41"/>
      <c r="L64" s="41"/>
      <c r="M64" s="41"/>
      <c r="N64" s="41"/>
      <c r="O64" s="41"/>
      <c r="P64" s="41"/>
      <c r="Q64" s="41"/>
      <c r="R64" s="41"/>
      <c r="S64" s="41"/>
      <c r="T64" s="41"/>
      <c r="U64" s="41"/>
      <c r="V64" s="41"/>
      <c r="W64" s="41"/>
      <c r="X64" s="40"/>
      <c r="Y64" s="10"/>
      <c r="Z64" s="10"/>
      <c r="AA64" s="10"/>
      <c r="AB64" s="10"/>
      <c r="AC64" s="10"/>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row>
    <row r="65" spans="1:76" ht="34.5" customHeight="1">
      <c r="A65" s="12"/>
      <c r="B65" s="38"/>
      <c r="C65" s="213" t="s">
        <v>200</v>
      </c>
      <c r="D65" s="513" t="s">
        <v>229</v>
      </c>
      <c r="E65" s="215" t="s">
        <v>125</v>
      </c>
      <c r="F65" s="212"/>
      <c r="G65" s="215" t="str">
        <f>$E$65</f>
        <v>Klik for valg</v>
      </c>
      <c r="H65" s="212"/>
      <c r="I65" s="215" t="str">
        <f>$E$65</f>
        <v>Klik for valg</v>
      </c>
      <c r="J65" s="212"/>
      <c r="K65" s="215" t="str">
        <f>$E$65</f>
        <v>Klik for valg</v>
      </c>
      <c r="L65" s="212"/>
      <c r="M65" s="215" t="str">
        <f>$E$65</f>
        <v>Klik for valg</v>
      </c>
      <c r="N65" s="212"/>
      <c r="O65" s="215" t="str">
        <f>$E$65</f>
        <v>Klik for valg</v>
      </c>
      <c r="P65" s="212"/>
      <c r="Q65" s="215" t="str">
        <f>$E$65</f>
        <v>Klik for valg</v>
      </c>
      <c r="R65" s="212"/>
      <c r="S65" s="215" t="str">
        <f>$E$65</f>
        <v>Klik for valg</v>
      </c>
      <c r="T65" s="39"/>
      <c r="U65" s="215" t="str">
        <f>$E$65</f>
        <v>Klik for valg</v>
      </c>
      <c r="V65" s="39"/>
      <c r="W65" s="215" t="str">
        <f>$E$65</f>
        <v>Klik for valg</v>
      </c>
      <c r="X65" s="40"/>
      <c r="Y65" s="10"/>
      <c r="Z65" s="10"/>
      <c r="AA65" s="10"/>
      <c r="AB65" s="10"/>
      <c r="AC65" s="10"/>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row>
    <row r="66" spans="1:76" ht="15" customHeight="1">
      <c r="A66" s="12"/>
      <c r="B66" s="38"/>
      <c r="C66" s="41"/>
      <c r="D66" s="41"/>
      <c r="E66" s="41"/>
      <c r="F66" s="41"/>
      <c r="G66" s="41"/>
      <c r="H66" s="41"/>
      <c r="I66" s="41"/>
      <c r="J66" s="41"/>
      <c r="K66" s="41"/>
      <c r="L66" s="41"/>
      <c r="M66" s="41"/>
      <c r="N66" s="41"/>
      <c r="O66" s="41"/>
      <c r="P66" s="41"/>
      <c r="Q66" s="41"/>
      <c r="R66" s="41"/>
      <c r="S66" s="41"/>
      <c r="T66" s="39"/>
      <c r="U66" s="41"/>
      <c r="V66" s="39"/>
      <c r="W66" s="41"/>
      <c r="X66" s="40"/>
      <c r="Y66" s="10"/>
      <c r="Z66" s="10"/>
      <c r="AA66" s="10"/>
      <c r="AB66" s="10"/>
      <c r="AC66" s="10"/>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row>
    <row r="67" spans="1:76" ht="15" customHeight="1">
      <c r="A67" s="12"/>
      <c r="B67" s="38"/>
      <c r="C67" s="213" t="s">
        <v>44</v>
      </c>
      <c r="D67" s="214" t="s">
        <v>38</v>
      </c>
      <c r="E67" s="215" t="s">
        <v>37</v>
      </c>
      <c r="F67" s="212"/>
      <c r="G67" s="216" t="str">
        <f>$E$67</f>
        <v>Ja</v>
      </c>
      <c r="H67" s="212"/>
      <c r="I67" s="216" t="str">
        <f>$E$67</f>
        <v>Ja</v>
      </c>
      <c r="J67" s="212"/>
      <c r="K67" s="216" t="str">
        <f>$E$67</f>
        <v>Ja</v>
      </c>
      <c r="L67" s="212"/>
      <c r="M67" s="216" t="str">
        <f>$E$67</f>
        <v>Ja</v>
      </c>
      <c r="N67" s="212"/>
      <c r="O67" s="216" t="str">
        <f>$E$67</f>
        <v>Ja</v>
      </c>
      <c r="P67" s="212"/>
      <c r="Q67" s="216" t="str">
        <f>$E$67</f>
        <v>Ja</v>
      </c>
      <c r="R67" s="212"/>
      <c r="S67" s="216" t="str">
        <f>$E$67</f>
        <v>Ja</v>
      </c>
      <c r="T67" s="39"/>
      <c r="U67" s="216" t="str">
        <f>$E$67</f>
        <v>Ja</v>
      </c>
      <c r="V67" s="39"/>
      <c r="W67" s="216" t="str">
        <f>$E$67</f>
        <v>Ja</v>
      </c>
      <c r="X67" s="40"/>
      <c r="Y67" s="10"/>
      <c r="Z67" s="10"/>
      <c r="AA67" s="10"/>
      <c r="AB67" s="10"/>
      <c r="AC67" s="10"/>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row>
    <row r="68" spans="1:76" ht="15" customHeight="1">
      <c r="A68" s="12"/>
      <c r="B68" s="38"/>
      <c r="C68" s="217" t="s">
        <v>45</v>
      </c>
      <c r="D68" s="214" t="s">
        <v>16</v>
      </c>
      <c r="E68" s="218">
        <f>VLOOKUP(E54,Fremskrivninger!A8:D37,3)</f>
        <v>1.851</v>
      </c>
      <c r="F68" s="219"/>
      <c r="G68" s="261">
        <f>$E$68</f>
        <v>1.851</v>
      </c>
      <c r="H68" s="221"/>
      <c r="I68" s="261">
        <f>$E$68</f>
        <v>1.851</v>
      </c>
      <c r="J68" s="222"/>
      <c r="K68" s="261">
        <f>$E$68</f>
        <v>1.851</v>
      </c>
      <c r="L68" s="221"/>
      <c r="M68" s="261">
        <f>$E$68</f>
        <v>1.851</v>
      </c>
      <c r="N68" s="222"/>
      <c r="O68" s="261">
        <f>$E$68</f>
        <v>1.851</v>
      </c>
      <c r="P68" s="221"/>
      <c r="Q68" s="261">
        <f>$E$68</f>
        <v>1.851</v>
      </c>
      <c r="R68" s="222"/>
      <c r="S68" s="261">
        <f>$E$68</f>
        <v>1.851</v>
      </c>
      <c r="T68" s="39"/>
      <c r="U68" s="261">
        <f>$E$68</f>
        <v>1.851</v>
      </c>
      <c r="V68" s="39"/>
      <c r="W68" s="261">
        <f>$E$68</f>
        <v>1.851</v>
      </c>
      <c r="X68" s="40"/>
      <c r="Y68" s="10"/>
      <c r="Z68" s="10"/>
      <c r="AA68" s="10"/>
      <c r="AB68" s="10"/>
      <c r="AC68" s="10"/>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row>
    <row r="69" spans="1:76" ht="15" customHeight="1">
      <c r="A69" s="12"/>
      <c r="B69" s="38"/>
      <c r="C69" s="217" t="s">
        <v>46</v>
      </c>
      <c r="D69" s="223" t="s">
        <v>73</v>
      </c>
      <c r="E69" s="224">
        <v>1.67E-2</v>
      </c>
      <c r="F69" s="262"/>
      <c r="G69" s="263">
        <f>$E$69</f>
        <v>1.67E-2</v>
      </c>
      <c r="H69" s="264"/>
      <c r="I69" s="263">
        <f>$E$69</f>
        <v>1.67E-2</v>
      </c>
      <c r="J69" s="265"/>
      <c r="K69" s="263">
        <f>$E$69</f>
        <v>1.67E-2</v>
      </c>
      <c r="L69" s="264"/>
      <c r="M69" s="263">
        <f>$E$69</f>
        <v>1.67E-2</v>
      </c>
      <c r="N69" s="265"/>
      <c r="O69" s="263">
        <f>$E$69</f>
        <v>1.67E-2</v>
      </c>
      <c r="P69" s="264"/>
      <c r="Q69" s="263">
        <f>$E$69</f>
        <v>1.67E-2</v>
      </c>
      <c r="R69" s="265"/>
      <c r="S69" s="263">
        <f>$E$69</f>
        <v>1.67E-2</v>
      </c>
      <c r="T69" s="39"/>
      <c r="U69" s="263">
        <f>$E$69</f>
        <v>1.67E-2</v>
      </c>
      <c r="V69" s="39"/>
      <c r="W69" s="263">
        <f>$E$69</f>
        <v>1.67E-2</v>
      </c>
      <c r="X69" s="40"/>
      <c r="Y69" s="10"/>
      <c r="Z69" s="10"/>
      <c r="AA69" s="10"/>
      <c r="AB69" s="10"/>
      <c r="AC69" s="10"/>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row>
    <row r="70" spans="1:76" ht="15" customHeight="1">
      <c r="A70" s="12"/>
      <c r="B70" s="38"/>
      <c r="C70" s="217" t="s">
        <v>47</v>
      </c>
      <c r="D70" s="214" t="s">
        <v>16</v>
      </c>
      <c r="E70" s="195"/>
      <c r="F70" s="219"/>
      <c r="G70" s="220">
        <f>$E$70</f>
        <v>0</v>
      </c>
      <c r="H70" s="227"/>
      <c r="I70" s="220">
        <f>$E$70</f>
        <v>0</v>
      </c>
      <c r="J70" s="228"/>
      <c r="K70" s="220">
        <f>$E$70</f>
        <v>0</v>
      </c>
      <c r="L70" s="227"/>
      <c r="M70" s="220">
        <f>$E$70</f>
        <v>0</v>
      </c>
      <c r="N70" s="228"/>
      <c r="O70" s="220">
        <f>$E$70</f>
        <v>0</v>
      </c>
      <c r="P70" s="227"/>
      <c r="Q70" s="220">
        <f>$E$70</f>
        <v>0</v>
      </c>
      <c r="R70" s="228"/>
      <c r="S70" s="220">
        <f>$E$70</f>
        <v>0</v>
      </c>
      <c r="T70" s="39"/>
      <c r="U70" s="220">
        <f>$E$70</f>
        <v>0</v>
      </c>
      <c r="V70" s="39"/>
      <c r="W70" s="220">
        <f>$E$70</f>
        <v>0</v>
      </c>
      <c r="X70" s="40"/>
      <c r="Y70" s="10"/>
      <c r="Z70" s="10"/>
      <c r="AA70" s="10"/>
      <c r="AB70" s="10"/>
      <c r="AC70" s="10"/>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row>
    <row r="71" spans="1:76" ht="15" customHeight="1">
      <c r="A71" s="12"/>
      <c r="B71" s="38"/>
      <c r="C71" s="217" t="s">
        <v>48</v>
      </c>
      <c r="D71" s="223" t="s">
        <v>73</v>
      </c>
      <c r="E71" s="224"/>
      <c r="F71" s="219"/>
      <c r="G71" s="263">
        <f>$E$71</f>
        <v>0</v>
      </c>
      <c r="H71" s="225"/>
      <c r="I71" s="263">
        <f>$E$71</f>
        <v>0</v>
      </c>
      <c r="J71" s="226"/>
      <c r="K71" s="263">
        <f>$E$71</f>
        <v>0</v>
      </c>
      <c r="L71" s="225"/>
      <c r="M71" s="263">
        <f>$E$71</f>
        <v>0</v>
      </c>
      <c r="N71" s="226"/>
      <c r="O71" s="263">
        <f>$E$71</f>
        <v>0</v>
      </c>
      <c r="P71" s="225"/>
      <c r="Q71" s="263">
        <f>$E$71</f>
        <v>0</v>
      </c>
      <c r="R71" s="226"/>
      <c r="S71" s="263">
        <f>$E$71</f>
        <v>0</v>
      </c>
      <c r="T71" s="39"/>
      <c r="U71" s="263">
        <f>$E$71</f>
        <v>0</v>
      </c>
      <c r="V71" s="39"/>
      <c r="W71" s="263">
        <f>$E$71</f>
        <v>0</v>
      </c>
      <c r="X71" s="40"/>
      <c r="Y71" s="10"/>
      <c r="Z71" s="10"/>
      <c r="AA71" s="10"/>
      <c r="AB71" s="10"/>
      <c r="AC71" s="10"/>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row>
    <row r="72" spans="1:76" ht="15" customHeight="1">
      <c r="A72" s="12"/>
      <c r="B72" s="38"/>
      <c r="C72" s="41"/>
      <c r="D72" s="41"/>
      <c r="E72" s="41"/>
      <c r="F72" s="41"/>
      <c r="G72" s="41"/>
      <c r="H72" s="41"/>
      <c r="I72" s="41"/>
      <c r="J72" s="41"/>
      <c r="K72" s="41"/>
      <c r="L72" s="41"/>
      <c r="M72" s="41"/>
      <c r="N72" s="41"/>
      <c r="O72" s="41"/>
      <c r="P72" s="41"/>
      <c r="Q72" s="41"/>
      <c r="R72" s="41"/>
      <c r="S72" s="41"/>
      <c r="T72" s="39"/>
      <c r="U72" s="41"/>
      <c r="V72" s="39"/>
      <c r="W72" s="41"/>
      <c r="X72" s="40"/>
      <c r="Y72" s="10"/>
      <c r="Z72" s="10"/>
      <c r="AA72" s="10"/>
      <c r="AB72" s="10"/>
      <c r="AC72" s="10"/>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row>
    <row r="73" spans="1:76" ht="15" customHeight="1">
      <c r="A73" s="12"/>
      <c r="B73" s="38"/>
      <c r="C73" s="213" t="s">
        <v>152</v>
      </c>
      <c r="D73" s="214" t="s">
        <v>38</v>
      </c>
      <c r="E73" s="215" t="s">
        <v>37</v>
      </c>
      <c r="F73" s="41"/>
      <c r="G73" s="215" t="s">
        <v>37</v>
      </c>
      <c r="H73" s="41"/>
      <c r="I73" s="215" t="s">
        <v>37</v>
      </c>
      <c r="J73" s="41"/>
      <c r="K73" s="215" t="s">
        <v>37</v>
      </c>
      <c r="L73" s="41"/>
      <c r="M73" s="215" t="s">
        <v>37</v>
      </c>
      <c r="N73" s="41"/>
      <c r="O73" s="215" t="s">
        <v>37</v>
      </c>
      <c r="P73" s="41"/>
      <c r="Q73" s="215" t="s">
        <v>37</v>
      </c>
      <c r="R73" s="41"/>
      <c r="S73" s="215" t="s">
        <v>37</v>
      </c>
      <c r="T73" s="39"/>
      <c r="U73" s="215" t="s">
        <v>37</v>
      </c>
      <c r="V73" s="39"/>
      <c r="W73" s="215" t="s">
        <v>37</v>
      </c>
      <c r="X73" s="40"/>
      <c r="Y73" s="10"/>
      <c r="Z73" s="10"/>
      <c r="AA73" s="10"/>
      <c r="AB73" s="10"/>
      <c r="AC73" s="10"/>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row>
    <row r="74" spans="1:76" ht="15" customHeight="1">
      <c r="A74" s="12"/>
      <c r="B74" s="38"/>
      <c r="C74" s="217" t="s">
        <v>134</v>
      </c>
      <c r="D74" s="214" t="s">
        <v>135</v>
      </c>
      <c r="E74" s="218">
        <f>VLOOKUP(E54,Fremskrivninger!A48:L77,12)</f>
        <v>8.7367999999999988</v>
      </c>
      <c r="F74" s="41"/>
      <c r="G74" s="218">
        <f>VLOOKUP(G54,Fremskrivninger!$A$47:$C$77,3)</f>
        <v>8.7367999999999988</v>
      </c>
      <c r="H74" s="41"/>
      <c r="I74" s="218">
        <f>VLOOKUP(I54,Fremskrivninger!$A$47:$C$77,3)</f>
        <v>8.7367999999999988</v>
      </c>
      <c r="J74" s="41"/>
      <c r="K74" s="218">
        <f>VLOOKUP(K54,Fremskrivninger!$A$47:$C$77,3)</f>
        <v>8.7367999999999988</v>
      </c>
      <c r="L74" s="41"/>
      <c r="M74" s="218">
        <f>VLOOKUP(M54,Fremskrivninger!$A$47:$C$77,3)</f>
        <v>8.7367999999999988</v>
      </c>
      <c r="N74" s="41"/>
      <c r="O74" s="218">
        <f>VLOOKUP(O54,Fremskrivninger!$A$47:$C$77,3)</f>
        <v>8.7367999999999988</v>
      </c>
      <c r="P74" s="41"/>
      <c r="Q74" s="218">
        <f>VLOOKUP(Q54,Fremskrivninger!$A$47:$C$77,3)</f>
        <v>8.7367999999999988</v>
      </c>
      <c r="R74" s="41"/>
      <c r="S74" s="218">
        <f>VLOOKUP(S54,Fremskrivninger!$A$47:$C$77,3)</f>
        <v>8.7367999999999988</v>
      </c>
      <c r="T74" s="39"/>
      <c r="U74" s="218">
        <f>VLOOKUP(U54,Fremskrivninger!$A$47:$C$77,3)</f>
        <v>8.7367999999999988</v>
      </c>
      <c r="V74" s="39"/>
      <c r="W74" s="218">
        <f>VLOOKUP(W54,Fremskrivninger!$A$47:$C$77,3)</f>
        <v>8.7367999999999988</v>
      </c>
      <c r="X74" s="40"/>
      <c r="Y74" s="10"/>
      <c r="Z74" s="10"/>
      <c r="AA74" s="10"/>
      <c r="AB74" s="10"/>
      <c r="AC74" s="10"/>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row>
    <row r="75" spans="1:76" ht="15" customHeight="1">
      <c r="A75" s="12"/>
      <c r="B75" s="38"/>
      <c r="C75" s="217" t="s">
        <v>137</v>
      </c>
      <c r="D75" s="223" t="s">
        <v>73</v>
      </c>
      <c r="E75" s="449">
        <v>1.3899999999999999E-2</v>
      </c>
      <c r="F75" s="463"/>
      <c r="G75" s="449">
        <v>1.3899999999999999E-2</v>
      </c>
      <c r="H75" s="463"/>
      <c r="I75" s="449">
        <v>1.3899999999999999E-2</v>
      </c>
      <c r="J75" s="463"/>
      <c r="K75" s="449">
        <v>1.3899999999999999E-2</v>
      </c>
      <c r="L75" s="463"/>
      <c r="M75" s="449">
        <v>1.3899999999999999E-2</v>
      </c>
      <c r="N75" s="463"/>
      <c r="O75" s="449">
        <v>1.3899999999999999E-2</v>
      </c>
      <c r="P75" s="463"/>
      <c r="Q75" s="449">
        <v>1.3899999999999999E-2</v>
      </c>
      <c r="R75" s="463"/>
      <c r="S75" s="449">
        <v>1.3899999999999999E-2</v>
      </c>
      <c r="T75" s="464"/>
      <c r="U75" s="449">
        <v>1.3899999999999999E-2</v>
      </c>
      <c r="V75" s="464"/>
      <c r="W75" s="449">
        <v>1.3899999999999999E-2</v>
      </c>
      <c r="X75" s="40"/>
      <c r="Y75" s="10"/>
      <c r="Z75" s="10"/>
      <c r="AA75" s="10"/>
      <c r="AB75" s="10"/>
      <c r="AC75" s="10"/>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row>
    <row r="76" spans="1:76" ht="15" customHeight="1">
      <c r="A76" s="12"/>
      <c r="B76" s="38"/>
      <c r="C76" s="217" t="s">
        <v>139</v>
      </c>
      <c r="D76" s="214" t="s">
        <v>135</v>
      </c>
      <c r="E76" s="467"/>
      <c r="F76" s="466"/>
      <c r="G76" s="467">
        <v>0</v>
      </c>
      <c r="H76" s="466"/>
      <c r="I76" s="467">
        <v>0</v>
      </c>
      <c r="J76" s="466"/>
      <c r="K76" s="467">
        <v>0</v>
      </c>
      <c r="L76" s="466"/>
      <c r="M76" s="467">
        <v>0</v>
      </c>
      <c r="N76" s="466"/>
      <c r="O76" s="467">
        <v>0</v>
      </c>
      <c r="P76" s="466"/>
      <c r="Q76" s="467">
        <v>0</v>
      </c>
      <c r="R76" s="466"/>
      <c r="S76" s="467">
        <v>0</v>
      </c>
      <c r="T76" s="460"/>
      <c r="U76" s="467">
        <v>0</v>
      </c>
      <c r="V76" s="460"/>
      <c r="W76" s="467">
        <v>0</v>
      </c>
      <c r="X76" s="40"/>
      <c r="Y76" s="10"/>
      <c r="Z76" s="10"/>
      <c r="AA76" s="10"/>
      <c r="AB76" s="10"/>
      <c r="AC76" s="10"/>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row>
    <row r="77" spans="1:76" ht="15" customHeight="1">
      <c r="A77" s="12"/>
      <c r="B77" s="38"/>
      <c r="C77" s="217" t="s">
        <v>140</v>
      </c>
      <c r="D77" s="223" t="s">
        <v>73</v>
      </c>
      <c r="E77" s="224"/>
      <c r="F77" s="41"/>
      <c r="G77" s="224">
        <v>0</v>
      </c>
      <c r="H77" s="41"/>
      <c r="I77" s="224">
        <v>0</v>
      </c>
      <c r="J77" s="41"/>
      <c r="K77" s="224">
        <v>0</v>
      </c>
      <c r="L77" s="41"/>
      <c r="M77" s="224">
        <v>0</v>
      </c>
      <c r="N77" s="41"/>
      <c r="O77" s="224">
        <v>0</v>
      </c>
      <c r="P77" s="41"/>
      <c r="Q77" s="224">
        <v>0</v>
      </c>
      <c r="R77" s="41"/>
      <c r="S77" s="224">
        <v>0</v>
      </c>
      <c r="T77" s="39"/>
      <c r="U77" s="224">
        <v>0</v>
      </c>
      <c r="V77" s="39"/>
      <c r="W77" s="224">
        <v>0</v>
      </c>
      <c r="X77" s="40"/>
      <c r="Y77" s="10"/>
      <c r="Z77" s="10"/>
      <c r="AA77" s="10"/>
      <c r="AB77" s="10"/>
      <c r="AC77" s="10"/>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row>
    <row r="78" spans="1:76" ht="15" customHeight="1">
      <c r="A78" s="12"/>
      <c r="B78" s="38"/>
      <c r="C78" s="217"/>
      <c r="D78" s="223"/>
      <c r="E78" s="223"/>
      <c r="F78" s="223"/>
      <c r="G78" s="223"/>
      <c r="H78" s="223"/>
      <c r="I78" s="223"/>
      <c r="J78" s="223"/>
      <c r="K78" s="223"/>
      <c r="L78" s="223"/>
      <c r="M78" s="223"/>
      <c r="N78" s="223"/>
      <c r="O78" s="223"/>
      <c r="P78" s="223"/>
      <c r="Q78" s="223"/>
      <c r="R78" s="223"/>
      <c r="S78" s="223"/>
      <c r="T78" s="223"/>
      <c r="U78" s="223"/>
      <c r="V78" s="223"/>
      <c r="W78" s="223"/>
      <c r="X78" s="40"/>
      <c r="Y78" s="10"/>
      <c r="Z78" s="10"/>
      <c r="AA78" s="10"/>
      <c r="AB78" s="10"/>
      <c r="AC78" s="10"/>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row>
    <row r="79" spans="1:76" ht="15" customHeight="1">
      <c r="A79" s="12"/>
      <c r="B79" s="38"/>
      <c r="C79" s="213" t="s">
        <v>153</v>
      </c>
      <c r="D79" s="214" t="s">
        <v>38</v>
      </c>
      <c r="E79" s="215" t="s">
        <v>37</v>
      </c>
      <c r="F79" s="41"/>
      <c r="G79" s="215" t="s">
        <v>37</v>
      </c>
      <c r="H79" s="41"/>
      <c r="I79" s="215" t="s">
        <v>37</v>
      </c>
      <c r="J79" s="41"/>
      <c r="K79" s="215" t="s">
        <v>37</v>
      </c>
      <c r="L79" s="41"/>
      <c r="M79" s="215" t="s">
        <v>37</v>
      </c>
      <c r="N79" s="41"/>
      <c r="O79" s="215" t="s">
        <v>37</v>
      </c>
      <c r="P79" s="41"/>
      <c r="Q79" s="215" t="s">
        <v>37</v>
      </c>
      <c r="R79" s="41"/>
      <c r="S79" s="215" t="s">
        <v>37</v>
      </c>
      <c r="T79" s="39"/>
      <c r="U79" s="215" t="s">
        <v>37</v>
      </c>
      <c r="V79" s="39"/>
      <c r="W79" s="215" t="s">
        <v>37</v>
      </c>
      <c r="X79" s="40"/>
      <c r="Y79" s="10"/>
      <c r="Z79" s="10"/>
      <c r="AA79" s="10"/>
      <c r="AB79" s="10"/>
      <c r="AC79" s="10"/>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row>
    <row r="80" spans="1:76" ht="15" customHeight="1">
      <c r="A80" s="12"/>
      <c r="B80" s="38"/>
      <c r="C80" s="217" t="s">
        <v>136</v>
      </c>
      <c r="D80" s="214" t="s">
        <v>135</v>
      </c>
      <c r="E80" s="195">
        <f>VLOOKUP(E54,Fremskrivninger!A92:L121,12)</f>
        <v>7.6283999999999992</v>
      </c>
      <c r="F80" s="41"/>
      <c r="G80" s="195">
        <f>VLOOKUP(G54,Fremskrivninger!$A$91:$C$121,3)</f>
        <v>7.6283999999999992</v>
      </c>
      <c r="H80" s="41"/>
      <c r="I80" s="195">
        <f>VLOOKUP(I54,Fremskrivninger!$A$91:$C$121,3)</f>
        <v>7.6283999999999992</v>
      </c>
      <c r="J80" s="41"/>
      <c r="K80" s="195">
        <f>VLOOKUP(K54,Fremskrivninger!$A$91:$C$121,3)</f>
        <v>7.6283999999999992</v>
      </c>
      <c r="L80" s="41"/>
      <c r="M80" s="195">
        <f>VLOOKUP(M54,Fremskrivninger!$A$91:$C$121,3)</f>
        <v>7.6283999999999992</v>
      </c>
      <c r="N80" s="41"/>
      <c r="O80" s="195">
        <f>VLOOKUP(O54,Fremskrivninger!$A$91:$C$121,3)</f>
        <v>7.6283999999999992</v>
      </c>
      <c r="P80" s="41"/>
      <c r="Q80" s="195">
        <f>VLOOKUP(Q54,Fremskrivninger!$A$91:$C$121,3)</f>
        <v>7.6283999999999992</v>
      </c>
      <c r="R80" s="41"/>
      <c r="S80" s="195">
        <f>VLOOKUP(S54,Fremskrivninger!$A$91:$C$121,3)</f>
        <v>7.6283999999999992</v>
      </c>
      <c r="T80" s="39"/>
      <c r="U80" s="195">
        <f>VLOOKUP(U54,Fremskrivninger!$A$91:$C$121,3)</f>
        <v>7.6283999999999992</v>
      </c>
      <c r="V80" s="39"/>
      <c r="W80" s="195">
        <f>VLOOKUP(W54,Fremskrivninger!$A$91:$C$121,3)</f>
        <v>7.6283999999999992</v>
      </c>
      <c r="X80" s="40"/>
      <c r="Y80" s="10"/>
      <c r="Z80" s="10"/>
      <c r="AA80" s="10"/>
      <c r="AB80" s="10"/>
      <c r="AC80" s="10"/>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row>
    <row r="81" spans="1:76" ht="15" customHeight="1">
      <c r="A81" s="12"/>
      <c r="B81" s="38"/>
      <c r="C81" s="217" t="s">
        <v>138</v>
      </c>
      <c r="D81" s="223" t="s">
        <v>73</v>
      </c>
      <c r="E81" s="462">
        <v>1.4500000000000001E-2</v>
      </c>
      <c r="F81" s="463"/>
      <c r="G81" s="462">
        <v>1.4500000000000001E-2</v>
      </c>
      <c r="H81" s="463"/>
      <c r="I81" s="462">
        <v>1.4500000000000001E-2</v>
      </c>
      <c r="J81" s="463"/>
      <c r="K81" s="462">
        <v>1.4500000000000001E-2</v>
      </c>
      <c r="L81" s="463"/>
      <c r="M81" s="462">
        <v>1.4500000000000001E-2</v>
      </c>
      <c r="N81" s="463"/>
      <c r="O81" s="462">
        <v>1.4500000000000001E-2</v>
      </c>
      <c r="P81" s="463"/>
      <c r="Q81" s="462">
        <v>1.4500000000000001E-2</v>
      </c>
      <c r="R81" s="463"/>
      <c r="S81" s="462">
        <v>1.4500000000000001E-2</v>
      </c>
      <c r="T81" s="464"/>
      <c r="U81" s="462">
        <v>1.4500000000000001E-2</v>
      </c>
      <c r="V81" s="464"/>
      <c r="W81" s="462">
        <v>1.4500000000000001E-2</v>
      </c>
      <c r="X81" s="40"/>
      <c r="Y81" s="10"/>
      <c r="Z81" s="10"/>
      <c r="AA81" s="10"/>
      <c r="AB81" s="10"/>
      <c r="AC81" s="10"/>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row>
    <row r="82" spans="1:76" ht="15" customHeight="1">
      <c r="A82" s="12"/>
      <c r="B82" s="38"/>
      <c r="C82" s="217" t="s">
        <v>225</v>
      </c>
      <c r="D82" s="214" t="s">
        <v>135</v>
      </c>
      <c r="E82" s="465"/>
      <c r="F82" s="466"/>
      <c r="G82" s="465">
        <v>0</v>
      </c>
      <c r="H82" s="466"/>
      <c r="I82" s="465">
        <v>0</v>
      </c>
      <c r="J82" s="466"/>
      <c r="K82" s="465">
        <v>0</v>
      </c>
      <c r="L82" s="466"/>
      <c r="M82" s="465">
        <v>0</v>
      </c>
      <c r="N82" s="466"/>
      <c r="O82" s="465">
        <v>0</v>
      </c>
      <c r="P82" s="466"/>
      <c r="Q82" s="465">
        <v>0</v>
      </c>
      <c r="R82" s="466"/>
      <c r="S82" s="465">
        <v>0</v>
      </c>
      <c r="T82" s="460"/>
      <c r="U82" s="465">
        <v>0</v>
      </c>
      <c r="V82" s="460"/>
      <c r="W82" s="465">
        <v>0</v>
      </c>
      <c r="X82" s="40"/>
      <c r="Y82" s="10"/>
      <c r="Z82" s="10"/>
      <c r="AA82" s="10"/>
      <c r="AB82" s="10"/>
      <c r="AC82" s="10"/>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row>
    <row r="83" spans="1:76" ht="15" customHeight="1">
      <c r="A83" s="12"/>
      <c r="B83" s="38"/>
      <c r="C83" s="217" t="s">
        <v>141</v>
      </c>
      <c r="D83" s="223" t="s">
        <v>73</v>
      </c>
      <c r="E83" s="224"/>
      <c r="F83" s="41"/>
      <c r="G83" s="224">
        <v>0</v>
      </c>
      <c r="H83" s="41"/>
      <c r="I83" s="224">
        <v>0</v>
      </c>
      <c r="J83" s="41"/>
      <c r="K83" s="224">
        <v>0</v>
      </c>
      <c r="L83" s="41"/>
      <c r="M83" s="224">
        <v>0</v>
      </c>
      <c r="N83" s="41"/>
      <c r="O83" s="224">
        <v>0</v>
      </c>
      <c r="P83" s="41"/>
      <c r="Q83" s="224">
        <v>0</v>
      </c>
      <c r="R83" s="41"/>
      <c r="S83" s="224">
        <v>0</v>
      </c>
      <c r="T83" s="39"/>
      <c r="U83" s="224">
        <v>0</v>
      </c>
      <c r="V83" s="39"/>
      <c r="W83" s="224">
        <v>0</v>
      </c>
      <c r="X83" s="40"/>
      <c r="Y83" s="10"/>
      <c r="Z83" s="10"/>
      <c r="AA83" s="10"/>
      <c r="AB83" s="10"/>
      <c r="AC83" s="10"/>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row>
    <row r="84" spans="1:76" ht="15" customHeight="1">
      <c r="A84" s="12"/>
      <c r="B84" s="38"/>
      <c r="C84" s="41"/>
      <c r="D84" s="41"/>
      <c r="E84" s="41"/>
      <c r="F84" s="41"/>
      <c r="G84" s="41"/>
      <c r="H84" s="41"/>
      <c r="I84" s="41"/>
      <c r="J84" s="41"/>
      <c r="K84" s="41"/>
      <c r="L84" s="41"/>
      <c r="M84" s="41"/>
      <c r="N84" s="41"/>
      <c r="O84" s="41"/>
      <c r="P84" s="41"/>
      <c r="Q84" s="41"/>
      <c r="R84" s="41"/>
      <c r="S84" s="41"/>
      <c r="T84" s="39"/>
      <c r="U84" s="41"/>
      <c r="V84" s="39"/>
      <c r="W84" s="41"/>
      <c r="X84" s="40"/>
      <c r="Y84" s="10"/>
      <c r="Z84" s="10"/>
      <c r="AA84" s="10"/>
      <c r="AB84" s="10"/>
      <c r="AC84" s="10"/>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row>
    <row r="85" spans="1:76" ht="15" customHeight="1">
      <c r="A85" s="12"/>
      <c r="B85" s="38"/>
      <c r="C85" s="376" t="s">
        <v>24</v>
      </c>
      <c r="D85" s="128"/>
      <c r="E85" s="129"/>
      <c r="F85" s="130"/>
      <c r="G85" s="129"/>
      <c r="H85" s="131"/>
      <c r="I85" s="129"/>
      <c r="J85" s="131"/>
      <c r="K85" s="129"/>
      <c r="L85" s="131"/>
      <c r="M85" s="129"/>
      <c r="N85" s="131"/>
      <c r="O85" s="129"/>
      <c r="P85" s="131"/>
      <c r="Q85" s="129"/>
      <c r="R85" s="131"/>
      <c r="S85" s="129"/>
      <c r="T85" s="39"/>
      <c r="U85" s="129"/>
      <c r="V85" s="39"/>
      <c r="W85" s="129"/>
      <c r="X85" s="40"/>
      <c r="Y85" s="10"/>
      <c r="Z85" s="10"/>
      <c r="AA85" s="10"/>
      <c r="AB85" s="10"/>
      <c r="AC85" s="10"/>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row>
    <row r="86" spans="1:76" ht="15" customHeight="1">
      <c r="A86" s="12"/>
      <c r="B86" s="38"/>
      <c r="C86" s="384" t="s">
        <v>148</v>
      </c>
      <c r="D86" s="384" t="s">
        <v>230</v>
      </c>
      <c r="E86" s="457"/>
      <c r="F86" s="458"/>
      <c r="G86" s="457"/>
      <c r="H86" s="459"/>
      <c r="I86" s="457"/>
      <c r="J86" s="459"/>
      <c r="K86" s="457"/>
      <c r="L86" s="459"/>
      <c r="M86" s="457"/>
      <c r="N86" s="459"/>
      <c r="O86" s="457"/>
      <c r="P86" s="459"/>
      <c r="Q86" s="457"/>
      <c r="R86" s="459"/>
      <c r="S86" s="457"/>
      <c r="T86" s="460"/>
      <c r="U86" s="457"/>
      <c r="V86" s="460"/>
      <c r="W86" s="457"/>
      <c r="X86" s="40"/>
      <c r="Y86" s="10"/>
      <c r="Z86" s="10"/>
      <c r="AA86" s="10"/>
      <c r="AB86" s="10"/>
      <c r="AC86" s="10"/>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row>
    <row r="87" spans="1:76" ht="15" customHeight="1">
      <c r="A87" s="12"/>
      <c r="B87" s="38"/>
      <c r="C87" s="384" t="s">
        <v>149</v>
      </c>
      <c r="D87" s="384" t="s">
        <v>226</v>
      </c>
      <c r="E87" s="461"/>
      <c r="F87" s="458"/>
      <c r="G87" s="461"/>
      <c r="H87" s="459"/>
      <c r="I87" s="461"/>
      <c r="J87" s="459"/>
      <c r="K87" s="461"/>
      <c r="L87" s="459"/>
      <c r="M87" s="461"/>
      <c r="N87" s="459"/>
      <c r="O87" s="461"/>
      <c r="P87" s="459"/>
      <c r="Q87" s="461"/>
      <c r="R87" s="459"/>
      <c r="S87" s="461"/>
      <c r="T87" s="460"/>
      <c r="U87" s="461"/>
      <c r="V87" s="460"/>
      <c r="W87" s="461"/>
      <c r="X87" s="40"/>
      <c r="Y87" s="10"/>
      <c r="Z87" s="10"/>
      <c r="AA87" s="10"/>
      <c r="AB87" s="10"/>
      <c r="AC87" s="10"/>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row>
    <row r="88" spans="1:76" ht="15" customHeight="1">
      <c r="A88" s="12"/>
      <c r="B88" s="43"/>
      <c r="C88" s="44"/>
      <c r="D88" s="44"/>
      <c r="E88" s="44"/>
      <c r="F88" s="44"/>
      <c r="G88" s="44"/>
      <c r="H88" s="44"/>
      <c r="I88" s="44"/>
      <c r="J88" s="44"/>
      <c r="K88" s="44"/>
      <c r="L88" s="44"/>
      <c r="M88" s="44"/>
      <c r="N88" s="44"/>
      <c r="O88" s="44"/>
      <c r="P88" s="44"/>
      <c r="Q88" s="44"/>
      <c r="R88" s="44"/>
      <c r="S88" s="44"/>
      <c r="T88" s="44"/>
      <c r="U88" s="44"/>
      <c r="V88" s="44"/>
      <c r="W88" s="44"/>
      <c r="X88" s="45"/>
      <c r="Y88" s="10"/>
      <c r="Z88" s="10"/>
      <c r="AA88" s="10"/>
      <c r="AB88" s="10"/>
      <c r="AC88" s="10"/>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row>
    <row r="89" spans="1:76" ht="15" customHeight="1">
      <c r="A89" s="12"/>
      <c r="B89" s="12"/>
      <c r="C89" s="541"/>
      <c r="D89" s="541"/>
      <c r="E89" s="541"/>
      <c r="F89" s="541"/>
      <c r="G89" s="541"/>
      <c r="H89" s="541"/>
      <c r="I89" s="316"/>
      <c r="J89" s="47"/>
      <c r="K89" s="541"/>
      <c r="L89" s="541"/>
      <c r="M89" s="541"/>
      <c r="N89" s="541"/>
      <c r="O89" s="541"/>
      <c r="P89" s="541"/>
      <c r="Q89" s="541"/>
      <c r="R89" s="541"/>
      <c r="S89" s="541"/>
      <c r="T89" s="541"/>
      <c r="U89" s="541"/>
      <c r="V89" s="541"/>
      <c r="W89" s="541"/>
      <c r="X89" s="541"/>
      <c r="Y89" s="10"/>
      <c r="Z89" s="10"/>
      <c r="AA89" s="10"/>
      <c r="AB89" s="10"/>
      <c r="AC89" s="10"/>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row>
    <row r="90" spans="1:76" ht="15" customHeight="1">
      <c r="A90" s="12"/>
      <c r="B90" s="48"/>
      <c r="C90" s="49"/>
      <c r="D90" s="50"/>
      <c r="E90" s="51"/>
      <c r="F90" s="51"/>
      <c r="G90" s="51"/>
      <c r="H90" s="51"/>
      <c r="I90" s="51"/>
      <c r="J90" s="51"/>
      <c r="K90" s="51"/>
      <c r="L90" s="51"/>
      <c r="M90" s="51"/>
      <c r="N90" s="51"/>
      <c r="O90" s="51"/>
      <c r="P90" s="51"/>
      <c r="Q90" s="51"/>
      <c r="R90" s="51"/>
      <c r="S90" s="51"/>
      <c r="T90" s="51"/>
      <c r="U90" s="51"/>
      <c r="V90" s="51"/>
      <c r="W90" s="51"/>
      <c r="X90" s="52"/>
      <c r="Y90" s="10"/>
      <c r="Z90" s="10"/>
      <c r="AA90" s="10"/>
      <c r="AB90" s="10"/>
      <c r="AC90" s="10"/>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row>
    <row r="91" spans="1:76" ht="25.15" customHeight="1">
      <c r="A91" s="12"/>
      <c r="B91" s="538" t="s">
        <v>218</v>
      </c>
      <c r="C91" s="539"/>
      <c r="D91" s="539"/>
      <c r="E91" s="54"/>
      <c r="F91" s="54"/>
      <c r="G91" s="54"/>
      <c r="H91" s="54"/>
      <c r="I91" s="54"/>
      <c r="J91" s="54"/>
      <c r="K91" s="54"/>
      <c r="L91" s="54"/>
      <c r="M91" s="54"/>
      <c r="N91" s="54"/>
      <c r="O91" s="54"/>
      <c r="P91" s="54"/>
      <c r="Q91" s="54"/>
      <c r="R91" s="54"/>
      <c r="S91" s="54"/>
      <c r="T91" s="54"/>
      <c r="U91" s="54"/>
      <c r="V91" s="54"/>
      <c r="W91" s="54"/>
      <c r="X91" s="55"/>
      <c r="Y91" s="10"/>
      <c r="Z91" s="10"/>
      <c r="AA91" s="10"/>
      <c r="AB91" s="10"/>
      <c r="AC91" s="10"/>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row>
    <row r="92" spans="1:76" ht="15" customHeight="1">
      <c r="A92" s="12"/>
      <c r="B92" s="56"/>
      <c r="C92" s="57"/>
      <c r="D92" s="58"/>
      <c r="E92" s="54"/>
      <c r="F92" s="54"/>
      <c r="G92" s="54"/>
      <c r="H92" s="54"/>
      <c r="I92" s="54"/>
      <c r="J92" s="54"/>
      <c r="K92" s="54"/>
      <c r="L92" s="54"/>
      <c r="M92" s="54"/>
      <c r="N92" s="54"/>
      <c r="O92" s="54"/>
      <c r="P92" s="54"/>
      <c r="Q92" s="54"/>
      <c r="R92" s="54"/>
      <c r="S92" s="54"/>
      <c r="T92" s="54"/>
      <c r="U92" s="54"/>
      <c r="V92" s="54"/>
      <c r="W92" s="54"/>
      <c r="X92" s="55"/>
      <c r="Y92" s="10"/>
      <c r="Z92" s="10"/>
      <c r="AA92" s="10"/>
      <c r="AB92" s="10"/>
      <c r="AC92" s="10"/>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row>
    <row r="93" spans="1:76" ht="15" customHeight="1">
      <c r="A93" s="12"/>
      <c r="B93" s="56"/>
      <c r="C93" s="229" t="s">
        <v>184</v>
      </c>
      <c r="D93" s="229" t="s">
        <v>14</v>
      </c>
      <c r="E93" s="528">
        <f>E12*E48</f>
        <v>0</v>
      </c>
      <c r="F93" s="528"/>
      <c r="G93" s="528">
        <f>G12*G48</f>
        <v>0</v>
      </c>
      <c r="H93" s="528"/>
      <c r="I93" s="528">
        <f>I12*I48</f>
        <v>0</v>
      </c>
      <c r="J93" s="528"/>
      <c r="K93" s="528">
        <f>K12*K48</f>
        <v>0</v>
      </c>
      <c r="L93" s="528"/>
      <c r="M93" s="528">
        <f>M12*M48</f>
        <v>0</v>
      </c>
      <c r="N93" s="528"/>
      <c r="O93" s="528">
        <f>O12*O48</f>
        <v>0</v>
      </c>
      <c r="P93" s="528"/>
      <c r="Q93" s="528">
        <f>Q12*Q48</f>
        <v>0</v>
      </c>
      <c r="R93" s="528"/>
      <c r="S93" s="528">
        <f>S12*S48</f>
        <v>0</v>
      </c>
      <c r="T93" s="528"/>
      <c r="U93" s="528">
        <f>U12*U48</f>
        <v>0</v>
      </c>
      <c r="V93" s="528"/>
      <c r="W93" s="528">
        <f>W12*W48</f>
        <v>0</v>
      </c>
      <c r="X93" s="55"/>
      <c r="Y93" s="10"/>
      <c r="Z93" s="10"/>
      <c r="AA93" s="10"/>
      <c r="AB93" s="10"/>
      <c r="AC93" s="10"/>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row>
    <row r="94" spans="1:76" ht="15" customHeight="1">
      <c r="A94" s="12"/>
      <c r="B94" s="56"/>
      <c r="C94" s="229" t="s">
        <v>185</v>
      </c>
      <c r="D94" s="229" t="s">
        <v>14</v>
      </c>
      <c r="E94" s="530">
        <f>IFERROR(IF(E93=0,0,E48*(E59*E55/E60)),0)</f>
        <v>0</v>
      </c>
      <c r="F94" s="530"/>
      <c r="G94" s="530">
        <f>IFERROR(IF(G93=0,0,G48*(G59*G55/G60)),0)</f>
        <v>0</v>
      </c>
      <c r="H94" s="530"/>
      <c r="I94" s="530">
        <f>IFERROR(IF(I93=0,0,I48*(I59*I55/I60)),0)</f>
        <v>0</v>
      </c>
      <c r="J94" s="530"/>
      <c r="K94" s="530">
        <f>IFERROR(IF(K93=0,0,K48*(K59*K55/K60)),0)</f>
        <v>0</v>
      </c>
      <c r="L94" s="530"/>
      <c r="M94" s="530">
        <f>IFERROR(IF(M93=0,0,M48*(M59*M55/M60)),0)</f>
        <v>0</v>
      </c>
      <c r="N94" s="530"/>
      <c r="O94" s="530">
        <f>IFERROR(IF(O93=0,0,O48*(O59*O55/O60)),0)</f>
        <v>0</v>
      </c>
      <c r="P94" s="530"/>
      <c r="Q94" s="530">
        <f>IFERROR(IF(Q93=0,0,Q48*(Q59*Q55/Q60)),0)</f>
        <v>0</v>
      </c>
      <c r="R94" s="530"/>
      <c r="S94" s="530">
        <f>IFERROR(IF(S93=0,0,S48*(S59*S55/S60)),0)</f>
        <v>0</v>
      </c>
      <c r="T94" s="530"/>
      <c r="U94" s="530">
        <f>IFERROR(IF(U93=0,0,U48*(U59*U55/U60)),0)</f>
        <v>0</v>
      </c>
      <c r="V94" s="530"/>
      <c r="W94" s="530">
        <f>IFERROR(IF(W93=0,0,W48*(W59*W55/W60)),0)</f>
        <v>0</v>
      </c>
      <c r="X94" s="55"/>
      <c r="Y94" s="10"/>
      <c r="Z94" s="10"/>
      <c r="AA94" s="10"/>
      <c r="AB94" s="10"/>
      <c r="AC94" s="10"/>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row>
    <row r="95" spans="1:76" ht="15" customHeight="1">
      <c r="A95" s="12"/>
      <c r="B95" s="56"/>
      <c r="C95" s="229" t="s">
        <v>17</v>
      </c>
      <c r="D95" s="229" t="s">
        <v>14</v>
      </c>
      <c r="E95" s="530">
        <f>SUMIFS('IB - E&amp;PH'!E4:E23,'IB - E&amp;PH'!$A$4:$A$23,"&lt;="&amp;E55)</f>
        <v>0</v>
      </c>
      <c r="F95" s="530"/>
      <c r="G95" s="530">
        <f>SUMIFS('IB - E&amp;PH'!G4:G23,'IB - E&amp;PH'!$A$4:$A$23,"&lt;="&amp;G55)</f>
        <v>0</v>
      </c>
      <c r="H95" s="530"/>
      <c r="I95" s="530">
        <f>SUMIFS('IB - E&amp;PH'!I4:I23,'IB - E&amp;PH'!$A$4:$A$23,"&lt;="&amp;I55)</f>
        <v>0</v>
      </c>
      <c r="J95" s="530"/>
      <c r="K95" s="530">
        <f>SUMIFS('IB - E&amp;PH'!K4:K23,'IB - E&amp;PH'!$A$4:$A$23,"&lt;="&amp;K55)</f>
        <v>0</v>
      </c>
      <c r="L95" s="530"/>
      <c r="M95" s="530">
        <f>SUMIFS('IB - E&amp;PH'!M4:M23,'IB - E&amp;PH'!$A$4:$A$23,"&lt;="&amp;M55)</f>
        <v>0</v>
      </c>
      <c r="N95" s="530"/>
      <c r="O95" s="530">
        <f>SUMIFS('IB - E&amp;PH'!O4:O23,'IB - E&amp;PH'!$A$4:$A$23,"&lt;="&amp;O55)</f>
        <v>0</v>
      </c>
      <c r="P95" s="530"/>
      <c r="Q95" s="530">
        <f>SUMIFS('IB - E&amp;PH'!Q4:Q23,'IB - E&amp;PH'!$A$4:$A$23,"&lt;="&amp;Q55)</f>
        <v>0</v>
      </c>
      <c r="R95" s="530"/>
      <c r="S95" s="530">
        <f>SUMIFS('IB - E&amp;PH'!S4:S23,'IB - E&amp;PH'!$A$4:$A$23,"&lt;="&amp;S55)</f>
        <v>0</v>
      </c>
      <c r="T95" s="530"/>
      <c r="U95" s="530">
        <f>SUMIFS('IB - E&amp;PH'!U4:U23,'IB - E&amp;PH'!$A$4:$A$23,"&lt;="&amp;U55)</f>
        <v>0</v>
      </c>
      <c r="V95" s="530"/>
      <c r="W95" s="530">
        <f>SUMIFS('IB - E&amp;PH'!W4:W23,'IB - E&amp;PH'!$A$4:$A$23,"&lt;="&amp;W55)</f>
        <v>0</v>
      </c>
      <c r="X95" s="55"/>
      <c r="Y95" s="10"/>
      <c r="Z95" s="10"/>
      <c r="AA95" s="10"/>
      <c r="AB95" s="10"/>
      <c r="AC95" s="10"/>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row>
    <row r="96" spans="1:76" ht="15" customHeight="1">
      <c r="A96" s="12"/>
      <c r="B96" s="56"/>
      <c r="C96" s="229" t="s">
        <v>25</v>
      </c>
      <c r="D96" s="229" t="s">
        <v>14</v>
      </c>
      <c r="E96" s="530">
        <f>SUMIFS('IB - E&amp;PH'!E49:E68,'IB - E&amp;PH'!$B$49:$B$68,"&lt;="&amp;E55)</f>
        <v>0</v>
      </c>
      <c r="F96" s="530"/>
      <c r="G96" s="530">
        <f>SUMIFS('IB - E&amp;PH'!G49:G68,'IB - E&amp;PH'!$B$49:$B$68,"&lt;="&amp;G55)</f>
        <v>0</v>
      </c>
      <c r="H96" s="530"/>
      <c r="I96" s="530">
        <f>SUMIFS('IB - E&amp;PH'!I49:I68,'IB - E&amp;PH'!$B$49:$B$68,"&lt;="&amp;I55)</f>
        <v>0</v>
      </c>
      <c r="J96" s="530"/>
      <c r="K96" s="530">
        <f>SUMIFS('IB - E&amp;PH'!K49:K68,'IB - E&amp;PH'!$B$49:$B$68,"&lt;="&amp;K55)</f>
        <v>0</v>
      </c>
      <c r="L96" s="530"/>
      <c r="M96" s="530">
        <f>SUMIFS('IB - E&amp;PH'!M49:M68,'IB - E&amp;PH'!$B$49:$B$68,"&lt;="&amp;M55)</f>
        <v>0</v>
      </c>
      <c r="N96" s="530"/>
      <c r="O96" s="530">
        <f>SUMIFS('IB - E&amp;PH'!O49:O68,'IB - E&amp;PH'!$B$49:$B$68,"&lt;="&amp;O55)</f>
        <v>0</v>
      </c>
      <c r="P96" s="530"/>
      <c r="Q96" s="530">
        <f>SUMIFS('IB - E&amp;PH'!Q49:Q68,'IB - E&amp;PH'!$B$49:$B$68,"&lt;="&amp;Q55)</f>
        <v>0</v>
      </c>
      <c r="R96" s="530"/>
      <c r="S96" s="530">
        <f>SUMIFS('IB - E&amp;PH'!S49:S68,'IB - E&amp;PH'!$B$49:$B$68,"&lt;="&amp;S55)</f>
        <v>0</v>
      </c>
      <c r="T96" s="530"/>
      <c r="U96" s="530">
        <f>SUMIFS('IB - E&amp;PH'!U49:U68,'IB - E&amp;PH'!$B$49:$B$68,"&lt;="&amp;U55)</f>
        <v>0</v>
      </c>
      <c r="V96" s="530"/>
      <c r="W96" s="530">
        <f>SUMIFS('IB - E&amp;PH'!W49:W68,'IB - E&amp;PH'!$B$49:$B$68,"&lt;="&amp;W55)</f>
        <v>0</v>
      </c>
      <c r="X96" s="133"/>
      <c r="Y96" s="10"/>
      <c r="Z96" s="10"/>
      <c r="AA96" s="10"/>
      <c r="AB96" s="10"/>
      <c r="AC96" s="10"/>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row>
    <row r="97" spans="1:76" ht="15" customHeight="1">
      <c r="A97" s="12"/>
      <c r="B97" s="56"/>
      <c r="C97" s="229" t="str">
        <f>IF(E29="nej","","Samfundsøkonomiske omkostninger af eksterne virkninger på miljøet")</f>
        <v>Samfundsøkonomiske omkostninger af eksterne virkninger på miljøet</v>
      </c>
      <c r="D97" s="229" t="str">
        <f>IF(C97="","","kr.")</f>
        <v>kr.</v>
      </c>
      <c r="E97" s="530">
        <f>IF($D$97="","",SUMIFS('IB - E&amp;PH'!E$187:E$206,'IB - E&amp;PH'!$C$187:$C$206,"&lt;="&amp;E55))</f>
        <v>0</v>
      </c>
      <c r="F97" s="530"/>
      <c r="G97" s="530">
        <f>IF($D$97="","",SUMIFS('IB - E&amp;PH'!G$187:G$206,'IB - E&amp;PH'!$C$187:$C$206,"&lt;="&amp;G55))</f>
        <v>0</v>
      </c>
      <c r="H97" s="530"/>
      <c r="I97" s="530">
        <f>IF($D$97="","",SUMIFS('IB - E&amp;PH'!I$187:I$206,'IB - E&amp;PH'!$C$187:$C$206,"&lt;="&amp;I55))</f>
        <v>0</v>
      </c>
      <c r="J97" s="530"/>
      <c r="K97" s="530">
        <f>IF($D$97="","",SUMIFS('IB - E&amp;PH'!K$187:K$206,'IB - E&amp;PH'!$C$187:$C$206,"&lt;="&amp;K55))</f>
        <v>0</v>
      </c>
      <c r="L97" s="530"/>
      <c r="M97" s="530">
        <f>IF($D$97="","",SUMIFS('IB - E&amp;PH'!M$187:M$206,'IB - E&amp;PH'!$C$187:$C$206,"&lt;="&amp;M55))</f>
        <v>0</v>
      </c>
      <c r="N97" s="530"/>
      <c r="O97" s="530">
        <f>IF($D$97="","",SUMIFS('IB - E&amp;PH'!O$187:O$206,'IB - E&amp;PH'!$C$187:$C$206,"&lt;="&amp;O55))</f>
        <v>0</v>
      </c>
      <c r="P97" s="530"/>
      <c r="Q97" s="530">
        <f>IF($D$97="","",SUMIFS('IB - E&amp;PH'!Q$187:Q$206,'IB - E&amp;PH'!$C$187:$C$206,"&lt;="&amp;Q55))</f>
        <v>0</v>
      </c>
      <c r="R97" s="530"/>
      <c r="S97" s="530">
        <f>IF($D$97="","",SUMIFS('IB - E&amp;PH'!S$187:S$206,'IB - E&amp;PH'!$C$187:$C$206,"&lt;="&amp;S55))</f>
        <v>0</v>
      </c>
      <c r="T97" s="530"/>
      <c r="U97" s="530">
        <f>IF($D$97="","",SUMIFS('IB - E&amp;PH'!U$187:U$206,'IB - E&amp;PH'!$C$187:$C$206,"&lt;="&amp;U55))</f>
        <v>0</v>
      </c>
      <c r="V97" s="530"/>
      <c r="W97" s="530">
        <f>IF($D$97="","",SUMIFS('IB - E&amp;PH'!W$187:W$206,'IB - E&amp;PH'!$C$187:$C$206,"&lt;="&amp;W55))</f>
        <v>0</v>
      </c>
      <c r="X97" s="55"/>
      <c r="Y97" s="10"/>
      <c r="Z97" s="10"/>
      <c r="AA97" s="10"/>
      <c r="AB97" s="10"/>
      <c r="AC97" s="10"/>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row>
    <row r="98" spans="1:76" ht="15" customHeight="1">
      <c r="A98" s="12"/>
      <c r="B98" s="59"/>
      <c r="C98" s="229"/>
      <c r="D98" s="229"/>
      <c r="E98" s="530"/>
      <c r="F98" s="530"/>
      <c r="G98" s="530"/>
      <c r="H98" s="530"/>
      <c r="I98" s="530"/>
      <c r="J98" s="530"/>
      <c r="K98" s="530"/>
      <c r="L98" s="530"/>
      <c r="M98" s="530"/>
      <c r="N98" s="530"/>
      <c r="O98" s="530"/>
      <c r="P98" s="530"/>
      <c r="Q98" s="530"/>
      <c r="R98" s="530"/>
      <c r="S98" s="530"/>
      <c r="T98" s="530"/>
      <c r="U98" s="530"/>
      <c r="V98" s="530"/>
      <c r="W98" s="530"/>
      <c r="X98" s="60"/>
      <c r="Y98" s="10"/>
      <c r="Z98" s="10"/>
      <c r="AA98" s="10"/>
      <c r="AB98" s="10"/>
      <c r="AC98" s="10"/>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row>
    <row r="99" spans="1:76" ht="15" customHeight="1">
      <c r="A99" s="12"/>
      <c r="B99" s="56"/>
      <c r="C99" s="229" t="s">
        <v>49</v>
      </c>
      <c r="D99" s="229" t="s">
        <v>14</v>
      </c>
      <c r="E99" s="530">
        <f>SUM(E93:E97)</f>
        <v>0</v>
      </c>
      <c r="F99" s="530"/>
      <c r="G99" s="530">
        <f>SUM(G93:G97)</f>
        <v>0</v>
      </c>
      <c r="H99" s="530"/>
      <c r="I99" s="530">
        <f>SUM(I93:I97)</f>
        <v>0</v>
      </c>
      <c r="J99" s="530"/>
      <c r="K99" s="530">
        <f>SUM(K93:K97)</f>
        <v>0</v>
      </c>
      <c r="L99" s="530"/>
      <c r="M99" s="530">
        <f>SUM(M93:M97)</f>
        <v>0</v>
      </c>
      <c r="N99" s="530"/>
      <c r="O99" s="530">
        <f>SUM(O93:O97)</f>
        <v>0</v>
      </c>
      <c r="P99" s="530"/>
      <c r="Q99" s="530">
        <f>SUM(Q93:Q97)</f>
        <v>0</v>
      </c>
      <c r="R99" s="530"/>
      <c r="S99" s="530">
        <f>SUM(S93:S97)</f>
        <v>0</v>
      </c>
      <c r="T99" s="530"/>
      <c r="U99" s="530">
        <f>SUM(U93:U97)</f>
        <v>0</v>
      </c>
      <c r="V99" s="530"/>
      <c r="W99" s="530">
        <f>SUM(W93:W97)</f>
        <v>0</v>
      </c>
      <c r="X99" s="61"/>
      <c r="Y99" s="10"/>
      <c r="Z99" s="10"/>
      <c r="AA99" s="10"/>
      <c r="AB99" s="10"/>
      <c r="AC99" s="10"/>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row>
    <row r="100" spans="1:76" ht="15" customHeight="1">
      <c r="A100" s="12"/>
      <c r="B100" s="56"/>
      <c r="C100" s="229" t="s">
        <v>28</v>
      </c>
      <c r="D100" s="229" t="s">
        <v>29</v>
      </c>
      <c r="E100" s="530">
        <f>PMT(E56,E55,-E99)</f>
        <v>0</v>
      </c>
      <c r="F100" s="530"/>
      <c r="G100" s="530">
        <f>PMT(G56,G55,-G99)</f>
        <v>0</v>
      </c>
      <c r="H100" s="530"/>
      <c r="I100" s="530">
        <f>PMT(I56,I55,-I99)</f>
        <v>0</v>
      </c>
      <c r="J100" s="530"/>
      <c r="K100" s="530">
        <f>PMT(K56,K55,-K99)</f>
        <v>0</v>
      </c>
      <c r="L100" s="530"/>
      <c r="M100" s="530">
        <f>PMT(M56,M55,-M99)</f>
        <v>0</v>
      </c>
      <c r="N100" s="530"/>
      <c r="O100" s="530">
        <f>PMT(O56,O55,-O99)</f>
        <v>0</v>
      </c>
      <c r="P100" s="530"/>
      <c r="Q100" s="530">
        <f>PMT(Q56,Q55,-Q99)</f>
        <v>0</v>
      </c>
      <c r="R100" s="530"/>
      <c r="S100" s="530">
        <f>PMT(S56,S55,-S99)</f>
        <v>0</v>
      </c>
      <c r="T100" s="530"/>
      <c r="U100" s="530">
        <f>PMT(U56,U55,-U99)</f>
        <v>0</v>
      </c>
      <c r="V100" s="530"/>
      <c r="W100" s="530">
        <f>PMT(W56,W55,-W99)</f>
        <v>0</v>
      </c>
      <c r="X100" s="61"/>
      <c r="Y100" s="10"/>
      <c r="Z100" s="10"/>
      <c r="AA100" s="10"/>
      <c r="AB100" s="10"/>
      <c r="AC100" s="10"/>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row>
    <row r="101" spans="1:76" ht="15" customHeight="1">
      <c r="A101" s="12"/>
      <c r="B101" s="56"/>
      <c r="C101" s="229"/>
      <c r="D101" s="229"/>
      <c r="E101" s="132"/>
      <c r="F101" s="132"/>
      <c r="G101" s="132"/>
      <c r="H101" s="132"/>
      <c r="I101" s="132"/>
      <c r="J101" s="132"/>
      <c r="K101" s="132"/>
      <c r="L101" s="132"/>
      <c r="M101" s="132"/>
      <c r="N101" s="132"/>
      <c r="O101" s="132"/>
      <c r="P101" s="132"/>
      <c r="Q101" s="132"/>
      <c r="R101" s="132"/>
      <c r="S101" s="132"/>
      <c r="T101" s="132"/>
      <c r="U101" s="132"/>
      <c r="V101" s="132"/>
      <c r="W101" s="132"/>
      <c r="X101" s="61"/>
      <c r="Y101" s="10"/>
      <c r="Z101" s="10"/>
      <c r="AA101" s="10"/>
      <c r="AB101" s="10"/>
      <c r="AC101" s="10"/>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row>
    <row r="102" spans="1:76" ht="15" customHeight="1">
      <c r="A102" s="12"/>
      <c r="B102" s="56"/>
      <c r="C102" s="229" t="str">
        <f>IF(E29="ja","Samlede eksterne virkninger på miljøet fra brugsfasen","")</f>
        <v>Samlede eksterne virkninger på miljøet fra brugsfasen</v>
      </c>
      <c r="D102" s="229" t="str">
        <f>IF(C102="","","tons CO2e")</f>
        <v>tons CO2e</v>
      </c>
      <c r="E102" s="274">
        <f>IF(E29="ja",SUMIFS('IB - E&amp;PH'!F$187:F$206,'IB - E&amp;PH'!$B187:$B206,"&lt;="&amp;'El og plugin hybrid'!E55),"")</f>
        <v>0</v>
      </c>
      <c r="F102" s="274"/>
      <c r="G102" s="274">
        <f>IF(G29="ja",SUMIFS('IB - E&amp;PH'!H$187:H$206,'IB - E&amp;PH'!$B187:$B206,"&lt;="&amp;'El og plugin hybrid'!G55),"")</f>
        <v>0</v>
      </c>
      <c r="H102" s="274"/>
      <c r="I102" s="274">
        <f>IF(I29="ja",SUMIFS('IB - E&amp;PH'!J$187:J$206,'IB - E&amp;PH'!$B187:$B206,"&lt;="&amp;'El og plugin hybrid'!I55),"")</f>
        <v>0</v>
      </c>
      <c r="J102" s="274"/>
      <c r="K102" s="274">
        <f>IF(K29="ja",SUMIFS('IB - E&amp;PH'!L$187:L$206,'IB - E&amp;PH'!$B187:$B206,"&lt;="&amp;'El og plugin hybrid'!K55),"")</f>
        <v>0</v>
      </c>
      <c r="L102" s="274"/>
      <c r="M102" s="274">
        <f>IF(M29="ja",SUMIFS('IB - E&amp;PH'!N$187:N$206,'IB - E&amp;PH'!$B187:$B206,"&lt;="&amp;'El og plugin hybrid'!M55),"")</f>
        <v>0</v>
      </c>
      <c r="N102" s="274"/>
      <c r="O102" s="274">
        <f>IF(O29="ja",SUMIFS('IB - E&amp;PH'!P$187:P$206,'IB - E&amp;PH'!$B187:$B206,"&lt;="&amp;'El og plugin hybrid'!O55),"")</f>
        <v>0</v>
      </c>
      <c r="P102" s="274"/>
      <c r="Q102" s="274">
        <f>IF(Q29="ja",SUMIFS('IB - E&amp;PH'!R$187:R$206,'IB - E&amp;PH'!$B187:$B206,"&lt;="&amp;'El og plugin hybrid'!Q55),"")</f>
        <v>0</v>
      </c>
      <c r="R102" s="274"/>
      <c r="S102" s="274">
        <f>IF(S29="ja",SUMIFS('IB - E&amp;PH'!T$187:T$206,'IB - E&amp;PH'!$B187:$B206,"&lt;="&amp;'El og plugin hybrid'!S55),"")</f>
        <v>0</v>
      </c>
      <c r="T102" s="274"/>
      <c r="U102" s="274">
        <f>IF(U29="ja",SUMIFS('IB - E&amp;PH'!V$187:V$206,'IB - E&amp;PH'!$B187:$B206,"&lt;="&amp;'El og plugin hybrid'!U55),"")</f>
        <v>0</v>
      </c>
      <c r="V102" s="274"/>
      <c r="W102" s="274">
        <f>IF(W29="ja",SUMIFS('IB - E&amp;PH'!X$187:X$206,'IB - E&amp;PH'!$B187:$B206,"&lt;="&amp;'El og plugin hybrid'!W55),"")</f>
        <v>0</v>
      </c>
      <c r="X102" s="61"/>
      <c r="Y102" s="10"/>
      <c r="Z102" s="10"/>
      <c r="AA102" s="10"/>
      <c r="AB102" s="10"/>
      <c r="AC102" s="10"/>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row>
    <row r="103" spans="1:76" ht="15" customHeight="1">
      <c r="A103" s="12"/>
      <c r="B103" s="56"/>
      <c r="C103" s="132"/>
      <c r="D103" s="132"/>
      <c r="E103" s="132"/>
      <c r="F103" s="132"/>
      <c r="G103" s="132"/>
      <c r="H103" s="132"/>
      <c r="I103" s="132"/>
      <c r="J103" s="132"/>
      <c r="K103" s="132"/>
      <c r="L103" s="132"/>
      <c r="M103" s="132"/>
      <c r="N103" s="132"/>
      <c r="O103" s="132"/>
      <c r="P103" s="132"/>
      <c r="Q103" s="132"/>
      <c r="R103" s="132"/>
      <c r="S103" s="132"/>
      <c r="T103" s="132"/>
      <c r="U103" s="132"/>
      <c r="V103" s="132"/>
      <c r="W103" s="132"/>
      <c r="X103" s="61"/>
      <c r="Y103" s="10"/>
      <c r="Z103" s="10"/>
      <c r="AA103" s="10"/>
      <c r="AB103" s="10"/>
      <c r="AC103" s="10"/>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row>
    <row r="104" spans="1:76" ht="15" customHeight="1">
      <c r="A104" s="12"/>
      <c r="B104" s="56"/>
      <c r="C104" s="57"/>
      <c r="D104" s="53"/>
      <c r="E104" s="57"/>
      <c r="F104" s="57"/>
      <c r="G104" s="57"/>
      <c r="H104" s="57"/>
      <c r="I104" s="57"/>
      <c r="J104" s="57"/>
      <c r="K104" s="57"/>
      <c r="L104" s="57"/>
      <c r="M104" s="57"/>
      <c r="N104" s="57"/>
      <c r="O104" s="57"/>
      <c r="P104" s="57"/>
      <c r="Q104" s="57"/>
      <c r="R104" s="57"/>
      <c r="S104" s="57"/>
      <c r="T104" s="57"/>
      <c r="U104" s="57"/>
      <c r="V104" s="57"/>
      <c r="W104" s="57"/>
      <c r="X104" s="61"/>
      <c r="Y104" s="10"/>
      <c r="Z104" s="10"/>
      <c r="AA104" s="10"/>
      <c r="AB104" s="10"/>
      <c r="AC104" s="10"/>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row>
    <row r="105" spans="1:76" ht="15" customHeight="1">
      <c r="A105" s="12"/>
      <c r="B105" s="56"/>
      <c r="C105" s="57"/>
      <c r="D105" s="53"/>
      <c r="E105" s="57"/>
      <c r="F105" s="57"/>
      <c r="G105" s="57"/>
      <c r="H105" s="57"/>
      <c r="I105" s="57"/>
      <c r="J105" s="57"/>
      <c r="K105" s="57"/>
      <c r="L105" s="57"/>
      <c r="M105" s="57"/>
      <c r="N105" s="57"/>
      <c r="O105" s="57"/>
      <c r="P105" s="57"/>
      <c r="Q105" s="57"/>
      <c r="R105" s="57"/>
      <c r="S105" s="57"/>
      <c r="T105" s="57"/>
      <c r="U105" s="57"/>
      <c r="V105" s="57"/>
      <c r="W105" s="57"/>
      <c r="X105" s="61"/>
      <c r="Y105" s="10"/>
      <c r="Z105" s="10"/>
      <c r="AA105" s="10"/>
      <c r="AB105" s="10"/>
      <c r="AC105" s="10"/>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row>
    <row r="106" spans="1:76" ht="15" customHeight="1">
      <c r="A106" s="12"/>
      <c r="B106" s="56"/>
      <c r="C106" s="57"/>
      <c r="D106" s="53"/>
      <c r="E106" s="57"/>
      <c r="F106" s="57"/>
      <c r="G106" s="57"/>
      <c r="H106" s="57"/>
      <c r="I106" s="57"/>
      <c r="J106" s="57"/>
      <c r="K106" s="57"/>
      <c r="L106" s="57"/>
      <c r="M106" s="57"/>
      <c r="N106" s="57"/>
      <c r="O106" s="57"/>
      <c r="P106" s="57"/>
      <c r="Q106" s="57"/>
      <c r="R106" s="57"/>
      <c r="S106" s="57"/>
      <c r="T106" s="57"/>
      <c r="U106" s="57"/>
      <c r="V106" s="57"/>
      <c r="W106" s="57"/>
      <c r="X106" s="61"/>
      <c r="Y106" s="10"/>
      <c r="Z106" s="10"/>
      <c r="AA106" s="10"/>
      <c r="AB106" s="10"/>
      <c r="AC106" s="10"/>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row>
    <row r="107" spans="1:76" ht="15" customHeight="1">
      <c r="A107" s="12"/>
      <c r="B107" s="56"/>
      <c r="C107" s="57"/>
      <c r="D107" s="53"/>
      <c r="E107" s="57"/>
      <c r="F107" s="57"/>
      <c r="G107" s="57"/>
      <c r="H107" s="57"/>
      <c r="I107" s="57"/>
      <c r="J107" s="57"/>
      <c r="K107" s="57"/>
      <c r="L107" s="57"/>
      <c r="M107" s="57"/>
      <c r="N107" s="57"/>
      <c r="O107" s="57"/>
      <c r="P107" s="57"/>
      <c r="Q107" s="57"/>
      <c r="R107" s="57"/>
      <c r="S107" s="57"/>
      <c r="T107" s="57"/>
      <c r="U107" s="57"/>
      <c r="V107" s="57"/>
      <c r="W107" s="57"/>
      <c r="X107" s="61"/>
      <c r="Y107" s="10"/>
      <c r="Z107" s="10"/>
      <c r="AA107" s="10"/>
      <c r="AB107" s="10"/>
      <c r="AC107" s="10"/>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row>
    <row r="108" spans="1:76" ht="15" customHeight="1">
      <c r="A108" s="12"/>
      <c r="B108" s="56"/>
      <c r="C108" s="57"/>
      <c r="D108" s="53"/>
      <c r="E108" s="57"/>
      <c r="F108" s="57"/>
      <c r="G108" s="57"/>
      <c r="H108" s="57"/>
      <c r="I108" s="57"/>
      <c r="J108" s="57"/>
      <c r="K108" s="57"/>
      <c r="L108" s="57"/>
      <c r="M108" s="57"/>
      <c r="N108" s="57"/>
      <c r="O108" s="57"/>
      <c r="P108" s="57"/>
      <c r="Q108" s="57"/>
      <c r="R108" s="57"/>
      <c r="S108" s="57"/>
      <c r="T108" s="57"/>
      <c r="U108" s="57"/>
      <c r="V108" s="57"/>
      <c r="W108" s="57"/>
      <c r="X108" s="61"/>
      <c r="Y108" s="10"/>
      <c r="Z108" s="10"/>
      <c r="AA108" s="10"/>
      <c r="AB108" s="10"/>
      <c r="AC108" s="10"/>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row>
    <row r="109" spans="1:76" ht="15" customHeight="1">
      <c r="A109" s="12"/>
      <c r="B109" s="56"/>
      <c r="C109" s="57"/>
      <c r="D109" s="53"/>
      <c r="E109" s="57"/>
      <c r="F109" s="57"/>
      <c r="G109" s="57"/>
      <c r="H109" s="57"/>
      <c r="I109" s="57"/>
      <c r="J109" s="57"/>
      <c r="K109" s="57"/>
      <c r="L109" s="57"/>
      <c r="M109" s="57"/>
      <c r="N109" s="57"/>
      <c r="O109" s="57"/>
      <c r="P109" s="57"/>
      <c r="Q109" s="57"/>
      <c r="R109" s="57"/>
      <c r="S109" s="57"/>
      <c r="T109" s="57"/>
      <c r="U109" s="57"/>
      <c r="V109" s="57"/>
      <c r="W109" s="57"/>
      <c r="X109" s="61"/>
      <c r="Y109" s="10"/>
      <c r="Z109" s="10"/>
      <c r="AA109" s="10"/>
      <c r="AB109" s="10"/>
      <c r="AC109" s="10"/>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row>
    <row r="110" spans="1:76" ht="15" customHeight="1">
      <c r="A110" s="12"/>
      <c r="B110" s="56"/>
      <c r="C110" s="57"/>
      <c r="D110" s="53"/>
      <c r="E110" s="57"/>
      <c r="F110" s="57"/>
      <c r="G110" s="57"/>
      <c r="H110" s="57"/>
      <c r="I110" s="57"/>
      <c r="J110" s="57"/>
      <c r="K110" s="57"/>
      <c r="L110" s="57"/>
      <c r="M110" s="57"/>
      <c r="N110" s="57"/>
      <c r="O110" s="57"/>
      <c r="P110" s="57"/>
      <c r="Q110" s="57"/>
      <c r="R110" s="57"/>
      <c r="S110" s="57"/>
      <c r="T110" s="57"/>
      <c r="U110" s="57"/>
      <c r="V110" s="57"/>
      <c r="W110" s="57"/>
      <c r="X110" s="61"/>
      <c r="Y110" s="10"/>
      <c r="Z110" s="10"/>
      <c r="AA110" s="10"/>
      <c r="AB110" s="10"/>
      <c r="AC110" s="10"/>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row>
    <row r="111" spans="1:76" ht="15" customHeight="1">
      <c r="A111" s="12"/>
      <c r="B111" s="56"/>
      <c r="C111" s="57"/>
      <c r="D111" s="53"/>
      <c r="E111" s="57"/>
      <c r="F111" s="57"/>
      <c r="G111" s="57"/>
      <c r="H111" s="57"/>
      <c r="I111" s="57"/>
      <c r="J111" s="57"/>
      <c r="K111" s="57"/>
      <c r="L111" s="57"/>
      <c r="M111" s="57"/>
      <c r="N111" s="57"/>
      <c r="O111" s="57"/>
      <c r="P111" s="57"/>
      <c r="Q111" s="57"/>
      <c r="R111" s="57"/>
      <c r="S111" s="57"/>
      <c r="T111" s="57"/>
      <c r="U111" s="57"/>
      <c r="V111" s="57"/>
      <c r="W111" s="57"/>
      <c r="X111" s="61"/>
      <c r="Y111" s="10"/>
      <c r="Z111" s="10"/>
      <c r="AA111" s="10"/>
      <c r="AB111" s="10"/>
      <c r="AC111" s="10"/>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row>
    <row r="112" spans="1:76" ht="15" customHeight="1">
      <c r="A112" s="12"/>
      <c r="B112" s="56"/>
      <c r="C112" s="57"/>
      <c r="D112" s="53"/>
      <c r="E112" s="57"/>
      <c r="F112" s="57"/>
      <c r="G112" s="57"/>
      <c r="H112" s="57"/>
      <c r="I112" s="57"/>
      <c r="J112" s="57"/>
      <c r="K112" s="57"/>
      <c r="L112" s="57"/>
      <c r="M112" s="57"/>
      <c r="N112" s="57"/>
      <c r="O112" s="57"/>
      <c r="P112" s="57"/>
      <c r="Q112" s="57"/>
      <c r="R112" s="57"/>
      <c r="S112" s="57"/>
      <c r="T112" s="57"/>
      <c r="U112" s="57"/>
      <c r="V112" s="57"/>
      <c r="W112" s="57"/>
      <c r="X112" s="61"/>
      <c r="Y112" s="10"/>
      <c r="Z112" s="10"/>
      <c r="AA112" s="10"/>
      <c r="AB112" s="10"/>
      <c r="AC112" s="10"/>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row>
    <row r="113" spans="1:76" ht="15" customHeight="1">
      <c r="A113" s="12"/>
      <c r="B113" s="56"/>
      <c r="C113" s="57"/>
      <c r="D113" s="57"/>
      <c r="E113" s="57"/>
      <c r="F113" s="57"/>
      <c r="G113" s="57"/>
      <c r="H113" s="57"/>
      <c r="I113" s="57"/>
      <c r="J113" s="57"/>
      <c r="K113" s="57"/>
      <c r="L113" s="57"/>
      <c r="M113" s="57"/>
      <c r="N113" s="57"/>
      <c r="O113" s="57"/>
      <c r="P113" s="57"/>
      <c r="Q113" s="57"/>
      <c r="R113" s="57"/>
      <c r="S113" s="57"/>
      <c r="T113" s="57"/>
      <c r="U113" s="57"/>
      <c r="V113" s="57"/>
      <c r="W113" s="57"/>
      <c r="X113" s="61"/>
      <c r="Y113" s="8"/>
      <c r="Z113" s="8"/>
      <c r="AA113" s="8"/>
      <c r="AB113" s="8"/>
      <c r="AC113" s="8"/>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row>
    <row r="114" spans="1:76" s="64" customFormat="1" ht="15" customHeight="1">
      <c r="A114" s="12"/>
      <c r="B114" s="56"/>
      <c r="C114" s="57"/>
      <c r="D114" s="57"/>
      <c r="E114" s="57"/>
      <c r="F114" s="57"/>
      <c r="G114" s="57"/>
      <c r="H114" s="57"/>
      <c r="I114" s="57"/>
      <c r="J114" s="57"/>
      <c r="K114" s="57"/>
      <c r="L114" s="57"/>
      <c r="M114" s="57"/>
      <c r="N114" s="57"/>
      <c r="O114" s="57"/>
      <c r="P114" s="57"/>
      <c r="Q114" s="57"/>
      <c r="R114" s="57"/>
      <c r="S114" s="57"/>
      <c r="T114" s="57"/>
      <c r="U114" s="57"/>
      <c r="V114" s="57"/>
      <c r="W114" s="57"/>
      <c r="X114" s="61"/>
      <c r="Y114" s="12"/>
      <c r="Z114" s="142"/>
      <c r="AA114" s="8"/>
      <c r="AB114" s="8"/>
      <c r="AC114" s="8"/>
      <c r="AD114" s="63"/>
      <c r="AE114" s="63"/>
      <c r="AF114" s="63"/>
      <c r="AG114" s="63"/>
      <c r="AH114" s="63"/>
      <c r="AI114" s="63"/>
      <c r="AJ114" s="63"/>
      <c r="AK114" s="63"/>
      <c r="AL114" s="63"/>
      <c r="AM114" s="63"/>
      <c r="AN114" s="63"/>
      <c r="AO114" s="63"/>
      <c r="AP114" s="63"/>
      <c r="AQ114" s="63"/>
      <c r="AR114" s="63"/>
      <c r="AS114" s="63"/>
      <c r="AT114" s="63"/>
      <c r="AU114" s="63"/>
      <c r="AV114" s="63"/>
      <c r="AW114" s="63"/>
      <c r="AX114" s="63"/>
      <c r="AY114" s="63"/>
      <c r="AZ114" s="63"/>
      <c r="BA114" s="63"/>
      <c r="BB114" s="63"/>
    </row>
    <row r="115" spans="1:76" s="65" customFormat="1" ht="15" customHeight="1">
      <c r="A115" s="12"/>
      <c r="B115" s="56"/>
      <c r="C115" s="57"/>
      <c r="D115" s="57"/>
      <c r="E115" s="57"/>
      <c r="F115" s="57"/>
      <c r="G115" s="57"/>
      <c r="H115" s="57"/>
      <c r="I115" s="57"/>
      <c r="J115" s="57"/>
      <c r="K115" s="57"/>
      <c r="L115" s="57"/>
      <c r="M115" s="57"/>
      <c r="N115" s="57"/>
      <c r="O115" s="57"/>
      <c r="P115" s="57"/>
      <c r="Q115" s="57"/>
      <c r="R115" s="57"/>
      <c r="S115" s="57"/>
      <c r="T115" s="57"/>
      <c r="U115" s="57"/>
      <c r="V115" s="57"/>
      <c r="W115" s="57"/>
      <c r="X115" s="61"/>
      <c r="Y115" s="12"/>
      <c r="Z115" s="166"/>
      <c r="AA115" s="8"/>
      <c r="AB115" s="8"/>
      <c r="AC115" s="8"/>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row>
    <row r="116" spans="1:76" s="64" customFormat="1" ht="15" customHeight="1">
      <c r="A116" s="12"/>
      <c r="B116" s="56"/>
      <c r="C116" s="57"/>
      <c r="D116" s="57"/>
      <c r="E116" s="57"/>
      <c r="F116" s="57"/>
      <c r="G116" s="57"/>
      <c r="H116" s="57"/>
      <c r="I116" s="57"/>
      <c r="J116" s="57"/>
      <c r="K116" s="57"/>
      <c r="L116" s="57"/>
      <c r="M116" s="57"/>
      <c r="N116" s="57"/>
      <c r="O116" s="57"/>
      <c r="P116" s="57"/>
      <c r="Q116" s="57"/>
      <c r="R116" s="57"/>
      <c r="S116" s="57"/>
      <c r="T116" s="57"/>
      <c r="U116" s="57"/>
      <c r="V116" s="57"/>
      <c r="W116" s="57"/>
      <c r="X116" s="61"/>
      <c r="Y116" s="12"/>
      <c r="Z116" s="142"/>
      <c r="AA116" s="8"/>
      <c r="AB116" s="8"/>
      <c r="AC116" s="8"/>
      <c r="AD116" s="63"/>
      <c r="AE116" s="63"/>
      <c r="AF116" s="63"/>
      <c r="AG116" s="63"/>
      <c r="AH116" s="63"/>
      <c r="AI116" s="63"/>
      <c r="AJ116" s="63"/>
      <c r="AK116" s="63"/>
      <c r="AL116" s="63"/>
      <c r="AM116" s="63"/>
      <c r="AN116" s="63"/>
      <c r="AO116" s="63"/>
      <c r="AP116" s="63"/>
      <c r="AQ116" s="63"/>
      <c r="AR116" s="63"/>
      <c r="AS116" s="63"/>
      <c r="AT116" s="63"/>
      <c r="AU116" s="63"/>
      <c r="AV116" s="63"/>
      <c r="AW116" s="63"/>
      <c r="AX116" s="63"/>
      <c r="AY116" s="63"/>
      <c r="AZ116" s="63"/>
      <c r="BA116" s="63"/>
      <c r="BB116" s="63"/>
    </row>
    <row r="117" spans="1:76" s="64" customFormat="1" ht="15" customHeight="1">
      <c r="A117" s="161"/>
      <c r="B117" s="57"/>
      <c r="C117" s="57"/>
      <c r="D117" s="57"/>
      <c r="E117" s="57"/>
      <c r="F117" s="57"/>
      <c r="G117" s="57"/>
      <c r="H117" s="57"/>
      <c r="I117" s="57"/>
      <c r="J117" s="57"/>
      <c r="K117" s="57"/>
      <c r="L117" s="57"/>
      <c r="M117" s="57"/>
      <c r="N117" s="57"/>
      <c r="O117" s="57"/>
      <c r="P117" s="57"/>
      <c r="Q117" s="57"/>
      <c r="R117" s="57"/>
      <c r="S117" s="57"/>
      <c r="T117" s="57"/>
      <c r="U117" s="57"/>
      <c r="V117" s="57"/>
      <c r="W117" s="57"/>
      <c r="X117" s="57"/>
      <c r="Y117" s="158"/>
      <c r="Z117" s="142"/>
      <c r="AA117" s="8"/>
      <c r="AB117" s="8"/>
      <c r="AC117" s="8"/>
      <c r="AD117" s="63"/>
      <c r="AE117" s="63"/>
      <c r="AF117" s="63"/>
      <c r="AG117" s="63"/>
      <c r="AH117" s="63"/>
      <c r="AI117" s="63"/>
      <c r="AJ117" s="63"/>
      <c r="AK117" s="63"/>
      <c r="AL117" s="63"/>
      <c r="AM117" s="63"/>
      <c r="AN117" s="63"/>
      <c r="AO117" s="63"/>
      <c r="AP117" s="63"/>
      <c r="AQ117" s="63"/>
      <c r="AR117" s="63"/>
      <c r="AS117" s="63"/>
      <c r="AT117" s="63"/>
      <c r="AU117" s="63"/>
      <c r="AV117" s="63"/>
      <c r="AW117" s="63"/>
      <c r="AX117" s="63"/>
      <c r="AY117" s="63"/>
      <c r="AZ117" s="63"/>
      <c r="BA117" s="63"/>
      <c r="BB117" s="63"/>
    </row>
    <row r="118" spans="1:76" s="64" customFormat="1" ht="15" customHeight="1">
      <c r="A118" s="161"/>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58"/>
      <c r="Z118" s="142"/>
      <c r="AA118" s="8"/>
      <c r="AB118" s="8"/>
      <c r="AC118" s="8"/>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row>
    <row r="119" spans="1:76" s="64" customFormat="1" ht="15" customHeight="1">
      <c r="A119" s="162"/>
      <c r="B119" s="144"/>
      <c r="C119" s="144"/>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59"/>
      <c r="Z119" s="142"/>
      <c r="AA119" s="142"/>
      <c r="AB119" s="142"/>
      <c r="AC119" s="142"/>
      <c r="AD119" s="63"/>
      <c r="AE119" s="63"/>
      <c r="AF119" s="63"/>
      <c r="AG119" s="63"/>
      <c r="AH119" s="63"/>
      <c r="AI119" s="63"/>
      <c r="AJ119" s="63"/>
      <c r="AK119" s="63"/>
      <c r="AL119" s="63"/>
      <c r="AM119" s="63"/>
      <c r="AN119" s="63"/>
      <c r="AO119" s="63"/>
      <c r="AP119" s="63"/>
      <c r="AQ119" s="63"/>
      <c r="AR119" s="63"/>
      <c r="AS119" s="63"/>
      <c r="AT119" s="63"/>
      <c r="AU119" s="63"/>
      <c r="AV119" s="63"/>
      <c r="AW119" s="63"/>
      <c r="AX119" s="63"/>
      <c r="AY119" s="63"/>
      <c r="AZ119" s="63"/>
      <c r="BA119" s="63"/>
      <c r="BB119" s="63"/>
    </row>
    <row r="120" spans="1:76" s="64" customFormat="1" ht="15" customHeight="1">
      <c r="A120" s="162"/>
      <c r="B120" s="144"/>
      <c r="C120" s="144"/>
      <c r="D120" s="144"/>
      <c r="E120" s="144"/>
      <c r="F120" s="144"/>
      <c r="G120" s="144"/>
      <c r="H120" s="144"/>
      <c r="I120" s="144"/>
      <c r="J120" s="144"/>
      <c r="K120" s="144"/>
      <c r="L120" s="144"/>
      <c r="M120" s="144"/>
      <c r="N120" s="144"/>
      <c r="O120" s="144"/>
      <c r="P120" s="144"/>
      <c r="Q120" s="144"/>
      <c r="R120" s="144"/>
      <c r="S120" s="144"/>
      <c r="T120" s="144"/>
      <c r="U120" s="144"/>
      <c r="V120" s="144"/>
      <c r="W120" s="144"/>
      <c r="X120" s="145"/>
      <c r="Y120" s="160"/>
      <c r="Z120" s="142"/>
      <c r="AA120" s="142"/>
      <c r="AB120" s="142"/>
      <c r="AC120" s="142"/>
      <c r="AD120" s="63"/>
      <c r="AE120" s="63"/>
      <c r="AF120" s="63"/>
      <c r="AG120" s="63"/>
      <c r="AH120" s="63"/>
      <c r="AI120" s="63"/>
      <c r="AJ120" s="63"/>
      <c r="AK120" s="63"/>
      <c r="AL120" s="63"/>
      <c r="AM120" s="63"/>
      <c r="AN120" s="63"/>
      <c r="AO120" s="63"/>
      <c r="AP120" s="63"/>
      <c r="AQ120" s="63"/>
      <c r="AR120" s="63"/>
      <c r="AS120" s="63"/>
      <c r="AT120" s="63"/>
      <c r="AU120" s="63"/>
      <c r="AV120" s="63"/>
      <c r="AW120" s="63"/>
      <c r="AX120" s="63"/>
      <c r="AY120" s="63"/>
      <c r="AZ120" s="63"/>
      <c r="BA120" s="63"/>
      <c r="BB120" s="63"/>
    </row>
    <row r="121" spans="1:76" s="64" customFormat="1" ht="15" customHeight="1">
      <c r="A121" s="162"/>
      <c r="B121" s="144"/>
      <c r="C121" s="144"/>
      <c r="D121" s="144"/>
      <c r="E121" s="144"/>
      <c r="F121" s="144"/>
      <c r="G121" s="144"/>
      <c r="H121" s="144"/>
      <c r="I121" s="144"/>
      <c r="J121" s="144"/>
      <c r="K121" s="144"/>
      <c r="L121" s="144"/>
      <c r="M121" s="144"/>
      <c r="N121" s="144"/>
      <c r="O121" s="144"/>
      <c r="P121" s="144"/>
      <c r="Q121" s="144"/>
      <c r="R121" s="144"/>
      <c r="S121" s="144"/>
      <c r="T121" s="144"/>
      <c r="U121" s="144"/>
      <c r="V121" s="144"/>
      <c r="W121" s="144"/>
      <c r="X121" s="145"/>
      <c r="Y121" s="160"/>
      <c r="Z121" s="142"/>
      <c r="AA121" s="142"/>
      <c r="AB121" s="142"/>
      <c r="AC121" s="142"/>
      <c r="AD121" s="63"/>
      <c r="AE121" s="63"/>
      <c r="AF121" s="63"/>
      <c r="AG121" s="63"/>
      <c r="AH121" s="63"/>
      <c r="AI121" s="63"/>
      <c r="AJ121" s="63"/>
      <c r="AK121" s="63"/>
      <c r="AL121" s="63"/>
      <c r="AM121" s="63"/>
      <c r="AN121" s="63"/>
      <c r="AO121" s="63"/>
      <c r="AP121" s="63"/>
      <c r="AQ121" s="63"/>
      <c r="AR121" s="63"/>
      <c r="AS121" s="63"/>
      <c r="AT121" s="63"/>
      <c r="AU121" s="63"/>
      <c r="AV121" s="63"/>
      <c r="AW121" s="63"/>
      <c r="AX121" s="63"/>
      <c r="AY121" s="63"/>
      <c r="AZ121" s="63"/>
      <c r="BA121" s="63"/>
      <c r="BB121" s="63"/>
    </row>
    <row r="122" spans="1:76" s="64" customFormat="1" ht="15" customHeight="1">
      <c r="A122" s="162"/>
      <c r="B122" s="144"/>
      <c r="C122" s="144"/>
      <c r="D122" s="144"/>
      <c r="E122" s="144"/>
      <c r="F122" s="144"/>
      <c r="G122" s="144"/>
      <c r="H122" s="144"/>
      <c r="I122" s="144"/>
      <c r="J122" s="144"/>
      <c r="K122" s="144"/>
      <c r="L122" s="144"/>
      <c r="M122" s="144"/>
      <c r="N122" s="144"/>
      <c r="O122" s="144"/>
      <c r="P122" s="144"/>
      <c r="Q122" s="144"/>
      <c r="R122" s="144"/>
      <c r="S122" s="144"/>
      <c r="T122" s="144"/>
      <c r="U122" s="144"/>
      <c r="V122" s="144"/>
      <c r="W122" s="144"/>
      <c r="X122" s="145"/>
      <c r="Y122" s="160"/>
      <c r="Z122" s="142"/>
      <c r="AA122" s="142"/>
      <c r="AB122" s="142"/>
      <c r="AC122" s="142"/>
      <c r="AD122" s="63"/>
      <c r="AE122" s="63"/>
      <c r="AF122" s="63"/>
      <c r="AG122" s="63"/>
      <c r="AH122" s="63"/>
      <c r="AI122" s="63"/>
      <c r="AJ122" s="63"/>
      <c r="AK122" s="63"/>
      <c r="AL122" s="63"/>
      <c r="AM122" s="63"/>
      <c r="AN122" s="63"/>
      <c r="AO122" s="63"/>
      <c r="AP122" s="63"/>
      <c r="AQ122" s="63"/>
      <c r="AR122" s="63"/>
      <c r="AS122" s="63"/>
      <c r="AT122" s="63"/>
      <c r="AU122" s="63"/>
      <c r="AV122" s="63"/>
      <c r="AW122" s="63"/>
      <c r="AX122" s="63"/>
      <c r="AY122" s="63"/>
      <c r="AZ122" s="63"/>
      <c r="BA122" s="63"/>
      <c r="BB122" s="63"/>
    </row>
    <row r="123" spans="1:76" s="64" customFormat="1" ht="15" customHeight="1">
      <c r="A123" s="162"/>
      <c r="B123" s="144"/>
      <c r="C123" s="144"/>
      <c r="D123" s="144"/>
      <c r="E123" s="144"/>
      <c r="F123" s="144"/>
      <c r="G123" s="144"/>
      <c r="H123" s="144"/>
      <c r="I123" s="144"/>
      <c r="J123" s="144"/>
      <c r="K123" s="144"/>
      <c r="L123" s="144"/>
      <c r="M123" s="144"/>
      <c r="N123" s="144"/>
      <c r="O123" s="144"/>
      <c r="P123" s="144"/>
      <c r="Q123" s="144"/>
      <c r="R123" s="144"/>
      <c r="S123" s="144"/>
      <c r="T123" s="144"/>
      <c r="U123" s="144"/>
      <c r="V123" s="144"/>
      <c r="W123" s="144"/>
      <c r="X123" s="145"/>
      <c r="Y123" s="160"/>
      <c r="Z123" s="142"/>
      <c r="AA123" s="142"/>
      <c r="AB123" s="142"/>
      <c r="AC123" s="142"/>
      <c r="AD123" s="63"/>
      <c r="AE123" s="63"/>
      <c r="AF123" s="63"/>
      <c r="AG123" s="63"/>
      <c r="AH123" s="63"/>
      <c r="AI123" s="63"/>
      <c r="AJ123" s="63"/>
      <c r="AK123" s="63"/>
      <c r="AL123" s="63"/>
      <c r="AM123" s="63"/>
      <c r="AN123" s="63"/>
      <c r="AO123" s="63"/>
      <c r="AP123" s="63"/>
      <c r="AQ123" s="63"/>
      <c r="AR123" s="63"/>
      <c r="AS123" s="63"/>
      <c r="AT123" s="63"/>
      <c r="AU123" s="63"/>
      <c r="AV123" s="63"/>
      <c r="AW123" s="63"/>
      <c r="AX123" s="63"/>
      <c r="AY123" s="63"/>
      <c r="AZ123" s="63"/>
      <c r="BA123" s="63"/>
      <c r="BB123" s="63"/>
    </row>
    <row r="124" spans="1:76" s="64" customFormat="1" ht="15" customHeight="1">
      <c r="A124" s="162"/>
      <c r="B124" s="144"/>
      <c r="C124" s="144"/>
      <c r="D124" s="144"/>
      <c r="E124" s="144"/>
      <c r="F124" s="144"/>
      <c r="G124" s="144"/>
      <c r="H124" s="144"/>
      <c r="I124" s="144"/>
      <c r="J124" s="144"/>
      <c r="K124" s="144"/>
      <c r="L124" s="144"/>
      <c r="M124" s="144"/>
      <c r="N124" s="144"/>
      <c r="O124" s="144"/>
      <c r="P124" s="144"/>
      <c r="Q124" s="144"/>
      <c r="R124" s="144"/>
      <c r="S124" s="144"/>
      <c r="T124" s="144"/>
      <c r="U124" s="144"/>
      <c r="V124" s="144"/>
      <c r="W124" s="144"/>
      <c r="X124" s="145"/>
      <c r="Y124" s="160"/>
      <c r="Z124" s="142"/>
      <c r="AA124" s="142"/>
      <c r="AB124" s="142"/>
      <c r="AC124" s="142"/>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row>
    <row r="125" spans="1:76" s="64" customFormat="1" ht="15" customHeight="1">
      <c r="A125" s="162"/>
      <c r="B125" s="144"/>
      <c r="C125" s="144"/>
      <c r="D125" s="144"/>
      <c r="E125" s="144"/>
      <c r="F125" s="144"/>
      <c r="G125" s="144"/>
      <c r="H125" s="144"/>
      <c r="I125" s="144"/>
      <c r="J125" s="144"/>
      <c r="K125" s="144"/>
      <c r="L125" s="144"/>
      <c r="M125" s="144"/>
      <c r="N125" s="144"/>
      <c r="O125" s="144"/>
      <c r="P125" s="144"/>
      <c r="Q125" s="144"/>
      <c r="R125" s="144"/>
      <c r="S125" s="144"/>
      <c r="T125" s="144"/>
      <c r="U125" s="144"/>
      <c r="V125" s="144"/>
      <c r="W125" s="144"/>
      <c r="X125" s="145"/>
      <c r="Y125" s="160"/>
      <c r="Z125" s="142"/>
      <c r="AA125" s="142"/>
      <c r="AB125" s="142"/>
      <c r="AC125" s="142"/>
      <c r="AD125" s="63"/>
      <c r="AE125" s="63"/>
      <c r="AF125" s="63"/>
      <c r="AG125" s="63"/>
      <c r="AH125" s="63"/>
      <c r="AI125" s="63"/>
      <c r="AJ125" s="63"/>
      <c r="AK125" s="63"/>
      <c r="AL125" s="63"/>
      <c r="AM125" s="63"/>
      <c r="AN125" s="63"/>
      <c r="AO125" s="63"/>
      <c r="AP125" s="63"/>
      <c r="AQ125" s="63"/>
      <c r="AR125" s="63"/>
      <c r="AS125" s="63"/>
      <c r="AT125" s="63"/>
      <c r="AU125" s="63"/>
      <c r="AV125" s="63"/>
      <c r="AW125" s="63"/>
      <c r="AX125" s="63"/>
      <c r="AY125" s="63"/>
      <c r="AZ125" s="63"/>
      <c r="BA125" s="63"/>
      <c r="BB125" s="63"/>
    </row>
    <row r="126" spans="1:76" s="64" customFormat="1" ht="15" customHeight="1">
      <c r="A126" s="162"/>
      <c r="B126" s="144"/>
      <c r="C126" s="144"/>
      <c r="D126" s="144"/>
      <c r="E126" s="144"/>
      <c r="F126" s="144"/>
      <c r="G126" s="144"/>
      <c r="H126" s="144"/>
      <c r="I126" s="144"/>
      <c r="J126" s="144"/>
      <c r="K126" s="144"/>
      <c r="L126" s="144"/>
      <c r="M126" s="144"/>
      <c r="N126" s="144"/>
      <c r="O126" s="144"/>
      <c r="P126" s="144"/>
      <c r="Q126" s="144"/>
      <c r="R126" s="144"/>
      <c r="S126" s="144"/>
      <c r="T126" s="144"/>
      <c r="U126" s="144"/>
      <c r="V126" s="144"/>
      <c r="W126" s="144"/>
      <c r="X126" s="145"/>
      <c r="Y126" s="160"/>
      <c r="Z126" s="142"/>
      <c r="AA126" s="142"/>
      <c r="AB126" s="142"/>
      <c r="AC126" s="142"/>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A126" s="63"/>
      <c r="BB126" s="63"/>
    </row>
    <row r="127" spans="1:76" s="64" customFormat="1" ht="15" customHeight="1">
      <c r="A127" s="162"/>
      <c r="B127" s="144"/>
      <c r="C127" s="144"/>
      <c r="D127" s="144"/>
      <c r="E127" s="144"/>
      <c r="F127" s="144"/>
      <c r="G127" s="144"/>
      <c r="H127" s="144"/>
      <c r="I127" s="144"/>
      <c r="J127" s="144"/>
      <c r="K127" s="144"/>
      <c r="L127" s="144"/>
      <c r="M127" s="144"/>
      <c r="N127" s="144"/>
      <c r="O127" s="144"/>
      <c r="P127" s="144"/>
      <c r="Q127" s="144"/>
      <c r="R127" s="144"/>
      <c r="S127" s="144"/>
      <c r="T127" s="144"/>
      <c r="U127" s="144"/>
      <c r="V127" s="144"/>
      <c r="W127" s="144"/>
      <c r="X127" s="145"/>
      <c r="Y127" s="160"/>
      <c r="Z127" s="142"/>
      <c r="AA127" s="142"/>
      <c r="AB127" s="142"/>
      <c r="AC127" s="142"/>
      <c r="AD127" s="63"/>
      <c r="AE127" s="63"/>
      <c r="AF127" s="63"/>
      <c r="AG127" s="63"/>
      <c r="AH127" s="63"/>
      <c r="AI127" s="63"/>
      <c r="AJ127" s="63"/>
      <c r="AK127" s="63"/>
      <c r="AL127" s="63"/>
      <c r="AM127" s="63"/>
      <c r="AN127" s="63"/>
      <c r="AO127" s="63"/>
      <c r="AP127" s="63"/>
      <c r="AQ127" s="63"/>
      <c r="AR127" s="63"/>
      <c r="AS127" s="63"/>
      <c r="AT127" s="63"/>
      <c r="AU127" s="63"/>
      <c r="AV127" s="63"/>
      <c r="AW127" s="63"/>
      <c r="AX127" s="63"/>
      <c r="AY127" s="63"/>
      <c r="AZ127" s="63"/>
      <c r="BA127" s="63"/>
      <c r="BB127" s="63"/>
    </row>
    <row r="128" spans="1:76" s="64" customFormat="1" ht="15" customHeight="1">
      <c r="A128" s="162"/>
      <c r="B128" s="144"/>
      <c r="C128" s="144"/>
      <c r="D128" s="144"/>
      <c r="E128" s="144"/>
      <c r="F128" s="144"/>
      <c r="G128" s="144"/>
      <c r="H128" s="144"/>
      <c r="I128" s="144"/>
      <c r="J128" s="144"/>
      <c r="K128" s="144"/>
      <c r="L128" s="144"/>
      <c r="M128" s="144"/>
      <c r="N128" s="144"/>
      <c r="O128" s="144"/>
      <c r="P128" s="144"/>
      <c r="Q128" s="144"/>
      <c r="R128" s="144"/>
      <c r="S128" s="144"/>
      <c r="T128" s="144"/>
      <c r="U128" s="144"/>
      <c r="V128" s="144"/>
      <c r="W128" s="144"/>
      <c r="X128" s="145"/>
      <c r="Y128" s="160"/>
      <c r="Z128" s="142"/>
      <c r="AA128" s="142"/>
      <c r="AB128" s="142"/>
      <c r="AC128" s="142"/>
      <c r="AD128" s="63"/>
      <c r="AE128" s="63"/>
      <c r="AF128" s="63"/>
      <c r="AG128" s="63"/>
      <c r="AH128" s="63"/>
      <c r="AI128" s="63"/>
      <c r="AJ128" s="63"/>
      <c r="AK128" s="63"/>
      <c r="AL128" s="63"/>
      <c r="AM128" s="63"/>
      <c r="AN128" s="63"/>
      <c r="AO128" s="63"/>
      <c r="AP128" s="63"/>
      <c r="AQ128" s="63"/>
      <c r="AR128" s="63"/>
      <c r="AS128" s="63"/>
      <c r="AT128" s="63"/>
      <c r="AU128" s="63"/>
      <c r="AV128" s="63"/>
      <c r="AW128" s="63"/>
      <c r="AX128" s="63"/>
      <c r="AY128" s="63"/>
      <c r="AZ128" s="63"/>
      <c r="BA128" s="63"/>
      <c r="BB128" s="63"/>
    </row>
    <row r="129" spans="1:54" s="64" customFormat="1" ht="15" customHeight="1">
      <c r="A129" s="162"/>
      <c r="B129" s="144"/>
      <c r="C129" s="144"/>
      <c r="D129" s="144"/>
      <c r="E129" s="144"/>
      <c r="F129" s="144"/>
      <c r="G129" s="144"/>
      <c r="H129" s="144"/>
      <c r="I129" s="144"/>
      <c r="J129" s="144"/>
      <c r="K129" s="144"/>
      <c r="L129" s="144"/>
      <c r="M129" s="144"/>
      <c r="N129" s="144"/>
      <c r="O129" s="144"/>
      <c r="P129" s="144"/>
      <c r="Q129" s="144"/>
      <c r="R129" s="144"/>
      <c r="S129" s="144"/>
      <c r="T129" s="144"/>
      <c r="U129" s="144"/>
      <c r="V129" s="144"/>
      <c r="W129" s="144"/>
      <c r="X129" s="145"/>
      <c r="Y129" s="160"/>
      <c r="Z129" s="142"/>
      <c r="AA129" s="142"/>
      <c r="AB129" s="142"/>
      <c r="AC129" s="142"/>
      <c r="AD129" s="63"/>
      <c r="AE129" s="63"/>
      <c r="AF129" s="63"/>
      <c r="AG129" s="63"/>
      <c r="AH129" s="63"/>
      <c r="AI129" s="63"/>
      <c r="AJ129" s="63"/>
      <c r="AK129" s="63"/>
      <c r="AL129" s="63"/>
      <c r="AM129" s="63"/>
      <c r="AN129" s="63"/>
      <c r="AO129" s="63"/>
      <c r="AP129" s="63"/>
      <c r="AQ129" s="63"/>
      <c r="AR129" s="63"/>
      <c r="AS129" s="63"/>
      <c r="AT129" s="63"/>
      <c r="AU129" s="63"/>
      <c r="AV129" s="63"/>
      <c r="AW129" s="63"/>
      <c r="AX129" s="63"/>
      <c r="AY129" s="63"/>
      <c r="AZ129" s="63"/>
      <c r="BA129" s="63"/>
      <c r="BB129" s="63"/>
    </row>
    <row r="130" spans="1:54" s="64" customFormat="1" ht="15" customHeight="1">
      <c r="A130" s="162"/>
      <c r="B130" s="144"/>
      <c r="C130" s="144"/>
      <c r="D130" s="144"/>
      <c r="E130" s="144"/>
      <c r="F130" s="144"/>
      <c r="G130" s="144"/>
      <c r="H130" s="144"/>
      <c r="I130" s="144"/>
      <c r="J130" s="144"/>
      <c r="K130" s="144"/>
      <c r="L130" s="144"/>
      <c r="M130" s="144"/>
      <c r="N130" s="144"/>
      <c r="O130" s="144"/>
      <c r="P130" s="144"/>
      <c r="Q130" s="144"/>
      <c r="R130" s="144"/>
      <c r="S130" s="144"/>
      <c r="T130" s="144"/>
      <c r="U130" s="144"/>
      <c r="V130" s="144"/>
      <c r="W130" s="144"/>
      <c r="X130" s="145"/>
      <c r="Y130" s="160"/>
      <c r="Z130" s="142"/>
      <c r="AA130" s="142"/>
      <c r="AB130" s="142"/>
      <c r="AC130" s="142"/>
      <c r="AD130" s="63"/>
      <c r="AE130" s="63"/>
      <c r="AF130" s="63"/>
      <c r="AG130" s="63"/>
      <c r="AH130" s="63"/>
      <c r="AI130" s="63"/>
      <c r="AJ130" s="63"/>
      <c r="AK130" s="63"/>
      <c r="AL130" s="63"/>
      <c r="AM130" s="63"/>
      <c r="AN130" s="63"/>
      <c r="AO130" s="63"/>
      <c r="AP130" s="63"/>
      <c r="AQ130" s="63"/>
      <c r="AR130" s="63"/>
      <c r="AS130" s="63"/>
      <c r="AT130" s="63"/>
      <c r="AU130" s="63"/>
      <c r="AV130" s="63"/>
      <c r="AW130" s="63"/>
      <c r="AX130" s="63"/>
      <c r="AY130" s="63"/>
      <c r="AZ130" s="63"/>
      <c r="BA130" s="63"/>
      <c r="BB130" s="63"/>
    </row>
    <row r="131" spans="1:54" s="64" customFormat="1" ht="15" customHeight="1">
      <c r="A131" s="162"/>
      <c r="B131" s="144"/>
      <c r="C131" s="144"/>
      <c r="D131" s="144"/>
      <c r="E131" s="144"/>
      <c r="F131" s="144"/>
      <c r="G131" s="144"/>
      <c r="H131" s="144"/>
      <c r="I131" s="144"/>
      <c r="J131" s="144"/>
      <c r="K131" s="144"/>
      <c r="L131" s="144"/>
      <c r="M131" s="144"/>
      <c r="N131" s="144"/>
      <c r="O131" s="144"/>
      <c r="P131" s="144"/>
      <c r="Q131" s="144"/>
      <c r="R131" s="144"/>
      <c r="S131" s="144"/>
      <c r="T131" s="144"/>
      <c r="U131" s="144"/>
      <c r="V131" s="144"/>
      <c r="W131" s="144"/>
      <c r="X131" s="145"/>
      <c r="Y131" s="160"/>
      <c r="Z131" s="142"/>
      <c r="AA131" s="142"/>
      <c r="AB131" s="142"/>
      <c r="AC131" s="142"/>
      <c r="AD131" s="63"/>
      <c r="AE131" s="63"/>
      <c r="AF131" s="63"/>
      <c r="AG131" s="63"/>
      <c r="AH131" s="63"/>
      <c r="AI131" s="63"/>
      <c r="AJ131" s="63"/>
      <c r="AK131" s="63"/>
      <c r="AL131" s="63"/>
      <c r="AM131" s="63"/>
      <c r="AN131" s="63"/>
      <c r="AO131" s="63"/>
      <c r="AP131" s="63"/>
      <c r="AQ131" s="63"/>
      <c r="AR131" s="63"/>
      <c r="AS131" s="63"/>
      <c r="AT131" s="63"/>
      <c r="AU131" s="63"/>
      <c r="AV131" s="63"/>
      <c r="AW131" s="63"/>
      <c r="AX131" s="63"/>
      <c r="AY131" s="63"/>
      <c r="AZ131" s="63"/>
      <c r="BA131" s="63"/>
      <c r="BB131" s="63"/>
    </row>
    <row r="132" spans="1:54" s="64" customFormat="1" ht="15" customHeight="1">
      <c r="A132" s="162"/>
      <c r="B132" s="144"/>
      <c r="C132" s="144"/>
      <c r="D132" s="144"/>
      <c r="E132" s="144"/>
      <c r="F132" s="144"/>
      <c r="G132" s="144"/>
      <c r="H132" s="144"/>
      <c r="I132" s="144"/>
      <c r="J132" s="144"/>
      <c r="K132" s="144"/>
      <c r="L132" s="144"/>
      <c r="M132" s="144"/>
      <c r="N132" s="144"/>
      <c r="O132" s="144"/>
      <c r="P132" s="144"/>
      <c r="Q132" s="144"/>
      <c r="R132" s="144"/>
      <c r="S132" s="144"/>
      <c r="T132" s="144"/>
      <c r="U132" s="144"/>
      <c r="V132" s="144"/>
      <c r="W132" s="144"/>
      <c r="X132" s="145"/>
      <c r="Y132" s="160"/>
      <c r="Z132" s="142"/>
      <c r="AA132" s="142"/>
      <c r="AB132" s="142"/>
      <c r="AC132" s="142"/>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row>
    <row r="133" spans="1:54" s="64" customFormat="1" ht="15" customHeight="1">
      <c r="A133" s="162"/>
      <c r="B133" s="144"/>
      <c r="C133" s="144"/>
      <c r="D133" s="144"/>
      <c r="E133" s="144"/>
      <c r="F133" s="144"/>
      <c r="G133" s="144"/>
      <c r="H133" s="144"/>
      <c r="I133" s="144"/>
      <c r="J133" s="144"/>
      <c r="K133" s="144"/>
      <c r="L133" s="144"/>
      <c r="M133" s="144"/>
      <c r="N133" s="144"/>
      <c r="O133" s="144"/>
      <c r="P133" s="144"/>
      <c r="Q133" s="144"/>
      <c r="R133" s="144"/>
      <c r="S133" s="144"/>
      <c r="T133" s="144"/>
      <c r="U133" s="144"/>
      <c r="V133" s="144"/>
      <c r="W133" s="144"/>
      <c r="X133" s="145"/>
      <c r="Y133" s="160"/>
      <c r="Z133" s="142"/>
      <c r="AA133" s="142"/>
      <c r="AB133" s="142"/>
      <c r="AC133" s="142"/>
      <c r="AD133" s="63"/>
      <c r="AE133" s="63"/>
      <c r="AF133" s="63"/>
      <c r="AG133" s="63"/>
      <c r="AH133" s="63"/>
      <c r="AI133" s="63"/>
      <c r="AJ133" s="63"/>
      <c r="AK133" s="63"/>
      <c r="AL133" s="63"/>
      <c r="AM133" s="63"/>
      <c r="AN133" s="63"/>
      <c r="AO133" s="63"/>
      <c r="AP133" s="63"/>
      <c r="AQ133" s="63"/>
      <c r="AR133" s="63"/>
      <c r="AS133" s="63"/>
      <c r="AT133" s="63"/>
      <c r="AU133" s="63"/>
      <c r="AV133" s="63"/>
      <c r="AW133" s="63"/>
      <c r="AX133" s="63"/>
      <c r="AY133" s="63"/>
      <c r="AZ133" s="63"/>
      <c r="BA133" s="63"/>
      <c r="BB133" s="63"/>
    </row>
    <row r="134" spans="1:54" s="64" customFormat="1" ht="15" customHeight="1">
      <c r="A134" s="162"/>
      <c r="B134" s="144"/>
      <c r="C134" s="144"/>
      <c r="D134" s="144"/>
      <c r="E134" s="144"/>
      <c r="F134" s="144"/>
      <c r="G134" s="144"/>
      <c r="H134" s="144"/>
      <c r="I134" s="144"/>
      <c r="J134" s="144"/>
      <c r="K134" s="144"/>
      <c r="L134" s="144"/>
      <c r="M134" s="144"/>
      <c r="N134" s="144"/>
      <c r="O134" s="144"/>
      <c r="P134" s="144"/>
      <c r="Q134" s="144"/>
      <c r="R134" s="144"/>
      <c r="S134" s="144"/>
      <c r="T134" s="144"/>
      <c r="U134" s="144"/>
      <c r="V134" s="144"/>
      <c r="W134" s="144"/>
      <c r="X134" s="145"/>
      <c r="Y134" s="160"/>
      <c r="Z134" s="142"/>
      <c r="AA134" s="142"/>
      <c r="AB134" s="142"/>
      <c r="AC134" s="142"/>
      <c r="AD134" s="63"/>
      <c r="AE134" s="63"/>
      <c r="AF134" s="63"/>
      <c r="AG134" s="63"/>
      <c r="AH134" s="63"/>
      <c r="AI134" s="63"/>
      <c r="AJ134" s="63"/>
      <c r="AK134" s="63"/>
      <c r="AL134" s="63"/>
      <c r="AM134" s="63"/>
      <c r="AN134" s="63"/>
      <c r="AO134" s="63"/>
      <c r="AP134" s="63"/>
      <c r="AQ134" s="63"/>
      <c r="AR134" s="63"/>
      <c r="AS134" s="63"/>
      <c r="AT134" s="63"/>
      <c r="AU134" s="63"/>
      <c r="AV134" s="63"/>
      <c r="AW134" s="63"/>
      <c r="AX134" s="63"/>
      <c r="AY134" s="63"/>
      <c r="AZ134" s="63"/>
      <c r="BA134" s="63"/>
      <c r="BB134" s="63"/>
    </row>
    <row r="135" spans="1:54" s="64" customFormat="1" ht="15" customHeight="1">
      <c r="A135" s="162"/>
      <c r="B135" s="144"/>
      <c r="C135" s="144"/>
      <c r="D135" s="144"/>
      <c r="E135" s="144"/>
      <c r="F135" s="144"/>
      <c r="G135" s="144"/>
      <c r="H135" s="144"/>
      <c r="I135" s="144"/>
      <c r="J135" s="144"/>
      <c r="K135" s="144"/>
      <c r="L135" s="144"/>
      <c r="M135" s="144"/>
      <c r="N135" s="144"/>
      <c r="O135" s="144"/>
      <c r="P135" s="144"/>
      <c r="Q135" s="144"/>
      <c r="R135" s="144"/>
      <c r="S135" s="144"/>
      <c r="T135" s="144"/>
      <c r="U135" s="144"/>
      <c r="V135" s="144"/>
      <c r="W135" s="144"/>
      <c r="X135" s="145"/>
      <c r="Y135" s="160"/>
      <c r="Z135" s="142"/>
      <c r="AA135" s="142"/>
      <c r="AB135" s="142"/>
      <c r="AC135" s="142"/>
      <c r="AD135" s="63"/>
      <c r="AE135" s="63"/>
      <c r="AF135" s="63"/>
      <c r="AG135" s="63"/>
      <c r="AH135" s="63"/>
      <c r="AI135" s="63"/>
      <c r="AJ135" s="63"/>
      <c r="AK135" s="63"/>
      <c r="AL135" s="63"/>
      <c r="AM135" s="63"/>
      <c r="AN135" s="63"/>
      <c r="AO135" s="63"/>
      <c r="AP135" s="63"/>
      <c r="AQ135" s="63"/>
      <c r="AR135" s="63"/>
      <c r="AS135" s="63"/>
      <c r="AT135" s="63"/>
      <c r="AU135" s="63"/>
      <c r="AV135" s="63"/>
      <c r="AW135" s="63"/>
      <c r="AX135" s="63"/>
      <c r="AY135" s="63"/>
      <c r="AZ135" s="63"/>
      <c r="BA135" s="63"/>
      <c r="BB135" s="63"/>
    </row>
    <row r="136" spans="1:54" s="64" customFormat="1" ht="15" customHeight="1">
      <c r="A136" s="162"/>
      <c r="B136" s="144"/>
      <c r="C136" s="144"/>
      <c r="D136" s="144"/>
      <c r="E136" s="144"/>
      <c r="F136" s="144"/>
      <c r="G136" s="144"/>
      <c r="H136" s="144"/>
      <c r="I136" s="144"/>
      <c r="J136" s="144"/>
      <c r="K136" s="144"/>
      <c r="L136" s="144"/>
      <c r="M136" s="144"/>
      <c r="N136" s="144"/>
      <c r="O136" s="144"/>
      <c r="P136" s="144"/>
      <c r="Q136" s="144"/>
      <c r="R136" s="144"/>
      <c r="S136" s="144"/>
      <c r="T136" s="144"/>
      <c r="U136" s="144"/>
      <c r="V136" s="144"/>
      <c r="W136" s="144"/>
      <c r="X136" s="145"/>
      <c r="Y136" s="160"/>
      <c r="Z136" s="142"/>
      <c r="AA136" s="142"/>
      <c r="AB136" s="142"/>
      <c r="AC136" s="142"/>
      <c r="AD136" s="63"/>
      <c r="AE136" s="63"/>
      <c r="AF136" s="63"/>
      <c r="AG136" s="63"/>
      <c r="AH136" s="63"/>
      <c r="AI136" s="63"/>
      <c r="AJ136" s="63"/>
      <c r="AK136" s="63"/>
      <c r="AL136" s="63"/>
      <c r="AM136" s="63"/>
      <c r="AN136" s="63"/>
      <c r="AO136" s="63"/>
      <c r="AP136" s="63"/>
      <c r="AQ136" s="63"/>
      <c r="AR136" s="63"/>
      <c r="AS136" s="63"/>
      <c r="AT136" s="63"/>
      <c r="AU136" s="63"/>
      <c r="AV136" s="63"/>
      <c r="AW136" s="63"/>
      <c r="AX136" s="63"/>
      <c r="AY136" s="63"/>
      <c r="AZ136" s="63"/>
      <c r="BA136" s="63"/>
      <c r="BB136" s="63"/>
    </row>
    <row r="137" spans="1:54" s="64" customFormat="1" ht="15" customHeight="1">
      <c r="A137" s="162"/>
      <c r="B137" s="144"/>
      <c r="C137" s="144"/>
      <c r="D137" s="144"/>
      <c r="E137" s="144"/>
      <c r="F137" s="144"/>
      <c r="G137" s="144"/>
      <c r="H137" s="144"/>
      <c r="I137" s="144"/>
      <c r="J137" s="144"/>
      <c r="K137" s="144"/>
      <c r="L137" s="144"/>
      <c r="M137" s="144"/>
      <c r="N137" s="144"/>
      <c r="O137" s="144"/>
      <c r="P137" s="144"/>
      <c r="Q137" s="144"/>
      <c r="R137" s="144"/>
      <c r="S137" s="144"/>
      <c r="T137" s="144"/>
      <c r="U137" s="144"/>
      <c r="V137" s="144"/>
      <c r="W137" s="144"/>
      <c r="X137" s="145"/>
      <c r="Y137" s="160"/>
      <c r="Z137" s="142"/>
      <c r="AA137" s="142"/>
      <c r="AB137" s="142"/>
      <c r="AC137" s="142"/>
      <c r="AD137" s="63"/>
      <c r="AE137" s="63"/>
      <c r="AF137" s="63"/>
      <c r="AG137" s="63"/>
      <c r="AH137" s="63"/>
      <c r="AI137" s="63"/>
      <c r="AJ137" s="63"/>
      <c r="AK137" s="63"/>
      <c r="AL137" s="63"/>
      <c r="AM137" s="63"/>
      <c r="AN137" s="63"/>
      <c r="AO137" s="63"/>
      <c r="AP137" s="63"/>
      <c r="AQ137" s="63"/>
      <c r="AR137" s="63"/>
      <c r="AS137" s="63"/>
      <c r="AT137" s="63"/>
      <c r="AU137" s="63"/>
      <c r="AV137" s="63"/>
      <c r="AW137" s="63"/>
      <c r="AX137" s="63"/>
      <c r="AY137" s="63"/>
      <c r="AZ137" s="63"/>
      <c r="BA137" s="63"/>
      <c r="BB137" s="63"/>
    </row>
    <row r="138" spans="1:54" s="64" customFormat="1" ht="15" customHeight="1">
      <c r="A138" s="162"/>
      <c r="B138" s="144"/>
      <c r="C138" s="144"/>
      <c r="D138" s="144"/>
      <c r="E138" s="144"/>
      <c r="F138" s="144"/>
      <c r="G138" s="144"/>
      <c r="H138" s="144"/>
      <c r="I138" s="144"/>
      <c r="J138" s="144"/>
      <c r="K138" s="144"/>
      <c r="L138" s="144"/>
      <c r="M138" s="144"/>
      <c r="N138" s="144"/>
      <c r="O138" s="144"/>
      <c r="P138" s="144"/>
      <c r="Q138" s="144"/>
      <c r="R138" s="144"/>
      <c r="S138" s="144"/>
      <c r="T138" s="144"/>
      <c r="U138" s="144"/>
      <c r="V138" s="144"/>
      <c r="W138" s="144"/>
      <c r="X138" s="145"/>
      <c r="Y138" s="160"/>
      <c r="Z138" s="142"/>
      <c r="AA138" s="142"/>
      <c r="AB138" s="142"/>
      <c r="AC138" s="142"/>
      <c r="AD138" s="63"/>
      <c r="AE138" s="63"/>
      <c r="AF138" s="63"/>
      <c r="AG138" s="63"/>
      <c r="AH138" s="63"/>
      <c r="AI138" s="63"/>
      <c r="AJ138" s="63"/>
      <c r="AK138" s="63"/>
      <c r="AL138" s="63"/>
      <c r="AM138" s="63"/>
      <c r="AN138" s="63"/>
      <c r="AO138" s="63"/>
      <c r="AP138" s="63"/>
      <c r="AQ138" s="63"/>
      <c r="AR138" s="63"/>
      <c r="AS138" s="63"/>
      <c r="AT138" s="63"/>
      <c r="AU138" s="63"/>
      <c r="AV138" s="63"/>
      <c r="AW138" s="63"/>
      <c r="AX138" s="63"/>
      <c r="AY138" s="63"/>
      <c r="AZ138" s="63"/>
      <c r="BA138" s="63"/>
      <c r="BB138" s="63"/>
    </row>
    <row r="139" spans="1:54" s="64" customFormat="1" ht="15" customHeight="1">
      <c r="A139" s="141"/>
      <c r="B139" s="163"/>
      <c r="C139" s="163"/>
      <c r="D139" s="163"/>
      <c r="E139" s="163"/>
      <c r="F139" s="163"/>
      <c r="G139" s="163"/>
      <c r="H139" s="163"/>
      <c r="I139" s="163"/>
      <c r="J139" s="163"/>
      <c r="K139" s="163"/>
      <c r="L139" s="163"/>
      <c r="M139" s="163"/>
      <c r="N139" s="163"/>
      <c r="O139" s="163"/>
      <c r="P139" s="163"/>
      <c r="Q139" s="163"/>
      <c r="R139" s="163"/>
      <c r="S139" s="163"/>
      <c r="T139" s="163"/>
      <c r="U139" s="163"/>
      <c r="V139" s="163"/>
      <c r="W139" s="163"/>
      <c r="X139" s="164"/>
      <c r="Y139" s="142"/>
      <c r="Z139" s="142"/>
      <c r="AA139" s="142"/>
      <c r="AB139" s="142"/>
      <c r="AC139" s="142"/>
      <c r="AD139" s="63"/>
      <c r="AE139" s="63"/>
      <c r="AF139" s="63"/>
      <c r="AG139" s="63"/>
      <c r="AH139" s="63"/>
      <c r="AI139" s="63"/>
      <c r="AJ139" s="63"/>
      <c r="AK139" s="63"/>
      <c r="AL139" s="63"/>
      <c r="AM139" s="63"/>
      <c r="AN139" s="63"/>
      <c r="AO139" s="63"/>
      <c r="AP139" s="63"/>
      <c r="AQ139" s="63"/>
      <c r="AR139" s="63"/>
      <c r="AS139" s="63"/>
      <c r="AT139" s="63"/>
      <c r="AU139" s="63"/>
      <c r="AV139" s="63"/>
      <c r="AW139" s="63"/>
      <c r="AX139" s="63"/>
      <c r="AY139" s="63"/>
      <c r="AZ139" s="63"/>
      <c r="BA139" s="63"/>
      <c r="BB139" s="63"/>
    </row>
    <row r="140" spans="1:54" s="64" customFormat="1" ht="15" customHeight="1">
      <c r="X140" s="67"/>
      <c r="Y140" s="63"/>
      <c r="Z140" s="63"/>
      <c r="AA140" s="63"/>
      <c r="AB140" s="63"/>
      <c r="AC140" s="63"/>
      <c r="AD140" s="63"/>
      <c r="AE140" s="63"/>
      <c r="AF140" s="63"/>
      <c r="AG140" s="63"/>
      <c r="AH140" s="63"/>
      <c r="AI140" s="63"/>
      <c r="AJ140" s="63"/>
      <c r="AK140" s="63"/>
      <c r="AL140" s="63"/>
      <c r="AM140" s="63"/>
      <c r="AN140" s="63"/>
      <c r="AO140" s="63"/>
      <c r="AP140" s="63"/>
      <c r="AQ140" s="63"/>
      <c r="AR140" s="63"/>
      <c r="AS140" s="63"/>
      <c r="AT140" s="63"/>
      <c r="AU140" s="63"/>
      <c r="AV140" s="63"/>
      <c r="AW140" s="63"/>
      <c r="AX140" s="63"/>
      <c r="AY140" s="63"/>
      <c r="AZ140" s="63"/>
      <c r="BA140" s="63"/>
      <c r="BB140" s="63"/>
    </row>
    <row r="141" spans="1:54" s="64" customFormat="1" ht="15" customHeight="1">
      <c r="X141" s="67"/>
      <c r="Y141" s="63"/>
      <c r="Z141" s="63"/>
      <c r="AA141" s="63"/>
      <c r="AB141" s="63"/>
      <c r="AC141" s="63"/>
      <c r="AD141" s="63"/>
      <c r="AE141" s="63"/>
      <c r="AF141" s="63"/>
      <c r="AG141" s="63"/>
      <c r="AH141" s="63"/>
      <c r="AI141" s="63"/>
      <c r="AJ141" s="63"/>
      <c r="AK141" s="63"/>
      <c r="AL141" s="63"/>
      <c r="AM141" s="63"/>
      <c r="AN141" s="63"/>
      <c r="AO141" s="63"/>
      <c r="AP141" s="63"/>
      <c r="AQ141" s="63"/>
      <c r="AR141" s="63"/>
      <c r="AS141" s="63"/>
      <c r="AT141" s="63"/>
      <c r="AU141" s="63"/>
      <c r="AV141" s="63"/>
      <c r="AW141" s="63"/>
      <c r="AX141" s="63"/>
      <c r="AY141" s="63"/>
      <c r="AZ141" s="63"/>
      <c r="BA141" s="63"/>
      <c r="BB141" s="63"/>
    </row>
    <row r="142" spans="1:54" s="64" customFormat="1" ht="15" customHeight="1">
      <c r="X142" s="68"/>
      <c r="Y142" s="69"/>
      <c r="Z142" s="69"/>
      <c r="AA142" s="69"/>
      <c r="AB142" s="63"/>
      <c r="AC142" s="63"/>
      <c r="AD142" s="63"/>
      <c r="AE142" s="63"/>
      <c r="AF142" s="63"/>
      <c r="AG142" s="63"/>
      <c r="AH142" s="63"/>
      <c r="AI142" s="63"/>
      <c r="AJ142" s="63"/>
      <c r="AK142" s="63"/>
      <c r="AL142" s="63"/>
      <c r="AM142" s="63"/>
      <c r="AN142" s="63"/>
      <c r="AO142" s="63"/>
      <c r="AP142" s="63"/>
      <c r="AQ142" s="63"/>
      <c r="AR142" s="63"/>
      <c r="AS142" s="63"/>
      <c r="AT142" s="63"/>
      <c r="AU142" s="63"/>
      <c r="AV142" s="63"/>
      <c r="AW142" s="63"/>
      <c r="AX142" s="63"/>
      <c r="AY142" s="63"/>
      <c r="AZ142" s="63"/>
      <c r="BA142" s="63"/>
      <c r="BB142" s="63"/>
    </row>
    <row r="143" spans="1:54" s="64" customFormat="1" ht="15" customHeight="1">
      <c r="X143" s="70"/>
      <c r="Y143" s="69"/>
      <c r="Z143" s="69"/>
      <c r="AA143" s="69"/>
      <c r="AB143" s="63"/>
      <c r="AC143" s="63"/>
      <c r="AD143" s="63"/>
      <c r="AE143" s="63"/>
      <c r="AF143" s="63"/>
      <c r="AG143" s="63"/>
      <c r="AH143" s="63"/>
      <c r="AI143" s="63"/>
      <c r="AJ143" s="63"/>
      <c r="AK143" s="63"/>
      <c r="AL143" s="63"/>
      <c r="AM143" s="63"/>
      <c r="AN143" s="63"/>
      <c r="AO143" s="63"/>
      <c r="AP143" s="63"/>
      <c r="AQ143" s="63"/>
      <c r="AR143" s="63"/>
      <c r="AS143" s="63"/>
      <c r="AT143" s="63"/>
      <c r="AU143" s="63"/>
      <c r="AV143" s="63"/>
      <c r="AW143" s="63"/>
      <c r="AX143" s="63"/>
      <c r="AY143" s="63"/>
      <c r="AZ143" s="63"/>
      <c r="BA143" s="63"/>
      <c r="BB143" s="63"/>
    </row>
    <row r="144" spans="1:54" s="64" customFormat="1" ht="15" customHeight="1">
      <c r="C144" s="150"/>
      <c r="D144" s="151"/>
      <c r="E144" s="151"/>
      <c r="F144" s="151"/>
      <c r="G144" s="151"/>
      <c r="H144" s="151"/>
      <c r="I144" s="151"/>
      <c r="J144" s="151"/>
      <c r="K144" s="151"/>
      <c r="L144" s="151"/>
      <c r="M144" s="151"/>
      <c r="N144" s="151"/>
      <c r="O144" s="151"/>
      <c r="P144" s="151"/>
      <c r="Q144" s="151"/>
      <c r="R144" s="151"/>
      <c r="S144" s="151"/>
      <c r="T144" s="151"/>
      <c r="U144" s="151"/>
      <c r="V144" s="151"/>
      <c r="W144" s="151"/>
      <c r="X144" s="70"/>
      <c r="Y144" s="69"/>
      <c r="Z144" s="69"/>
      <c r="AA144" s="69"/>
      <c r="AB144" s="63"/>
      <c r="AC144" s="63"/>
      <c r="AD144" s="63"/>
      <c r="AE144" s="63"/>
      <c r="AF144" s="63"/>
      <c r="AG144" s="63"/>
      <c r="AH144" s="63"/>
      <c r="AI144" s="63"/>
      <c r="AJ144" s="63"/>
      <c r="AK144" s="63"/>
      <c r="AL144" s="63"/>
      <c r="AM144" s="63"/>
      <c r="AN144" s="63"/>
      <c r="AO144" s="63"/>
      <c r="AP144" s="63"/>
      <c r="AQ144" s="63"/>
      <c r="AR144" s="63"/>
      <c r="AS144" s="63"/>
      <c r="AT144" s="63"/>
      <c r="AU144" s="63"/>
      <c r="AV144" s="63"/>
      <c r="AW144" s="63"/>
      <c r="AX144" s="63"/>
      <c r="AY144" s="63"/>
      <c r="AZ144" s="63"/>
      <c r="BA144" s="63"/>
      <c r="BB144" s="63"/>
    </row>
    <row r="145" spans="3:54" s="64" customFormat="1" ht="15" customHeight="1">
      <c r="C145" s="151" t="str">
        <f>'IB - E&amp;PH'!B25</f>
        <v>Samlede akkumulerede omkostninger</v>
      </c>
      <c r="D145" s="151"/>
      <c r="E145" s="150" t="str">
        <f>'IB - E&amp;PH'!E25</f>
        <v>PRODUKT 1 EL</v>
      </c>
      <c r="F145" s="150"/>
      <c r="G145" s="150" t="str">
        <f>'IB - E&amp;PH'!G25</f>
        <v>PRODUKT 2 EL</v>
      </c>
      <c r="H145" s="150"/>
      <c r="I145" s="150" t="str">
        <f>'IB - E&amp;PH'!I25</f>
        <v>PRODUKT 3 EL</v>
      </c>
      <c r="J145" s="150"/>
      <c r="K145" s="150" t="str">
        <f>'IB - E&amp;PH'!K25</f>
        <v>PRODUKT 4 EL</v>
      </c>
      <c r="L145" s="150"/>
      <c r="M145" s="150" t="str">
        <f>'IB - E&amp;PH'!M25</f>
        <v>PRODUKT 5 EL</v>
      </c>
      <c r="N145" s="150"/>
      <c r="O145" s="150" t="str">
        <f>'IB - E&amp;PH'!O25</f>
        <v>PRODUKT 6 EL</v>
      </c>
      <c r="P145" s="150"/>
      <c r="Q145" s="150" t="str">
        <f>'IB - E&amp;PH'!Q25</f>
        <v>PRODUKT 7 EL</v>
      </c>
      <c r="R145" s="150"/>
      <c r="S145" s="150" t="str">
        <f>'IB - E&amp;PH'!S25</f>
        <v>PRODUKT 8 EL</v>
      </c>
      <c r="T145" s="150"/>
      <c r="U145" s="150"/>
      <c r="V145" s="150"/>
      <c r="W145" s="490"/>
      <c r="X145" s="491"/>
      <c r="Y145" s="492"/>
      <c r="Z145" s="492"/>
      <c r="AA145" s="493"/>
      <c r="AB145" s="493"/>
      <c r="AC145" s="63"/>
      <c r="AD145" s="63"/>
      <c r="AE145" s="63"/>
      <c r="AF145" s="63"/>
      <c r="AG145" s="63"/>
      <c r="AH145" s="63"/>
      <c r="AI145" s="63"/>
      <c r="AJ145" s="63"/>
      <c r="AK145" s="63"/>
      <c r="AL145" s="63"/>
      <c r="AM145" s="63"/>
      <c r="AN145" s="63"/>
      <c r="AO145" s="63"/>
      <c r="AP145" s="63"/>
      <c r="AQ145" s="63"/>
      <c r="AR145" s="63"/>
      <c r="AS145" s="63"/>
      <c r="AT145" s="63"/>
      <c r="AU145" s="63"/>
      <c r="AV145" s="63"/>
      <c r="AW145" s="63"/>
      <c r="AX145" s="63"/>
      <c r="AY145" s="63"/>
      <c r="AZ145" s="63"/>
      <c r="BA145" s="63"/>
      <c r="BB145" s="63"/>
    </row>
    <row r="146" spans="3:54" s="64" customFormat="1" ht="15" customHeight="1">
      <c r="C146" s="151"/>
      <c r="D146" s="151"/>
      <c r="E146" s="150">
        <f>'IB - E&amp;PH'!E26</f>
        <v>0</v>
      </c>
      <c r="F146" s="150"/>
      <c r="G146" s="150">
        <f>'IB - E&amp;PH'!G26</f>
        <v>0</v>
      </c>
      <c r="H146" s="150"/>
      <c r="I146" s="150">
        <f>'IB - E&amp;PH'!I26</f>
        <v>0</v>
      </c>
      <c r="J146" s="150"/>
      <c r="K146" s="150">
        <f>'IB - E&amp;PH'!K26</f>
        <v>0</v>
      </c>
      <c r="L146" s="150"/>
      <c r="M146" s="150">
        <f>'IB - E&amp;PH'!M26</f>
        <v>0</v>
      </c>
      <c r="N146" s="150"/>
      <c r="O146" s="150">
        <f>'IB - E&amp;PH'!O26</f>
        <v>0</v>
      </c>
      <c r="P146" s="150"/>
      <c r="Q146" s="150">
        <f>'IB - E&amp;PH'!Q26</f>
        <v>0</v>
      </c>
      <c r="R146" s="150"/>
      <c r="S146" s="150">
        <f>'IB - E&amp;PH'!S26</f>
        <v>0</v>
      </c>
      <c r="T146" s="150"/>
      <c r="U146" s="150"/>
      <c r="V146" s="150"/>
      <c r="W146" s="490"/>
      <c r="X146" s="491"/>
      <c r="Y146" s="492"/>
      <c r="Z146" s="492"/>
      <c r="AA146" s="492"/>
      <c r="AB146" s="493"/>
      <c r="AC146" s="63"/>
      <c r="AD146" s="63"/>
      <c r="AE146" s="63"/>
      <c r="AF146" s="63"/>
      <c r="AG146" s="63"/>
      <c r="AH146" s="63"/>
      <c r="AI146" s="63"/>
      <c r="AJ146" s="63"/>
      <c r="AK146" s="63"/>
      <c r="AL146" s="63"/>
      <c r="AM146" s="63"/>
      <c r="AN146" s="63"/>
      <c r="AO146" s="63"/>
      <c r="AP146" s="63"/>
      <c r="AQ146" s="63"/>
      <c r="AR146" s="63"/>
      <c r="AS146" s="63"/>
      <c r="AT146" s="63"/>
      <c r="AU146" s="63"/>
      <c r="AV146" s="63"/>
      <c r="AW146" s="63"/>
      <c r="AX146" s="63"/>
      <c r="AY146" s="63"/>
      <c r="AZ146" s="63"/>
      <c r="BA146" s="63"/>
      <c r="BB146" s="63"/>
    </row>
    <row r="147" spans="3:54" s="64" customFormat="1" ht="15" customHeight="1">
      <c r="C147" s="151"/>
      <c r="D147" s="151"/>
      <c r="E147" s="150">
        <f>'IB - E&amp;PH'!E27</f>
        <v>0</v>
      </c>
      <c r="F147" s="150"/>
      <c r="G147" s="150">
        <f>'IB - E&amp;PH'!G27</f>
        <v>0</v>
      </c>
      <c r="H147" s="150"/>
      <c r="I147" s="150">
        <f>'IB - E&amp;PH'!I27</f>
        <v>0</v>
      </c>
      <c r="J147" s="150"/>
      <c r="K147" s="150">
        <f>'IB - E&amp;PH'!K27</f>
        <v>0</v>
      </c>
      <c r="L147" s="150"/>
      <c r="M147" s="150">
        <f>'IB - E&amp;PH'!M27</f>
        <v>0</v>
      </c>
      <c r="N147" s="150"/>
      <c r="O147" s="150">
        <f>'IB - E&amp;PH'!O27</f>
        <v>0</v>
      </c>
      <c r="P147" s="150"/>
      <c r="Q147" s="150">
        <f>'IB - E&amp;PH'!Q27</f>
        <v>0</v>
      </c>
      <c r="R147" s="150"/>
      <c r="S147" s="150">
        <f>'IB - E&amp;PH'!S27</f>
        <v>0</v>
      </c>
      <c r="T147" s="150"/>
      <c r="U147" s="150"/>
      <c r="V147" s="150"/>
      <c r="W147" s="490"/>
      <c r="X147" s="491"/>
      <c r="Y147" s="492"/>
      <c r="Z147" s="492"/>
      <c r="AA147" s="494"/>
      <c r="AB147" s="496"/>
      <c r="AC147" s="63"/>
      <c r="AD147" s="63"/>
      <c r="AE147" s="63"/>
      <c r="AF147" s="63"/>
      <c r="AG147" s="63"/>
      <c r="AH147" s="63"/>
      <c r="AI147" s="63"/>
      <c r="AJ147" s="63"/>
      <c r="AK147" s="63"/>
      <c r="AL147" s="63"/>
      <c r="AM147" s="63"/>
      <c r="AN147" s="63"/>
      <c r="AO147" s="63"/>
      <c r="AP147" s="63"/>
      <c r="AQ147" s="63"/>
      <c r="AR147" s="63"/>
      <c r="AS147" s="63"/>
      <c r="AT147" s="63"/>
      <c r="AU147" s="63"/>
      <c r="AV147" s="63"/>
      <c r="AW147" s="63"/>
      <c r="AX147" s="63"/>
      <c r="AY147" s="63"/>
      <c r="AZ147" s="63"/>
      <c r="BA147" s="63"/>
      <c r="BB147" s="63"/>
    </row>
    <row r="148" spans="3:54" s="64" customFormat="1" ht="15" customHeight="1">
      <c r="C148" s="151"/>
      <c r="D148" s="151"/>
      <c r="E148" s="150">
        <f>'IB - E&amp;PH'!E28</f>
        <v>0</v>
      </c>
      <c r="F148" s="150"/>
      <c r="G148" s="150">
        <f>'IB - E&amp;PH'!G28</f>
        <v>0</v>
      </c>
      <c r="H148" s="150"/>
      <c r="I148" s="150">
        <f>'IB - E&amp;PH'!I28</f>
        <v>0</v>
      </c>
      <c r="J148" s="150"/>
      <c r="K148" s="150">
        <f>'IB - E&amp;PH'!K28</f>
        <v>0</v>
      </c>
      <c r="L148" s="150"/>
      <c r="M148" s="150">
        <f>'IB - E&amp;PH'!M28</f>
        <v>0</v>
      </c>
      <c r="N148" s="150"/>
      <c r="O148" s="150">
        <f>'IB - E&amp;PH'!O28</f>
        <v>0</v>
      </c>
      <c r="P148" s="150"/>
      <c r="Q148" s="150">
        <f>'IB - E&amp;PH'!Q28</f>
        <v>0</v>
      </c>
      <c r="R148" s="150"/>
      <c r="S148" s="150">
        <f>'IB - E&amp;PH'!S28</f>
        <v>0</v>
      </c>
      <c r="T148" s="150"/>
      <c r="U148" s="150"/>
      <c r="V148" s="150"/>
      <c r="W148" s="490"/>
      <c r="X148" s="491"/>
      <c r="Y148" s="492"/>
      <c r="Z148" s="492"/>
      <c r="AA148" s="494"/>
      <c r="AB148" s="496"/>
      <c r="AC148" s="63"/>
      <c r="AD148" s="63"/>
      <c r="AE148" s="63"/>
      <c r="AF148" s="63"/>
      <c r="AG148" s="63"/>
      <c r="AH148" s="63"/>
      <c r="AI148" s="63"/>
      <c r="AJ148" s="63"/>
      <c r="AK148" s="63"/>
      <c r="AL148" s="63"/>
      <c r="AM148" s="63"/>
      <c r="AN148" s="63"/>
      <c r="AO148" s="63"/>
      <c r="AP148" s="63"/>
      <c r="AQ148" s="63"/>
      <c r="AR148" s="63"/>
      <c r="AS148" s="63"/>
      <c r="AT148" s="63"/>
      <c r="AU148" s="63"/>
      <c r="AV148" s="63"/>
      <c r="AW148" s="63"/>
      <c r="AX148" s="63"/>
      <c r="AY148" s="63"/>
      <c r="AZ148" s="63"/>
      <c r="BA148" s="63"/>
      <c r="BB148" s="63"/>
    </row>
    <row r="149" spans="3:54" s="64" customFormat="1" ht="15" customHeight="1">
      <c r="C149" s="151"/>
      <c r="D149" s="151"/>
      <c r="E149" s="150">
        <f>'IB - E&amp;PH'!E29</f>
        <v>0</v>
      </c>
      <c r="F149" s="150"/>
      <c r="G149" s="150">
        <f>'IB - E&amp;PH'!G29</f>
        <v>0</v>
      </c>
      <c r="H149" s="150"/>
      <c r="I149" s="150">
        <f>'IB - E&amp;PH'!I29</f>
        <v>0</v>
      </c>
      <c r="J149" s="150"/>
      <c r="K149" s="150">
        <f>'IB - E&amp;PH'!K29</f>
        <v>0</v>
      </c>
      <c r="L149" s="150"/>
      <c r="M149" s="150">
        <f>'IB - E&amp;PH'!M29</f>
        <v>0</v>
      </c>
      <c r="N149" s="150"/>
      <c r="O149" s="150">
        <f>'IB - E&amp;PH'!O29</f>
        <v>0</v>
      </c>
      <c r="P149" s="150"/>
      <c r="Q149" s="150">
        <f>'IB - E&amp;PH'!Q29</f>
        <v>0</v>
      </c>
      <c r="R149" s="150"/>
      <c r="S149" s="150">
        <f>'IB - E&amp;PH'!S29</f>
        <v>0</v>
      </c>
      <c r="T149" s="150"/>
      <c r="U149" s="150"/>
      <c r="V149" s="150"/>
      <c r="W149" s="490"/>
      <c r="X149" s="491"/>
      <c r="Y149" s="492"/>
      <c r="Z149" s="492"/>
      <c r="AA149" s="494"/>
      <c r="AB149" s="496"/>
      <c r="AC149" s="63"/>
      <c r="AD149" s="63"/>
      <c r="AE149" s="63"/>
      <c r="AF149" s="63"/>
      <c r="AG149" s="63"/>
      <c r="AH149" s="63"/>
      <c r="AI149" s="63"/>
      <c r="AJ149" s="63"/>
      <c r="AK149" s="63"/>
      <c r="AL149" s="63"/>
      <c r="AM149" s="63"/>
      <c r="AN149" s="63"/>
      <c r="AO149" s="63"/>
      <c r="AP149" s="63"/>
      <c r="AQ149" s="63"/>
      <c r="AR149" s="63"/>
      <c r="AS149" s="63"/>
      <c r="AT149" s="63"/>
      <c r="AU149" s="63"/>
      <c r="AV149" s="63"/>
      <c r="AW149" s="63"/>
      <c r="AX149" s="63"/>
      <c r="AY149" s="63"/>
      <c r="AZ149" s="63"/>
      <c r="BA149" s="63"/>
      <c r="BB149" s="63"/>
    </row>
    <row r="150" spans="3:54" s="64" customFormat="1" ht="15" customHeight="1">
      <c r="C150" s="151"/>
      <c r="D150" s="151"/>
      <c r="E150" s="150">
        <f>'IB - E&amp;PH'!E30</f>
        <v>0</v>
      </c>
      <c r="F150" s="150"/>
      <c r="G150" s="150">
        <f>'IB - E&amp;PH'!G30</f>
        <v>0</v>
      </c>
      <c r="H150" s="150"/>
      <c r="I150" s="150">
        <f>'IB - E&amp;PH'!I30</f>
        <v>0</v>
      </c>
      <c r="J150" s="150"/>
      <c r="K150" s="150">
        <f>'IB - E&amp;PH'!K30</f>
        <v>0</v>
      </c>
      <c r="L150" s="150"/>
      <c r="M150" s="150">
        <f>'IB - E&amp;PH'!M30</f>
        <v>0</v>
      </c>
      <c r="N150" s="150"/>
      <c r="O150" s="150">
        <f>'IB - E&amp;PH'!O30</f>
        <v>0</v>
      </c>
      <c r="P150" s="150"/>
      <c r="Q150" s="150">
        <f>'IB - E&amp;PH'!Q30</f>
        <v>0</v>
      </c>
      <c r="R150" s="150"/>
      <c r="S150" s="150">
        <f>'IB - E&amp;PH'!S30</f>
        <v>0</v>
      </c>
      <c r="T150" s="150"/>
      <c r="U150" s="150"/>
      <c r="V150" s="150"/>
      <c r="W150" s="490"/>
      <c r="X150" s="491"/>
      <c r="Y150" s="492"/>
      <c r="Z150" s="492"/>
      <c r="AA150" s="494"/>
      <c r="AB150" s="496"/>
      <c r="AC150" s="63"/>
      <c r="AD150" s="63"/>
      <c r="AE150" s="63"/>
      <c r="AF150" s="63"/>
      <c r="AG150" s="63"/>
      <c r="AH150" s="63"/>
      <c r="AI150" s="63"/>
      <c r="AJ150" s="63"/>
      <c r="AK150" s="63"/>
      <c r="AL150" s="63"/>
      <c r="AM150" s="63"/>
      <c r="AN150" s="63"/>
      <c r="AO150" s="63"/>
      <c r="AP150" s="63"/>
      <c r="AQ150" s="63"/>
      <c r="AR150" s="63"/>
      <c r="AS150" s="63"/>
      <c r="AT150" s="63"/>
      <c r="AU150" s="63"/>
      <c r="AV150" s="63"/>
      <c r="AW150" s="63"/>
      <c r="AX150" s="63"/>
      <c r="AY150" s="63"/>
      <c r="AZ150" s="63"/>
      <c r="BA150" s="63"/>
      <c r="BB150" s="63"/>
    </row>
    <row r="151" spans="3:54" s="64" customFormat="1" ht="15" customHeight="1">
      <c r="C151" s="151"/>
      <c r="D151" s="151"/>
      <c r="E151" s="150">
        <f>'IB - E&amp;PH'!E31</f>
        <v>0</v>
      </c>
      <c r="F151" s="150"/>
      <c r="G151" s="150">
        <f>'IB - E&amp;PH'!G31</f>
        <v>0</v>
      </c>
      <c r="H151" s="150"/>
      <c r="I151" s="150">
        <f>'IB - E&amp;PH'!I31</f>
        <v>0</v>
      </c>
      <c r="J151" s="150"/>
      <c r="K151" s="150">
        <f>'IB - E&amp;PH'!K31</f>
        <v>0</v>
      </c>
      <c r="L151" s="150"/>
      <c r="M151" s="150">
        <f>'IB - E&amp;PH'!M31</f>
        <v>0</v>
      </c>
      <c r="N151" s="150"/>
      <c r="O151" s="150">
        <f>'IB - E&amp;PH'!O31</f>
        <v>0</v>
      </c>
      <c r="P151" s="150"/>
      <c r="Q151" s="150">
        <f>'IB - E&amp;PH'!Q31</f>
        <v>0</v>
      </c>
      <c r="R151" s="150"/>
      <c r="S151" s="150">
        <f>'IB - E&amp;PH'!S31</f>
        <v>0</v>
      </c>
      <c r="T151" s="150"/>
      <c r="U151" s="150"/>
      <c r="V151" s="150"/>
      <c r="W151" s="490"/>
      <c r="X151" s="491"/>
      <c r="Y151" s="492"/>
      <c r="Z151" s="492"/>
      <c r="AA151" s="494"/>
      <c r="AB151" s="496"/>
      <c r="AC151" s="63"/>
      <c r="AD151" s="63"/>
      <c r="AE151" s="63"/>
      <c r="AF151" s="63"/>
      <c r="AG151" s="63"/>
      <c r="AH151" s="63"/>
      <c r="AI151" s="63"/>
      <c r="AJ151" s="63"/>
      <c r="AK151" s="63"/>
      <c r="AL151" s="63"/>
      <c r="AM151" s="63"/>
      <c r="AN151" s="63"/>
      <c r="AO151" s="63"/>
      <c r="AP151" s="63"/>
      <c r="AQ151" s="63"/>
      <c r="AR151" s="63"/>
      <c r="AS151" s="63"/>
      <c r="AT151" s="63"/>
      <c r="AU151" s="63"/>
      <c r="AV151" s="63"/>
      <c r="AW151" s="63"/>
      <c r="AX151" s="63"/>
      <c r="AY151" s="63"/>
      <c r="AZ151" s="63"/>
      <c r="BA151" s="63"/>
      <c r="BB151" s="63"/>
    </row>
    <row r="152" spans="3:54" s="64" customFormat="1" ht="15" customHeight="1">
      <c r="C152" s="151"/>
      <c r="D152" s="151"/>
      <c r="E152" s="150">
        <f>'IB - E&amp;PH'!E32</f>
        <v>0</v>
      </c>
      <c r="F152" s="150"/>
      <c r="G152" s="150">
        <f>'IB - E&amp;PH'!G32</f>
        <v>0</v>
      </c>
      <c r="H152" s="150"/>
      <c r="I152" s="150">
        <f>'IB - E&amp;PH'!I32</f>
        <v>0</v>
      </c>
      <c r="J152" s="150"/>
      <c r="K152" s="150">
        <f>'IB - E&amp;PH'!K32</f>
        <v>0</v>
      </c>
      <c r="L152" s="150"/>
      <c r="M152" s="150">
        <f>'IB - E&amp;PH'!M32</f>
        <v>0</v>
      </c>
      <c r="N152" s="150"/>
      <c r="O152" s="150">
        <f>'IB - E&amp;PH'!O32</f>
        <v>0</v>
      </c>
      <c r="P152" s="150"/>
      <c r="Q152" s="150">
        <f>'IB - E&amp;PH'!Q32</f>
        <v>0</v>
      </c>
      <c r="R152" s="150"/>
      <c r="S152" s="150">
        <f>'IB - E&amp;PH'!S32</f>
        <v>0</v>
      </c>
      <c r="T152" s="150"/>
      <c r="U152" s="150"/>
      <c r="V152" s="150"/>
      <c r="W152" s="490"/>
      <c r="X152" s="491"/>
      <c r="Y152" s="492"/>
      <c r="Z152" s="492"/>
      <c r="AA152" s="494"/>
      <c r="AB152" s="496"/>
      <c r="AC152" s="63"/>
      <c r="AD152" s="63"/>
      <c r="AE152" s="63"/>
      <c r="AF152" s="63"/>
      <c r="AG152" s="63"/>
      <c r="AH152" s="63"/>
      <c r="AI152" s="63"/>
      <c r="AJ152" s="63"/>
      <c r="AK152" s="63"/>
      <c r="AL152" s="63"/>
      <c r="AM152" s="63"/>
      <c r="AN152" s="63"/>
      <c r="AO152" s="63"/>
      <c r="AP152" s="63"/>
      <c r="AQ152" s="63"/>
      <c r="AR152" s="63"/>
      <c r="AS152" s="63"/>
      <c r="AT152" s="63"/>
      <c r="AU152" s="63"/>
      <c r="AV152" s="63"/>
      <c r="AW152" s="63"/>
      <c r="AX152" s="63"/>
      <c r="AY152" s="63"/>
      <c r="AZ152" s="63"/>
      <c r="BA152" s="63"/>
      <c r="BB152" s="63"/>
    </row>
    <row r="153" spans="3:54" s="64" customFormat="1" ht="15" customHeight="1">
      <c r="C153" s="151"/>
      <c r="D153" s="151"/>
      <c r="E153" s="150">
        <f>'IB - E&amp;PH'!E33</f>
        <v>0</v>
      </c>
      <c r="F153" s="150"/>
      <c r="G153" s="150">
        <f>'IB - E&amp;PH'!G33</f>
        <v>0</v>
      </c>
      <c r="H153" s="150"/>
      <c r="I153" s="150">
        <f>'IB - E&amp;PH'!I33</f>
        <v>0</v>
      </c>
      <c r="J153" s="150"/>
      <c r="K153" s="150">
        <f>'IB - E&amp;PH'!K33</f>
        <v>0</v>
      </c>
      <c r="L153" s="150"/>
      <c r="M153" s="150">
        <f>'IB - E&amp;PH'!M33</f>
        <v>0</v>
      </c>
      <c r="N153" s="150"/>
      <c r="O153" s="150">
        <f>'IB - E&amp;PH'!O33</f>
        <v>0</v>
      </c>
      <c r="P153" s="150"/>
      <c r="Q153" s="150">
        <f>'IB - E&amp;PH'!Q33</f>
        <v>0</v>
      </c>
      <c r="R153" s="150"/>
      <c r="S153" s="150">
        <f>'IB - E&amp;PH'!S33</f>
        <v>0</v>
      </c>
      <c r="T153" s="150"/>
      <c r="U153" s="150"/>
      <c r="V153" s="150"/>
      <c r="W153" s="490"/>
      <c r="X153" s="491"/>
      <c r="Y153" s="492"/>
      <c r="Z153" s="492"/>
      <c r="AA153" s="494"/>
      <c r="AB153" s="496"/>
      <c r="AC153" s="63"/>
      <c r="AD153" s="63"/>
      <c r="AE153" s="63"/>
      <c r="AF153" s="63"/>
      <c r="AG153" s="63"/>
      <c r="AH153" s="63"/>
      <c r="AI153" s="63"/>
      <c r="AJ153" s="63"/>
      <c r="AK153" s="63"/>
      <c r="AL153" s="63"/>
      <c r="AM153" s="63"/>
      <c r="AN153" s="63"/>
      <c r="AO153" s="63"/>
      <c r="AP153" s="63"/>
      <c r="AQ153" s="63"/>
      <c r="AR153" s="63"/>
      <c r="AS153" s="63"/>
      <c r="AT153" s="63"/>
      <c r="AU153" s="63"/>
      <c r="AV153" s="63"/>
      <c r="AW153" s="63"/>
      <c r="AX153" s="63"/>
      <c r="AY153" s="63"/>
      <c r="AZ153" s="63"/>
      <c r="BA153" s="63"/>
      <c r="BB153" s="63"/>
    </row>
    <row r="154" spans="3:54" s="64" customFormat="1" ht="15" customHeight="1">
      <c r="C154" s="151"/>
      <c r="D154" s="151"/>
      <c r="E154" s="150">
        <f>'IB - E&amp;PH'!E34</f>
        <v>0</v>
      </c>
      <c r="F154" s="150"/>
      <c r="G154" s="150">
        <f>'IB - E&amp;PH'!G34</f>
        <v>0</v>
      </c>
      <c r="H154" s="150"/>
      <c r="I154" s="150">
        <f>'IB - E&amp;PH'!I34</f>
        <v>0</v>
      </c>
      <c r="J154" s="150"/>
      <c r="K154" s="150">
        <f>'IB - E&amp;PH'!K34</f>
        <v>0</v>
      </c>
      <c r="L154" s="150"/>
      <c r="M154" s="150">
        <f>'IB - E&amp;PH'!M34</f>
        <v>0</v>
      </c>
      <c r="N154" s="150"/>
      <c r="O154" s="150">
        <f>'IB - E&amp;PH'!O34</f>
        <v>0</v>
      </c>
      <c r="P154" s="150"/>
      <c r="Q154" s="150">
        <f>'IB - E&amp;PH'!Q34</f>
        <v>0</v>
      </c>
      <c r="R154" s="150"/>
      <c r="S154" s="150">
        <f>'IB - E&amp;PH'!S34</f>
        <v>0</v>
      </c>
      <c r="T154" s="150"/>
      <c r="U154" s="150"/>
      <c r="V154" s="150"/>
      <c r="W154" s="150"/>
      <c r="X154" s="70"/>
      <c r="Y154" s="69"/>
      <c r="Z154" s="69"/>
      <c r="AA154" s="495"/>
      <c r="AB154" s="497"/>
      <c r="AC154" s="63"/>
      <c r="AD154" s="63"/>
      <c r="AE154" s="63"/>
      <c r="AF154" s="63"/>
      <c r="AG154" s="63"/>
      <c r="AH154" s="63"/>
      <c r="AI154" s="63"/>
      <c r="AJ154" s="63"/>
      <c r="AK154" s="63"/>
      <c r="AL154" s="63"/>
      <c r="AM154" s="63"/>
      <c r="AN154" s="63"/>
      <c r="AO154" s="63"/>
      <c r="AP154" s="63"/>
      <c r="AQ154" s="63"/>
      <c r="AR154" s="63"/>
      <c r="AS154" s="63"/>
      <c r="AT154" s="63"/>
      <c r="AU154" s="63"/>
      <c r="AV154" s="63"/>
      <c r="AW154" s="63"/>
      <c r="AX154" s="63"/>
      <c r="AY154" s="63"/>
      <c r="AZ154" s="63"/>
      <c r="BA154" s="63"/>
      <c r="BB154" s="63"/>
    </row>
    <row r="155" spans="3:54" s="64" customFormat="1" ht="15" customHeight="1">
      <c r="C155" s="151"/>
      <c r="D155" s="151"/>
      <c r="E155" s="150">
        <f>'IB - E&amp;PH'!E35</f>
        <v>0</v>
      </c>
      <c r="F155" s="150"/>
      <c r="G155" s="150">
        <f>'IB - E&amp;PH'!G35</f>
        <v>0</v>
      </c>
      <c r="H155" s="150"/>
      <c r="I155" s="150">
        <f>'IB - E&amp;PH'!I35</f>
        <v>0</v>
      </c>
      <c r="J155" s="150"/>
      <c r="K155" s="150">
        <f>'IB - E&amp;PH'!K35</f>
        <v>0</v>
      </c>
      <c r="L155" s="150"/>
      <c r="M155" s="150">
        <f>'IB - E&amp;PH'!M35</f>
        <v>0</v>
      </c>
      <c r="N155" s="150"/>
      <c r="O155" s="150">
        <f>'IB - E&amp;PH'!O35</f>
        <v>0</v>
      </c>
      <c r="P155" s="150"/>
      <c r="Q155" s="150">
        <f>'IB - E&amp;PH'!Q35</f>
        <v>0</v>
      </c>
      <c r="R155" s="150"/>
      <c r="S155" s="150">
        <f>'IB - E&amp;PH'!S35</f>
        <v>0</v>
      </c>
      <c r="T155" s="150"/>
      <c r="U155" s="150"/>
      <c r="V155" s="150"/>
      <c r="W155" s="150"/>
      <c r="X155" s="70"/>
      <c r="Y155" s="69"/>
      <c r="Z155" s="69"/>
      <c r="AA155" s="495"/>
      <c r="AB155" s="497"/>
      <c r="AC155" s="63"/>
      <c r="AD155" s="63"/>
      <c r="AE155" s="63"/>
      <c r="AF155" s="63"/>
      <c r="AG155" s="63"/>
      <c r="AH155" s="63"/>
      <c r="AI155" s="63"/>
      <c r="AJ155" s="63"/>
      <c r="AK155" s="63"/>
      <c r="AL155" s="63"/>
      <c r="AM155" s="63"/>
      <c r="AN155" s="63"/>
      <c r="AO155" s="63"/>
      <c r="AP155" s="63"/>
      <c r="AQ155" s="63"/>
      <c r="AR155" s="63"/>
      <c r="AS155" s="63"/>
      <c r="AT155" s="63"/>
      <c r="AU155" s="63"/>
      <c r="AV155" s="63"/>
      <c r="AW155" s="63"/>
      <c r="AX155" s="63"/>
      <c r="AY155" s="63"/>
      <c r="AZ155" s="63"/>
      <c r="BA155" s="63"/>
      <c r="BB155" s="63"/>
    </row>
    <row r="156" spans="3:54" s="64" customFormat="1" ht="15" customHeight="1">
      <c r="C156" s="151"/>
      <c r="D156" s="151"/>
      <c r="E156" s="150">
        <f>'IB - E&amp;PH'!E36</f>
        <v>0</v>
      </c>
      <c r="F156" s="150"/>
      <c r="G156" s="150">
        <f>'IB - E&amp;PH'!G36</f>
        <v>0</v>
      </c>
      <c r="H156" s="150"/>
      <c r="I156" s="150">
        <f>'IB - E&amp;PH'!I36</f>
        <v>0</v>
      </c>
      <c r="J156" s="150"/>
      <c r="K156" s="150">
        <f>'IB - E&amp;PH'!K36</f>
        <v>0</v>
      </c>
      <c r="L156" s="150"/>
      <c r="M156" s="150">
        <f>'IB - E&amp;PH'!M36</f>
        <v>0</v>
      </c>
      <c r="N156" s="150"/>
      <c r="O156" s="150">
        <f>'IB - E&amp;PH'!O36</f>
        <v>0</v>
      </c>
      <c r="P156" s="150"/>
      <c r="Q156" s="150">
        <f>'IB - E&amp;PH'!Q36</f>
        <v>0</v>
      </c>
      <c r="R156" s="150"/>
      <c r="S156" s="150">
        <f>'IB - E&amp;PH'!S36</f>
        <v>0</v>
      </c>
      <c r="T156" s="150"/>
      <c r="U156" s="150"/>
      <c r="V156" s="150"/>
      <c r="W156" s="150"/>
      <c r="X156" s="70"/>
      <c r="Y156" s="69"/>
      <c r="Z156" s="69"/>
      <c r="AA156" s="495"/>
      <c r="AB156" s="497"/>
      <c r="AC156" s="63"/>
      <c r="AD156" s="63"/>
      <c r="AE156" s="63"/>
      <c r="AF156" s="63"/>
      <c r="AG156" s="63"/>
      <c r="AH156" s="63"/>
      <c r="AI156" s="63"/>
      <c r="AJ156" s="63"/>
      <c r="AK156" s="63"/>
      <c r="AL156" s="63"/>
      <c r="AM156" s="63"/>
      <c r="AN156" s="63"/>
      <c r="AO156" s="63"/>
      <c r="AP156" s="63"/>
      <c r="AQ156" s="63"/>
      <c r="AR156" s="63"/>
      <c r="AS156" s="63"/>
      <c r="AT156" s="63"/>
      <c r="AU156" s="63"/>
      <c r="AV156" s="63"/>
      <c r="AW156" s="63"/>
      <c r="AX156" s="63"/>
      <c r="AY156" s="63"/>
      <c r="AZ156" s="63"/>
      <c r="BA156" s="63"/>
      <c r="BB156" s="63"/>
    </row>
    <row r="157" spans="3:54" s="64" customFormat="1" ht="15" customHeight="1">
      <c r="C157" s="151"/>
      <c r="D157" s="151"/>
      <c r="E157" s="150">
        <f>'IB - E&amp;PH'!E37</f>
        <v>0</v>
      </c>
      <c r="F157" s="150"/>
      <c r="G157" s="150">
        <f>'IB - E&amp;PH'!G37</f>
        <v>0</v>
      </c>
      <c r="H157" s="150"/>
      <c r="I157" s="150">
        <f>'IB - E&amp;PH'!I37</f>
        <v>0</v>
      </c>
      <c r="J157" s="150"/>
      <c r="K157" s="150">
        <f>'IB - E&amp;PH'!K37</f>
        <v>0</v>
      </c>
      <c r="L157" s="150"/>
      <c r="M157" s="150">
        <f>'IB - E&amp;PH'!M37</f>
        <v>0</v>
      </c>
      <c r="N157" s="150"/>
      <c r="O157" s="150">
        <f>'IB - E&amp;PH'!O37</f>
        <v>0</v>
      </c>
      <c r="P157" s="150"/>
      <c r="Q157" s="150">
        <f>'IB - E&amp;PH'!Q37</f>
        <v>0</v>
      </c>
      <c r="R157" s="150"/>
      <c r="S157" s="150">
        <f>'IB - E&amp;PH'!S37</f>
        <v>0</v>
      </c>
      <c r="T157" s="150"/>
      <c r="U157" s="150"/>
      <c r="V157" s="150"/>
      <c r="W157" s="150"/>
      <c r="X157" s="70"/>
      <c r="Y157" s="69"/>
      <c r="Z157" s="69"/>
      <c r="AA157" s="69"/>
      <c r="AB157" s="63"/>
      <c r="AC157" s="63"/>
      <c r="AD157" s="63"/>
      <c r="AE157" s="63"/>
      <c r="AF157" s="63"/>
      <c r="AG157" s="63"/>
      <c r="AH157" s="63"/>
      <c r="AI157" s="63"/>
      <c r="AJ157" s="63"/>
      <c r="AK157" s="63"/>
      <c r="AL157" s="63"/>
      <c r="AM157" s="63"/>
      <c r="AN157" s="63"/>
      <c r="AO157" s="63"/>
      <c r="AP157" s="63"/>
      <c r="AQ157" s="63"/>
      <c r="AR157" s="63"/>
      <c r="AS157" s="63"/>
      <c r="AT157" s="63"/>
      <c r="AU157" s="63"/>
      <c r="AV157" s="63"/>
      <c r="AW157" s="63"/>
      <c r="AX157" s="63"/>
      <c r="AY157" s="63"/>
      <c r="AZ157" s="63"/>
      <c r="BA157" s="63"/>
      <c r="BB157" s="63"/>
    </row>
    <row r="158" spans="3:54" s="64" customFormat="1" ht="15" customHeight="1">
      <c r="C158" s="151"/>
      <c r="D158" s="151"/>
      <c r="E158" s="150">
        <f>'IB - E&amp;PH'!E38</f>
        <v>0</v>
      </c>
      <c r="F158" s="150"/>
      <c r="G158" s="150">
        <f>'IB - E&amp;PH'!G38</f>
        <v>0</v>
      </c>
      <c r="H158" s="150"/>
      <c r="I158" s="150">
        <f>'IB - E&amp;PH'!I38</f>
        <v>0</v>
      </c>
      <c r="J158" s="150"/>
      <c r="K158" s="150">
        <f>'IB - E&amp;PH'!K38</f>
        <v>0</v>
      </c>
      <c r="L158" s="150"/>
      <c r="M158" s="150">
        <f>'IB - E&amp;PH'!M38</f>
        <v>0</v>
      </c>
      <c r="N158" s="150"/>
      <c r="O158" s="150">
        <f>'IB - E&amp;PH'!O38</f>
        <v>0</v>
      </c>
      <c r="P158" s="150"/>
      <c r="Q158" s="150">
        <f>'IB - E&amp;PH'!Q38</f>
        <v>0</v>
      </c>
      <c r="R158" s="150"/>
      <c r="S158" s="150">
        <f>'IB - E&amp;PH'!S38</f>
        <v>0</v>
      </c>
      <c r="T158" s="150"/>
      <c r="U158" s="150"/>
      <c r="V158" s="150"/>
      <c r="W158" s="150"/>
      <c r="X158" s="70"/>
      <c r="Y158" s="69"/>
      <c r="Z158" s="69"/>
      <c r="AA158" s="69"/>
      <c r="AB158" s="63"/>
      <c r="AC158" s="63"/>
      <c r="AD158" s="63"/>
      <c r="AE158" s="63"/>
      <c r="AF158" s="63"/>
      <c r="AG158" s="63"/>
      <c r="AH158" s="63"/>
      <c r="AI158" s="63"/>
      <c r="AJ158" s="63"/>
      <c r="AK158" s="63"/>
      <c r="AL158" s="63"/>
      <c r="AM158" s="63"/>
      <c r="AN158" s="63"/>
      <c r="AO158" s="63"/>
      <c r="AP158" s="63"/>
      <c r="AQ158" s="63"/>
      <c r="AR158" s="63"/>
      <c r="AS158" s="63"/>
      <c r="AT158" s="63"/>
      <c r="AU158" s="63"/>
      <c r="AV158" s="63"/>
      <c r="AW158" s="63"/>
      <c r="AX158" s="63"/>
      <c r="AY158" s="63"/>
      <c r="AZ158" s="63"/>
      <c r="BA158" s="63"/>
      <c r="BB158" s="63"/>
    </row>
    <row r="159" spans="3:54" s="64" customFormat="1" ht="15" customHeight="1">
      <c r="C159" s="151"/>
      <c r="D159" s="151"/>
      <c r="E159" s="150">
        <f>'IB - E&amp;PH'!E39</f>
        <v>0</v>
      </c>
      <c r="F159" s="150"/>
      <c r="G159" s="150">
        <f>'IB - E&amp;PH'!G39</f>
        <v>0</v>
      </c>
      <c r="H159" s="150"/>
      <c r="I159" s="150">
        <f>'IB - E&amp;PH'!I39</f>
        <v>0</v>
      </c>
      <c r="J159" s="150"/>
      <c r="K159" s="150">
        <f>'IB - E&amp;PH'!K39</f>
        <v>0</v>
      </c>
      <c r="L159" s="150"/>
      <c r="M159" s="150">
        <f>'IB - E&amp;PH'!M39</f>
        <v>0</v>
      </c>
      <c r="N159" s="150"/>
      <c r="O159" s="150">
        <f>'IB - E&amp;PH'!O39</f>
        <v>0</v>
      </c>
      <c r="P159" s="150"/>
      <c r="Q159" s="150">
        <f>'IB - E&amp;PH'!Q39</f>
        <v>0</v>
      </c>
      <c r="R159" s="150"/>
      <c r="S159" s="150">
        <f>'IB - E&amp;PH'!S39</f>
        <v>0</v>
      </c>
      <c r="T159" s="150"/>
      <c r="U159" s="150"/>
      <c r="V159" s="150"/>
      <c r="W159" s="150"/>
      <c r="X159" s="70"/>
      <c r="Y159" s="69"/>
      <c r="Z159" s="69"/>
      <c r="AA159" s="69"/>
      <c r="AB159" s="63"/>
      <c r="AC159" s="63"/>
      <c r="AD159" s="63"/>
      <c r="AE159" s="63"/>
      <c r="AF159" s="63"/>
      <c r="AG159" s="63"/>
      <c r="AH159" s="63"/>
      <c r="AI159" s="63"/>
      <c r="AJ159" s="63"/>
      <c r="AK159" s="63"/>
      <c r="AL159" s="63"/>
      <c r="AM159" s="63"/>
      <c r="AN159" s="63"/>
      <c r="AO159" s="63"/>
      <c r="AP159" s="63"/>
      <c r="AQ159" s="63"/>
      <c r="AR159" s="63"/>
      <c r="AS159" s="63"/>
      <c r="AT159" s="63"/>
      <c r="AU159" s="63"/>
      <c r="AV159" s="63"/>
      <c r="AW159" s="63"/>
      <c r="AX159" s="63"/>
      <c r="AY159" s="63"/>
      <c r="AZ159" s="63"/>
      <c r="BA159" s="63"/>
      <c r="BB159" s="63"/>
    </row>
    <row r="160" spans="3:54" s="64" customFormat="1" ht="15" customHeight="1">
      <c r="C160" s="151"/>
      <c r="D160" s="151"/>
      <c r="E160" s="150">
        <f>'IB - E&amp;PH'!E40</f>
        <v>0</v>
      </c>
      <c r="F160" s="150"/>
      <c r="G160" s="150">
        <f>'IB - E&amp;PH'!G40</f>
        <v>0</v>
      </c>
      <c r="H160" s="150"/>
      <c r="I160" s="150">
        <f>'IB - E&amp;PH'!I40</f>
        <v>0</v>
      </c>
      <c r="J160" s="150"/>
      <c r="K160" s="150">
        <f>'IB - E&amp;PH'!K40</f>
        <v>0</v>
      </c>
      <c r="L160" s="150"/>
      <c r="M160" s="150">
        <f>'IB - E&amp;PH'!M40</f>
        <v>0</v>
      </c>
      <c r="N160" s="150"/>
      <c r="O160" s="150">
        <f>'IB - E&amp;PH'!O40</f>
        <v>0</v>
      </c>
      <c r="P160" s="150"/>
      <c r="Q160" s="150">
        <f>'IB - E&amp;PH'!Q40</f>
        <v>0</v>
      </c>
      <c r="R160" s="150"/>
      <c r="S160" s="150">
        <f>'IB - E&amp;PH'!S40</f>
        <v>0</v>
      </c>
      <c r="T160" s="150"/>
      <c r="U160" s="150"/>
      <c r="V160" s="150"/>
      <c r="W160" s="150"/>
      <c r="X160" s="70"/>
      <c r="Y160" s="69"/>
      <c r="Z160" s="69"/>
      <c r="AA160" s="69"/>
      <c r="AB160" s="63"/>
      <c r="AC160" s="63"/>
      <c r="AD160" s="63"/>
      <c r="AE160" s="63"/>
      <c r="AF160" s="63"/>
      <c r="AG160" s="63"/>
      <c r="AH160" s="63"/>
      <c r="AI160" s="63"/>
      <c r="AJ160" s="63"/>
      <c r="AK160" s="63"/>
      <c r="AL160" s="63"/>
      <c r="AM160" s="63"/>
      <c r="AN160" s="63"/>
      <c r="AO160" s="63"/>
      <c r="AP160" s="63"/>
      <c r="AQ160" s="63"/>
      <c r="AR160" s="63"/>
      <c r="AS160" s="63"/>
      <c r="AT160" s="63"/>
      <c r="AU160" s="63"/>
      <c r="AV160" s="63"/>
      <c r="AW160" s="63"/>
      <c r="AX160" s="63"/>
      <c r="AY160" s="63"/>
      <c r="AZ160" s="63"/>
      <c r="BA160" s="63"/>
      <c r="BB160" s="63"/>
    </row>
    <row r="161" spans="1:76" s="64" customFormat="1" ht="15" customHeight="1">
      <c r="C161" s="151"/>
      <c r="D161" s="151"/>
      <c r="E161" s="150">
        <f>'IB - E&amp;PH'!E41</f>
        <v>0</v>
      </c>
      <c r="F161" s="150"/>
      <c r="G161" s="150">
        <f>'IB - E&amp;PH'!G41</f>
        <v>0</v>
      </c>
      <c r="H161" s="150"/>
      <c r="I161" s="150">
        <f>'IB - E&amp;PH'!I41</f>
        <v>0</v>
      </c>
      <c r="J161" s="150"/>
      <c r="K161" s="150">
        <f>'IB - E&amp;PH'!K41</f>
        <v>0</v>
      </c>
      <c r="L161" s="150"/>
      <c r="M161" s="150">
        <f>'IB - E&amp;PH'!M41</f>
        <v>0</v>
      </c>
      <c r="N161" s="150"/>
      <c r="O161" s="150">
        <f>'IB - E&amp;PH'!O41</f>
        <v>0</v>
      </c>
      <c r="P161" s="150"/>
      <c r="Q161" s="150">
        <f>'IB - E&amp;PH'!Q41</f>
        <v>0</v>
      </c>
      <c r="R161" s="150"/>
      <c r="S161" s="150">
        <f>'IB - E&amp;PH'!S41</f>
        <v>0</v>
      </c>
      <c r="T161" s="150"/>
      <c r="U161" s="150"/>
      <c r="V161" s="150"/>
      <c r="W161" s="150"/>
      <c r="X161" s="70"/>
      <c r="Y161" s="69"/>
      <c r="Z161" s="69"/>
      <c r="AA161" s="69"/>
      <c r="AB161" s="63"/>
      <c r="AC161" s="63"/>
      <c r="AD161" s="63"/>
      <c r="AE161" s="63"/>
      <c r="AF161" s="63"/>
      <c r="AG161" s="63"/>
      <c r="AH161" s="63"/>
      <c r="AI161" s="63"/>
      <c r="AJ161" s="63"/>
      <c r="AK161" s="63"/>
      <c r="AL161" s="63"/>
      <c r="AM161" s="63"/>
      <c r="AN161" s="63"/>
      <c r="AO161" s="63"/>
      <c r="AP161" s="63"/>
      <c r="AQ161" s="63"/>
      <c r="AR161" s="63"/>
      <c r="AS161" s="63"/>
      <c r="AT161" s="63"/>
      <c r="AU161" s="63"/>
      <c r="AV161" s="63"/>
      <c r="AW161" s="63"/>
      <c r="AX161" s="63"/>
      <c r="AY161" s="63"/>
      <c r="AZ161" s="63"/>
      <c r="BA161" s="63"/>
      <c r="BB161" s="63"/>
    </row>
    <row r="162" spans="1:76" s="64" customFormat="1" ht="15" customHeight="1">
      <c r="A162" s="62"/>
      <c r="B162" s="62"/>
      <c r="C162" s="152"/>
      <c r="D162" s="152"/>
      <c r="E162" s="150">
        <f>'IB - E&amp;PH'!E42</f>
        <v>0</v>
      </c>
      <c r="F162" s="150"/>
      <c r="G162" s="150">
        <f>'IB - E&amp;PH'!G42</f>
        <v>0</v>
      </c>
      <c r="H162" s="150"/>
      <c r="I162" s="150">
        <f>'IB - E&amp;PH'!I42</f>
        <v>0</v>
      </c>
      <c r="J162" s="150"/>
      <c r="K162" s="150">
        <f>'IB - E&amp;PH'!K42</f>
        <v>0</v>
      </c>
      <c r="L162" s="150"/>
      <c r="M162" s="150">
        <f>'IB - E&amp;PH'!M42</f>
        <v>0</v>
      </c>
      <c r="N162" s="150"/>
      <c r="O162" s="150">
        <f>'IB - E&amp;PH'!O42</f>
        <v>0</v>
      </c>
      <c r="P162" s="150"/>
      <c r="Q162" s="150">
        <f>'IB - E&amp;PH'!Q42</f>
        <v>0</v>
      </c>
      <c r="R162" s="150"/>
      <c r="S162" s="150">
        <f>'IB - E&amp;PH'!S42</f>
        <v>0</v>
      </c>
      <c r="T162" s="150"/>
      <c r="U162" s="150"/>
      <c r="V162" s="150"/>
      <c r="W162" s="150"/>
      <c r="X162" s="62"/>
      <c r="Y162" s="69"/>
      <c r="Z162" s="69"/>
      <c r="AA162" s="69"/>
      <c r="AB162" s="63"/>
      <c r="AC162" s="63"/>
      <c r="AD162" s="63"/>
      <c r="AE162" s="63"/>
      <c r="AF162" s="63"/>
      <c r="AG162" s="63"/>
      <c r="AH162" s="63"/>
      <c r="AI162" s="63"/>
      <c r="AJ162" s="63"/>
      <c r="AK162" s="63"/>
      <c r="AL162" s="63"/>
      <c r="AM162" s="63"/>
      <c r="AN162" s="63"/>
      <c r="AO162" s="63"/>
      <c r="AP162" s="63"/>
      <c r="AQ162" s="63"/>
      <c r="AR162" s="63"/>
      <c r="AS162" s="63"/>
      <c r="AT162" s="63"/>
      <c r="AU162" s="63"/>
      <c r="AV162" s="63"/>
      <c r="AW162" s="63"/>
      <c r="AX162" s="63"/>
      <c r="AY162" s="63"/>
      <c r="AZ162" s="63"/>
      <c r="BA162" s="63"/>
      <c r="BB162" s="63"/>
    </row>
    <row r="163" spans="1:76" s="64" customFormat="1" ht="15" customHeight="1">
      <c r="A163" s="62"/>
      <c r="B163" s="62"/>
      <c r="C163" s="152"/>
      <c r="D163" s="152"/>
      <c r="E163" s="150">
        <f>'IB - E&amp;PH'!E43</f>
        <v>0</v>
      </c>
      <c r="F163" s="150"/>
      <c r="G163" s="150">
        <f>'IB - E&amp;PH'!G43</f>
        <v>0</v>
      </c>
      <c r="H163" s="150"/>
      <c r="I163" s="150">
        <f>'IB - E&amp;PH'!I43</f>
        <v>0</v>
      </c>
      <c r="J163" s="150"/>
      <c r="K163" s="150">
        <f>'IB - E&amp;PH'!K43</f>
        <v>0</v>
      </c>
      <c r="L163" s="150"/>
      <c r="M163" s="150">
        <f>'IB - E&amp;PH'!M43</f>
        <v>0</v>
      </c>
      <c r="N163" s="150"/>
      <c r="O163" s="150">
        <f>'IB - E&amp;PH'!O43</f>
        <v>0</v>
      </c>
      <c r="P163" s="150"/>
      <c r="Q163" s="150">
        <f>'IB - E&amp;PH'!Q43</f>
        <v>0</v>
      </c>
      <c r="R163" s="150"/>
      <c r="S163" s="150">
        <f>'IB - E&amp;PH'!S43</f>
        <v>0</v>
      </c>
      <c r="T163" s="150"/>
      <c r="U163" s="150"/>
      <c r="V163" s="150"/>
      <c r="W163" s="150"/>
      <c r="X163" s="62"/>
      <c r="Y163" s="69"/>
      <c r="Z163" s="69"/>
      <c r="AA163" s="69"/>
      <c r="AB163" s="63"/>
      <c r="AC163" s="63"/>
      <c r="AD163" s="63"/>
      <c r="AE163" s="63"/>
      <c r="AF163" s="63"/>
      <c r="AG163" s="63"/>
      <c r="AH163" s="63"/>
      <c r="AI163" s="63"/>
      <c r="AJ163" s="63"/>
      <c r="AK163" s="63"/>
      <c r="AL163" s="63"/>
      <c r="AM163" s="63"/>
      <c r="AN163" s="63"/>
      <c r="AO163" s="63"/>
      <c r="AP163" s="63"/>
      <c r="AQ163" s="63"/>
      <c r="AR163" s="63"/>
      <c r="AS163" s="63"/>
      <c r="AT163" s="63"/>
      <c r="AU163" s="63"/>
      <c r="AV163" s="63"/>
      <c r="AW163" s="63"/>
      <c r="AX163" s="63"/>
      <c r="AY163" s="63"/>
      <c r="AZ163" s="63"/>
      <c r="BA163" s="63"/>
      <c r="BB163" s="63"/>
    </row>
    <row r="164" spans="1:76" s="75" customFormat="1" ht="15" customHeight="1">
      <c r="A164" s="71"/>
      <c r="B164" s="71"/>
      <c r="C164" s="153"/>
      <c r="D164" s="153"/>
      <c r="E164" s="150">
        <f>'IB - E&amp;PH'!E44</f>
        <v>0</v>
      </c>
      <c r="F164" s="150"/>
      <c r="G164" s="150">
        <f>'IB - E&amp;PH'!G44</f>
        <v>0</v>
      </c>
      <c r="H164" s="150"/>
      <c r="I164" s="150">
        <f>'IB - E&amp;PH'!I44</f>
        <v>0</v>
      </c>
      <c r="J164" s="150"/>
      <c r="K164" s="150">
        <f>'IB - E&amp;PH'!K44</f>
        <v>0</v>
      </c>
      <c r="L164" s="150"/>
      <c r="M164" s="150">
        <f>'IB - E&amp;PH'!M44</f>
        <v>0</v>
      </c>
      <c r="N164" s="150"/>
      <c r="O164" s="150">
        <f>'IB - E&amp;PH'!O44</f>
        <v>0</v>
      </c>
      <c r="P164" s="150"/>
      <c r="Q164" s="150">
        <f>'IB - E&amp;PH'!Q44</f>
        <v>0</v>
      </c>
      <c r="R164" s="150"/>
      <c r="S164" s="150">
        <f>'IB - E&amp;PH'!S44</f>
        <v>0</v>
      </c>
      <c r="T164" s="150"/>
      <c r="U164" s="150"/>
      <c r="V164" s="150"/>
      <c r="W164" s="150"/>
      <c r="X164" s="62"/>
      <c r="Y164" s="72"/>
      <c r="Z164" s="72"/>
      <c r="AA164" s="72"/>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row>
    <row r="165" spans="1:76" s="75" customFormat="1" ht="15" customHeight="1">
      <c r="A165" s="71"/>
      <c r="B165" s="71"/>
      <c r="C165" s="153"/>
      <c r="D165" s="153"/>
      <c r="E165" s="150">
        <f>'IB - E&amp;PH'!E45</f>
        <v>0</v>
      </c>
      <c r="F165" s="150"/>
      <c r="G165" s="150">
        <f>'IB - E&amp;PH'!G45</f>
        <v>0</v>
      </c>
      <c r="H165" s="150"/>
      <c r="I165" s="150">
        <f>'IB - E&amp;PH'!I45</f>
        <v>0</v>
      </c>
      <c r="J165" s="150"/>
      <c r="K165" s="150">
        <f>'IB - E&amp;PH'!K45</f>
        <v>0</v>
      </c>
      <c r="L165" s="150"/>
      <c r="M165" s="150">
        <f>'IB - E&amp;PH'!M45</f>
        <v>0</v>
      </c>
      <c r="N165" s="150"/>
      <c r="O165" s="150">
        <f>'IB - E&amp;PH'!O45</f>
        <v>0</v>
      </c>
      <c r="P165" s="150"/>
      <c r="Q165" s="150">
        <f>'IB - E&amp;PH'!Q45</f>
        <v>0</v>
      </c>
      <c r="R165" s="150"/>
      <c r="S165" s="150">
        <f>'IB - E&amp;PH'!S45</f>
        <v>0</v>
      </c>
      <c r="T165" s="150"/>
      <c r="U165" s="150"/>
      <c r="V165" s="150"/>
      <c r="W165" s="150"/>
      <c r="X165" s="62"/>
      <c r="Y165" s="72"/>
      <c r="Z165" s="72"/>
      <c r="AA165" s="72"/>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row>
    <row r="166" spans="1:76" s="75" customFormat="1" ht="15" customHeight="1">
      <c r="A166" s="71"/>
      <c r="B166" s="71"/>
      <c r="C166" s="153"/>
      <c r="D166" s="153"/>
      <c r="E166" s="150"/>
      <c r="F166" s="150"/>
      <c r="G166" s="150"/>
      <c r="H166" s="150"/>
      <c r="I166" s="150"/>
      <c r="J166" s="150"/>
      <c r="K166" s="150"/>
      <c r="L166" s="150"/>
      <c r="M166" s="150"/>
      <c r="N166" s="150"/>
      <c r="O166" s="150"/>
      <c r="P166" s="150"/>
      <c r="Q166" s="150"/>
      <c r="R166" s="150"/>
      <c r="S166" s="150"/>
      <c r="T166" s="150"/>
      <c r="U166" s="150"/>
      <c r="V166" s="150"/>
      <c r="W166" s="150"/>
      <c r="X166" s="62"/>
      <c r="Y166" s="72"/>
      <c r="Z166" s="72"/>
      <c r="AA166" s="72"/>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row>
    <row r="167" spans="1:76" s="75" customFormat="1" ht="15" customHeight="1">
      <c r="A167" s="71"/>
      <c r="B167" s="71"/>
      <c r="C167" s="153" t="str">
        <f>'IB - E&amp;PH'!A94</f>
        <v>Gennemsnitlige årlige omkostninger</v>
      </c>
      <c r="D167" s="153"/>
      <c r="E167" s="150" t="str">
        <f>'IB - E&amp;PH'!E95</f>
        <v>PRODUKT 1 EL</v>
      </c>
      <c r="F167" s="150"/>
      <c r="G167" s="150" t="str">
        <f>'IB - E&amp;PH'!G95</f>
        <v>PRODUKT 2 EL</v>
      </c>
      <c r="H167" s="150"/>
      <c r="I167" s="150" t="str">
        <f>'IB - E&amp;PH'!I95</f>
        <v>PRODUKT 3 EL</v>
      </c>
      <c r="J167" s="150"/>
      <c r="K167" s="150" t="str">
        <f>'IB - E&amp;PH'!K95</f>
        <v>PRODUKT 4 EL</v>
      </c>
      <c r="L167" s="150"/>
      <c r="M167" s="150" t="str">
        <f>'IB - E&amp;PH'!M95</f>
        <v>PRODUKT 5 EL</v>
      </c>
      <c r="N167" s="150"/>
      <c r="O167" s="150" t="str">
        <f>'IB - E&amp;PH'!O95</f>
        <v>PRODUKT 6 EL</v>
      </c>
      <c r="P167" s="150"/>
      <c r="Q167" s="150" t="str">
        <f>'IB - E&amp;PH'!Q95</f>
        <v>PRODUKT 7 EL</v>
      </c>
      <c r="R167" s="150"/>
      <c r="S167" s="150" t="str">
        <f>'IB - E&amp;PH'!S95</f>
        <v>PRODUKT 8 EL</v>
      </c>
      <c r="T167" s="150"/>
      <c r="U167" s="150" t="str">
        <f>'IB - E&amp;PH'!U95</f>
        <v>PRODUKT 9 EL</v>
      </c>
      <c r="V167" s="150"/>
      <c r="W167" s="150" t="str">
        <f>'IB - E&amp;PH'!W95</f>
        <v>PRODUKT 10 EL</v>
      </c>
      <c r="X167" s="62"/>
      <c r="Y167" s="72"/>
      <c r="Z167" s="72"/>
      <c r="AA167" s="72"/>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row>
    <row r="168" spans="1:76" s="75" customFormat="1" ht="15" customHeight="1">
      <c r="A168" s="72"/>
      <c r="B168" s="72"/>
      <c r="C168" s="154"/>
      <c r="D168" s="154"/>
      <c r="E168" s="150">
        <f>'IB - E&amp;PH'!E96</f>
        <v>0</v>
      </c>
      <c r="F168" s="150"/>
      <c r="G168" s="150">
        <f>'IB - E&amp;PH'!G96</f>
        <v>0</v>
      </c>
      <c r="H168" s="150"/>
      <c r="I168" s="150">
        <f>'IB - E&amp;PH'!I96</f>
        <v>0</v>
      </c>
      <c r="J168" s="150"/>
      <c r="K168" s="150">
        <f>'IB - E&amp;PH'!K96</f>
        <v>0</v>
      </c>
      <c r="L168" s="150"/>
      <c r="M168" s="150">
        <f>'IB - E&amp;PH'!M96</f>
        <v>0</v>
      </c>
      <c r="N168" s="150"/>
      <c r="O168" s="150">
        <f>'IB - E&amp;PH'!O96</f>
        <v>0</v>
      </c>
      <c r="P168" s="150"/>
      <c r="Q168" s="150">
        <f>'IB - E&amp;PH'!Q96</f>
        <v>0</v>
      </c>
      <c r="R168" s="150"/>
      <c r="S168" s="150">
        <f>'IB - E&amp;PH'!S96</f>
        <v>0</v>
      </c>
      <c r="T168" s="150"/>
      <c r="U168" s="150">
        <f>'IB - E&amp;PH'!U96</f>
        <v>0</v>
      </c>
      <c r="V168" s="150"/>
      <c r="W168" s="150">
        <f>'IB - E&amp;PH'!W96</f>
        <v>0</v>
      </c>
      <c r="X168" s="69"/>
      <c r="Y168" s="72"/>
      <c r="Z168" s="72"/>
      <c r="AA168" s="72"/>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row>
    <row r="169" spans="1:76" s="75" customFormat="1" ht="15" customHeight="1">
      <c r="A169" s="72"/>
      <c r="B169" s="72"/>
      <c r="C169" s="154"/>
      <c r="D169" s="154"/>
      <c r="E169" s="150">
        <f>'IB - E&amp;PH'!E97</f>
        <v>0</v>
      </c>
      <c r="F169" s="150"/>
      <c r="G169" s="150">
        <f>'IB - E&amp;PH'!G97</f>
        <v>0</v>
      </c>
      <c r="H169" s="150"/>
      <c r="I169" s="150">
        <f>'IB - E&amp;PH'!I97</f>
        <v>0</v>
      </c>
      <c r="J169" s="150"/>
      <c r="K169" s="150">
        <f>'IB - E&amp;PH'!K97</f>
        <v>0</v>
      </c>
      <c r="L169" s="150"/>
      <c r="M169" s="150">
        <f>'IB - E&amp;PH'!M97</f>
        <v>0</v>
      </c>
      <c r="N169" s="150"/>
      <c r="O169" s="150">
        <f>'IB - E&amp;PH'!O97</f>
        <v>0</v>
      </c>
      <c r="P169" s="150"/>
      <c r="Q169" s="150">
        <f>'IB - E&amp;PH'!Q97</f>
        <v>0</v>
      </c>
      <c r="R169" s="150"/>
      <c r="S169" s="150">
        <f>'IB - E&amp;PH'!S97</f>
        <v>0</v>
      </c>
      <c r="T169" s="150"/>
      <c r="U169" s="150">
        <f>'IB - E&amp;PH'!U97</f>
        <v>0</v>
      </c>
      <c r="V169" s="150"/>
      <c r="W169" s="150">
        <f>'IB - E&amp;PH'!W97</f>
        <v>0</v>
      </c>
      <c r="X169" s="69"/>
      <c r="Y169" s="72"/>
      <c r="Z169" s="72"/>
      <c r="AA169" s="72"/>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row>
    <row r="170" spans="1:76" s="75" customFormat="1" ht="15" customHeight="1">
      <c r="A170" s="72"/>
      <c r="B170" s="72"/>
      <c r="C170" s="154"/>
      <c r="D170" s="154"/>
      <c r="E170" s="150">
        <f>'IB - E&amp;PH'!E98</f>
        <v>0</v>
      </c>
      <c r="F170" s="150"/>
      <c r="G170" s="150">
        <f>'IB - E&amp;PH'!G98</f>
        <v>0</v>
      </c>
      <c r="H170" s="150"/>
      <c r="I170" s="150">
        <f>'IB - E&amp;PH'!I98</f>
        <v>0</v>
      </c>
      <c r="J170" s="150"/>
      <c r="K170" s="150">
        <f>'IB - E&amp;PH'!K98</f>
        <v>0</v>
      </c>
      <c r="L170" s="150"/>
      <c r="M170" s="150">
        <f>'IB - E&amp;PH'!M98</f>
        <v>0</v>
      </c>
      <c r="N170" s="150"/>
      <c r="O170" s="150">
        <f>'IB - E&amp;PH'!O98</f>
        <v>0</v>
      </c>
      <c r="P170" s="150"/>
      <c r="Q170" s="150">
        <f>'IB - E&amp;PH'!Q98</f>
        <v>0</v>
      </c>
      <c r="R170" s="150"/>
      <c r="S170" s="150">
        <f>'IB - E&amp;PH'!S98</f>
        <v>0</v>
      </c>
      <c r="T170" s="150"/>
      <c r="U170" s="150">
        <f>'IB - E&amp;PH'!U98</f>
        <v>0</v>
      </c>
      <c r="V170" s="150"/>
      <c r="W170" s="150">
        <f>'IB - E&amp;PH'!W98</f>
        <v>0</v>
      </c>
      <c r="X170" s="69"/>
      <c r="Y170" s="72"/>
      <c r="Z170" s="72"/>
      <c r="AA170" s="72"/>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row>
    <row r="171" spans="1:76" s="75" customFormat="1" ht="15" customHeight="1">
      <c r="A171" s="72"/>
      <c r="B171" s="72"/>
      <c r="C171" s="154"/>
      <c r="D171" s="154"/>
      <c r="E171" s="150">
        <f>'IB - E&amp;PH'!E99</f>
        <v>0</v>
      </c>
      <c r="F171" s="150"/>
      <c r="G171" s="150">
        <f>'IB - E&amp;PH'!G99</f>
        <v>0</v>
      </c>
      <c r="H171" s="150"/>
      <c r="I171" s="150">
        <f>'IB - E&amp;PH'!I99</f>
        <v>0</v>
      </c>
      <c r="J171" s="150"/>
      <c r="K171" s="150">
        <f>'IB - E&amp;PH'!K99</f>
        <v>0</v>
      </c>
      <c r="L171" s="150"/>
      <c r="M171" s="150">
        <f>'IB - E&amp;PH'!M99</f>
        <v>0</v>
      </c>
      <c r="N171" s="150"/>
      <c r="O171" s="150">
        <f>'IB - E&amp;PH'!O99</f>
        <v>0</v>
      </c>
      <c r="P171" s="150"/>
      <c r="Q171" s="150">
        <f>'IB - E&amp;PH'!Q99</f>
        <v>0</v>
      </c>
      <c r="R171" s="150"/>
      <c r="S171" s="150">
        <f>'IB - E&amp;PH'!S99</f>
        <v>0</v>
      </c>
      <c r="T171" s="150"/>
      <c r="U171" s="150">
        <f>'IB - E&amp;PH'!U99</f>
        <v>0</v>
      </c>
      <c r="V171" s="150"/>
      <c r="W171" s="150">
        <f>'IB - E&amp;PH'!W99</f>
        <v>0</v>
      </c>
      <c r="X171" s="69"/>
      <c r="Y171" s="72"/>
      <c r="Z171" s="72"/>
      <c r="AA171" s="72"/>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row>
    <row r="172" spans="1:76" s="75" customFormat="1" ht="15" customHeight="1">
      <c r="A172" s="72"/>
      <c r="B172" s="72"/>
      <c r="C172" s="154"/>
      <c r="D172" s="154"/>
      <c r="E172" s="150">
        <f>'IB - E&amp;PH'!E100</f>
        <v>0</v>
      </c>
      <c r="F172" s="150"/>
      <c r="G172" s="150">
        <f>'IB - E&amp;PH'!G100</f>
        <v>0</v>
      </c>
      <c r="H172" s="150"/>
      <c r="I172" s="150">
        <f>'IB - E&amp;PH'!I100</f>
        <v>0</v>
      </c>
      <c r="J172" s="150"/>
      <c r="K172" s="150">
        <f>'IB - E&amp;PH'!K100</f>
        <v>0</v>
      </c>
      <c r="L172" s="150"/>
      <c r="M172" s="150">
        <f>'IB - E&amp;PH'!M100</f>
        <v>0</v>
      </c>
      <c r="N172" s="150"/>
      <c r="O172" s="150">
        <f>'IB - E&amp;PH'!O100</f>
        <v>0</v>
      </c>
      <c r="P172" s="150"/>
      <c r="Q172" s="150">
        <f>'IB - E&amp;PH'!Q100</f>
        <v>0</v>
      </c>
      <c r="R172" s="150"/>
      <c r="S172" s="150">
        <f>'IB - E&amp;PH'!S100</f>
        <v>0</v>
      </c>
      <c r="T172" s="150"/>
      <c r="U172" s="150">
        <f>'IB - E&amp;PH'!U100</f>
        <v>0</v>
      </c>
      <c r="V172" s="150"/>
      <c r="W172" s="150">
        <f>'IB - E&amp;PH'!W100</f>
        <v>0</v>
      </c>
      <c r="X172" s="69"/>
      <c r="Y172" s="72"/>
      <c r="Z172" s="72"/>
      <c r="AA172" s="72"/>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row>
    <row r="173" spans="1:76" s="75" customFormat="1" ht="15" customHeight="1">
      <c r="A173" s="72"/>
      <c r="B173" s="72"/>
      <c r="C173" s="154"/>
      <c r="D173" s="155"/>
      <c r="E173" s="150">
        <f>'IB - E&amp;PH'!E101</f>
        <v>0</v>
      </c>
      <c r="F173" s="150"/>
      <c r="G173" s="150">
        <f>'IB - E&amp;PH'!G101</f>
        <v>0</v>
      </c>
      <c r="H173" s="150"/>
      <c r="I173" s="150">
        <f>'IB - E&amp;PH'!I101</f>
        <v>0</v>
      </c>
      <c r="J173" s="150"/>
      <c r="K173" s="150">
        <f>'IB - E&amp;PH'!K101</f>
        <v>0</v>
      </c>
      <c r="L173" s="150"/>
      <c r="M173" s="150">
        <f>'IB - E&amp;PH'!M101</f>
        <v>0</v>
      </c>
      <c r="N173" s="150"/>
      <c r="O173" s="150">
        <f>'IB - E&amp;PH'!O101</f>
        <v>0</v>
      </c>
      <c r="P173" s="150"/>
      <c r="Q173" s="150">
        <f>'IB - E&amp;PH'!Q101</f>
        <v>0</v>
      </c>
      <c r="R173" s="150"/>
      <c r="S173" s="150">
        <f>'IB - E&amp;PH'!S101</f>
        <v>0</v>
      </c>
      <c r="T173" s="150"/>
      <c r="U173" s="150">
        <f>'IB - E&amp;PH'!U101</f>
        <v>0</v>
      </c>
      <c r="V173" s="150"/>
      <c r="W173" s="150">
        <f>'IB - E&amp;PH'!W101</f>
        <v>0</v>
      </c>
      <c r="X173" s="69"/>
      <c r="Y173" s="72"/>
      <c r="Z173" s="72"/>
      <c r="AA173" s="72"/>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row>
    <row r="174" spans="1:76" s="75" customFormat="1" ht="15" customHeight="1">
      <c r="A174" s="72"/>
      <c r="B174" s="72"/>
      <c r="C174" s="154"/>
      <c r="D174" s="155"/>
      <c r="E174" s="150">
        <f>'IB - E&amp;PH'!E102</f>
        <v>0</v>
      </c>
      <c r="F174" s="150"/>
      <c r="G174" s="150">
        <f>'IB - E&amp;PH'!G102</f>
        <v>0</v>
      </c>
      <c r="H174" s="150"/>
      <c r="I174" s="150">
        <f>'IB - E&amp;PH'!I102</f>
        <v>0</v>
      </c>
      <c r="J174" s="150"/>
      <c r="K174" s="150">
        <f>'IB - E&amp;PH'!K102</f>
        <v>0</v>
      </c>
      <c r="L174" s="150"/>
      <c r="M174" s="150">
        <f>'IB - E&amp;PH'!M102</f>
        <v>0</v>
      </c>
      <c r="N174" s="150"/>
      <c r="O174" s="150">
        <f>'IB - E&amp;PH'!O102</f>
        <v>0</v>
      </c>
      <c r="P174" s="150"/>
      <c r="Q174" s="150">
        <f>'IB - E&amp;PH'!Q102</f>
        <v>0</v>
      </c>
      <c r="R174" s="150"/>
      <c r="S174" s="150">
        <f>'IB - E&amp;PH'!S102</f>
        <v>0</v>
      </c>
      <c r="T174" s="150"/>
      <c r="U174" s="150">
        <f>'IB - E&amp;PH'!U102</f>
        <v>0</v>
      </c>
      <c r="V174" s="150"/>
      <c r="W174" s="150">
        <f>'IB - E&amp;PH'!W102</f>
        <v>0</v>
      </c>
      <c r="X174" s="69"/>
      <c r="Y174" s="72"/>
      <c r="Z174" s="72"/>
      <c r="AA174" s="72"/>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row>
    <row r="175" spans="1:76" s="75" customFormat="1" ht="15" customHeight="1">
      <c r="A175" s="72"/>
      <c r="B175" s="72"/>
      <c r="C175" s="154"/>
      <c r="D175" s="155"/>
      <c r="E175" s="150">
        <f>'IB - E&amp;PH'!E103</f>
        <v>0</v>
      </c>
      <c r="F175" s="150"/>
      <c r="G175" s="150">
        <f>'IB - E&amp;PH'!G103</f>
        <v>0</v>
      </c>
      <c r="H175" s="150"/>
      <c r="I175" s="150">
        <f>'IB - E&amp;PH'!I103</f>
        <v>0</v>
      </c>
      <c r="J175" s="150"/>
      <c r="K175" s="150">
        <f>'IB - E&amp;PH'!K103</f>
        <v>0</v>
      </c>
      <c r="L175" s="150"/>
      <c r="M175" s="150">
        <f>'IB - E&amp;PH'!M103</f>
        <v>0</v>
      </c>
      <c r="N175" s="150"/>
      <c r="O175" s="150">
        <f>'IB - E&amp;PH'!O103</f>
        <v>0</v>
      </c>
      <c r="P175" s="150"/>
      <c r="Q175" s="150">
        <f>'IB - E&amp;PH'!Q103</f>
        <v>0</v>
      </c>
      <c r="R175" s="150"/>
      <c r="S175" s="150">
        <f>'IB - E&amp;PH'!S103</f>
        <v>0</v>
      </c>
      <c r="T175" s="150"/>
      <c r="U175" s="150">
        <f>'IB - E&amp;PH'!U103</f>
        <v>0</v>
      </c>
      <c r="V175" s="150"/>
      <c r="W175" s="150">
        <f>'IB - E&amp;PH'!W103</f>
        <v>0</v>
      </c>
      <c r="X175" s="69"/>
      <c r="Y175" s="72"/>
      <c r="Z175" s="72"/>
      <c r="AA175" s="72"/>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row>
    <row r="176" spans="1:76" s="75" customFormat="1" ht="15" customHeight="1">
      <c r="A176" s="72"/>
      <c r="B176" s="72"/>
      <c r="C176" s="154"/>
      <c r="D176" s="155"/>
      <c r="E176" s="150">
        <f>'IB - E&amp;PH'!E104</f>
        <v>0</v>
      </c>
      <c r="F176" s="150"/>
      <c r="G176" s="150">
        <f>'IB - E&amp;PH'!G104</f>
        <v>0</v>
      </c>
      <c r="H176" s="150"/>
      <c r="I176" s="150">
        <f>'IB - E&amp;PH'!I104</f>
        <v>0</v>
      </c>
      <c r="J176" s="150"/>
      <c r="K176" s="150">
        <f>'IB - E&amp;PH'!K104</f>
        <v>0</v>
      </c>
      <c r="L176" s="150"/>
      <c r="M176" s="150">
        <f>'IB - E&amp;PH'!M104</f>
        <v>0</v>
      </c>
      <c r="N176" s="150"/>
      <c r="O176" s="150">
        <f>'IB - E&amp;PH'!O104</f>
        <v>0</v>
      </c>
      <c r="P176" s="150"/>
      <c r="Q176" s="150">
        <f>'IB - E&amp;PH'!Q104</f>
        <v>0</v>
      </c>
      <c r="R176" s="150"/>
      <c r="S176" s="150">
        <f>'IB - E&amp;PH'!S104</f>
        <v>0</v>
      </c>
      <c r="T176" s="150"/>
      <c r="U176" s="150">
        <f>'IB - E&amp;PH'!U104</f>
        <v>0</v>
      </c>
      <c r="V176" s="150"/>
      <c r="W176" s="150">
        <f>'IB - E&amp;PH'!W104</f>
        <v>0</v>
      </c>
      <c r="X176" s="69"/>
      <c r="Y176" s="72"/>
      <c r="Z176" s="72"/>
      <c r="AA176" s="72"/>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row>
    <row r="177" spans="1:76" s="75" customFormat="1" ht="15" customHeight="1">
      <c r="A177" s="72"/>
      <c r="B177" s="72"/>
      <c r="C177" s="154"/>
      <c r="D177" s="155"/>
      <c r="E177" s="150">
        <f>'IB - E&amp;PH'!E105</f>
        <v>0</v>
      </c>
      <c r="F177" s="150"/>
      <c r="G177" s="150">
        <f>'IB - E&amp;PH'!G105</f>
        <v>0</v>
      </c>
      <c r="H177" s="150"/>
      <c r="I177" s="150">
        <f>'IB - E&amp;PH'!I105</f>
        <v>0</v>
      </c>
      <c r="J177" s="150"/>
      <c r="K177" s="150">
        <f>'IB - E&amp;PH'!K105</f>
        <v>0</v>
      </c>
      <c r="L177" s="150"/>
      <c r="M177" s="150">
        <f>'IB - E&amp;PH'!M105</f>
        <v>0</v>
      </c>
      <c r="N177" s="150"/>
      <c r="O177" s="150">
        <f>'IB - E&amp;PH'!O105</f>
        <v>0</v>
      </c>
      <c r="P177" s="150"/>
      <c r="Q177" s="150">
        <f>'IB - E&amp;PH'!Q105</f>
        <v>0</v>
      </c>
      <c r="R177" s="150"/>
      <c r="S177" s="150">
        <f>'IB - E&amp;PH'!S105</f>
        <v>0</v>
      </c>
      <c r="T177" s="150"/>
      <c r="U177" s="150">
        <f>'IB - E&amp;PH'!U105</f>
        <v>0</v>
      </c>
      <c r="V177" s="150"/>
      <c r="W177" s="150">
        <f>'IB - E&amp;PH'!W105</f>
        <v>0</v>
      </c>
      <c r="X177" s="69"/>
      <c r="Y177" s="72"/>
      <c r="Z177" s="72"/>
      <c r="AA177" s="72"/>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row>
    <row r="178" spans="1:76" s="75" customFormat="1" ht="15" customHeight="1">
      <c r="A178" s="72"/>
      <c r="B178" s="72"/>
      <c r="C178" s="154"/>
      <c r="D178" s="155"/>
      <c r="E178" s="150">
        <f>'IB - E&amp;PH'!E106</f>
        <v>0</v>
      </c>
      <c r="F178" s="150"/>
      <c r="G178" s="150">
        <f>'IB - E&amp;PH'!G106</f>
        <v>0</v>
      </c>
      <c r="H178" s="150"/>
      <c r="I178" s="150">
        <f>'IB - E&amp;PH'!I106</f>
        <v>0</v>
      </c>
      <c r="J178" s="150"/>
      <c r="K178" s="150">
        <f>'IB - E&amp;PH'!K106</f>
        <v>0</v>
      </c>
      <c r="L178" s="150"/>
      <c r="M178" s="150">
        <f>'IB - E&amp;PH'!M106</f>
        <v>0</v>
      </c>
      <c r="N178" s="150"/>
      <c r="O178" s="150">
        <f>'IB - E&amp;PH'!O106</f>
        <v>0</v>
      </c>
      <c r="P178" s="150"/>
      <c r="Q178" s="150">
        <f>'IB - E&amp;PH'!Q106</f>
        <v>0</v>
      </c>
      <c r="R178" s="150"/>
      <c r="S178" s="150">
        <f>'IB - E&amp;PH'!S106</f>
        <v>0</v>
      </c>
      <c r="T178" s="150"/>
      <c r="U178" s="150">
        <f>'IB - E&amp;PH'!U106</f>
        <v>0</v>
      </c>
      <c r="V178" s="150"/>
      <c r="W178" s="150">
        <f>'IB - E&amp;PH'!W106</f>
        <v>0</v>
      </c>
      <c r="X178" s="69"/>
      <c r="Y178" s="72"/>
      <c r="Z178" s="72"/>
      <c r="AA178" s="72"/>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row>
    <row r="179" spans="1:76" s="75" customFormat="1" ht="15" customHeight="1">
      <c r="A179" s="72"/>
      <c r="B179" s="72"/>
      <c r="C179" s="154"/>
      <c r="D179" s="155"/>
      <c r="E179" s="150">
        <f>'IB - E&amp;PH'!E107</f>
        <v>0</v>
      </c>
      <c r="F179" s="150"/>
      <c r="G179" s="150">
        <f>'IB - E&amp;PH'!G107</f>
        <v>0</v>
      </c>
      <c r="H179" s="150"/>
      <c r="I179" s="150">
        <f>'IB - E&amp;PH'!I107</f>
        <v>0</v>
      </c>
      <c r="J179" s="150"/>
      <c r="K179" s="150">
        <f>'IB - E&amp;PH'!K107</f>
        <v>0</v>
      </c>
      <c r="L179" s="150"/>
      <c r="M179" s="150">
        <f>'IB - E&amp;PH'!M107</f>
        <v>0</v>
      </c>
      <c r="N179" s="150"/>
      <c r="O179" s="150">
        <f>'IB - E&amp;PH'!O107</f>
        <v>0</v>
      </c>
      <c r="P179" s="150"/>
      <c r="Q179" s="150">
        <f>'IB - E&amp;PH'!Q107</f>
        <v>0</v>
      </c>
      <c r="R179" s="150"/>
      <c r="S179" s="150">
        <f>'IB - E&amp;PH'!S107</f>
        <v>0</v>
      </c>
      <c r="T179" s="150"/>
      <c r="U179" s="150">
        <f>'IB - E&amp;PH'!U107</f>
        <v>0</v>
      </c>
      <c r="V179" s="150"/>
      <c r="W179" s="150">
        <f>'IB - E&amp;PH'!W107</f>
        <v>0</v>
      </c>
      <c r="X179" s="69"/>
      <c r="Y179" s="72"/>
      <c r="Z179" s="72"/>
      <c r="AA179" s="72"/>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row>
    <row r="180" spans="1:76" s="75" customFormat="1" ht="15" customHeight="1">
      <c r="A180" s="72"/>
      <c r="B180" s="72"/>
      <c r="C180" s="154"/>
      <c r="D180" s="155"/>
      <c r="E180" s="150">
        <f>'IB - E&amp;PH'!E108</f>
        <v>0</v>
      </c>
      <c r="F180" s="150"/>
      <c r="G180" s="150">
        <f>'IB - E&amp;PH'!G108</f>
        <v>0</v>
      </c>
      <c r="H180" s="150"/>
      <c r="I180" s="150">
        <f>'IB - E&amp;PH'!I108</f>
        <v>0</v>
      </c>
      <c r="J180" s="150"/>
      <c r="K180" s="150">
        <f>'IB - E&amp;PH'!K108</f>
        <v>0</v>
      </c>
      <c r="L180" s="150"/>
      <c r="M180" s="150">
        <f>'IB - E&amp;PH'!M108</f>
        <v>0</v>
      </c>
      <c r="N180" s="150"/>
      <c r="O180" s="150">
        <f>'IB - E&amp;PH'!O108</f>
        <v>0</v>
      </c>
      <c r="P180" s="150"/>
      <c r="Q180" s="150">
        <f>'IB - E&amp;PH'!Q108</f>
        <v>0</v>
      </c>
      <c r="R180" s="150"/>
      <c r="S180" s="150">
        <f>'IB - E&amp;PH'!S108</f>
        <v>0</v>
      </c>
      <c r="T180" s="150"/>
      <c r="U180" s="150">
        <f>'IB - E&amp;PH'!U108</f>
        <v>0</v>
      </c>
      <c r="V180" s="150"/>
      <c r="W180" s="150">
        <f>'IB - E&amp;PH'!W108</f>
        <v>0</v>
      </c>
      <c r="X180" s="69"/>
      <c r="Y180" s="72"/>
      <c r="Z180" s="72"/>
      <c r="AA180" s="72"/>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row>
    <row r="181" spans="1:76" s="75" customFormat="1" ht="15" customHeight="1">
      <c r="A181" s="72"/>
      <c r="B181" s="72"/>
      <c r="C181" s="154"/>
      <c r="D181" s="155"/>
      <c r="E181" s="150">
        <f>'IB - E&amp;PH'!E109</f>
        <v>0</v>
      </c>
      <c r="F181" s="150"/>
      <c r="G181" s="150">
        <f>'IB - E&amp;PH'!G109</f>
        <v>0</v>
      </c>
      <c r="H181" s="150"/>
      <c r="I181" s="150">
        <f>'IB - E&amp;PH'!I109</f>
        <v>0</v>
      </c>
      <c r="J181" s="150"/>
      <c r="K181" s="150">
        <f>'IB - E&amp;PH'!K109</f>
        <v>0</v>
      </c>
      <c r="L181" s="150"/>
      <c r="M181" s="150">
        <f>'IB - E&amp;PH'!M109</f>
        <v>0</v>
      </c>
      <c r="N181" s="150"/>
      <c r="O181" s="150">
        <f>'IB - E&amp;PH'!O109</f>
        <v>0</v>
      </c>
      <c r="P181" s="150"/>
      <c r="Q181" s="150">
        <f>'IB - E&amp;PH'!Q109</f>
        <v>0</v>
      </c>
      <c r="R181" s="150"/>
      <c r="S181" s="150">
        <f>'IB - E&amp;PH'!S109</f>
        <v>0</v>
      </c>
      <c r="T181" s="150"/>
      <c r="U181" s="150">
        <f>'IB - E&amp;PH'!U109</f>
        <v>0</v>
      </c>
      <c r="V181" s="150"/>
      <c r="W181" s="150">
        <f>'IB - E&amp;PH'!W109</f>
        <v>0</v>
      </c>
      <c r="X181" s="69"/>
      <c r="Y181" s="72"/>
      <c r="Z181" s="72"/>
      <c r="AA181" s="72"/>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row>
    <row r="182" spans="1:76" s="75" customFormat="1" ht="15" customHeight="1">
      <c r="A182" s="72"/>
      <c r="B182" s="72"/>
      <c r="C182" s="154"/>
      <c r="D182" s="155"/>
      <c r="E182" s="150">
        <f>'IB - E&amp;PH'!E110</f>
        <v>0</v>
      </c>
      <c r="F182" s="150"/>
      <c r="G182" s="150">
        <f>'IB - E&amp;PH'!G110</f>
        <v>0</v>
      </c>
      <c r="H182" s="150"/>
      <c r="I182" s="150">
        <f>'IB - E&amp;PH'!I110</f>
        <v>0</v>
      </c>
      <c r="J182" s="150"/>
      <c r="K182" s="150">
        <f>'IB - E&amp;PH'!K110</f>
        <v>0</v>
      </c>
      <c r="L182" s="150"/>
      <c r="M182" s="150">
        <f>'IB - E&amp;PH'!M110</f>
        <v>0</v>
      </c>
      <c r="N182" s="150"/>
      <c r="O182" s="150">
        <f>'IB - E&amp;PH'!O110</f>
        <v>0</v>
      </c>
      <c r="P182" s="150"/>
      <c r="Q182" s="150">
        <f>'IB - E&amp;PH'!Q110</f>
        <v>0</v>
      </c>
      <c r="R182" s="150"/>
      <c r="S182" s="150">
        <f>'IB - E&amp;PH'!S110</f>
        <v>0</v>
      </c>
      <c r="T182" s="150"/>
      <c r="U182" s="150">
        <f>'IB - E&amp;PH'!U110</f>
        <v>0</v>
      </c>
      <c r="V182" s="150"/>
      <c r="W182" s="150">
        <f>'IB - E&amp;PH'!W110</f>
        <v>0</v>
      </c>
      <c r="X182" s="69"/>
      <c r="Y182" s="72"/>
      <c r="Z182" s="72"/>
      <c r="AA182" s="72"/>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row>
    <row r="183" spans="1:76" s="75" customFormat="1" ht="15" customHeight="1">
      <c r="A183" s="72"/>
      <c r="B183" s="72"/>
      <c r="C183" s="154"/>
      <c r="D183" s="155"/>
      <c r="E183" s="150">
        <f>'IB - E&amp;PH'!E111</f>
        <v>0</v>
      </c>
      <c r="F183" s="150"/>
      <c r="G183" s="150">
        <f>'IB - E&amp;PH'!G111</f>
        <v>0</v>
      </c>
      <c r="H183" s="150"/>
      <c r="I183" s="150">
        <f>'IB - E&amp;PH'!I111</f>
        <v>0</v>
      </c>
      <c r="J183" s="150"/>
      <c r="K183" s="150">
        <f>'IB - E&amp;PH'!K111</f>
        <v>0</v>
      </c>
      <c r="L183" s="150"/>
      <c r="M183" s="150">
        <f>'IB - E&amp;PH'!M111</f>
        <v>0</v>
      </c>
      <c r="N183" s="150"/>
      <c r="O183" s="150">
        <f>'IB - E&amp;PH'!O111</f>
        <v>0</v>
      </c>
      <c r="P183" s="150"/>
      <c r="Q183" s="150">
        <f>'IB - E&amp;PH'!Q111</f>
        <v>0</v>
      </c>
      <c r="R183" s="150"/>
      <c r="S183" s="150">
        <f>'IB - E&amp;PH'!S111</f>
        <v>0</v>
      </c>
      <c r="T183" s="150"/>
      <c r="U183" s="150">
        <f>'IB - E&amp;PH'!U111</f>
        <v>0</v>
      </c>
      <c r="V183" s="150"/>
      <c r="W183" s="150">
        <f>'IB - E&amp;PH'!W111</f>
        <v>0</v>
      </c>
      <c r="X183" s="69"/>
      <c r="Y183" s="72"/>
      <c r="Z183" s="72"/>
      <c r="AA183" s="72"/>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row>
    <row r="184" spans="1:76" s="75" customFormat="1" ht="15" customHeight="1">
      <c r="A184" s="72"/>
      <c r="B184" s="72"/>
      <c r="C184" s="154"/>
      <c r="D184" s="155"/>
      <c r="E184" s="150">
        <f>'IB - E&amp;PH'!E112</f>
        <v>0</v>
      </c>
      <c r="F184" s="150"/>
      <c r="G184" s="150">
        <f>'IB - E&amp;PH'!G112</f>
        <v>0</v>
      </c>
      <c r="H184" s="150"/>
      <c r="I184" s="150">
        <f>'IB - E&amp;PH'!I112</f>
        <v>0</v>
      </c>
      <c r="J184" s="150"/>
      <c r="K184" s="150">
        <f>'IB - E&amp;PH'!K112</f>
        <v>0</v>
      </c>
      <c r="L184" s="150"/>
      <c r="M184" s="150">
        <f>'IB - E&amp;PH'!M112</f>
        <v>0</v>
      </c>
      <c r="N184" s="150"/>
      <c r="O184" s="150">
        <f>'IB - E&amp;PH'!O112</f>
        <v>0</v>
      </c>
      <c r="P184" s="150"/>
      <c r="Q184" s="150">
        <f>'IB - E&amp;PH'!Q112</f>
        <v>0</v>
      </c>
      <c r="R184" s="150"/>
      <c r="S184" s="150">
        <f>'IB - E&amp;PH'!S112</f>
        <v>0</v>
      </c>
      <c r="T184" s="150"/>
      <c r="U184" s="150">
        <f>'IB - E&amp;PH'!U112</f>
        <v>0</v>
      </c>
      <c r="V184" s="150"/>
      <c r="W184" s="150">
        <f>'IB - E&amp;PH'!W112</f>
        <v>0</v>
      </c>
      <c r="X184" s="69"/>
      <c r="Y184" s="72"/>
      <c r="Z184" s="72"/>
      <c r="AA184" s="72"/>
      <c r="AB184" s="73"/>
      <c r="AC184" s="73"/>
      <c r="AD184" s="73"/>
      <c r="AE184" s="73"/>
      <c r="AF184" s="73"/>
      <c r="AG184" s="73"/>
      <c r="AH184" s="73"/>
      <c r="AI184" s="73"/>
      <c r="AJ184" s="73"/>
      <c r="AK184" s="73"/>
      <c r="AL184" s="73"/>
      <c r="AM184" s="73"/>
      <c r="AN184" s="73"/>
      <c r="AO184" s="73"/>
      <c r="AP184" s="73"/>
      <c r="AQ184" s="73"/>
      <c r="AR184" s="73"/>
      <c r="AS184" s="73"/>
      <c r="AT184" s="73"/>
      <c r="AU184" s="73"/>
      <c r="AV184" s="73"/>
      <c r="AW184" s="73"/>
      <c r="AX184" s="73"/>
      <c r="AY184" s="73"/>
      <c r="AZ184" s="73"/>
      <c r="BA184" s="73"/>
      <c r="BB184" s="73"/>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row>
    <row r="185" spans="1:76" s="75" customFormat="1" ht="15" customHeight="1">
      <c r="A185" s="72"/>
      <c r="B185" s="72"/>
      <c r="C185" s="154"/>
      <c r="D185" s="155"/>
      <c r="E185" s="150">
        <f>'IB - E&amp;PH'!E113</f>
        <v>0</v>
      </c>
      <c r="F185" s="150"/>
      <c r="G185" s="150">
        <f>'IB - E&amp;PH'!G113</f>
        <v>0</v>
      </c>
      <c r="H185" s="150"/>
      <c r="I185" s="150">
        <f>'IB - E&amp;PH'!I113</f>
        <v>0</v>
      </c>
      <c r="J185" s="150"/>
      <c r="K185" s="150">
        <f>'IB - E&amp;PH'!K113</f>
        <v>0</v>
      </c>
      <c r="L185" s="150"/>
      <c r="M185" s="150">
        <f>'IB - E&amp;PH'!M113</f>
        <v>0</v>
      </c>
      <c r="N185" s="150"/>
      <c r="O185" s="150">
        <f>'IB - E&amp;PH'!O113</f>
        <v>0</v>
      </c>
      <c r="P185" s="150"/>
      <c r="Q185" s="150">
        <f>'IB - E&amp;PH'!Q113</f>
        <v>0</v>
      </c>
      <c r="R185" s="150"/>
      <c r="S185" s="150">
        <f>'IB - E&amp;PH'!S113</f>
        <v>0</v>
      </c>
      <c r="T185" s="150"/>
      <c r="U185" s="150">
        <f>'IB - E&amp;PH'!U113</f>
        <v>0</v>
      </c>
      <c r="V185" s="150"/>
      <c r="W185" s="150">
        <f>'IB - E&amp;PH'!W113</f>
        <v>0</v>
      </c>
      <c r="X185" s="69"/>
      <c r="Y185" s="72"/>
      <c r="Z185" s="72"/>
      <c r="AA185" s="72"/>
      <c r="AB185" s="73"/>
      <c r="AC185" s="73"/>
      <c r="AD185" s="73"/>
      <c r="AE185" s="73"/>
      <c r="AF185" s="73"/>
      <c r="AG185" s="73"/>
      <c r="AH185" s="73"/>
      <c r="AI185" s="73"/>
      <c r="AJ185" s="73"/>
      <c r="AK185" s="73"/>
      <c r="AL185" s="73"/>
      <c r="AM185" s="73"/>
      <c r="AN185" s="73"/>
      <c r="AO185" s="73"/>
      <c r="AP185" s="73"/>
      <c r="AQ185" s="73"/>
      <c r="AR185" s="73"/>
      <c r="AS185" s="73"/>
      <c r="AT185" s="73"/>
      <c r="AU185" s="73"/>
      <c r="AV185" s="73"/>
      <c r="AW185" s="73"/>
      <c r="AX185" s="73"/>
      <c r="AY185" s="73"/>
      <c r="AZ185" s="73"/>
      <c r="BA185" s="73"/>
      <c r="BB185" s="73"/>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row>
    <row r="186" spans="1:76" s="75" customFormat="1" ht="15" customHeight="1">
      <c r="A186" s="72"/>
      <c r="B186" s="72"/>
      <c r="C186" s="154"/>
      <c r="D186" s="155"/>
      <c r="E186" s="150">
        <f>'IB - E&amp;PH'!E114</f>
        <v>0</v>
      </c>
      <c r="F186" s="150"/>
      <c r="G186" s="150">
        <f>'IB - E&amp;PH'!G114</f>
        <v>0</v>
      </c>
      <c r="H186" s="150"/>
      <c r="I186" s="150">
        <f>'IB - E&amp;PH'!I114</f>
        <v>0</v>
      </c>
      <c r="J186" s="150"/>
      <c r="K186" s="150">
        <f>'IB - E&amp;PH'!K114</f>
        <v>0</v>
      </c>
      <c r="L186" s="150"/>
      <c r="M186" s="150">
        <f>'IB - E&amp;PH'!M114</f>
        <v>0</v>
      </c>
      <c r="N186" s="150"/>
      <c r="O186" s="150">
        <f>'IB - E&amp;PH'!O114</f>
        <v>0</v>
      </c>
      <c r="P186" s="150"/>
      <c r="Q186" s="150">
        <f>'IB - E&amp;PH'!Q114</f>
        <v>0</v>
      </c>
      <c r="R186" s="150"/>
      <c r="S186" s="150">
        <f>'IB - E&amp;PH'!S114</f>
        <v>0</v>
      </c>
      <c r="T186" s="150"/>
      <c r="U186" s="150">
        <f>'IB - E&amp;PH'!U114</f>
        <v>0</v>
      </c>
      <c r="V186" s="150"/>
      <c r="W186" s="150">
        <f>'IB - E&amp;PH'!W114</f>
        <v>0</v>
      </c>
      <c r="X186" s="69"/>
      <c r="Y186" s="72"/>
      <c r="Z186" s="72"/>
      <c r="AA186" s="72"/>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row>
    <row r="187" spans="1:76" s="75" customFormat="1" ht="15" customHeight="1">
      <c r="A187" s="72"/>
      <c r="B187" s="72"/>
      <c r="C187" s="154"/>
      <c r="D187" s="155"/>
      <c r="E187" s="150">
        <f>'IB - E&amp;PH'!E115</f>
        <v>0</v>
      </c>
      <c r="F187" s="150"/>
      <c r="G187" s="150">
        <f>'IB - E&amp;PH'!G115</f>
        <v>0</v>
      </c>
      <c r="H187" s="150"/>
      <c r="I187" s="150">
        <f>'IB - E&amp;PH'!I115</f>
        <v>0</v>
      </c>
      <c r="J187" s="150"/>
      <c r="K187" s="150">
        <f>'IB - E&amp;PH'!K115</f>
        <v>0</v>
      </c>
      <c r="L187" s="150"/>
      <c r="M187" s="150">
        <f>'IB - E&amp;PH'!M115</f>
        <v>0</v>
      </c>
      <c r="N187" s="150"/>
      <c r="O187" s="150">
        <f>'IB - E&amp;PH'!O115</f>
        <v>0</v>
      </c>
      <c r="P187" s="150"/>
      <c r="Q187" s="150">
        <f>'IB - E&amp;PH'!Q115</f>
        <v>0</v>
      </c>
      <c r="R187" s="150"/>
      <c r="S187" s="150">
        <f>'IB - E&amp;PH'!S115</f>
        <v>0</v>
      </c>
      <c r="T187" s="150"/>
      <c r="U187" s="150">
        <f>'IB - E&amp;PH'!U115</f>
        <v>0</v>
      </c>
      <c r="V187" s="150"/>
      <c r="W187" s="150">
        <f>'IB - E&amp;PH'!W115</f>
        <v>0</v>
      </c>
      <c r="X187" s="69"/>
      <c r="Y187" s="72"/>
      <c r="Z187" s="72"/>
      <c r="AA187" s="72"/>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row>
    <row r="188" spans="1:76" s="75" customFormat="1" ht="15" customHeight="1">
      <c r="A188" s="72"/>
      <c r="B188" s="72"/>
      <c r="C188" s="154"/>
      <c r="D188" s="155"/>
      <c r="E188" s="492"/>
      <c r="F188" s="492"/>
      <c r="G188" s="492"/>
      <c r="H188" s="492"/>
      <c r="I188" s="492"/>
      <c r="J188" s="492"/>
      <c r="K188" s="492"/>
      <c r="L188" s="492"/>
      <c r="M188" s="492"/>
      <c r="N188" s="492"/>
      <c r="O188" s="492"/>
      <c r="P188" s="492"/>
      <c r="Q188" s="492"/>
      <c r="R188" s="492"/>
      <c r="S188" s="492"/>
      <c r="T188" s="492"/>
      <c r="U188" s="492"/>
      <c r="V188" s="492"/>
      <c r="W188" s="492"/>
      <c r="X188" s="69"/>
      <c r="Y188" s="72"/>
      <c r="Z188" s="72"/>
      <c r="AA188" s="72"/>
      <c r="AB188" s="73"/>
      <c r="AC188" s="73"/>
      <c r="AD188" s="73"/>
      <c r="AE188" s="73"/>
      <c r="AF188" s="73"/>
      <c r="AG188" s="73"/>
      <c r="AH188" s="73"/>
      <c r="AI188" s="73"/>
      <c r="AJ188" s="73"/>
      <c r="AK188" s="73"/>
      <c r="AL188" s="73"/>
      <c r="AM188" s="73"/>
      <c r="AN188" s="73"/>
      <c r="AO188" s="73"/>
      <c r="AP188" s="73"/>
      <c r="AQ188" s="73"/>
      <c r="AR188" s="73"/>
      <c r="AS188" s="73"/>
      <c r="AT188" s="73"/>
      <c r="AU188" s="73"/>
      <c r="AV188" s="73"/>
      <c r="AW188" s="73"/>
      <c r="AX188" s="73"/>
      <c r="AY188" s="73"/>
      <c r="AZ188" s="73"/>
      <c r="BA188" s="73"/>
      <c r="BB188" s="73"/>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row>
    <row r="189" spans="1:76" s="75" customFormat="1" ht="15" customHeight="1">
      <c r="A189" s="72"/>
      <c r="B189" s="72"/>
      <c r="C189" s="154"/>
      <c r="D189" s="155"/>
      <c r="E189" s="492"/>
      <c r="F189" s="492"/>
      <c r="G189" s="492"/>
      <c r="H189" s="492"/>
      <c r="I189" s="492"/>
      <c r="J189" s="492"/>
      <c r="K189" s="492"/>
      <c r="L189" s="492"/>
      <c r="M189" s="492"/>
      <c r="N189" s="492"/>
      <c r="O189" s="492"/>
      <c r="P189" s="492"/>
      <c r="Q189" s="492"/>
      <c r="R189" s="492"/>
      <c r="S189" s="492"/>
      <c r="T189" s="492"/>
      <c r="U189" s="492"/>
      <c r="V189" s="492"/>
      <c r="W189" s="492"/>
      <c r="X189" s="69"/>
      <c r="Y189" s="72"/>
      <c r="Z189" s="72"/>
      <c r="AA189" s="72"/>
      <c r="AB189" s="73"/>
      <c r="AC189" s="73"/>
      <c r="AD189" s="73"/>
      <c r="AE189" s="73"/>
      <c r="AF189" s="73"/>
      <c r="AG189" s="73"/>
      <c r="AH189" s="73"/>
      <c r="AI189" s="73"/>
      <c r="AJ189" s="73"/>
      <c r="AK189" s="73"/>
      <c r="AL189" s="73"/>
      <c r="AM189" s="73"/>
      <c r="AN189" s="73"/>
      <c r="AO189" s="73"/>
      <c r="AP189" s="73"/>
      <c r="AQ189" s="73"/>
      <c r="AR189" s="73"/>
      <c r="AS189" s="73"/>
      <c r="AT189" s="73"/>
      <c r="AU189" s="73"/>
      <c r="AV189" s="73"/>
      <c r="AW189" s="73"/>
      <c r="AX189" s="73"/>
      <c r="AY189" s="73"/>
      <c r="AZ189" s="73"/>
      <c r="BA189" s="73"/>
      <c r="BB189" s="73"/>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row>
    <row r="190" spans="1:76" s="75" customFormat="1" ht="15" hidden="1" customHeight="1">
      <c r="A190" s="72"/>
      <c r="B190" s="72"/>
      <c r="C190" s="154"/>
      <c r="D190" s="155"/>
      <c r="E190" s="492"/>
      <c r="F190" s="492"/>
      <c r="G190" s="492"/>
      <c r="H190" s="492"/>
      <c r="I190" s="492"/>
      <c r="J190" s="492"/>
      <c r="K190" s="492"/>
      <c r="L190" s="492"/>
      <c r="M190" s="492"/>
      <c r="N190" s="492"/>
      <c r="O190" s="492"/>
      <c r="P190" s="492"/>
      <c r="Q190" s="492"/>
      <c r="R190" s="492"/>
      <c r="S190" s="492"/>
      <c r="T190" s="492"/>
      <c r="U190" s="492"/>
      <c r="V190" s="492"/>
      <c r="W190" s="492"/>
      <c r="X190" s="69"/>
      <c r="Y190" s="72"/>
      <c r="Z190" s="72"/>
      <c r="AA190" s="72"/>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row>
    <row r="191" spans="1:76" s="75" customFormat="1" ht="15" hidden="1" customHeight="1">
      <c r="A191" s="72"/>
      <c r="B191" s="72"/>
      <c r="C191" s="154"/>
      <c r="D191" s="155"/>
      <c r="E191" s="156"/>
      <c r="F191" s="156"/>
      <c r="G191" s="156"/>
      <c r="H191" s="156"/>
      <c r="I191" s="156"/>
      <c r="J191" s="156"/>
      <c r="K191" s="156"/>
      <c r="L191" s="156"/>
      <c r="M191" s="156"/>
      <c r="N191" s="156"/>
      <c r="O191" s="156"/>
      <c r="P191" s="156"/>
      <c r="Q191" s="156"/>
      <c r="R191" s="156"/>
      <c r="S191" s="156"/>
      <c r="T191" s="156"/>
      <c r="U191" s="156"/>
      <c r="V191" s="156"/>
      <c r="W191" s="156"/>
      <c r="X191" s="69"/>
      <c r="Y191" s="72"/>
      <c r="Z191" s="72"/>
      <c r="AA191" s="72"/>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row>
    <row r="192" spans="1:76" s="75" customFormat="1" ht="15" hidden="1" customHeight="1">
      <c r="A192" s="72"/>
      <c r="B192" s="72"/>
      <c r="C192" s="154"/>
      <c r="D192" s="155"/>
      <c r="E192" s="156"/>
      <c r="F192" s="156"/>
      <c r="G192" s="156"/>
      <c r="H192" s="156"/>
      <c r="I192" s="156"/>
      <c r="J192" s="156"/>
      <c r="K192" s="156"/>
      <c r="L192" s="156"/>
      <c r="M192" s="156"/>
      <c r="N192" s="156"/>
      <c r="O192" s="156"/>
      <c r="P192" s="156"/>
      <c r="Q192" s="156"/>
      <c r="R192" s="156"/>
      <c r="S192" s="156"/>
      <c r="T192" s="156"/>
      <c r="U192" s="156"/>
      <c r="V192" s="156"/>
      <c r="W192" s="156"/>
      <c r="X192" s="69"/>
      <c r="Y192" s="72"/>
      <c r="Z192" s="72"/>
      <c r="AA192" s="72"/>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row>
    <row r="193" spans="1:76" s="75" customFormat="1" ht="15" hidden="1" customHeight="1">
      <c r="A193" s="72"/>
      <c r="B193" s="72"/>
      <c r="C193" s="154"/>
      <c r="D193" s="155"/>
      <c r="E193" s="156"/>
      <c r="F193" s="156"/>
      <c r="G193" s="156"/>
      <c r="H193" s="156"/>
      <c r="I193" s="156"/>
      <c r="J193" s="156"/>
      <c r="K193" s="156"/>
      <c r="L193" s="156"/>
      <c r="M193" s="156"/>
      <c r="N193" s="156"/>
      <c r="O193" s="156"/>
      <c r="P193" s="156"/>
      <c r="Q193" s="156"/>
      <c r="R193" s="156"/>
      <c r="S193" s="156"/>
      <c r="T193" s="156"/>
      <c r="U193" s="156"/>
      <c r="V193" s="156"/>
      <c r="W193" s="156"/>
      <c r="X193" s="69"/>
      <c r="Y193" s="72"/>
      <c r="Z193" s="72"/>
      <c r="AA193" s="72"/>
      <c r="AB193" s="73"/>
      <c r="AC193" s="73"/>
      <c r="AD193" s="73"/>
      <c r="AE193" s="73"/>
      <c r="AF193" s="73"/>
      <c r="AG193" s="73"/>
      <c r="AH193" s="73"/>
      <c r="AI193" s="73"/>
      <c r="AJ193" s="73"/>
      <c r="AK193" s="73"/>
      <c r="AL193" s="73"/>
      <c r="AM193" s="73"/>
      <c r="AN193" s="73"/>
      <c r="AO193" s="73"/>
      <c r="AP193" s="73"/>
      <c r="AQ193" s="73"/>
      <c r="AR193" s="73"/>
      <c r="AS193" s="73"/>
      <c r="AT193" s="73"/>
      <c r="AU193" s="73"/>
      <c r="AV193" s="73"/>
      <c r="AW193" s="73"/>
      <c r="AX193" s="73"/>
      <c r="AY193" s="73"/>
      <c r="AZ193" s="73"/>
      <c r="BA193" s="73"/>
      <c r="BB193" s="73"/>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row>
    <row r="194" spans="1:76" s="75" customFormat="1" ht="15" hidden="1" customHeight="1">
      <c r="A194" s="72"/>
      <c r="B194" s="72"/>
      <c r="C194" s="154"/>
      <c r="D194" s="155"/>
      <c r="E194" s="156"/>
      <c r="F194" s="156"/>
      <c r="G194" s="156"/>
      <c r="H194" s="156"/>
      <c r="I194" s="156"/>
      <c r="J194" s="156"/>
      <c r="K194" s="156"/>
      <c r="L194" s="156"/>
      <c r="M194" s="156"/>
      <c r="N194" s="156"/>
      <c r="O194" s="156"/>
      <c r="P194" s="156"/>
      <c r="Q194" s="156"/>
      <c r="R194" s="156"/>
      <c r="S194" s="156"/>
      <c r="T194" s="156"/>
      <c r="U194" s="156"/>
      <c r="V194" s="156"/>
      <c r="W194" s="156"/>
      <c r="X194" s="69"/>
      <c r="Y194" s="72"/>
      <c r="Z194" s="72"/>
      <c r="AA194" s="72"/>
      <c r="AB194" s="73"/>
      <c r="AC194" s="73"/>
      <c r="AD194" s="73"/>
      <c r="AE194" s="73"/>
      <c r="AF194" s="73"/>
      <c r="AG194" s="73"/>
      <c r="AH194" s="73"/>
      <c r="AI194" s="73"/>
      <c r="AJ194" s="73"/>
      <c r="AK194" s="73"/>
      <c r="AL194" s="73"/>
      <c r="AM194" s="73"/>
      <c r="AN194" s="73"/>
      <c r="AO194" s="73"/>
      <c r="AP194" s="73"/>
      <c r="AQ194" s="73"/>
      <c r="AR194" s="73"/>
      <c r="AS194" s="73"/>
      <c r="AT194" s="73"/>
      <c r="AU194" s="73"/>
      <c r="AV194" s="73"/>
      <c r="AW194" s="73"/>
      <c r="AX194" s="73"/>
      <c r="AY194" s="73"/>
      <c r="AZ194" s="73"/>
      <c r="BA194" s="73"/>
      <c r="BB194" s="73"/>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row>
    <row r="195" spans="1:76" s="75" customFormat="1" ht="15" hidden="1" customHeight="1">
      <c r="A195" s="72"/>
      <c r="B195" s="72"/>
      <c r="C195" s="154"/>
      <c r="D195" s="155"/>
      <c r="E195" s="156"/>
      <c r="F195" s="156"/>
      <c r="G195" s="156"/>
      <c r="H195" s="156"/>
      <c r="I195" s="156"/>
      <c r="J195" s="156"/>
      <c r="K195" s="156"/>
      <c r="L195" s="156"/>
      <c r="M195" s="156"/>
      <c r="N195" s="156"/>
      <c r="O195" s="156"/>
      <c r="P195" s="156"/>
      <c r="Q195" s="156"/>
      <c r="R195" s="156"/>
      <c r="S195" s="156"/>
      <c r="T195" s="156"/>
      <c r="U195" s="156"/>
      <c r="V195" s="156"/>
      <c r="W195" s="156"/>
      <c r="X195" s="69"/>
      <c r="Y195" s="72"/>
      <c r="Z195" s="72"/>
      <c r="AA195" s="72"/>
      <c r="AB195" s="73"/>
      <c r="AC195" s="73"/>
      <c r="AD195" s="73"/>
      <c r="AE195" s="73"/>
      <c r="AF195" s="73"/>
      <c r="AG195" s="73"/>
      <c r="AH195" s="73"/>
      <c r="AI195" s="73"/>
      <c r="AJ195" s="73"/>
      <c r="AK195" s="73"/>
      <c r="AL195" s="73"/>
      <c r="AM195" s="73"/>
      <c r="AN195" s="73"/>
      <c r="AO195" s="73"/>
      <c r="AP195" s="73"/>
      <c r="AQ195" s="73"/>
      <c r="AR195" s="73"/>
      <c r="AS195" s="73"/>
      <c r="AT195" s="73"/>
      <c r="AU195" s="73"/>
      <c r="AV195" s="73"/>
      <c r="AW195" s="73"/>
      <c r="AX195" s="73"/>
      <c r="AY195" s="73"/>
      <c r="AZ195" s="73"/>
      <c r="BA195" s="73"/>
      <c r="BB195" s="73"/>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row>
    <row r="196" spans="1:76" s="75" customFormat="1" ht="15" hidden="1" customHeight="1">
      <c r="A196" s="72"/>
      <c r="B196" s="72"/>
      <c r="C196" s="154"/>
      <c r="D196" s="155"/>
      <c r="E196" s="156"/>
      <c r="F196" s="156"/>
      <c r="G196" s="156"/>
      <c r="H196" s="156"/>
      <c r="I196" s="156"/>
      <c r="J196" s="156"/>
      <c r="K196" s="156"/>
      <c r="L196" s="156"/>
      <c r="M196" s="156"/>
      <c r="N196" s="156"/>
      <c r="O196" s="156"/>
      <c r="P196" s="156"/>
      <c r="Q196" s="156"/>
      <c r="R196" s="156"/>
      <c r="S196" s="156"/>
      <c r="T196" s="156"/>
      <c r="U196" s="156"/>
      <c r="V196" s="156"/>
      <c r="W196" s="156"/>
      <c r="X196" s="69"/>
      <c r="Y196" s="72"/>
      <c r="Z196" s="72"/>
      <c r="AA196" s="72"/>
      <c r="AB196" s="73"/>
      <c r="AC196" s="73"/>
      <c r="AD196" s="73"/>
      <c r="AE196" s="73"/>
      <c r="AF196" s="73"/>
      <c r="AG196" s="73"/>
      <c r="AH196" s="73"/>
      <c r="AI196" s="73"/>
      <c r="AJ196" s="73"/>
      <c r="AK196" s="73"/>
      <c r="AL196" s="73"/>
      <c r="AM196" s="73"/>
      <c r="AN196" s="73"/>
      <c r="AO196" s="73"/>
      <c r="AP196" s="73"/>
      <c r="AQ196" s="73"/>
      <c r="AR196" s="73"/>
      <c r="AS196" s="73"/>
      <c r="AT196" s="73"/>
      <c r="AU196" s="73"/>
      <c r="AV196" s="73"/>
      <c r="AW196" s="73"/>
      <c r="AX196" s="73"/>
      <c r="AY196" s="73"/>
      <c r="AZ196" s="73"/>
      <c r="BA196" s="73"/>
      <c r="BB196" s="73"/>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row>
    <row r="197" spans="1:76" s="75" customFormat="1" ht="15" hidden="1" customHeight="1">
      <c r="A197" s="72"/>
      <c r="B197" s="72"/>
      <c r="C197" s="154"/>
      <c r="D197" s="155"/>
      <c r="E197" s="156"/>
      <c r="F197" s="156"/>
      <c r="G197" s="156"/>
      <c r="H197" s="156"/>
      <c r="I197" s="156"/>
      <c r="J197" s="156"/>
      <c r="K197" s="156"/>
      <c r="L197" s="156"/>
      <c r="M197" s="156"/>
      <c r="N197" s="156"/>
      <c r="O197" s="156"/>
      <c r="P197" s="156"/>
      <c r="Q197" s="156"/>
      <c r="R197" s="156"/>
      <c r="S197" s="156"/>
      <c r="T197" s="156"/>
      <c r="U197" s="156"/>
      <c r="V197" s="156"/>
      <c r="W197" s="156"/>
      <c r="X197" s="69"/>
      <c r="Y197" s="72"/>
      <c r="Z197" s="72"/>
      <c r="AA197" s="72"/>
      <c r="AB197" s="73"/>
      <c r="AC197" s="73"/>
      <c r="AD197" s="73"/>
      <c r="AE197" s="73"/>
      <c r="AF197" s="73"/>
      <c r="AG197" s="73"/>
      <c r="AH197" s="73"/>
      <c r="AI197" s="73"/>
      <c r="AJ197" s="73"/>
      <c r="AK197" s="73"/>
      <c r="AL197" s="73"/>
      <c r="AM197" s="73"/>
      <c r="AN197" s="73"/>
      <c r="AO197" s="73"/>
      <c r="AP197" s="73"/>
      <c r="AQ197" s="73"/>
      <c r="AR197" s="73"/>
      <c r="AS197" s="73"/>
      <c r="AT197" s="73"/>
      <c r="AU197" s="73"/>
      <c r="AV197" s="73"/>
      <c r="AW197" s="73"/>
      <c r="AX197" s="73"/>
      <c r="AY197" s="73"/>
      <c r="AZ197" s="73"/>
      <c r="BA197" s="73"/>
      <c r="BB197" s="73"/>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row>
    <row r="198" spans="1:76" s="75" customFormat="1" ht="15" hidden="1" customHeight="1">
      <c r="A198" s="72"/>
      <c r="B198" s="72"/>
      <c r="C198" s="154"/>
      <c r="D198" s="155"/>
      <c r="E198" s="156"/>
      <c r="F198" s="156"/>
      <c r="G198" s="156"/>
      <c r="H198" s="156"/>
      <c r="I198" s="156"/>
      <c r="J198" s="156"/>
      <c r="K198" s="156"/>
      <c r="L198" s="156"/>
      <c r="M198" s="156"/>
      <c r="N198" s="156"/>
      <c r="O198" s="156"/>
      <c r="P198" s="156"/>
      <c r="Q198" s="156"/>
      <c r="R198" s="156"/>
      <c r="S198" s="156"/>
      <c r="T198" s="156"/>
      <c r="U198" s="156"/>
      <c r="V198" s="156"/>
      <c r="W198" s="156"/>
      <c r="X198" s="69"/>
      <c r="Y198" s="72"/>
      <c r="Z198" s="72"/>
      <c r="AA198" s="72"/>
      <c r="AB198" s="73"/>
      <c r="AC198" s="73"/>
      <c r="AD198" s="73"/>
      <c r="AE198" s="73"/>
      <c r="AF198" s="73"/>
      <c r="AG198" s="73"/>
      <c r="AH198" s="73"/>
      <c r="AI198" s="73"/>
      <c r="AJ198" s="73"/>
      <c r="AK198" s="73"/>
      <c r="AL198" s="73"/>
      <c r="AM198" s="73"/>
      <c r="AN198" s="73"/>
      <c r="AO198" s="73"/>
      <c r="AP198" s="73"/>
      <c r="AQ198" s="73"/>
      <c r="AR198" s="73"/>
      <c r="AS198" s="73"/>
      <c r="AT198" s="73"/>
      <c r="AU198" s="73"/>
      <c r="AV198" s="73"/>
      <c r="AW198" s="73"/>
      <c r="AX198" s="73"/>
      <c r="AY198" s="73"/>
      <c r="AZ198" s="73"/>
      <c r="BA198" s="73"/>
      <c r="BB198" s="73"/>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row>
    <row r="199" spans="1:76" s="75" customFormat="1" ht="15" hidden="1" customHeight="1">
      <c r="A199" s="72"/>
      <c r="B199" s="72"/>
      <c r="C199" s="154"/>
      <c r="D199" s="155"/>
      <c r="E199" s="156"/>
      <c r="F199" s="156"/>
      <c r="G199" s="156"/>
      <c r="H199" s="156"/>
      <c r="I199" s="156"/>
      <c r="J199" s="156"/>
      <c r="K199" s="156"/>
      <c r="L199" s="156"/>
      <c r="M199" s="156"/>
      <c r="N199" s="156"/>
      <c r="O199" s="156"/>
      <c r="P199" s="156"/>
      <c r="Q199" s="156"/>
      <c r="R199" s="156"/>
      <c r="S199" s="156"/>
      <c r="T199" s="156"/>
      <c r="U199" s="156"/>
      <c r="V199" s="156"/>
      <c r="W199" s="156"/>
      <c r="X199" s="69"/>
      <c r="Y199" s="72"/>
      <c r="Z199" s="72"/>
      <c r="AA199" s="72"/>
      <c r="AB199" s="73"/>
      <c r="AC199" s="73"/>
      <c r="AD199" s="73"/>
      <c r="AE199" s="73"/>
      <c r="AF199" s="73"/>
      <c r="AG199" s="73"/>
      <c r="AH199" s="73"/>
      <c r="AI199" s="73"/>
      <c r="AJ199" s="73"/>
      <c r="AK199" s="73"/>
      <c r="AL199" s="73"/>
      <c r="AM199" s="73"/>
      <c r="AN199" s="73"/>
      <c r="AO199" s="73"/>
      <c r="AP199" s="73"/>
      <c r="AQ199" s="73"/>
      <c r="AR199" s="73"/>
      <c r="AS199" s="73"/>
      <c r="AT199" s="73"/>
      <c r="AU199" s="73"/>
      <c r="AV199" s="73"/>
      <c r="AW199" s="73"/>
      <c r="AX199" s="73"/>
      <c r="AY199" s="73"/>
      <c r="AZ199" s="73"/>
      <c r="BA199" s="73"/>
      <c r="BB199" s="73"/>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row>
    <row r="200" spans="1:76" s="75" customFormat="1" ht="15" hidden="1" customHeight="1">
      <c r="A200" s="72"/>
      <c r="B200" s="72"/>
      <c r="C200" s="154"/>
      <c r="D200" s="155"/>
      <c r="E200" s="156"/>
      <c r="F200" s="156"/>
      <c r="G200" s="156"/>
      <c r="H200" s="156"/>
      <c r="I200" s="156"/>
      <c r="J200" s="156"/>
      <c r="K200" s="156"/>
      <c r="L200" s="156"/>
      <c r="M200" s="156"/>
      <c r="N200" s="156"/>
      <c r="O200" s="156"/>
      <c r="P200" s="156"/>
      <c r="Q200" s="156"/>
      <c r="R200" s="156"/>
      <c r="S200" s="156"/>
      <c r="T200" s="156"/>
      <c r="U200" s="156"/>
      <c r="V200" s="156"/>
      <c r="W200" s="156"/>
      <c r="X200" s="69"/>
      <c r="Y200" s="72"/>
      <c r="Z200" s="72"/>
      <c r="AA200" s="72"/>
      <c r="AB200" s="73"/>
      <c r="AC200" s="73"/>
      <c r="AD200" s="73"/>
      <c r="AE200" s="73"/>
      <c r="AF200" s="73"/>
      <c r="AG200" s="73"/>
      <c r="AH200" s="73"/>
      <c r="AI200" s="73"/>
      <c r="AJ200" s="73"/>
      <c r="AK200" s="73"/>
      <c r="AL200" s="73"/>
      <c r="AM200" s="73"/>
      <c r="AN200" s="73"/>
      <c r="AO200" s="73"/>
      <c r="AP200" s="73"/>
      <c r="AQ200" s="73"/>
      <c r="AR200" s="73"/>
      <c r="AS200" s="73"/>
      <c r="AT200" s="73"/>
      <c r="AU200" s="73"/>
      <c r="AV200" s="73"/>
      <c r="AW200" s="73"/>
      <c r="AX200" s="73"/>
      <c r="AY200" s="73"/>
      <c r="AZ200" s="73"/>
      <c r="BA200" s="73"/>
      <c r="BB200" s="73"/>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row>
    <row r="201" spans="1:76" s="75" customFormat="1" ht="15" hidden="1" customHeight="1">
      <c r="A201" s="72"/>
      <c r="B201" s="72"/>
      <c r="C201" s="154"/>
      <c r="D201" s="155"/>
      <c r="E201" s="156"/>
      <c r="F201" s="156"/>
      <c r="G201" s="156"/>
      <c r="H201" s="156"/>
      <c r="I201" s="156"/>
      <c r="J201" s="156"/>
      <c r="K201" s="156"/>
      <c r="L201" s="156"/>
      <c r="M201" s="156"/>
      <c r="N201" s="156"/>
      <c r="O201" s="156"/>
      <c r="P201" s="156"/>
      <c r="Q201" s="156"/>
      <c r="R201" s="156"/>
      <c r="S201" s="156"/>
      <c r="T201" s="156"/>
      <c r="U201" s="156"/>
      <c r="V201" s="156"/>
      <c r="W201" s="156"/>
      <c r="X201" s="69"/>
      <c r="Y201" s="72"/>
      <c r="Z201" s="72"/>
      <c r="AA201" s="72"/>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row>
    <row r="202" spans="1:76" s="75" customFormat="1" ht="15" hidden="1" customHeight="1">
      <c r="A202" s="72"/>
      <c r="B202" s="72"/>
      <c r="C202" s="154"/>
      <c r="D202" s="155"/>
      <c r="E202" s="156"/>
      <c r="F202" s="156"/>
      <c r="G202" s="156"/>
      <c r="H202" s="156"/>
      <c r="I202" s="156"/>
      <c r="J202" s="156"/>
      <c r="K202" s="156"/>
      <c r="L202" s="156"/>
      <c r="M202" s="156"/>
      <c r="N202" s="156"/>
      <c r="O202" s="156"/>
      <c r="P202" s="156"/>
      <c r="Q202" s="156"/>
      <c r="R202" s="156"/>
      <c r="S202" s="156"/>
      <c r="T202" s="156"/>
      <c r="U202" s="156"/>
      <c r="V202" s="156"/>
      <c r="W202" s="156"/>
      <c r="X202" s="69"/>
      <c r="Y202" s="72"/>
      <c r="Z202" s="72"/>
      <c r="AA202" s="72"/>
      <c r="AB202" s="73"/>
      <c r="AC202" s="73"/>
      <c r="AD202" s="73"/>
      <c r="AE202" s="73"/>
      <c r="AF202" s="73"/>
      <c r="AG202" s="73"/>
      <c r="AH202" s="73"/>
      <c r="AI202" s="73"/>
      <c r="AJ202" s="73"/>
      <c r="AK202" s="73"/>
      <c r="AL202" s="73"/>
      <c r="AM202" s="73"/>
      <c r="AN202" s="73"/>
      <c r="AO202" s="73"/>
      <c r="AP202" s="73"/>
      <c r="AQ202" s="73"/>
      <c r="AR202" s="73"/>
      <c r="AS202" s="73"/>
      <c r="AT202" s="73"/>
      <c r="AU202" s="73"/>
      <c r="AV202" s="73"/>
      <c r="AW202" s="73"/>
      <c r="AX202" s="73"/>
      <c r="AY202" s="73"/>
      <c r="AZ202" s="73"/>
      <c r="BA202" s="73"/>
      <c r="BB202" s="73"/>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row>
    <row r="203" spans="1:76" s="75" customFormat="1" ht="15" hidden="1" customHeight="1">
      <c r="A203" s="72"/>
      <c r="B203" s="72"/>
      <c r="C203" s="154"/>
      <c r="D203" s="155"/>
      <c r="E203" s="156"/>
      <c r="F203" s="156"/>
      <c r="G203" s="156"/>
      <c r="H203" s="156"/>
      <c r="I203" s="156"/>
      <c r="J203" s="156"/>
      <c r="K203" s="156"/>
      <c r="L203" s="156"/>
      <c r="M203" s="156"/>
      <c r="N203" s="156"/>
      <c r="O203" s="156"/>
      <c r="P203" s="156"/>
      <c r="Q203" s="156"/>
      <c r="R203" s="156"/>
      <c r="S203" s="156"/>
      <c r="T203" s="156"/>
      <c r="U203" s="156"/>
      <c r="V203" s="156"/>
      <c r="W203" s="156"/>
      <c r="X203" s="69"/>
      <c r="Y203" s="72"/>
      <c r="Z203" s="72"/>
      <c r="AA203" s="72"/>
      <c r="AB203" s="73"/>
      <c r="AC203" s="73"/>
      <c r="AD203" s="73"/>
      <c r="AE203" s="73"/>
      <c r="AF203" s="73"/>
      <c r="AG203" s="73"/>
      <c r="AH203" s="73"/>
      <c r="AI203" s="73"/>
      <c r="AJ203" s="73"/>
      <c r="AK203" s="73"/>
      <c r="AL203" s="73"/>
      <c r="AM203" s="73"/>
      <c r="AN203" s="73"/>
      <c r="AO203" s="73"/>
      <c r="AP203" s="73"/>
      <c r="AQ203" s="73"/>
      <c r="AR203" s="73"/>
      <c r="AS203" s="73"/>
      <c r="AT203" s="73"/>
      <c r="AU203" s="73"/>
      <c r="AV203" s="73"/>
      <c r="AW203" s="73"/>
      <c r="AX203" s="73"/>
      <c r="AY203" s="73"/>
      <c r="AZ203" s="73"/>
      <c r="BA203" s="73"/>
      <c r="BB203" s="73"/>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row>
    <row r="204" spans="1:76" s="75" customFormat="1" ht="15" hidden="1" customHeight="1">
      <c r="A204" s="72"/>
      <c r="B204" s="72"/>
      <c r="C204" s="154"/>
      <c r="D204" s="155"/>
      <c r="E204" s="156"/>
      <c r="F204" s="156"/>
      <c r="G204" s="156"/>
      <c r="H204" s="156"/>
      <c r="I204" s="156"/>
      <c r="J204" s="156"/>
      <c r="K204" s="156"/>
      <c r="L204" s="156"/>
      <c r="M204" s="156"/>
      <c r="N204" s="156"/>
      <c r="O204" s="156"/>
      <c r="P204" s="156"/>
      <c r="Q204" s="156"/>
      <c r="R204" s="156"/>
      <c r="S204" s="156"/>
      <c r="T204" s="156"/>
      <c r="U204" s="156"/>
      <c r="V204" s="156"/>
      <c r="W204" s="156"/>
      <c r="X204" s="69"/>
      <c r="Y204" s="72"/>
      <c r="Z204" s="72"/>
      <c r="AA204" s="72"/>
      <c r="AB204" s="73"/>
      <c r="AC204" s="73"/>
      <c r="AD204" s="73"/>
      <c r="AE204" s="73"/>
      <c r="AF204" s="73"/>
      <c r="AG204" s="73"/>
      <c r="AH204" s="73"/>
      <c r="AI204" s="73"/>
      <c r="AJ204" s="73"/>
      <c r="AK204" s="73"/>
      <c r="AL204" s="73"/>
      <c r="AM204" s="73"/>
      <c r="AN204" s="73"/>
      <c r="AO204" s="73"/>
      <c r="AP204" s="73"/>
      <c r="AQ204" s="73"/>
      <c r="AR204" s="73"/>
      <c r="AS204" s="73"/>
      <c r="AT204" s="73"/>
      <c r="AU204" s="73"/>
      <c r="AV204" s="73"/>
      <c r="AW204" s="73"/>
      <c r="AX204" s="73"/>
      <c r="AY204" s="73"/>
      <c r="AZ204" s="73"/>
      <c r="BA204" s="73"/>
      <c r="BB204" s="73"/>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row>
    <row r="205" spans="1:76" s="75" customFormat="1" ht="15" hidden="1" customHeight="1">
      <c r="A205" s="72"/>
      <c r="B205" s="72"/>
      <c r="C205" s="154"/>
      <c r="D205" s="155"/>
      <c r="E205" s="156"/>
      <c r="F205" s="156"/>
      <c r="G205" s="156"/>
      <c r="H205" s="156"/>
      <c r="I205" s="156"/>
      <c r="J205" s="156"/>
      <c r="K205" s="156"/>
      <c r="L205" s="156"/>
      <c r="M205" s="156"/>
      <c r="N205" s="156"/>
      <c r="O205" s="156"/>
      <c r="P205" s="156"/>
      <c r="Q205" s="156"/>
      <c r="R205" s="156"/>
      <c r="S205" s="156"/>
      <c r="T205" s="156"/>
      <c r="U205" s="156"/>
      <c r="V205" s="156"/>
      <c r="W205" s="156"/>
      <c r="X205" s="69"/>
      <c r="Y205" s="72"/>
      <c r="Z205" s="72"/>
      <c r="AA205" s="72"/>
      <c r="AB205" s="73"/>
      <c r="AC205" s="73"/>
      <c r="AD205" s="73"/>
      <c r="AE205" s="73"/>
      <c r="AF205" s="73"/>
      <c r="AG205" s="73"/>
      <c r="AH205" s="73"/>
      <c r="AI205" s="73"/>
      <c r="AJ205" s="73"/>
      <c r="AK205" s="73"/>
      <c r="AL205" s="73"/>
      <c r="AM205" s="73"/>
      <c r="AN205" s="73"/>
      <c r="AO205" s="73"/>
      <c r="AP205" s="73"/>
      <c r="AQ205" s="73"/>
      <c r="AR205" s="73"/>
      <c r="AS205" s="73"/>
      <c r="AT205" s="73"/>
      <c r="AU205" s="73"/>
      <c r="AV205" s="73"/>
      <c r="AW205" s="73"/>
      <c r="AX205" s="73"/>
      <c r="AY205" s="73"/>
      <c r="AZ205" s="73"/>
      <c r="BA205" s="73"/>
      <c r="BB205" s="73"/>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row>
    <row r="206" spans="1:76" s="75" customFormat="1" ht="15" hidden="1" customHeight="1">
      <c r="A206" s="72"/>
      <c r="B206" s="72"/>
      <c r="C206" s="154"/>
      <c r="D206" s="155"/>
      <c r="E206" s="156"/>
      <c r="F206" s="156"/>
      <c r="G206" s="156"/>
      <c r="H206" s="156"/>
      <c r="I206" s="156"/>
      <c r="J206" s="156"/>
      <c r="K206" s="156"/>
      <c r="L206" s="156"/>
      <c r="M206" s="156"/>
      <c r="N206" s="156"/>
      <c r="O206" s="156"/>
      <c r="P206" s="156"/>
      <c r="Q206" s="156"/>
      <c r="R206" s="156"/>
      <c r="S206" s="156"/>
      <c r="T206" s="156"/>
      <c r="U206" s="156"/>
      <c r="V206" s="156"/>
      <c r="W206" s="156"/>
      <c r="X206" s="69"/>
      <c r="Y206" s="72"/>
      <c r="Z206" s="72"/>
      <c r="AA206" s="72"/>
      <c r="AB206" s="73"/>
      <c r="AC206" s="73"/>
      <c r="AD206" s="73"/>
      <c r="AE206" s="73"/>
      <c r="AF206" s="73"/>
      <c r="AG206" s="73"/>
      <c r="AH206" s="73"/>
      <c r="AI206" s="73"/>
      <c r="AJ206" s="73"/>
      <c r="AK206" s="73"/>
      <c r="AL206" s="73"/>
      <c r="AM206" s="73"/>
      <c r="AN206" s="73"/>
      <c r="AO206" s="73"/>
      <c r="AP206" s="73"/>
      <c r="AQ206" s="73"/>
      <c r="AR206" s="73"/>
      <c r="AS206" s="73"/>
      <c r="AT206" s="73"/>
      <c r="AU206" s="73"/>
      <c r="AV206" s="73"/>
      <c r="AW206" s="73"/>
      <c r="AX206" s="73"/>
      <c r="AY206" s="73"/>
      <c r="AZ206" s="73"/>
      <c r="BA206" s="73"/>
      <c r="BB206" s="73"/>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row>
    <row r="207" spans="1:76" s="75" customFormat="1" ht="15" hidden="1" customHeight="1">
      <c r="A207" s="72"/>
      <c r="B207" s="72"/>
      <c r="C207" s="154"/>
      <c r="D207" s="155"/>
      <c r="E207" s="156"/>
      <c r="F207" s="156"/>
      <c r="G207" s="156"/>
      <c r="H207" s="156"/>
      <c r="I207" s="156"/>
      <c r="J207" s="156"/>
      <c r="K207" s="156"/>
      <c r="L207" s="156"/>
      <c r="M207" s="156"/>
      <c r="N207" s="156"/>
      <c r="O207" s="156"/>
      <c r="P207" s="156"/>
      <c r="Q207" s="156"/>
      <c r="R207" s="156"/>
      <c r="S207" s="156"/>
      <c r="T207" s="156"/>
      <c r="U207" s="156"/>
      <c r="V207" s="156"/>
      <c r="W207" s="156"/>
      <c r="X207" s="69"/>
      <c r="Y207" s="72"/>
      <c r="Z207" s="72"/>
      <c r="AA207" s="72"/>
      <c r="AB207" s="73"/>
      <c r="AC207" s="73"/>
      <c r="AD207" s="73"/>
      <c r="AE207" s="73"/>
      <c r="AF207" s="73"/>
      <c r="AG207" s="73"/>
      <c r="AH207" s="73"/>
      <c r="AI207" s="73"/>
      <c r="AJ207" s="73"/>
      <c r="AK207" s="73"/>
      <c r="AL207" s="73"/>
      <c r="AM207" s="73"/>
      <c r="AN207" s="73"/>
      <c r="AO207" s="73"/>
      <c r="AP207" s="73"/>
      <c r="AQ207" s="73"/>
      <c r="AR207" s="73"/>
      <c r="AS207" s="73"/>
      <c r="AT207" s="73"/>
      <c r="AU207" s="73"/>
      <c r="AV207" s="73"/>
      <c r="AW207" s="73"/>
      <c r="AX207" s="73"/>
      <c r="AY207" s="73"/>
      <c r="AZ207" s="73"/>
      <c r="BA207" s="73"/>
      <c r="BB207" s="73"/>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row>
    <row r="208" spans="1:76" s="75" customFormat="1" ht="15" hidden="1" customHeight="1">
      <c r="A208" s="72"/>
      <c r="B208" s="72"/>
      <c r="C208" s="154"/>
      <c r="D208" s="155"/>
      <c r="E208" s="156"/>
      <c r="F208" s="156"/>
      <c r="G208" s="156"/>
      <c r="H208" s="156"/>
      <c r="I208" s="156"/>
      <c r="J208" s="156"/>
      <c r="K208" s="156"/>
      <c r="L208" s="156"/>
      <c r="M208" s="156"/>
      <c r="N208" s="156"/>
      <c r="O208" s="156"/>
      <c r="P208" s="156"/>
      <c r="Q208" s="156"/>
      <c r="R208" s="156"/>
      <c r="S208" s="156"/>
      <c r="T208" s="156"/>
      <c r="U208" s="156"/>
      <c r="V208" s="156"/>
      <c r="W208" s="156"/>
      <c r="X208" s="69"/>
      <c r="Y208" s="72"/>
      <c r="Z208" s="72"/>
      <c r="AA208" s="72"/>
      <c r="AB208" s="73"/>
      <c r="AC208" s="73"/>
      <c r="AD208" s="73"/>
      <c r="AE208" s="73"/>
      <c r="AF208" s="73"/>
      <c r="AG208" s="73"/>
      <c r="AH208" s="73"/>
      <c r="AI208" s="73"/>
      <c r="AJ208" s="73"/>
      <c r="AK208" s="73"/>
      <c r="AL208" s="73"/>
      <c r="AM208" s="73"/>
      <c r="AN208" s="73"/>
      <c r="AO208" s="73"/>
      <c r="AP208" s="73"/>
      <c r="AQ208" s="73"/>
      <c r="AR208" s="73"/>
      <c r="AS208" s="73"/>
      <c r="AT208" s="73"/>
      <c r="AU208" s="73"/>
      <c r="AV208" s="73"/>
      <c r="AW208" s="73"/>
      <c r="AX208" s="73"/>
      <c r="AY208" s="73"/>
      <c r="AZ208" s="73"/>
      <c r="BA208" s="73"/>
      <c r="BB208" s="73"/>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row>
    <row r="209" spans="1:76" s="75" customFormat="1" ht="15" hidden="1" customHeight="1">
      <c r="A209" s="72"/>
      <c r="B209" s="72"/>
      <c r="C209" s="154"/>
      <c r="D209" s="155"/>
      <c r="E209" s="156"/>
      <c r="F209" s="156"/>
      <c r="G209" s="156"/>
      <c r="H209" s="156"/>
      <c r="I209" s="156"/>
      <c r="J209" s="156"/>
      <c r="K209" s="156"/>
      <c r="L209" s="156"/>
      <c r="M209" s="156"/>
      <c r="N209" s="156"/>
      <c r="O209" s="156"/>
      <c r="P209" s="156"/>
      <c r="Q209" s="156"/>
      <c r="R209" s="156"/>
      <c r="S209" s="156"/>
      <c r="T209" s="156"/>
      <c r="U209" s="156"/>
      <c r="V209" s="156"/>
      <c r="W209" s="156"/>
      <c r="X209" s="69"/>
      <c r="Y209" s="72"/>
      <c r="Z209" s="72"/>
      <c r="AA209" s="72"/>
      <c r="AB209" s="73"/>
      <c r="AC209" s="73"/>
      <c r="AD209" s="73"/>
      <c r="AE209" s="73"/>
      <c r="AF209" s="73"/>
      <c r="AG209" s="73"/>
      <c r="AH209" s="73"/>
      <c r="AI209" s="73"/>
      <c r="AJ209" s="73"/>
      <c r="AK209" s="73"/>
      <c r="AL209" s="73"/>
      <c r="AM209" s="73"/>
      <c r="AN209" s="73"/>
      <c r="AO209" s="73"/>
      <c r="AP209" s="73"/>
      <c r="AQ209" s="73"/>
      <c r="AR209" s="73"/>
      <c r="AS209" s="73"/>
      <c r="AT209" s="73"/>
      <c r="AU209" s="73"/>
      <c r="AV209" s="73"/>
      <c r="AW209" s="73"/>
      <c r="AX209" s="73"/>
      <c r="AY209" s="73"/>
      <c r="AZ209" s="73"/>
      <c r="BA209" s="73"/>
      <c r="BB209" s="73"/>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row>
    <row r="210" spans="1:76" s="75" customFormat="1" ht="15" hidden="1" customHeight="1">
      <c r="A210" s="72"/>
      <c r="B210" s="72"/>
      <c r="C210" s="154"/>
      <c r="D210" s="155"/>
      <c r="E210" s="156"/>
      <c r="F210" s="156"/>
      <c r="G210" s="156"/>
      <c r="H210" s="156"/>
      <c r="I210" s="156"/>
      <c r="J210" s="156"/>
      <c r="K210" s="156"/>
      <c r="L210" s="156"/>
      <c r="M210" s="156"/>
      <c r="N210" s="156"/>
      <c r="O210" s="156"/>
      <c r="P210" s="156"/>
      <c r="Q210" s="156"/>
      <c r="R210" s="156"/>
      <c r="S210" s="156"/>
      <c r="T210" s="156"/>
      <c r="U210" s="156"/>
      <c r="V210" s="156"/>
      <c r="W210" s="156"/>
      <c r="X210" s="69"/>
      <c r="Y210" s="72"/>
      <c r="Z210" s="72"/>
      <c r="AA210" s="72"/>
      <c r="AB210" s="73"/>
      <c r="AC210" s="73"/>
      <c r="AD210" s="73"/>
      <c r="AE210" s="73"/>
      <c r="AF210" s="73"/>
      <c r="AG210" s="73"/>
      <c r="AH210" s="73"/>
      <c r="AI210" s="73"/>
      <c r="AJ210" s="73"/>
      <c r="AK210" s="73"/>
      <c r="AL210" s="73"/>
      <c r="AM210" s="73"/>
      <c r="AN210" s="73"/>
      <c r="AO210" s="73"/>
      <c r="AP210" s="73"/>
      <c r="AQ210" s="73"/>
      <c r="AR210" s="73"/>
      <c r="AS210" s="73"/>
      <c r="AT210" s="73"/>
      <c r="AU210" s="73"/>
      <c r="AV210" s="73"/>
      <c r="AW210" s="73"/>
      <c r="AX210" s="73"/>
      <c r="AY210" s="73"/>
      <c r="AZ210" s="73"/>
      <c r="BA210" s="73"/>
      <c r="BB210" s="73"/>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row>
    <row r="211" spans="1:76" s="75" customFormat="1" ht="15" hidden="1" customHeight="1">
      <c r="A211" s="72"/>
      <c r="B211" s="72"/>
      <c r="C211" s="154"/>
      <c r="D211" s="155"/>
      <c r="E211" s="156"/>
      <c r="F211" s="156"/>
      <c r="G211" s="156"/>
      <c r="H211" s="156"/>
      <c r="I211" s="156"/>
      <c r="J211" s="156"/>
      <c r="K211" s="156"/>
      <c r="L211" s="156"/>
      <c r="M211" s="156"/>
      <c r="N211" s="156"/>
      <c r="O211" s="156"/>
      <c r="P211" s="156"/>
      <c r="Q211" s="156"/>
      <c r="R211" s="156"/>
      <c r="S211" s="156"/>
      <c r="T211" s="156"/>
      <c r="U211" s="156"/>
      <c r="V211" s="156"/>
      <c r="W211" s="156"/>
      <c r="X211" s="69"/>
      <c r="Y211" s="72"/>
      <c r="Z211" s="72"/>
      <c r="AA211" s="72"/>
      <c r="AB211" s="73"/>
      <c r="AC211" s="73"/>
      <c r="AD211" s="73"/>
      <c r="AE211" s="73"/>
      <c r="AF211" s="73"/>
      <c r="AG211" s="73"/>
      <c r="AH211" s="73"/>
      <c r="AI211" s="73"/>
      <c r="AJ211" s="73"/>
      <c r="AK211" s="73"/>
      <c r="AL211" s="73"/>
      <c r="AM211" s="73"/>
      <c r="AN211" s="73"/>
      <c r="AO211" s="73"/>
      <c r="AP211" s="73"/>
      <c r="AQ211" s="73"/>
      <c r="AR211" s="73"/>
      <c r="AS211" s="73"/>
      <c r="AT211" s="73"/>
      <c r="AU211" s="73"/>
      <c r="AV211" s="73"/>
      <c r="AW211" s="73"/>
      <c r="AX211" s="73"/>
      <c r="AY211" s="73"/>
      <c r="AZ211" s="73"/>
      <c r="BA211" s="73"/>
      <c r="BB211" s="73"/>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row>
    <row r="212" spans="1:76" s="75" customFormat="1" ht="15" hidden="1" customHeight="1">
      <c r="A212" s="72"/>
      <c r="B212" s="72"/>
      <c r="C212" s="154"/>
      <c r="D212" s="155"/>
      <c r="E212" s="156"/>
      <c r="F212" s="156"/>
      <c r="G212" s="156"/>
      <c r="H212" s="156"/>
      <c r="I212" s="156"/>
      <c r="J212" s="156"/>
      <c r="K212" s="156"/>
      <c r="L212" s="156"/>
      <c r="M212" s="156"/>
      <c r="N212" s="156"/>
      <c r="O212" s="156"/>
      <c r="P212" s="156"/>
      <c r="Q212" s="156"/>
      <c r="R212" s="156"/>
      <c r="S212" s="156"/>
      <c r="T212" s="156"/>
      <c r="U212" s="156"/>
      <c r="V212" s="156"/>
      <c r="W212" s="156"/>
      <c r="X212" s="69"/>
      <c r="Y212" s="72"/>
      <c r="Z212" s="72"/>
      <c r="AA212" s="72"/>
      <c r="AB212" s="73"/>
      <c r="AC212" s="73"/>
      <c r="AD212" s="73"/>
      <c r="AE212" s="73"/>
      <c r="AF212" s="73"/>
      <c r="AG212" s="73"/>
      <c r="AH212" s="73"/>
      <c r="AI212" s="73"/>
      <c r="AJ212" s="73"/>
      <c r="AK212" s="73"/>
      <c r="AL212" s="73"/>
      <c r="AM212" s="73"/>
      <c r="AN212" s="73"/>
      <c r="AO212" s="73"/>
      <c r="AP212" s="73"/>
      <c r="AQ212" s="73"/>
      <c r="AR212" s="73"/>
      <c r="AS212" s="73"/>
      <c r="AT212" s="73"/>
      <c r="AU212" s="73"/>
      <c r="AV212" s="73"/>
      <c r="AW212" s="73"/>
      <c r="AX212" s="73"/>
      <c r="AY212" s="73"/>
      <c r="AZ212" s="73"/>
      <c r="BA212" s="73"/>
      <c r="BB212" s="73"/>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row>
    <row r="213" spans="1:76" s="75" customFormat="1" ht="15" hidden="1" customHeight="1">
      <c r="A213" s="72"/>
      <c r="B213" s="72"/>
      <c r="C213" s="154"/>
      <c r="D213" s="155"/>
      <c r="E213" s="156"/>
      <c r="F213" s="156"/>
      <c r="G213" s="156"/>
      <c r="H213" s="156"/>
      <c r="I213" s="156"/>
      <c r="J213" s="156"/>
      <c r="K213" s="156"/>
      <c r="L213" s="156"/>
      <c r="M213" s="156"/>
      <c r="N213" s="156"/>
      <c r="O213" s="156"/>
      <c r="P213" s="156"/>
      <c r="Q213" s="156"/>
      <c r="R213" s="156"/>
      <c r="S213" s="156"/>
      <c r="T213" s="156"/>
      <c r="U213" s="156"/>
      <c r="V213" s="156"/>
      <c r="W213" s="156"/>
      <c r="X213" s="69"/>
      <c r="Y213" s="72"/>
      <c r="Z213" s="72"/>
      <c r="AA213" s="72"/>
      <c r="AB213" s="73"/>
      <c r="AC213" s="73"/>
      <c r="AD213" s="73"/>
      <c r="AE213" s="73"/>
      <c r="AF213" s="73"/>
      <c r="AG213" s="73"/>
      <c r="AH213" s="73"/>
      <c r="AI213" s="73"/>
      <c r="AJ213" s="73"/>
      <c r="AK213" s="73"/>
      <c r="AL213" s="73"/>
      <c r="AM213" s="73"/>
      <c r="AN213" s="73"/>
      <c r="AO213" s="73"/>
      <c r="AP213" s="73"/>
      <c r="AQ213" s="73"/>
      <c r="AR213" s="73"/>
      <c r="AS213" s="73"/>
      <c r="AT213" s="73"/>
      <c r="AU213" s="73"/>
      <c r="AV213" s="73"/>
      <c r="AW213" s="73"/>
      <c r="AX213" s="73"/>
      <c r="AY213" s="73"/>
      <c r="AZ213" s="73"/>
      <c r="BA213" s="73"/>
      <c r="BB213" s="73"/>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row>
    <row r="214" spans="1:76" s="75" customFormat="1" ht="15" hidden="1" customHeight="1">
      <c r="A214" s="72"/>
      <c r="B214" s="72"/>
      <c r="C214" s="154"/>
      <c r="D214" s="155"/>
      <c r="E214" s="156"/>
      <c r="F214" s="156"/>
      <c r="G214" s="156"/>
      <c r="H214" s="156"/>
      <c r="I214" s="156"/>
      <c r="J214" s="156"/>
      <c r="K214" s="156"/>
      <c r="L214" s="156"/>
      <c r="M214" s="156"/>
      <c r="N214" s="156"/>
      <c r="O214" s="156"/>
      <c r="P214" s="156"/>
      <c r="Q214" s="156"/>
      <c r="R214" s="156"/>
      <c r="S214" s="156"/>
      <c r="T214" s="156"/>
      <c r="U214" s="156"/>
      <c r="V214" s="156"/>
      <c r="W214" s="156"/>
      <c r="X214" s="69"/>
      <c r="Y214" s="72"/>
      <c r="Z214" s="72"/>
      <c r="AA214" s="72"/>
      <c r="AB214" s="73"/>
      <c r="AC214" s="73"/>
      <c r="AD214" s="73"/>
      <c r="AE214" s="73"/>
      <c r="AF214" s="73"/>
      <c r="AG214" s="73"/>
      <c r="AH214" s="73"/>
      <c r="AI214" s="73"/>
      <c r="AJ214" s="73"/>
      <c r="AK214" s="73"/>
      <c r="AL214" s="73"/>
      <c r="AM214" s="73"/>
      <c r="AN214" s="73"/>
      <c r="AO214" s="73"/>
      <c r="AP214" s="73"/>
      <c r="AQ214" s="73"/>
      <c r="AR214" s="73"/>
      <c r="AS214" s="73"/>
      <c r="AT214" s="73"/>
      <c r="AU214" s="73"/>
      <c r="AV214" s="73"/>
      <c r="AW214" s="73"/>
      <c r="AX214" s="73"/>
      <c r="AY214" s="73"/>
      <c r="AZ214" s="73"/>
      <c r="BA214" s="73"/>
      <c r="BB214" s="73"/>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row>
    <row r="215" spans="1:76" s="75" customFormat="1" ht="15" hidden="1" customHeight="1">
      <c r="A215" s="72"/>
      <c r="B215" s="72"/>
      <c r="C215" s="154"/>
      <c r="D215" s="155"/>
      <c r="E215" s="156"/>
      <c r="F215" s="156"/>
      <c r="G215" s="156"/>
      <c r="H215" s="156"/>
      <c r="I215" s="156"/>
      <c r="J215" s="156"/>
      <c r="K215" s="156"/>
      <c r="L215" s="156"/>
      <c r="M215" s="156"/>
      <c r="N215" s="156"/>
      <c r="O215" s="156"/>
      <c r="P215" s="156"/>
      <c r="Q215" s="156"/>
      <c r="R215" s="156"/>
      <c r="S215" s="156"/>
      <c r="T215" s="156"/>
      <c r="U215" s="156"/>
      <c r="V215" s="156"/>
      <c r="W215" s="156"/>
      <c r="X215" s="69"/>
      <c r="Y215" s="72"/>
      <c r="Z215" s="72"/>
      <c r="AA215" s="72"/>
      <c r="AB215" s="73"/>
      <c r="AC215" s="73"/>
      <c r="AD215" s="73"/>
      <c r="AE215" s="73"/>
      <c r="AF215" s="73"/>
      <c r="AG215" s="73"/>
      <c r="AH215" s="73"/>
      <c r="AI215" s="73"/>
      <c r="AJ215" s="73"/>
      <c r="AK215" s="73"/>
      <c r="AL215" s="73"/>
      <c r="AM215" s="73"/>
      <c r="AN215" s="73"/>
      <c r="AO215" s="73"/>
      <c r="AP215" s="73"/>
      <c r="AQ215" s="73"/>
      <c r="AR215" s="73"/>
      <c r="AS215" s="73"/>
      <c r="AT215" s="73"/>
      <c r="AU215" s="73"/>
      <c r="AV215" s="73"/>
      <c r="AW215" s="73"/>
      <c r="AX215" s="73"/>
      <c r="AY215" s="73"/>
      <c r="AZ215" s="73"/>
      <c r="BA215" s="73"/>
      <c r="BB215" s="73"/>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row>
    <row r="216" spans="1:76" s="75" customFormat="1" ht="15" hidden="1" customHeight="1">
      <c r="A216" s="72"/>
      <c r="B216" s="72"/>
      <c r="C216" s="154"/>
      <c r="D216" s="155"/>
      <c r="E216" s="156"/>
      <c r="F216" s="156"/>
      <c r="G216" s="156"/>
      <c r="H216" s="156"/>
      <c r="I216" s="156"/>
      <c r="J216" s="156"/>
      <c r="K216" s="156"/>
      <c r="L216" s="156"/>
      <c r="M216" s="156"/>
      <c r="N216" s="156"/>
      <c r="O216" s="156"/>
      <c r="P216" s="156"/>
      <c r="Q216" s="156"/>
      <c r="R216" s="156"/>
      <c r="S216" s="156"/>
      <c r="T216" s="156"/>
      <c r="U216" s="156"/>
      <c r="V216" s="156"/>
      <c r="W216" s="156"/>
      <c r="X216" s="69"/>
      <c r="Y216" s="72"/>
      <c r="Z216" s="72"/>
      <c r="AA216" s="72"/>
      <c r="AB216" s="73"/>
      <c r="AC216" s="73"/>
      <c r="AD216" s="73"/>
      <c r="AE216" s="73"/>
      <c r="AF216" s="73"/>
      <c r="AG216" s="73"/>
      <c r="AH216" s="73"/>
      <c r="AI216" s="73"/>
      <c r="AJ216" s="73"/>
      <c r="AK216" s="73"/>
      <c r="AL216" s="73"/>
      <c r="AM216" s="73"/>
      <c r="AN216" s="73"/>
      <c r="AO216" s="73"/>
      <c r="AP216" s="73"/>
      <c r="AQ216" s="73"/>
      <c r="AR216" s="73"/>
      <c r="AS216" s="73"/>
      <c r="AT216" s="73"/>
      <c r="AU216" s="73"/>
      <c r="AV216" s="73"/>
      <c r="AW216" s="73"/>
      <c r="AX216" s="73"/>
      <c r="AY216" s="73"/>
      <c r="AZ216" s="73"/>
      <c r="BA216" s="73"/>
      <c r="BB216" s="73"/>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row>
    <row r="217" spans="1:76" s="75" customFormat="1" ht="15" hidden="1" customHeight="1">
      <c r="A217" s="72"/>
      <c r="B217" s="72"/>
      <c r="C217" s="154"/>
      <c r="D217" s="155"/>
      <c r="E217" s="156"/>
      <c r="F217" s="156"/>
      <c r="G217" s="156"/>
      <c r="H217" s="156"/>
      <c r="I217" s="156"/>
      <c r="J217" s="156"/>
      <c r="K217" s="156"/>
      <c r="L217" s="156"/>
      <c r="M217" s="156"/>
      <c r="N217" s="156"/>
      <c r="O217" s="156"/>
      <c r="P217" s="156"/>
      <c r="Q217" s="156"/>
      <c r="R217" s="156"/>
      <c r="S217" s="156"/>
      <c r="T217" s="156"/>
      <c r="U217" s="156"/>
      <c r="V217" s="156"/>
      <c r="W217" s="156"/>
      <c r="X217" s="69"/>
      <c r="Y217" s="72"/>
      <c r="Z217" s="72"/>
      <c r="AA217" s="72"/>
      <c r="AB217" s="73"/>
      <c r="AC217" s="73"/>
      <c r="AD217" s="73"/>
      <c r="AE217" s="73"/>
      <c r="AF217" s="73"/>
      <c r="AG217" s="73"/>
      <c r="AH217" s="73"/>
      <c r="AI217" s="73"/>
      <c r="AJ217" s="73"/>
      <c r="AK217" s="73"/>
      <c r="AL217" s="73"/>
      <c r="AM217" s="73"/>
      <c r="AN217" s="73"/>
      <c r="AO217" s="73"/>
      <c r="AP217" s="73"/>
      <c r="AQ217" s="73"/>
      <c r="AR217" s="73"/>
      <c r="AS217" s="73"/>
      <c r="AT217" s="73"/>
      <c r="AU217" s="73"/>
      <c r="AV217" s="73"/>
      <c r="AW217" s="73"/>
      <c r="AX217" s="73"/>
      <c r="AY217" s="73"/>
      <c r="AZ217" s="73"/>
      <c r="BA217" s="73"/>
      <c r="BB217" s="73"/>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row>
    <row r="218" spans="1:76" s="75" customFormat="1" ht="15" hidden="1" customHeight="1">
      <c r="A218" s="72"/>
      <c r="B218" s="72"/>
      <c r="C218" s="154"/>
      <c r="D218" s="155"/>
      <c r="E218" s="156"/>
      <c r="F218" s="156"/>
      <c r="G218" s="156"/>
      <c r="H218" s="156"/>
      <c r="I218" s="156"/>
      <c r="J218" s="156"/>
      <c r="K218" s="156"/>
      <c r="L218" s="156"/>
      <c r="M218" s="156"/>
      <c r="N218" s="156"/>
      <c r="O218" s="156"/>
      <c r="P218" s="156"/>
      <c r="Q218" s="156"/>
      <c r="R218" s="156"/>
      <c r="S218" s="156"/>
      <c r="T218" s="156"/>
      <c r="U218" s="156"/>
      <c r="V218" s="156"/>
      <c r="W218" s="156"/>
      <c r="X218" s="69"/>
      <c r="Y218" s="72"/>
      <c r="Z218" s="72"/>
      <c r="AA218" s="72"/>
      <c r="AB218" s="73"/>
      <c r="AC218" s="73"/>
      <c r="AD218" s="73"/>
      <c r="AE218" s="73"/>
      <c r="AF218" s="73"/>
      <c r="AG218" s="73"/>
      <c r="AH218" s="73"/>
      <c r="AI218" s="73"/>
      <c r="AJ218" s="73"/>
      <c r="AK218" s="73"/>
      <c r="AL218" s="73"/>
      <c r="AM218" s="73"/>
      <c r="AN218" s="73"/>
      <c r="AO218" s="73"/>
      <c r="AP218" s="73"/>
      <c r="AQ218" s="73"/>
      <c r="AR218" s="73"/>
      <c r="AS218" s="73"/>
      <c r="AT218" s="73"/>
      <c r="AU218" s="73"/>
      <c r="AV218" s="73"/>
      <c r="AW218" s="73"/>
      <c r="AX218" s="73"/>
      <c r="AY218" s="73"/>
      <c r="AZ218" s="73"/>
      <c r="BA218" s="73"/>
      <c r="BB218" s="73"/>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row>
    <row r="219" spans="1:76" s="75" customFormat="1" ht="15" hidden="1" customHeight="1">
      <c r="A219" s="72"/>
      <c r="B219" s="72"/>
      <c r="C219" s="154"/>
      <c r="D219" s="155"/>
      <c r="E219" s="156"/>
      <c r="F219" s="156"/>
      <c r="G219" s="156"/>
      <c r="H219" s="156"/>
      <c r="I219" s="156"/>
      <c r="J219" s="156"/>
      <c r="K219" s="156"/>
      <c r="L219" s="156"/>
      <c r="M219" s="156"/>
      <c r="N219" s="156"/>
      <c r="O219" s="156"/>
      <c r="P219" s="156"/>
      <c r="Q219" s="156"/>
      <c r="R219" s="156"/>
      <c r="S219" s="156"/>
      <c r="T219" s="156"/>
      <c r="U219" s="156"/>
      <c r="V219" s="156"/>
      <c r="W219" s="156"/>
      <c r="X219" s="69"/>
      <c r="Y219" s="72"/>
      <c r="Z219" s="72"/>
      <c r="AA219" s="72"/>
      <c r="AB219" s="73"/>
      <c r="AC219" s="73"/>
      <c r="AD219" s="73"/>
      <c r="AE219" s="73"/>
      <c r="AF219" s="73"/>
      <c r="AG219" s="73"/>
      <c r="AH219" s="73"/>
      <c r="AI219" s="73"/>
      <c r="AJ219" s="73"/>
      <c r="AK219" s="73"/>
      <c r="AL219" s="73"/>
      <c r="AM219" s="73"/>
      <c r="AN219" s="73"/>
      <c r="AO219" s="73"/>
      <c r="AP219" s="73"/>
      <c r="AQ219" s="73"/>
      <c r="AR219" s="73"/>
      <c r="AS219" s="73"/>
      <c r="AT219" s="73"/>
      <c r="AU219" s="73"/>
      <c r="AV219" s="73"/>
      <c r="AW219" s="73"/>
      <c r="AX219" s="73"/>
      <c r="AY219" s="73"/>
      <c r="AZ219" s="73"/>
      <c r="BA219" s="73"/>
      <c r="BB219" s="73"/>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row>
    <row r="220" spans="1:76" s="75" customFormat="1" ht="15" hidden="1" customHeight="1">
      <c r="A220" s="72"/>
      <c r="B220" s="72"/>
      <c r="C220" s="154"/>
      <c r="D220" s="155"/>
      <c r="E220" s="156"/>
      <c r="F220" s="156"/>
      <c r="G220" s="156"/>
      <c r="H220" s="156"/>
      <c r="I220" s="156"/>
      <c r="J220" s="156"/>
      <c r="K220" s="156"/>
      <c r="L220" s="156"/>
      <c r="M220" s="156"/>
      <c r="N220" s="156"/>
      <c r="O220" s="156"/>
      <c r="P220" s="156"/>
      <c r="Q220" s="156"/>
      <c r="R220" s="156"/>
      <c r="S220" s="156"/>
      <c r="T220" s="156"/>
      <c r="U220" s="156"/>
      <c r="V220" s="156"/>
      <c r="W220" s="156"/>
      <c r="X220" s="69"/>
      <c r="Y220" s="72"/>
      <c r="Z220" s="72"/>
      <c r="AA220" s="72"/>
      <c r="AB220" s="73"/>
      <c r="AC220" s="73"/>
      <c r="AD220" s="73"/>
      <c r="AE220" s="73"/>
      <c r="AF220" s="73"/>
      <c r="AG220" s="73"/>
      <c r="AH220" s="73"/>
      <c r="AI220" s="73"/>
      <c r="AJ220" s="73"/>
      <c r="AK220" s="73"/>
      <c r="AL220" s="73"/>
      <c r="AM220" s="73"/>
      <c r="AN220" s="73"/>
      <c r="AO220" s="73"/>
      <c r="AP220" s="73"/>
      <c r="AQ220" s="73"/>
      <c r="AR220" s="73"/>
      <c r="AS220" s="73"/>
      <c r="AT220" s="73"/>
      <c r="AU220" s="73"/>
      <c r="AV220" s="73"/>
      <c r="AW220" s="73"/>
      <c r="AX220" s="73"/>
      <c r="AY220" s="73"/>
      <c r="AZ220" s="73"/>
      <c r="BA220" s="73"/>
      <c r="BB220" s="73"/>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row>
    <row r="221" spans="1:76" s="75" customFormat="1" ht="15" hidden="1" customHeight="1">
      <c r="A221" s="72"/>
      <c r="B221" s="72"/>
      <c r="C221" s="154"/>
      <c r="D221" s="155"/>
      <c r="E221" s="156"/>
      <c r="F221" s="156"/>
      <c r="G221" s="156"/>
      <c r="H221" s="156"/>
      <c r="I221" s="156"/>
      <c r="J221" s="156"/>
      <c r="K221" s="156"/>
      <c r="L221" s="156"/>
      <c r="M221" s="156"/>
      <c r="N221" s="156"/>
      <c r="O221" s="156"/>
      <c r="P221" s="156"/>
      <c r="Q221" s="156"/>
      <c r="R221" s="156"/>
      <c r="S221" s="156"/>
      <c r="T221" s="156"/>
      <c r="U221" s="156"/>
      <c r="V221" s="156"/>
      <c r="W221" s="156"/>
      <c r="X221" s="69"/>
      <c r="Y221" s="72"/>
      <c r="Z221" s="72"/>
      <c r="AA221" s="72"/>
      <c r="AB221" s="73"/>
      <c r="AC221" s="73"/>
      <c r="AD221" s="73"/>
      <c r="AE221" s="73"/>
      <c r="AF221" s="73"/>
      <c r="AG221" s="73"/>
      <c r="AH221" s="73"/>
      <c r="AI221" s="73"/>
      <c r="AJ221" s="73"/>
      <c r="AK221" s="73"/>
      <c r="AL221" s="73"/>
      <c r="AM221" s="73"/>
      <c r="AN221" s="73"/>
      <c r="AO221" s="73"/>
      <c r="AP221" s="73"/>
      <c r="AQ221" s="73"/>
      <c r="AR221" s="73"/>
      <c r="AS221" s="73"/>
      <c r="AT221" s="73"/>
      <c r="AU221" s="73"/>
      <c r="AV221" s="73"/>
      <c r="AW221" s="73"/>
      <c r="AX221" s="73"/>
      <c r="AY221" s="73"/>
      <c r="AZ221" s="73"/>
      <c r="BA221" s="73"/>
      <c r="BB221" s="73"/>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row>
    <row r="222" spans="1:76" s="75" customFormat="1" ht="15" hidden="1" customHeight="1">
      <c r="A222" s="72"/>
      <c r="B222" s="72"/>
      <c r="C222" s="154"/>
      <c r="D222" s="155"/>
      <c r="E222" s="156"/>
      <c r="F222" s="156"/>
      <c r="G222" s="156"/>
      <c r="H222" s="156"/>
      <c r="I222" s="156"/>
      <c r="J222" s="156"/>
      <c r="K222" s="156"/>
      <c r="L222" s="156"/>
      <c r="M222" s="156"/>
      <c r="N222" s="156"/>
      <c r="O222" s="156"/>
      <c r="P222" s="156"/>
      <c r="Q222" s="156"/>
      <c r="R222" s="156"/>
      <c r="S222" s="156"/>
      <c r="T222" s="156"/>
      <c r="U222" s="156"/>
      <c r="V222" s="156"/>
      <c r="W222" s="156"/>
      <c r="X222" s="69"/>
      <c r="Y222" s="72"/>
      <c r="Z222" s="72"/>
      <c r="AA222" s="72"/>
      <c r="AB222" s="73"/>
      <c r="AC222" s="73"/>
      <c r="AD222" s="73"/>
      <c r="AE222" s="73"/>
      <c r="AF222" s="73"/>
      <c r="AG222" s="73"/>
      <c r="AH222" s="73"/>
      <c r="AI222" s="73"/>
      <c r="AJ222" s="73"/>
      <c r="AK222" s="73"/>
      <c r="AL222" s="73"/>
      <c r="AM222" s="73"/>
      <c r="AN222" s="73"/>
      <c r="AO222" s="73"/>
      <c r="AP222" s="73"/>
      <c r="AQ222" s="73"/>
      <c r="AR222" s="73"/>
      <c r="AS222" s="73"/>
      <c r="AT222" s="73"/>
      <c r="AU222" s="73"/>
      <c r="AV222" s="73"/>
      <c r="AW222" s="73"/>
      <c r="AX222" s="73"/>
      <c r="AY222" s="73"/>
      <c r="AZ222" s="73"/>
      <c r="BA222" s="73"/>
      <c r="BB222" s="73"/>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row>
    <row r="223" spans="1:76" s="75" customFormat="1" ht="15" hidden="1" customHeight="1">
      <c r="A223" s="72"/>
      <c r="B223" s="72"/>
      <c r="C223" s="154"/>
      <c r="D223" s="155"/>
      <c r="E223" s="156"/>
      <c r="F223" s="156"/>
      <c r="G223" s="156"/>
      <c r="H223" s="156"/>
      <c r="I223" s="156"/>
      <c r="J223" s="156"/>
      <c r="K223" s="156"/>
      <c r="L223" s="156"/>
      <c r="M223" s="156"/>
      <c r="N223" s="156"/>
      <c r="O223" s="156"/>
      <c r="P223" s="156"/>
      <c r="Q223" s="156"/>
      <c r="R223" s="156"/>
      <c r="S223" s="156"/>
      <c r="T223" s="156"/>
      <c r="U223" s="156"/>
      <c r="V223" s="156"/>
      <c r="W223" s="156"/>
      <c r="X223" s="69"/>
      <c r="Y223" s="72"/>
      <c r="Z223" s="72"/>
      <c r="AA223" s="72"/>
      <c r="AB223" s="73"/>
      <c r="AC223" s="73"/>
      <c r="AD223" s="73"/>
      <c r="AE223" s="73"/>
      <c r="AF223" s="73"/>
      <c r="AG223" s="73"/>
      <c r="AH223" s="73"/>
      <c r="AI223" s="73"/>
      <c r="AJ223" s="73"/>
      <c r="AK223" s="73"/>
      <c r="AL223" s="73"/>
      <c r="AM223" s="73"/>
      <c r="AN223" s="73"/>
      <c r="AO223" s="73"/>
      <c r="AP223" s="73"/>
      <c r="AQ223" s="73"/>
      <c r="AR223" s="73"/>
      <c r="AS223" s="73"/>
      <c r="AT223" s="73"/>
      <c r="AU223" s="73"/>
      <c r="AV223" s="73"/>
      <c r="AW223" s="73"/>
      <c r="AX223" s="73"/>
      <c r="AY223" s="73"/>
      <c r="AZ223" s="73"/>
      <c r="BA223" s="73"/>
      <c r="BB223" s="73"/>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row>
    <row r="224" spans="1:76" s="75" customFormat="1" ht="15" hidden="1" customHeight="1">
      <c r="A224" s="72"/>
      <c r="B224" s="72"/>
      <c r="C224" s="154"/>
      <c r="D224" s="155"/>
      <c r="E224" s="156"/>
      <c r="F224" s="156"/>
      <c r="G224" s="156"/>
      <c r="H224" s="156"/>
      <c r="I224" s="156"/>
      <c r="J224" s="156"/>
      <c r="K224" s="156"/>
      <c r="L224" s="156"/>
      <c r="M224" s="156"/>
      <c r="N224" s="156"/>
      <c r="O224" s="156"/>
      <c r="P224" s="156"/>
      <c r="Q224" s="156"/>
      <c r="R224" s="156"/>
      <c r="S224" s="156"/>
      <c r="T224" s="156"/>
      <c r="U224" s="156"/>
      <c r="V224" s="156"/>
      <c r="W224" s="156"/>
      <c r="X224" s="69"/>
      <c r="Y224" s="72"/>
      <c r="Z224" s="72"/>
      <c r="AA224" s="72"/>
      <c r="AB224" s="73"/>
      <c r="AC224" s="73"/>
      <c r="AD224" s="73"/>
      <c r="AE224" s="73"/>
      <c r="AF224" s="73"/>
      <c r="AG224" s="73"/>
      <c r="AH224" s="73"/>
      <c r="AI224" s="73"/>
      <c r="AJ224" s="73"/>
      <c r="AK224" s="73"/>
      <c r="AL224" s="73"/>
      <c r="AM224" s="73"/>
      <c r="AN224" s="73"/>
      <c r="AO224" s="73"/>
      <c r="AP224" s="73"/>
      <c r="AQ224" s="73"/>
      <c r="AR224" s="73"/>
      <c r="AS224" s="73"/>
      <c r="AT224" s="73"/>
      <c r="AU224" s="73"/>
      <c r="AV224" s="73"/>
      <c r="AW224" s="73"/>
      <c r="AX224" s="73"/>
      <c r="AY224" s="73"/>
      <c r="AZ224" s="73"/>
      <c r="BA224" s="73"/>
      <c r="BB224" s="73"/>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row>
    <row r="225" spans="1:76" s="75" customFormat="1" ht="15" hidden="1" customHeight="1">
      <c r="A225" s="72"/>
      <c r="B225" s="72"/>
      <c r="C225" s="154"/>
      <c r="D225" s="155"/>
      <c r="E225" s="156"/>
      <c r="F225" s="156"/>
      <c r="G225" s="156"/>
      <c r="H225" s="156"/>
      <c r="I225" s="156"/>
      <c r="J225" s="156"/>
      <c r="K225" s="156"/>
      <c r="L225" s="156"/>
      <c r="M225" s="156"/>
      <c r="N225" s="156"/>
      <c r="O225" s="156"/>
      <c r="P225" s="156"/>
      <c r="Q225" s="156"/>
      <c r="R225" s="156"/>
      <c r="S225" s="156"/>
      <c r="T225" s="156"/>
      <c r="U225" s="156"/>
      <c r="V225" s="156"/>
      <c r="W225" s="156"/>
      <c r="X225" s="69"/>
      <c r="Y225" s="72"/>
      <c r="Z225" s="72"/>
      <c r="AA225" s="72"/>
      <c r="AB225" s="73"/>
      <c r="AC225" s="73"/>
      <c r="AD225" s="73"/>
      <c r="AE225" s="73"/>
      <c r="AF225" s="73"/>
      <c r="AG225" s="73"/>
      <c r="AH225" s="73"/>
      <c r="AI225" s="73"/>
      <c r="AJ225" s="73"/>
      <c r="AK225" s="73"/>
      <c r="AL225" s="73"/>
      <c r="AM225" s="73"/>
      <c r="AN225" s="73"/>
      <c r="AO225" s="73"/>
      <c r="AP225" s="73"/>
      <c r="AQ225" s="73"/>
      <c r="AR225" s="73"/>
      <c r="AS225" s="73"/>
      <c r="AT225" s="73"/>
      <c r="AU225" s="73"/>
      <c r="AV225" s="73"/>
      <c r="AW225" s="73"/>
      <c r="AX225" s="73"/>
      <c r="AY225" s="73"/>
      <c r="AZ225" s="73"/>
      <c r="BA225" s="73"/>
      <c r="BB225" s="73"/>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row>
    <row r="226" spans="1:76" s="75" customFormat="1" ht="15" hidden="1" customHeight="1">
      <c r="A226" s="72"/>
      <c r="B226" s="72"/>
      <c r="C226" s="154"/>
      <c r="D226" s="155"/>
      <c r="E226" s="156"/>
      <c r="F226" s="156"/>
      <c r="G226" s="156"/>
      <c r="H226" s="156"/>
      <c r="I226" s="156"/>
      <c r="J226" s="156"/>
      <c r="K226" s="156"/>
      <c r="L226" s="156"/>
      <c r="M226" s="156"/>
      <c r="N226" s="156"/>
      <c r="O226" s="156"/>
      <c r="P226" s="156"/>
      <c r="Q226" s="156"/>
      <c r="R226" s="156"/>
      <c r="S226" s="156"/>
      <c r="T226" s="156"/>
      <c r="U226" s="156"/>
      <c r="V226" s="156"/>
      <c r="W226" s="156"/>
      <c r="X226" s="69"/>
      <c r="Y226" s="72"/>
      <c r="Z226" s="72"/>
      <c r="AA226" s="72"/>
      <c r="AB226" s="73"/>
      <c r="AC226" s="73"/>
      <c r="AD226" s="73"/>
      <c r="AE226" s="73"/>
      <c r="AF226" s="73"/>
      <c r="AG226" s="73"/>
      <c r="AH226" s="73"/>
      <c r="AI226" s="73"/>
      <c r="AJ226" s="73"/>
      <c r="AK226" s="73"/>
      <c r="AL226" s="73"/>
      <c r="AM226" s="73"/>
      <c r="AN226" s="73"/>
      <c r="AO226" s="73"/>
      <c r="AP226" s="73"/>
      <c r="AQ226" s="73"/>
      <c r="AR226" s="73"/>
      <c r="AS226" s="73"/>
      <c r="AT226" s="73"/>
      <c r="AU226" s="73"/>
      <c r="AV226" s="73"/>
      <c r="AW226" s="73"/>
      <c r="AX226" s="73"/>
      <c r="AY226" s="73"/>
      <c r="AZ226" s="73"/>
      <c r="BA226" s="73"/>
      <c r="BB226" s="73"/>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row>
    <row r="227" spans="1:76" s="75" customFormat="1" ht="15" hidden="1" customHeight="1">
      <c r="A227" s="72"/>
      <c r="B227" s="72"/>
      <c r="C227" s="154"/>
      <c r="D227" s="155"/>
      <c r="E227" s="156"/>
      <c r="F227" s="156"/>
      <c r="G227" s="156"/>
      <c r="H227" s="156"/>
      <c r="I227" s="156"/>
      <c r="J227" s="156"/>
      <c r="K227" s="156"/>
      <c r="L227" s="156"/>
      <c r="M227" s="156"/>
      <c r="N227" s="156"/>
      <c r="O227" s="156"/>
      <c r="P227" s="156"/>
      <c r="Q227" s="156"/>
      <c r="R227" s="156"/>
      <c r="S227" s="156"/>
      <c r="T227" s="156"/>
      <c r="U227" s="156"/>
      <c r="V227" s="156"/>
      <c r="W227" s="156"/>
      <c r="X227" s="69"/>
      <c r="Y227" s="72"/>
      <c r="Z227" s="72"/>
      <c r="AA227" s="72"/>
      <c r="AB227" s="73"/>
      <c r="AC227" s="73"/>
      <c r="AD227" s="73"/>
      <c r="AE227" s="73"/>
      <c r="AF227" s="73"/>
      <c r="AG227" s="73"/>
      <c r="AH227" s="73"/>
      <c r="AI227" s="73"/>
      <c r="AJ227" s="73"/>
      <c r="AK227" s="73"/>
      <c r="AL227" s="73"/>
      <c r="AM227" s="73"/>
      <c r="AN227" s="73"/>
      <c r="AO227" s="73"/>
      <c r="AP227" s="73"/>
      <c r="AQ227" s="73"/>
      <c r="AR227" s="73"/>
      <c r="AS227" s="73"/>
      <c r="AT227" s="73"/>
      <c r="AU227" s="73"/>
      <c r="AV227" s="73"/>
      <c r="AW227" s="73"/>
      <c r="AX227" s="73"/>
      <c r="AY227" s="73"/>
      <c r="AZ227" s="73"/>
      <c r="BA227" s="73"/>
      <c r="BB227" s="73"/>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row>
    <row r="228" spans="1:76" s="75" customFormat="1" ht="15" hidden="1" customHeight="1">
      <c r="A228" s="72"/>
      <c r="B228" s="72"/>
      <c r="C228" s="154"/>
      <c r="D228" s="155"/>
      <c r="E228" s="156"/>
      <c r="F228" s="156"/>
      <c r="G228" s="156"/>
      <c r="H228" s="156"/>
      <c r="I228" s="156"/>
      <c r="J228" s="156"/>
      <c r="K228" s="156"/>
      <c r="L228" s="156"/>
      <c r="M228" s="156"/>
      <c r="N228" s="156"/>
      <c r="O228" s="156"/>
      <c r="P228" s="156"/>
      <c r="Q228" s="156"/>
      <c r="R228" s="156"/>
      <c r="S228" s="156"/>
      <c r="T228" s="156"/>
      <c r="U228" s="156"/>
      <c r="V228" s="156"/>
      <c r="W228" s="156"/>
      <c r="X228" s="69"/>
      <c r="Y228" s="72"/>
      <c r="Z228" s="72"/>
      <c r="AA228" s="72"/>
      <c r="AB228" s="73"/>
      <c r="AC228" s="73"/>
      <c r="AD228" s="73"/>
      <c r="AE228" s="73"/>
      <c r="AF228" s="73"/>
      <c r="AG228" s="73"/>
      <c r="AH228" s="73"/>
      <c r="AI228" s="73"/>
      <c r="AJ228" s="73"/>
      <c r="AK228" s="73"/>
      <c r="AL228" s="73"/>
      <c r="AM228" s="73"/>
      <c r="AN228" s="73"/>
      <c r="AO228" s="73"/>
      <c r="AP228" s="73"/>
      <c r="AQ228" s="73"/>
      <c r="AR228" s="73"/>
      <c r="AS228" s="73"/>
      <c r="AT228" s="73"/>
      <c r="AU228" s="73"/>
      <c r="AV228" s="73"/>
      <c r="AW228" s="73"/>
      <c r="AX228" s="73"/>
      <c r="AY228" s="73"/>
      <c r="AZ228" s="73"/>
      <c r="BA228" s="73"/>
      <c r="BB228" s="73"/>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row>
    <row r="229" spans="1:76" s="75" customFormat="1" ht="15" hidden="1" customHeight="1">
      <c r="A229" s="72"/>
      <c r="B229" s="72"/>
      <c r="C229" s="154"/>
      <c r="D229" s="155"/>
      <c r="E229" s="156"/>
      <c r="F229" s="156"/>
      <c r="G229" s="156"/>
      <c r="H229" s="156"/>
      <c r="I229" s="156"/>
      <c r="J229" s="156"/>
      <c r="K229" s="156"/>
      <c r="L229" s="156"/>
      <c r="M229" s="156"/>
      <c r="N229" s="156"/>
      <c r="O229" s="156"/>
      <c r="P229" s="156"/>
      <c r="Q229" s="156"/>
      <c r="R229" s="156"/>
      <c r="S229" s="156"/>
      <c r="T229" s="156"/>
      <c r="U229" s="156"/>
      <c r="V229" s="156"/>
      <c r="W229" s="156"/>
      <c r="X229" s="69"/>
      <c r="Y229" s="72"/>
      <c r="Z229" s="72"/>
      <c r="AA229" s="72"/>
      <c r="AB229" s="73"/>
      <c r="AC229" s="73"/>
      <c r="AD229" s="73"/>
      <c r="AE229" s="73"/>
      <c r="AF229" s="73"/>
      <c r="AG229" s="73"/>
      <c r="AH229" s="73"/>
      <c r="AI229" s="73"/>
      <c r="AJ229" s="73"/>
      <c r="AK229" s="73"/>
      <c r="AL229" s="73"/>
      <c r="AM229" s="73"/>
      <c r="AN229" s="73"/>
      <c r="AO229" s="73"/>
      <c r="AP229" s="73"/>
      <c r="AQ229" s="73"/>
      <c r="AR229" s="73"/>
      <c r="AS229" s="73"/>
      <c r="AT229" s="73"/>
      <c r="AU229" s="73"/>
      <c r="AV229" s="73"/>
      <c r="AW229" s="73"/>
      <c r="AX229" s="73"/>
      <c r="AY229" s="73"/>
      <c r="AZ229" s="73"/>
      <c r="BA229" s="73"/>
      <c r="BB229" s="73"/>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row>
    <row r="230" spans="1:76" s="75" customFormat="1" ht="15" hidden="1" customHeight="1">
      <c r="A230" s="72"/>
      <c r="B230" s="72"/>
      <c r="C230" s="154"/>
      <c r="D230" s="155"/>
      <c r="E230" s="156"/>
      <c r="F230" s="156"/>
      <c r="G230" s="156"/>
      <c r="H230" s="156"/>
      <c r="I230" s="156"/>
      <c r="J230" s="156"/>
      <c r="K230" s="156"/>
      <c r="L230" s="156"/>
      <c r="M230" s="156"/>
      <c r="N230" s="156"/>
      <c r="O230" s="156"/>
      <c r="P230" s="156"/>
      <c r="Q230" s="156"/>
      <c r="R230" s="156"/>
      <c r="S230" s="156"/>
      <c r="T230" s="156"/>
      <c r="U230" s="156"/>
      <c r="V230" s="156"/>
      <c r="W230" s="156"/>
      <c r="X230" s="69"/>
      <c r="Y230" s="72"/>
      <c r="Z230" s="72"/>
      <c r="AA230" s="72"/>
      <c r="AB230" s="73"/>
      <c r="AC230" s="73"/>
      <c r="AD230" s="73"/>
      <c r="AE230" s="73"/>
      <c r="AF230" s="73"/>
      <c r="AG230" s="73"/>
      <c r="AH230" s="73"/>
      <c r="AI230" s="73"/>
      <c r="AJ230" s="73"/>
      <c r="AK230" s="73"/>
      <c r="AL230" s="73"/>
      <c r="AM230" s="73"/>
      <c r="AN230" s="73"/>
      <c r="AO230" s="73"/>
      <c r="AP230" s="73"/>
      <c r="AQ230" s="73"/>
      <c r="AR230" s="73"/>
      <c r="AS230" s="73"/>
      <c r="AT230" s="73"/>
      <c r="AU230" s="73"/>
      <c r="AV230" s="73"/>
      <c r="AW230" s="73"/>
      <c r="AX230" s="73"/>
      <c r="AY230" s="73"/>
      <c r="AZ230" s="73"/>
      <c r="BA230" s="73"/>
      <c r="BB230" s="73"/>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row>
    <row r="231" spans="1:76" s="75" customFormat="1" ht="15" hidden="1" customHeight="1">
      <c r="A231" s="72"/>
      <c r="B231" s="72"/>
      <c r="C231" s="154"/>
      <c r="D231" s="155"/>
      <c r="E231" s="156"/>
      <c r="F231" s="156"/>
      <c r="G231" s="156"/>
      <c r="H231" s="156"/>
      <c r="I231" s="156"/>
      <c r="J231" s="156"/>
      <c r="K231" s="156"/>
      <c r="L231" s="156"/>
      <c r="M231" s="156"/>
      <c r="N231" s="156"/>
      <c r="O231" s="156"/>
      <c r="P231" s="156"/>
      <c r="Q231" s="156"/>
      <c r="R231" s="156"/>
      <c r="S231" s="156"/>
      <c r="T231" s="156"/>
      <c r="U231" s="156"/>
      <c r="V231" s="156"/>
      <c r="W231" s="156"/>
      <c r="X231" s="69"/>
      <c r="Y231" s="72"/>
      <c r="Z231" s="72"/>
      <c r="AA231" s="72"/>
      <c r="AB231" s="73"/>
      <c r="AC231" s="73"/>
      <c r="AD231" s="73"/>
      <c r="AE231" s="73"/>
      <c r="AF231" s="73"/>
      <c r="AG231" s="73"/>
      <c r="AH231" s="73"/>
      <c r="AI231" s="73"/>
      <c r="AJ231" s="73"/>
      <c r="AK231" s="73"/>
      <c r="AL231" s="73"/>
      <c r="AM231" s="73"/>
      <c r="AN231" s="73"/>
      <c r="AO231" s="73"/>
      <c r="AP231" s="73"/>
      <c r="AQ231" s="73"/>
      <c r="AR231" s="73"/>
      <c r="AS231" s="73"/>
      <c r="AT231" s="73"/>
      <c r="AU231" s="73"/>
      <c r="AV231" s="73"/>
      <c r="AW231" s="73"/>
      <c r="AX231" s="73"/>
      <c r="AY231" s="73"/>
      <c r="AZ231" s="73"/>
      <c r="BA231" s="73"/>
      <c r="BB231" s="73"/>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row>
    <row r="232" spans="1:76" s="75" customFormat="1" ht="15" hidden="1" customHeight="1">
      <c r="A232" s="72"/>
      <c r="B232" s="72"/>
      <c r="C232" s="154"/>
      <c r="D232" s="155"/>
      <c r="E232" s="156"/>
      <c r="F232" s="156"/>
      <c r="G232" s="156"/>
      <c r="H232" s="156"/>
      <c r="I232" s="156"/>
      <c r="J232" s="156"/>
      <c r="K232" s="156"/>
      <c r="L232" s="156"/>
      <c r="M232" s="156"/>
      <c r="N232" s="156"/>
      <c r="O232" s="156"/>
      <c r="P232" s="156"/>
      <c r="Q232" s="156"/>
      <c r="R232" s="156"/>
      <c r="S232" s="156"/>
      <c r="T232" s="156"/>
      <c r="U232" s="156"/>
      <c r="V232" s="156"/>
      <c r="W232" s="156"/>
      <c r="X232" s="69"/>
      <c r="Y232" s="72"/>
      <c r="Z232" s="72"/>
      <c r="AA232" s="72"/>
      <c r="AB232" s="73"/>
      <c r="AC232" s="73"/>
      <c r="AD232" s="73"/>
      <c r="AE232" s="73"/>
      <c r="AF232" s="73"/>
      <c r="AG232" s="73"/>
      <c r="AH232" s="73"/>
      <c r="AI232" s="73"/>
      <c r="AJ232" s="73"/>
      <c r="AK232" s="73"/>
      <c r="AL232" s="73"/>
      <c r="AM232" s="73"/>
      <c r="AN232" s="73"/>
      <c r="AO232" s="73"/>
      <c r="AP232" s="73"/>
      <c r="AQ232" s="73"/>
      <c r="AR232" s="73"/>
      <c r="AS232" s="73"/>
      <c r="AT232" s="73"/>
      <c r="AU232" s="73"/>
      <c r="AV232" s="73"/>
      <c r="AW232" s="73"/>
      <c r="AX232" s="73"/>
      <c r="AY232" s="73"/>
      <c r="AZ232" s="73"/>
      <c r="BA232" s="73"/>
      <c r="BB232" s="73"/>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row>
    <row r="233" spans="1:76" s="75" customFormat="1" ht="15" hidden="1" customHeight="1">
      <c r="A233" s="72"/>
      <c r="B233" s="72"/>
      <c r="C233" s="154"/>
      <c r="D233" s="155"/>
      <c r="E233" s="156"/>
      <c r="F233" s="156"/>
      <c r="G233" s="156"/>
      <c r="H233" s="156"/>
      <c r="I233" s="156"/>
      <c r="J233" s="156"/>
      <c r="K233" s="156"/>
      <c r="L233" s="156"/>
      <c r="M233" s="156"/>
      <c r="N233" s="156"/>
      <c r="O233" s="156"/>
      <c r="P233" s="156"/>
      <c r="Q233" s="156"/>
      <c r="R233" s="156"/>
      <c r="S233" s="156"/>
      <c r="T233" s="156"/>
      <c r="U233" s="156"/>
      <c r="V233" s="156"/>
      <c r="W233" s="156"/>
      <c r="X233" s="69"/>
      <c r="Y233" s="72"/>
      <c r="Z233" s="72"/>
      <c r="AA233" s="72"/>
      <c r="AB233" s="73"/>
      <c r="AC233" s="73"/>
      <c r="AD233" s="73"/>
      <c r="AE233" s="73"/>
      <c r="AF233" s="73"/>
      <c r="AG233" s="73"/>
      <c r="AH233" s="73"/>
      <c r="AI233" s="73"/>
      <c r="AJ233" s="73"/>
      <c r="AK233" s="73"/>
      <c r="AL233" s="73"/>
      <c r="AM233" s="73"/>
      <c r="AN233" s="73"/>
      <c r="AO233" s="73"/>
      <c r="AP233" s="73"/>
      <c r="AQ233" s="73"/>
      <c r="AR233" s="73"/>
      <c r="AS233" s="73"/>
      <c r="AT233" s="73"/>
      <c r="AU233" s="73"/>
      <c r="AV233" s="73"/>
      <c r="AW233" s="73"/>
      <c r="AX233" s="73"/>
      <c r="AY233" s="73"/>
      <c r="AZ233" s="73"/>
      <c r="BA233" s="73"/>
      <c r="BB233" s="73"/>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row>
    <row r="234" spans="1:76" s="75" customFormat="1" ht="15" hidden="1" customHeight="1">
      <c r="A234" s="72"/>
      <c r="B234" s="72"/>
      <c r="C234" s="154"/>
      <c r="D234" s="155"/>
      <c r="E234" s="156"/>
      <c r="F234" s="156"/>
      <c r="G234" s="156"/>
      <c r="H234" s="156"/>
      <c r="I234" s="156"/>
      <c r="J234" s="156"/>
      <c r="K234" s="156"/>
      <c r="L234" s="156"/>
      <c r="M234" s="156"/>
      <c r="N234" s="156"/>
      <c r="O234" s="156"/>
      <c r="P234" s="156"/>
      <c r="Q234" s="156"/>
      <c r="R234" s="156"/>
      <c r="S234" s="156"/>
      <c r="T234" s="156"/>
      <c r="U234" s="156"/>
      <c r="V234" s="156"/>
      <c r="W234" s="156"/>
      <c r="X234" s="69"/>
      <c r="Y234" s="72"/>
      <c r="Z234" s="72"/>
      <c r="AA234" s="72"/>
      <c r="AB234" s="73"/>
      <c r="AC234" s="73"/>
      <c r="AD234" s="73"/>
      <c r="AE234" s="73"/>
      <c r="AF234" s="73"/>
      <c r="AG234" s="73"/>
      <c r="AH234" s="73"/>
      <c r="AI234" s="73"/>
      <c r="AJ234" s="73"/>
      <c r="AK234" s="73"/>
      <c r="AL234" s="73"/>
      <c r="AM234" s="73"/>
      <c r="AN234" s="73"/>
      <c r="AO234" s="73"/>
      <c r="AP234" s="73"/>
      <c r="AQ234" s="73"/>
      <c r="AR234" s="73"/>
      <c r="AS234" s="73"/>
      <c r="AT234" s="73"/>
      <c r="AU234" s="73"/>
      <c r="AV234" s="73"/>
      <c r="AW234" s="73"/>
      <c r="AX234" s="73"/>
      <c r="AY234" s="73"/>
      <c r="AZ234" s="73"/>
      <c r="BA234" s="73"/>
      <c r="BB234" s="73"/>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row>
    <row r="235" spans="1:76" s="75" customFormat="1" ht="15" hidden="1" customHeight="1">
      <c r="A235" s="72"/>
      <c r="B235" s="72"/>
      <c r="C235" s="154"/>
      <c r="D235" s="155"/>
      <c r="E235" s="156"/>
      <c r="F235" s="156"/>
      <c r="G235" s="156"/>
      <c r="H235" s="156"/>
      <c r="I235" s="156"/>
      <c r="J235" s="156"/>
      <c r="K235" s="156"/>
      <c r="L235" s="156"/>
      <c r="M235" s="156"/>
      <c r="N235" s="156"/>
      <c r="O235" s="156"/>
      <c r="P235" s="156"/>
      <c r="Q235" s="156"/>
      <c r="R235" s="156"/>
      <c r="S235" s="156"/>
      <c r="T235" s="156"/>
      <c r="U235" s="156"/>
      <c r="V235" s="156"/>
      <c r="W235" s="156"/>
      <c r="X235" s="69"/>
      <c r="Y235" s="72"/>
      <c r="Z235" s="72"/>
      <c r="AA235" s="72"/>
      <c r="AB235" s="73"/>
      <c r="AC235" s="73"/>
      <c r="AD235" s="73"/>
      <c r="AE235" s="73"/>
      <c r="AF235" s="73"/>
      <c r="AG235" s="73"/>
      <c r="AH235" s="73"/>
      <c r="AI235" s="73"/>
      <c r="AJ235" s="73"/>
      <c r="AK235" s="73"/>
      <c r="AL235" s="73"/>
      <c r="AM235" s="73"/>
      <c r="AN235" s="73"/>
      <c r="AO235" s="73"/>
      <c r="AP235" s="73"/>
      <c r="AQ235" s="73"/>
      <c r="AR235" s="73"/>
      <c r="AS235" s="73"/>
      <c r="AT235" s="73"/>
      <c r="AU235" s="73"/>
      <c r="AV235" s="73"/>
      <c r="AW235" s="73"/>
      <c r="AX235" s="73"/>
      <c r="AY235" s="73"/>
      <c r="AZ235" s="73"/>
      <c r="BA235" s="73"/>
      <c r="BB235" s="73"/>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row>
    <row r="236" spans="1:76" s="75" customFormat="1" ht="15" hidden="1" customHeight="1">
      <c r="A236" s="72"/>
      <c r="B236" s="72"/>
      <c r="C236" s="154"/>
      <c r="D236" s="155"/>
      <c r="E236" s="156"/>
      <c r="F236" s="156"/>
      <c r="G236" s="156"/>
      <c r="H236" s="156"/>
      <c r="I236" s="156"/>
      <c r="J236" s="156"/>
      <c r="K236" s="156"/>
      <c r="L236" s="156"/>
      <c r="M236" s="156"/>
      <c r="N236" s="156"/>
      <c r="O236" s="156"/>
      <c r="P236" s="156"/>
      <c r="Q236" s="156"/>
      <c r="R236" s="156"/>
      <c r="S236" s="156"/>
      <c r="T236" s="156"/>
      <c r="U236" s="156"/>
      <c r="V236" s="156"/>
      <c r="W236" s="156"/>
      <c r="X236" s="69"/>
      <c r="Y236" s="72"/>
      <c r="Z236" s="72"/>
      <c r="AA236" s="72"/>
      <c r="AB236" s="73"/>
      <c r="AC236" s="73"/>
      <c r="AD236" s="73"/>
      <c r="AE236" s="73"/>
      <c r="AF236" s="73"/>
      <c r="AG236" s="73"/>
      <c r="AH236" s="73"/>
      <c r="AI236" s="73"/>
      <c r="AJ236" s="73"/>
      <c r="AK236" s="73"/>
      <c r="AL236" s="73"/>
      <c r="AM236" s="73"/>
      <c r="AN236" s="73"/>
      <c r="AO236" s="73"/>
      <c r="AP236" s="73"/>
      <c r="AQ236" s="73"/>
      <c r="AR236" s="73"/>
      <c r="AS236" s="73"/>
      <c r="AT236" s="73"/>
      <c r="AU236" s="73"/>
      <c r="AV236" s="73"/>
      <c r="AW236" s="73"/>
      <c r="AX236" s="73"/>
      <c r="AY236" s="73"/>
      <c r="AZ236" s="73"/>
      <c r="BA236" s="73"/>
      <c r="BB236" s="73"/>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row>
    <row r="237" spans="1:76" s="75" customFormat="1" ht="15" hidden="1" customHeight="1">
      <c r="A237" s="72"/>
      <c r="B237" s="72"/>
      <c r="C237" s="154"/>
      <c r="D237" s="155"/>
      <c r="E237" s="156"/>
      <c r="F237" s="156"/>
      <c r="G237" s="156"/>
      <c r="H237" s="156"/>
      <c r="I237" s="156"/>
      <c r="J237" s="156"/>
      <c r="K237" s="156"/>
      <c r="L237" s="156"/>
      <c r="M237" s="156"/>
      <c r="N237" s="156"/>
      <c r="O237" s="156"/>
      <c r="P237" s="156"/>
      <c r="Q237" s="156"/>
      <c r="R237" s="156"/>
      <c r="S237" s="156"/>
      <c r="T237" s="156"/>
      <c r="U237" s="156"/>
      <c r="V237" s="156"/>
      <c r="W237" s="156"/>
      <c r="X237" s="69"/>
      <c r="Y237" s="72"/>
      <c r="Z237" s="72"/>
      <c r="AA237" s="72"/>
      <c r="AB237" s="73"/>
      <c r="AC237" s="73"/>
      <c r="AD237" s="73"/>
      <c r="AE237" s="73"/>
      <c r="AF237" s="73"/>
      <c r="AG237" s="73"/>
      <c r="AH237" s="73"/>
      <c r="AI237" s="73"/>
      <c r="AJ237" s="73"/>
      <c r="AK237" s="73"/>
      <c r="AL237" s="73"/>
      <c r="AM237" s="73"/>
      <c r="AN237" s="73"/>
      <c r="AO237" s="73"/>
      <c r="AP237" s="73"/>
      <c r="AQ237" s="73"/>
      <c r="AR237" s="73"/>
      <c r="AS237" s="73"/>
      <c r="AT237" s="73"/>
      <c r="AU237" s="73"/>
      <c r="AV237" s="73"/>
      <c r="AW237" s="73"/>
      <c r="AX237" s="73"/>
      <c r="AY237" s="73"/>
      <c r="AZ237" s="73"/>
      <c r="BA237" s="73"/>
      <c r="BB237" s="73"/>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row>
    <row r="238" spans="1:76" s="75" customFormat="1" ht="15" hidden="1" customHeight="1">
      <c r="A238" s="72"/>
      <c r="B238" s="72"/>
      <c r="C238" s="154"/>
      <c r="D238" s="155"/>
      <c r="E238" s="156"/>
      <c r="F238" s="156"/>
      <c r="G238" s="156"/>
      <c r="H238" s="156"/>
      <c r="I238" s="156"/>
      <c r="J238" s="156"/>
      <c r="K238" s="156"/>
      <c r="L238" s="156"/>
      <c r="M238" s="156"/>
      <c r="N238" s="156"/>
      <c r="O238" s="156"/>
      <c r="P238" s="156"/>
      <c r="Q238" s="156"/>
      <c r="R238" s="156"/>
      <c r="S238" s="156"/>
      <c r="T238" s="156"/>
      <c r="U238" s="156"/>
      <c r="V238" s="156"/>
      <c r="W238" s="156"/>
      <c r="X238" s="69"/>
      <c r="Y238" s="72"/>
      <c r="Z238" s="72"/>
      <c r="AA238" s="72"/>
      <c r="AB238" s="73"/>
      <c r="AC238" s="73"/>
      <c r="AD238" s="73"/>
      <c r="AE238" s="73"/>
      <c r="AF238" s="73"/>
      <c r="AG238" s="73"/>
      <c r="AH238" s="73"/>
      <c r="AI238" s="73"/>
      <c r="AJ238" s="73"/>
      <c r="AK238" s="73"/>
      <c r="AL238" s="73"/>
      <c r="AM238" s="73"/>
      <c r="AN238" s="73"/>
      <c r="AO238" s="73"/>
      <c r="AP238" s="73"/>
      <c r="AQ238" s="73"/>
      <c r="AR238" s="73"/>
      <c r="AS238" s="73"/>
      <c r="AT238" s="73"/>
      <c r="AU238" s="73"/>
      <c r="AV238" s="73"/>
      <c r="AW238" s="73"/>
      <c r="AX238" s="73"/>
      <c r="AY238" s="73"/>
      <c r="AZ238" s="73"/>
      <c r="BA238" s="73"/>
      <c r="BB238" s="73"/>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row>
    <row r="239" spans="1:76" s="75" customFormat="1" ht="15" hidden="1" customHeight="1">
      <c r="A239" s="72"/>
      <c r="B239" s="72"/>
      <c r="C239" s="154"/>
      <c r="D239" s="155"/>
      <c r="E239" s="156"/>
      <c r="F239" s="156"/>
      <c r="G239" s="156"/>
      <c r="H239" s="156"/>
      <c r="I239" s="156"/>
      <c r="J239" s="156"/>
      <c r="K239" s="156"/>
      <c r="L239" s="156"/>
      <c r="M239" s="156"/>
      <c r="N239" s="156"/>
      <c r="O239" s="156"/>
      <c r="P239" s="156"/>
      <c r="Q239" s="156"/>
      <c r="R239" s="156"/>
      <c r="S239" s="156"/>
      <c r="T239" s="156"/>
      <c r="U239" s="156"/>
      <c r="V239" s="156"/>
      <c r="W239" s="156"/>
      <c r="X239" s="69"/>
      <c r="Y239" s="72"/>
      <c r="Z239" s="72"/>
      <c r="AA239" s="72"/>
      <c r="AB239" s="73"/>
      <c r="AC239" s="73"/>
      <c r="AD239" s="73"/>
      <c r="AE239" s="73"/>
      <c r="AF239" s="73"/>
      <c r="AG239" s="73"/>
      <c r="AH239" s="73"/>
      <c r="AI239" s="73"/>
      <c r="AJ239" s="73"/>
      <c r="AK239" s="73"/>
      <c r="AL239" s="73"/>
      <c r="AM239" s="73"/>
      <c r="AN239" s="73"/>
      <c r="AO239" s="73"/>
      <c r="AP239" s="73"/>
      <c r="AQ239" s="73"/>
      <c r="AR239" s="73"/>
      <c r="AS239" s="73"/>
      <c r="AT239" s="73"/>
      <c r="AU239" s="73"/>
      <c r="AV239" s="73"/>
      <c r="AW239" s="73"/>
      <c r="AX239" s="73"/>
      <c r="AY239" s="73"/>
      <c r="AZ239" s="73"/>
      <c r="BA239" s="73"/>
      <c r="BB239" s="73"/>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row>
    <row r="240" spans="1:76" s="75" customFormat="1" ht="15" hidden="1" customHeight="1">
      <c r="A240" s="72"/>
      <c r="B240" s="72"/>
      <c r="C240" s="154"/>
      <c r="D240" s="155"/>
      <c r="E240" s="156"/>
      <c r="F240" s="156"/>
      <c r="G240" s="156"/>
      <c r="H240" s="156"/>
      <c r="I240" s="156"/>
      <c r="J240" s="156"/>
      <c r="K240" s="156"/>
      <c r="L240" s="156"/>
      <c r="M240" s="156"/>
      <c r="N240" s="156"/>
      <c r="O240" s="156"/>
      <c r="P240" s="156"/>
      <c r="Q240" s="156"/>
      <c r="R240" s="156"/>
      <c r="S240" s="156"/>
      <c r="T240" s="156"/>
      <c r="U240" s="156"/>
      <c r="V240" s="156"/>
      <c r="W240" s="156"/>
      <c r="X240" s="69"/>
      <c r="Y240" s="72"/>
      <c r="Z240" s="72"/>
      <c r="AA240" s="72"/>
      <c r="AB240" s="73"/>
      <c r="AC240" s="73"/>
      <c r="AD240" s="73"/>
      <c r="AE240" s="73"/>
      <c r="AF240" s="73"/>
      <c r="AG240" s="73"/>
      <c r="AH240" s="73"/>
      <c r="AI240" s="73"/>
      <c r="AJ240" s="73"/>
      <c r="AK240" s="73"/>
      <c r="AL240" s="73"/>
      <c r="AM240" s="73"/>
      <c r="AN240" s="73"/>
      <c r="AO240" s="73"/>
      <c r="AP240" s="73"/>
      <c r="AQ240" s="73"/>
      <c r="AR240" s="73"/>
      <c r="AS240" s="73"/>
      <c r="AT240" s="73"/>
      <c r="AU240" s="73"/>
      <c r="AV240" s="73"/>
      <c r="AW240" s="73"/>
      <c r="AX240" s="73"/>
      <c r="AY240" s="73"/>
      <c r="AZ240" s="73"/>
      <c r="BA240" s="73"/>
      <c r="BB240" s="73"/>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row>
    <row r="241" spans="1:76" s="75" customFormat="1" ht="15" hidden="1" customHeight="1">
      <c r="A241" s="72"/>
      <c r="B241" s="72"/>
      <c r="C241" s="154"/>
      <c r="D241" s="155"/>
      <c r="E241" s="156"/>
      <c r="F241" s="156"/>
      <c r="G241" s="156"/>
      <c r="H241" s="156"/>
      <c r="I241" s="156"/>
      <c r="J241" s="156"/>
      <c r="K241" s="156"/>
      <c r="L241" s="156"/>
      <c r="M241" s="156"/>
      <c r="N241" s="156"/>
      <c r="O241" s="156"/>
      <c r="P241" s="156"/>
      <c r="Q241" s="156"/>
      <c r="R241" s="156"/>
      <c r="S241" s="156"/>
      <c r="T241" s="156"/>
      <c r="U241" s="156"/>
      <c r="V241" s="156"/>
      <c r="W241" s="156"/>
      <c r="X241" s="69"/>
      <c r="Y241" s="72"/>
      <c r="Z241" s="72"/>
      <c r="AA241" s="72"/>
      <c r="AB241" s="73"/>
      <c r="AC241" s="73"/>
      <c r="AD241" s="73"/>
      <c r="AE241" s="73"/>
      <c r="AF241" s="73"/>
      <c r="AG241" s="73"/>
      <c r="AH241" s="73"/>
      <c r="AI241" s="73"/>
      <c r="AJ241" s="73"/>
      <c r="AK241" s="73"/>
      <c r="AL241" s="73"/>
      <c r="AM241" s="73"/>
      <c r="AN241" s="73"/>
      <c r="AO241" s="73"/>
      <c r="AP241" s="73"/>
      <c r="AQ241" s="73"/>
      <c r="AR241" s="73"/>
      <c r="AS241" s="73"/>
      <c r="AT241" s="73"/>
      <c r="AU241" s="73"/>
      <c r="AV241" s="73"/>
      <c r="AW241" s="73"/>
      <c r="AX241" s="73"/>
      <c r="AY241" s="73"/>
      <c r="AZ241" s="73"/>
      <c r="BA241" s="73"/>
      <c r="BB241" s="73"/>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row>
    <row r="242" spans="1:76" s="75" customFormat="1" ht="15" hidden="1" customHeight="1">
      <c r="A242" s="73"/>
      <c r="B242" s="73"/>
      <c r="C242" s="157"/>
      <c r="D242" s="155"/>
      <c r="E242" s="151"/>
      <c r="F242" s="151"/>
      <c r="G242" s="151"/>
      <c r="H242" s="151"/>
      <c r="I242" s="151"/>
      <c r="J242" s="151"/>
      <c r="K242" s="151"/>
      <c r="L242" s="151"/>
      <c r="M242" s="151"/>
      <c r="N242" s="151"/>
      <c r="O242" s="151"/>
      <c r="P242" s="151"/>
      <c r="Q242" s="151"/>
      <c r="R242" s="151"/>
      <c r="S242" s="151"/>
      <c r="T242" s="151"/>
      <c r="U242" s="151"/>
      <c r="V242" s="151"/>
      <c r="W242" s="151"/>
      <c r="X242" s="63"/>
      <c r="Y242" s="73"/>
      <c r="Z242" s="73"/>
      <c r="AA242" s="73"/>
      <c r="AB242" s="73"/>
      <c r="AC242" s="73"/>
      <c r="AD242" s="73"/>
      <c r="AE242" s="73"/>
      <c r="AF242" s="73"/>
      <c r="AG242" s="73"/>
      <c r="AH242" s="73"/>
      <c r="AI242" s="73"/>
      <c r="AJ242" s="73"/>
      <c r="AK242" s="73"/>
      <c r="AL242" s="73"/>
      <c r="AM242" s="73"/>
      <c r="AN242" s="73"/>
      <c r="AO242" s="73"/>
      <c r="AP242" s="73"/>
      <c r="AQ242" s="73"/>
      <c r="AR242" s="73"/>
      <c r="AS242" s="73"/>
      <c r="AT242" s="73"/>
      <c r="AU242" s="73"/>
      <c r="AV242" s="73"/>
      <c r="AW242" s="73"/>
      <c r="AX242" s="73"/>
      <c r="AY242" s="73"/>
      <c r="AZ242" s="73"/>
      <c r="BA242" s="73"/>
      <c r="BB242" s="73"/>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row>
    <row r="243" spans="1:76" s="75" customFormat="1" ht="15" hidden="1" customHeight="1">
      <c r="A243" s="73"/>
      <c r="B243" s="73"/>
      <c r="C243" s="157"/>
      <c r="D243" s="155"/>
      <c r="E243" s="151"/>
      <c r="F243" s="151"/>
      <c r="G243" s="151"/>
      <c r="H243" s="151"/>
      <c r="I243" s="151"/>
      <c r="J243" s="151"/>
      <c r="K243" s="151"/>
      <c r="L243" s="151"/>
      <c r="M243" s="151"/>
      <c r="N243" s="151"/>
      <c r="O243" s="151"/>
      <c r="P243" s="151"/>
      <c r="Q243" s="151"/>
      <c r="R243" s="151"/>
      <c r="S243" s="151"/>
      <c r="T243" s="151"/>
      <c r="U243" s="151"/>
      <c r="V243" s="151"/>
      <c r="W243" s="151"/>
      <c r="X243" s="63"/>
      <c r="Y243" s="73"/>
      <c r="Z243" s="73"/>
      <c r="AA243" s="73"/>
      <c r="AB243" s="73"/>
      <c r="AC243" s="73"/>
      <c r="AD243" s="73"/>
      <c r="AE243" s="73"/>
      <c r="AF243" s="73"/>
      <c r="AG243" s="73"/>
      <c r="AH243" s="73"/>
      <c r="AI243" s="73"/>
      <c r="AJ243" s="73"/>
      <c r="AK243" s="73"/>
      <c r="AL243" s="73"/>
      <c r="AM243" s="73"/>
      <c r="AN243" s="73"/>
      <c r="AO243" s="73"/>
      <c r="AP243" s="73"/>
      <c r="AQ243" s="73"/>
      <c r="AR243" s="73"/>
      <c r="AS243" s="73"/>
      <c r="AT243" s="73"/>
      <c r="AU243" s="73"/>
      <c r="AV243" s="73"/>
      <c r="AW243" s="73"/>
      <c r="AX243" s="73"/>
      <c r="AY243" s="73"/>
      <c r="AZ243" s="73"/>
      <c r="BA243" s="73"/>
      <c r="BB243" s="73"/>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row>
    <row r="244" spans="1:76" s="75" customFormat="1" ht="15" hidden="1" customHeight="1">
      <c r="A244" s="73"/>
      <c r="B244" s="73"/>
      <c r="C244" s="157"/>
      <c r="D244" s="155"/>
      <c r="E244" s="151"/>
      <c r="F244" s="151"/>
      <c r="G244" s="151"/>
      <c r="H244" s="151"/>
      <c r="I244" s="151"/>
      <c r="J244" s="151"/>
      <c r="K244" s="151"/>
      <c r="L244" s="151"/>
      <c r="M244" s="151"/>
      <c r="N244" s="151"/>
      <c r="O244" s="151"/>
      <c r="P244" s="151"/>
      <c r="Q244" s="151"/>
      <c r="R244" s="151"/>
      <c r="S244" s="151"/>
      <c r="T244" s="151"/>
      <c r="U244" s="151"/>
      <c r="V244" s="151"/>
      <c r="W244" s="151"/>
      <c r="X244" s="63"/>
      <c r="Y244" s="73"/>
      <c r="Z244" s="73"/>
      <c r="AA244" s="73"/>
      <c r="AB244" s="73"/>
      <c r="AC244" s="73"/>
      <c r="AD244" s="73"/>
      <c r="AE244" s="73"/>
      <c r="AF244" s="73"/>
      <c r="AG244" s="73"/>
      <c r="AH244" s="73"/>
      <c r="AI244" s="73"/>
      <c r="AJ244" s="73"/>
      <c r="AK244" s="73"/>
      <c r="AL244" s="73"/>
      <c r="AM244" s="73"/>
      <c r="AN244" s="73"/>
      <c r="AO244" s="73"/>
      <c r="AP244" s="73"/>
      <c r="AQ244" s="73"/>
      <c r="AR244" s="73"/>
      <c r="AS244" s="73"/>
      <c r="AT244" s="73"/>
      <c r="AU244" s="73"/>
      <c r="AV244" s="73"/>
      <c r="AW244" s="73"/>
      <c r="AX244" s="73"/>
      <c r="AY244" s="73"/>
      <c r="AZ244" s="73"/>
      <c r="BA244" s="73"/>
      <c r="BB244" s="73"/>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row>
    <row r="245" spans="1:76" s="75" customFormat="1" ht="15" hidden="1" customHeight="1">
      <c r="A245" s="73"/>
      <c r="B245" s="73"/>
      <c r="C245" s="157"/>
      <c r="D245" s="155"/>
      <c r="E245" s="151"/>
      <c r="F245" s="151"/>
      <c r="G245" s="151"/>
      <c r="H245" s="151"/>
      <c r="I245" s="151"/>
      <c r="J245" s="151"/>
      <c r="K245" s="151"/>
      <c r="L245" s="151"/>
      <c r="M245" s="151"/>
      <c r="N245" s="151"/>
      <c r="O245" s="151"/>
      <c r="P245" s="151"/>
      <c r="Q245" s="151"/>
      <c r="R245" s="151"/>
      <c r="S245" s="151"/>
      <c r="T245" s="151"/>
      <c r="U245" s="151"/>
      <c r="V245" s="151"/>
      <c r="W245" s="151"/>
      <c r="X245" s="63"/>
      <c r="Y245" s="73"/>
      <c r="Z245" s="73"/>
      <c r="AA245" s="73"/>
      <c r="AB245" s="73"/>
      <c r="AC245" s="73"/>
      <c r="AD245" s="73"/>
      <c r="AE245" s="73"/>
      <c r="AF245" s="73"/>
      <c r="AG245" s="73"/>
      <c r="AH245" s="73"/>
      <c r="AI245" s="73"/>
      <c r="AJ245" s="73"/>
      <c r="AK245" s="73"/>
      <c r="AL245" s="73"/>
      <c r="AM245" s="73"/>
      <c r="AN245" s="73"/>
      <c r="AO245" s="73"/>
      <c r="AP245" s="73"/>
      <c r="AQ245" s="73"/>
      <c r="AR245" s="73"/>
      <c r="AS245" s="73"/>
      <c r="AT245" s="73"/>
      <c r="AU245" s="73"/>
      <c r="AV245" s="73"/>
      <c r="AW245" s="73"/>
      <c r="AX245" s="73"/>
      <c r="AY245" s="73"/>
      <c r="AZ245" s="73"/>
      <c r="BA245" s="73"/>
      <c r="BB245" s="73"/>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row>
    <row r="246" spans="1:76" s="75" customFormat="1" ht="15" hidden="1" customHeight="1">
      <c r="A246" s="73"/>
      <c r="B246" s="73"/>
      <c r="C246" s="157"/>
      <c r="D246" s="155"/>
      <c r="E246" s="151"/>
      <c r="F246" s="151"/>
      <c r="G246" s="151"/>
      <c r="H246" s="151"/>
      <c r="I246" s="151"/>
      <c r="J246" s="151"/>
      <c r="K246" s="151"/>
      <c r="L246" s="151"/>
      <c r="M246" s="151"/>
      <c r="N246" s="151"/>
      <c r="O246" s="151"/>
      <c r="P246" s="151"/>
      <c r="Q246" s="151"/>
      <c r="R246" s="151"/>
      <c r="S246" s="151"/>
      <c r="T246" s="151"/>
      <c r="U246" s="151"/>
      <c r="V246" s="151"/>
      <c r="W246" s="151"/>
      <c r="X246" s="63"/>
      <c r="Y246" s="73"/>
      <c r="Z246" s="73"/>
      <c r="AA246" s="73"/>
      <c r="AB246" s="73"/>
      <c r="AC246" s="73"/>
      <c r="AD246" s="73"/>
      <c r="AE246" s="73"/>
      <c r="AF246" s="73"/>
      <c r="AG246" s="73"/>
      <c r="AH246" s="73"/>
      <c r="AI246" s="73"/>
      <c r="AJ246" s="73"/>
      <c r="AK246" s="73"/>
      <c r="AL246" s="73"/>
      <c r="AM246" s="73"/>
      <c r="AN246" s="73"/>
      <c r="AO246" s="73"/>
      <c r="AP246" s="73"/>
      <c r="AQ246" s="73"/>
      <c r="AR246" s="73"/>
      <c r="AS246" s="73"/>
      <c r="AT246" s="73"/>
      <c r="AU246" s="73"/>
      <c r="AV246" s="73"/>
      <c r="AW246" s="73"/>
      <c r="AX246" s="73"/>
      <c r="AY246" s="73"/>
      <c r="AZ246" s="73"/>
      <c r="BA246" s="73"/>
      <c r="BB246" s="73"/>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row>
    <row r="247" spans="1:76" s="75" customFormat="1" ht="15" hidden="1" customHeight="1">
      <c r="A247" s="73"/>
      <c r="B247" s="73"/>
      <c r="C247" s="157"/>
      <c r="D247" s="155"/>
      <c r="E247" s="151"/>
      <c r="F247" s="151"/>
      <c r="G247" s="151"/>
      <c r="H247" s="151"/>
      <c r="I247" s="151"/>
      <c r="J247" s="151"/>
      <c r="K247" s="151"/>
      <c r="L247" s="151"/>
      <c r="M247" s="151"/>
      <c r="N247" s="151"/>
      <c r="O247" s="151"/>
      <c r="P247" s="151"/>
      <c r="Q247" s="151"/>
      <c r="R247" s="151"/>
      <c r="S247" s="151"/>
      <c r="T247" s="151"/>
      <c r="U247" s="151"/>
      <c r="V247" s="151"/>
      <c r="W247" s="151"/>
      <c r="X247" s="63"/>
      <c r="Y247" s="73"/>
      <c r="Z247" s="73"/>
      <c r="AA247" s="73"/>
      <c r="AB247" s="73"/>
      <c r="AC247" s="73"/>
      <c r="AD247" s="73"/>
      <c r="AE247" s="73"/>
      <c r="AF247" s="73"/>
      <c r="AG247" s="73"/>
      <c r="AH247" s="73"/>
      <c r="AI247" s="73"/>
      <c r="AJ247" s="73"/>
      <c r="AK247" s="73"/>
      <c r="AL247" s="73"/>
      <c r="AM247" s="73"/>
      <c r="AN247" s="73"/>
      <c r="AO247" s="73"/>
      <c r="AP247" s="73"/>
      <c r="AQ247" s="73"/>
      <c r="AR247" s="73"/>
      <c r="AS247" s="73"/>
      <c r="AT247" s="73"/>
      <c r="AU247" s="73"/>
      <c r="AV247" s="73"/>
      <c r="AW247" s="73"/>
      <c r="AX247" s="73"/>
      <c r="AY247" s="73"/>
      <c r="AZ247" s="73"/>
      <c r="BA247" s="73"/>
      <c r="BB247" s="73"/>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row>
    <row r="248" spans="1:76" s="75" customFormat="1" ht="15" hidden="1" customHeight="1">
      <c r="A248" s="73"/>
      <c r="B248" s="73"/>
      <c r="C248" s="157"/>
      <c r="D248" s="155"/>
      <c r="E248" s="151"/>
      <c r="F248" s="151"/>
      <c r="G248" s="151"/>
      <c r="H248" s="151"/>
      <c r="I248" s="151"/>
      <c r="J248" s="151"/>
      <c r="K248" s="151"/>
      <c r="L248" s="151"/>
      <c r="M248" s="151"/>
      <c r="N248" s="151"/>
      <c r="O248" s="151"/>
      <c r="P248" s="151"/>
      <c r="Q248" s="151"/>
      <c r="R248" s="151"/>
      <c r="S248" s="151"/>
      <c r="T248" s="151"/>
      <c r="U248" s="151"/>
      <c r="V248" s="151"/>
      <c r="W248" s="151"/>
      <c r="X248" s="63"/>
      <c r="Y248" s="73"/>
      <c r="Z248" s="73"/>
      <c r="AA248" s="73"/>
      <c r="AB248" s="73"/>
      <c r="AC248" s="73"/>
      <c r="AD248" s="73"/>
      <c r="AE248" s="73"/>
      <c r="AF248" s="73"/>
      <c r="AG248" s="73"/>
      <c r="AH248" s="73"/>
      <c r="AI248" s="73"/>
      <c r="AJ248" s="73"/>
      <c r="AK248" s="73"/>
      <c r="AL248" s="73"/>
      <c r="AM248" s="73"/>
      <c r="AN248" s="73"/>
      <c r="AO248" s="73"/>
      <c r="AP248" s="73"/>
      <c r="AQ248" s="73"/>
      <c r="AR248" s="73"/>
      <c r="AS248" s="73"/>
      <c r="AT248" s="73"/>
      <c r="AU248" s="73"/>
      <c r="AV248" s="73"/>
      <c r="AW248" s="73"/>
      <c r="AX248" s="73"/>
      <c r="AY248" s="73"/>
      <c r="AZ248" s="73"/>
      <c r="BA248" s="73"/>
      <c r="BB248" s="73"/>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row>
    <row r="249" spans="1:76" s="75" customFormat="1" ht="15" hidden="1" customHeight="1">
      <c r="A249" s="73"/>
      <c r="B249" s="73"/>
      <c r="C249" s="157"/>
      <c r="D249" s="155"/>
      <c r="E249" s="151"/>
      <c r="F249" s="151"/>
      <c r="G249" s="151"/>
      <c r="H249" s="151"/>
      <c r="I249" s="151"/>
      <c r="J249" s="151"/>
      <c r="K249" s="151"/>
      <c r="L249" s="151"/>
      <c r="M249" s="151"/>
      <c r="N249" s="151"/>
      <c r="O249" s="151"/>
      <c r="P249" s="151"/>
      <c r="Q249" s="151"/>
      <c r="R249" s="151"/>
      <c r="S249" s="151"/>
      <c r="T249" s="151"/>
      <c r="U249" s="151"/>
      <c r="V249" s="151"/>
      <c r="W249" s="151"/>
      <c r="X249" s="63"/>
      <c r="Y249" s="73"/>
      <c r="Z249" s="73"/>
      <c r="AA249" s="73"/>
      <c r="AB249" s="73"/>
      <c r="AC249" s="73"/>
      <c r="AD249" s="73"/>
      <c r="AE249" s="73"/>
      <c r="AF249" s="73"/>
      <c r="AG249" s="73"/>
      <c r="AH249" s="73"/>
      <c r="AI249" s="73"/>
      <c r="AJ249" s="73"/>
      <c r="AK249" s="73"/>
      <c r="AL249" s="73"/>
      <c r="AM249" s="73"/>
      <c r="AN249" s="73"/>
      <c r="AO249" s="73"/>
      <c r="AP249" s="73"/>
      <c r="AQ249" s="73"/>
      <c r="AR249" s="73"/>
      <c r="AS249" s="73"/>
      <c r="AT249" s="73"/>
      <c r="AU249" s="73"/>
      <c r="AV249" s="73"/>
      <c r="AW249" s="73"/>
      <c r="AX249" s="73"/>
      <c r="AY249" s="73"/>
      <c r="AZ249" s="73"/>
      <c r="BA249" s="73"/>
      <c r="BB249" s="73"/>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row>
    <row r="250" spans="1:76" s="75" customFormat="1" ht="15" hidden="1" customHeight="1">
      <c r="A250" s="73"/>
      <c r="B250" s="73"/>
      <c r="C250" s="157"/>
      <c r="D250" s="155"/>
      <c r="E250" s="151"/>
      <c r="F250" s="151"/>
      <c r="G250" s="151"/>
      <c r="H250" s="151"/>
      <c r="I250" s="151"/>
      <c r="J250" s="151"/>
      <c r="K250" s="151"/>
      <c r="L250" s="151"/>
      <c r="M250" s="151"/>
      <c r="N250" s="151"/>
      <c r="O250" s="151"/>
      <c r="P250" s="151"/>
      <c r="Q250" s="151"/>
      <c r="R250" s="151"/>
      <c r="S250" s="151"/>
      <c r="T250" s="151"/>
      <c r="U250" s="151"/>
      <c r="V250" s="151"/>
      <c r="W250" s="151"/>
      <c r="X250" s="63"/>
      <c r="Y250" s="73"/>
      <c r="Z250" s="73"/>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73"/>
      <c r="BB250" s="73"/>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row>
    <row r="251" spans="1:76" s="75" customFormat="1" ht="15" hidden="1" customHeight="1">
      <c r="A251" s="73"/>
      <c r="B251" s="73"/>
      <c r="C251" s="157"/>
      <c r="D251" s="155"/>
      <c r="E251" s="151"/>
      <c r="F251" s="151"/>
      <c r="G251" s="151"/>
      <c r="H251" s="151"/>
      <c r="I251" s="151"/>
      <c r="J251" s="151"/>
      <c r="K251" s="151"/>
      <c r="L251" s="151"/>
      <c r="M251" s="151"/>
      <c r="N251" s="151"/>
      <c r="O251" s="151"/>
      <c r="P251" s="151"/>
      <c r="Q251" s="151"/>
      <c r="R251" s="151"/>
      <c r="S251" s="151"/>
      <c r="T251" s="151"/>
      <c r="U251" s="151"/>
      <c r="V251" s="151"/>
      <c r="W251" s="151"/>
      <c r="X251" s="63"/>
      <c r="Y251" s="73"/>
      <c r="Z251" s="73"/>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73"/>
      <c r="BB251" s="73"/>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row>
    <row r="252" spans="1:76" s="75" customFormat="1" ht="15" hidden="1" customHeight="1">
      <c r="A252" s="73"/>
      <c r="B252" s="73"/>
      <c r="C252" s="157"/>
      <c r="D252" s="155"/>
      <c r="E252" s="151"/>
      <c r="F252" s="151"/>
      <c r="G252" s="151"/>
      <c r="H252" s="151"/>
      <c r="I252" s="151"/>
      <c r="J252" s="151"/>
      <c r="K252" s="151"/>
      <c r="L252" s="151"/>
      <c r="M252" s="151"/>
      <c r="N252" s="151"/>
      <c r="O252" s="151"/>
      <c r="P252" s="151"/>
      <c r="Q252" s="151"/>
      <c r="R252" s="151"/>
      <c r="S252" s="151"/>
      <c r="T252" s="151"/>
      <c r="U252" s="151"/>
      <c r="V252" s="151"/>
      <c r="W252" s="151"/>
      <c r="X252" s="63"/>
      <c r="Y252" s="73"/>
      <c r="Z252" s="73"/>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73"/>
      <c r="BB252" s="73"/>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row>
    <row r="253" spans="1:76" s="75" customFormat="1" ht="15" hidden="1" customHeight="1">
      <c r="A253" s="73"/>
      <c r="B253" s="73"/>
      <c r="C253" s="157"/>
      <c r="D253" s="155"/>
      <c r="E253" s="151"/>
      <c r="F253" s="151"/>
      <c r="G253" s="151"/>
      <c r="H253" s="151"/>
      <c r="I253" s="151"/>
      <c r="J253" s="151"/>
      <c r="K253" s="151"/>
      <c r="L253" s="151"/>
      <c r="M253" s="151"/>
      <c r="N253" s="151"/>
      <c r="O253" s="151"/>
      <c r="P253" s="151"/>
      <c r="Q253" s="151"/>
      <c r="R253" s="151"/>
      <c r="S253" s="151"/>
      <c r="T253" s="151"/>
      <c r="U253" s="151"/>
      <c r="V253" s="151"/>
      <c r="W253" s="151"/>
      <c r="X253" s="63"/>
      <c r="Y253" s="73"/>
      <c r="Z253" s="73"/>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73"/>
      <c r="BB253" s="73"/>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row>
    <row r="254" spans="1:76" s="75" customFormat="1" ht="15" hidden="1" customHeight="1">
      <c r="A254" s="73"/>
      <c r="B254" s="73"/>
      <c r="C254" s="73"/>
      <c r="D254" s="76"/>
      <c r="E254" s="63"/>
      <c r="F254" s="63"/>
      <c r="G254" s="63"/>
      <c r="H254" s="63"/>
      <c r="I254" s="63"/>
      <c r="J254" s="63"/>
      <c r="K254" s="63"/>
      <c r="L254" s="63"/>
      <c r="M254" s="63"/>
      <c r="N254" s="63"/>
      <c r="O254" s="63"/>
      <c r="P254" s="63"/>
      <c r="Q254" s="63"/>
      <c r="R254" s="63"/>
      <c r="S254" s="63"/>
      <c r="T254" s="63"/>
      <c r="U254" s="63"/>
      <c r="V254" s="63"/>
      <c r="W254" s="63"/>
      <c r="X254" s="63"/>
      <c r="Y254" s="73"/>
      <c r="Z254" s="73"/>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73"/>
      <c r="BB254" s="73"/>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row>
    <row r="255" spans="1:76" s="75" customFormat="1" ht="15" hidden="1" customHeight="1">
      <c r="A255" s="73"/>
      <c r="B255" s="73"/>
      <c r="C255" s="73"/>
      <c r="D255" s="76"/>
      <c r="E255" s="63"/>
      <c r="F255" s="63"/>
      <c r="G255" s="63"/>
      <c r="H255" s="63"/>
      <c r="I255" s="63"/>
      <c r="J255" s="63"/>
      <c r="K255" s="63"/>
      <c r="L255" s="63"/>
      <c r="M255" s="63"/>
      <c r="N255" s="63"/>
      <c r="O255" s="63"/>
      <c r="P255" s="63"/>
      <c r="Q255" s="63"/>
      <c r="R255" s="63"/>
      <c r="S255" s="63"/>
      <c r="T255" s="63"/>
      <c r="U255" s="63"/>
      <c r="V255" s="63"/>
      <c r="W255" s="63"/>
      <c r="X255" s="63"/>
      <c r="Y255" s="73"/>
      <c r="Z255" s="73"/>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73"/>
      <c r="BB255" s="73"/>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row>
    <row r="256" spans="1:76" s="75" customFormat="1" ht="15" hidden="1" customHeight="1">
      <c r="A256" s="73"/>
      <c r="B256" s="73"/>
      <c r="C256" s="73"/>
      <c r="D256" s="76"/>
      <c r="E256" s="63"/>
      <c r="F256" s="63"/>
      <c r="G256" s="63"/>
      <c r="H256" s="63"/>
      <c r="I256" s="63"/>
      <c r="J256" s="63"/>
      <c r="K256" s="63"/>
      <c r="L256" s="63"/>
      <c r="M256" s="63"/>
      <c r="N256" s="63"/>
      <c r="O256" s="63"/>
      <c r="P256" s="63"/>
      <c r="Q256" s="63"/>
      <c r="R256" s="63"/>
      <c r="S256" s="63"/>
      <c r="T256" s="63"/>
      <c r="U256" s="63"/>
      <c r="V256" s="63"/>
      <c r="W256" s="63"/>
      <c r="X256" s="63"/>
      <c r="Y256" s="73"/>
      <c r="Z256" s="73"/>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73"/>
      <c r="BB256" s="73"/>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row>
    <row r="257" spans="1:76" s="75" customFormat="1" ht="15" hidden="1" customHeight="1">
      <c r="A257" s="73"/>
      <c r="B257" s="73"/>
      <c r="C257" s="73"/>
      <c r="D257" s="76"/>
      <c r="E257" s="63"/>
      <c r="F257" s="63"/>
      <c r="G257" s="63"/>
      <c r="H257" s="63"/>
      <c r="I257" s="63"/>
      <c r="J257" s="63"/>
      <c r="K257" s="63"/>
      <c r="L257" s="63"/>
      <c r="M257" s="63"/>
      <c r="N257" s="63"/>
      <c r="O257" s="63"/>
      <c r="P257" s="63"/>
      <c r="Q257" s="63"/>
      <c r="R257" s="63"/>
      <c r="S257" s="63"/>
      <c r="T257" s="63"/>
      <c r="U257" s="63"/>
      <c r="V257" s="63"/>
      <c r="W257" s="63"/>
      <c r="X257" s="63"/>
      <c r="Y257" s="73"/>
      <c r="Z257" s="73"/>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73"/>
      <c r="BB257" s="73"/>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row>
    <row r="258" spans="1:76" s="75" customFormat="1" ht="15" hidden="1" customHeight="1">
      <c r="A258" s="73"/>
      <c r="B258" s="73"/>
      <c r="C258" s="73"/>
      <c r="D258" s="76"/>
      <c r="E258" s="63"/>
      <c r="F258" s="63"/>
      <c r="G258" s="63"/>
      <c r="H258" s="63"/>
      <c r="I258" s="63"/>
      <c r="J258" s="63"/>
      <c r="K258" s="63"/>
      <c r="L258" s="63"/>
      <c r="M258" s="63"/>
      <c r="N258" s="63"/>
      <c r="O258" s="63"/>
      <c r="P258" s="63"/>
      <c r="Q258" s="63"/>
      <c r="R258" s="63"/>
      <c r="S258" s="63"/>
      <c r="T258" s="63"/>
      <c r="U258" s="63"/>
      <c r="V258" s="63"/>
      <c r="W258" s="63"/>
      <c r="X258" s="63"/>
      <c r="Y258" s="73"/>
      <c r="Z258" s="73"/>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73"/>
      <c r="BB258" s="73"/>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row>
    <row r="259" spans="1:76" s="75" customFormat="1" ht="15" hidden="1" customHeight="1">
      <c r="A259" s="73"/>
      <c r="B259" s="73"/>
      <c r="C259" s="73"/>
      <c r="D259" s="76"/>
      <c r="E259" s="63"/>
      <c r="F259" s="63"/>
      <c r="G259" s="63"/>
      <c r="H259" s="63"/>
      <c r="I259" s="63"/>
      <c r="J259" s="63"/>
      <c r="K259" s="63"/>
      <c r="L259" s="63"/>
      <c r="M259" s="63"/>
      <c r="N259" s="63"/>
      <c r="O259" s="63"/>
      <c r="P259" s="63"/>
      <c r="Q259" s="63"/>
      <c r="R259" s="63"/>
      <c r="S259" s="63"/>
      <c r="T259" s="63"/>
      <c r="U259" s="63"/>
      <c r="V259" s="63"/>
      <c r="W259" s="63"/>
      <c r="X259" s="63"/>
      <c r="Y259" s="73"/>
      <c r="Z259" s="73"/>
      <c r="AA259" s="73"/>
      <c r="AB259" s="73"/>
      <c r="AC259" s="73"/>
      <c r="AD259" s="73"/>
      <c r="AE259" s="73"/>
      <c r="AF259" s="73"/>
      <c r="AG259" s="73"/>
      <c r="AH259" s="73"/>
      <c r="AI259" s="73"/>
      <c r="AJ259" s="73"/>
      <c r="AK259" s="73"/>
      <c r="AL259" s="73"/>
      <c r="AM259" s="73"/>
      <c r="AN259" s="73"/>
      <c r="AO259" s="73"/>
      <c r="AP259" s="73"/>
      <c r="AQ259" s="73"/>
      <c r="AR259" s="73"/>
      <c r="AS259" s="73"/>
      <c r="AT259" s="73"/>
      <c r="AU259" s="73"/>
      <c r="AV259" s="73"/>
      <c r="AW259" s="73"/>
      <c r="AX259" s="73"/>
      <c r="AY259" s="73"/>
      <c r="AZ259" s="73"/>
      <c r="BA259" s="73"/>
      <c r="BB259" s="73"/>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row>
    <row r="260" spans="1:76" s="75" customFormat="1" ht="15" hidden="1" customHeight="1">
      <c r="A260" s="73"/>
      <c r="B260" s="73"/>
      <c r="C260" s="73"/>
      <c r="D260" s="76"/>
      <c r="E260" s="63"/>
      <c r="F260" s="63"/>
      <c r="G260" s="63"/>
      <c r="H260" s="63"/>
      <c r="I260" s="63"/>
      <c r="J260" s="63"/>
      <c r="K260" s="63"/>
      <c r="L260" s="63"/>
      <c r="M260" s="63"/>
      <c r="N260" s="63"/>
      <c r="O260" s="63"/>
      <c r="P260" s="63"/>
      <c r="Q260" s="63"/>
      <c r="R260" s="63"/>
      <c r="S260" s="63"/>
      <c r="T260" s="63"/>
      <c r="U260" s="63"/>
      <c r="V260" s="63"/>
      <c r="W260" s="63"/>
      <c r="X260" s="63"/>
      <c r="Y260" s="73"/>
      <c r="Z260" s="73"/>
      <c r="AA260" s="73"/>
      <c r="AB260" s="73"/>
      <c r="AC260" s="73"/>
      <c r="AD260" s="73"/>
      <c r="AE260" s="73"/>
      <c r="AF260" s="73"/>
      <c r="AG260" s="73"/>
      <c r="AH260" s="73"/>
      <c r="AI260" s="73"/>
      <c r="AJ260" s="73"/>
      <c r="AK260" s="73"/>
      <c r="AL260" s="73"/>
      <c r="AM260" s="73"/>
      <c r="AN260" s="73"/>
      <c r="AO260" s="73"/>
      <c r="AP260" s="73"/>
      <c r="AQ260" s="73"/>
      <c r="AR260" s="73"/>
      <c r="AS260" s="73"/>
      <c r="AT260" s="73"/>
      <c r="AU260" s="73"/>
      <c r="AV260" s="73"/>
      <c r="AW260" s="73"/>
      <c r="AX260" s="73"/>
      <c r="AY260" s="73"/>
      <c r="AZ260" s="73"/>
      <c r="BA260" s="73"/>
      <c r="BB260" s="73"/>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row>
    <row r="261" spans="1:76" s="75" customFormat="1" ht="15" hidden="1" customHeight="1">
      <c r="A261" s="73"/>
      <c r="B261" s="73"/>
      <c r="C261" s="73"/>
      <c r="D261" s="76"/>
      <c r="E261" s="63"/>
      <c r="F261" s="63"/>
      <c r="G261" s="63"/>
      <c r="H261" s="63"/>
      <c r="I261" s="63"/>
      <c r="J261" s="63"/>
      <c r="K261" s="63"/>
      <c r="L261" s="63"/>
      <c r="M261" s="63"/>
      <c r="N261" s="63"/>
      <c r="O261" s="63"/>
      <c r="P261" s="63"/>
      <c r="Q261" s="63"/>
      <c r="R261" s="63"/>
      <c r="S261" s="63"/>
      <c r="T261" s="63"/>
      <c r="U261" s="63"/>
      <c r="V261" s="63"/>
      <c r="W261" s="63"/>
      <c r="X261" s="63"/>
      <c r="Y261" s="73"/>
      <c r="Z261" s="73"/>
      <c r="AA261" s="73"/>
      <c r="AB261" s="73"/>
      <c r="AC261" s="73"/>
      <c r="AD261" s="73"/>
      <c r="AE261" s="73"/>
      <c r="AF261" s="73"/>
      <c r="AG261" s="73"/>
      <c r="AH261" s="73"/>
      <c r="AI261" s="73"/>
      <c r="AJ261" s="73"/>
      <c r="AK261" s="73"/>
      <c r="AL261" s="73"/>
      <c r="AM261" s="73"/>
      <c r="AN261" s="73"/>
      <c r="AO261" s="73"/>
      <c r="AP261" s="73"/>
      <c r="AQ261" s="73"/>
      <c r="AR261" s="73"/>
      <c r="AS261" s="73"/>
      <c r="AT261" s="73"/>
      <c r="AU261" s="73"/>
      <c r="AV261" s="73"/>
      <c r="AW261" s="73"/>
      <c r="AX261" s="73"/>
      <c r="AY261" s="73"/>
      <c r="AZ261" s="73"/>
      <c r="BA261" s="73"/>
      <c r="BB261" s="73"/>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row>
    <row r="262" spans="1:76" s="75" customFormat="1" ht="15" hidden="1" customHeight="1">
      <c r="A262" s="73"/>
      <c r="B262" s="73"/>
      <c r="C262" s="73"/>
      <c r="D262" s="76"/>
      <c r="E262" s="63"/>
      <c r="F262" s="63"/>
      <c r="G262" s="63"/>
      <c r="H262" s="63"/>
      <c r="I262" s="63"/>
      <c r="J262" s="63"/>
      <c r="K262" s="63"/>
      <c r="L262" s="63"/>
      <c r="M262" s="63"/>
      <c r="N262" s="63"/>
      <c r="O262" s="63"/>
      <c r="P262" s="63"/>
      <c r="Q262" s="63"/>
      <c r="R262" s="63"/>
      <c r="S262" s="63"/>
      <c r="T262" s="63"/>
      <c r="U262" s="63"/>
      <c r="V262" s="63"/>
      <c r="W262" s="63"/>
      <c r="X262" s="63"/>
      <c r="Y262" s="73"/>
      <c r="Z262" s="73"/>
      <c r="AA262" s="73"/>
      <c r="AB262" s="73"/>
      <c r="AC262" s="73"/>
      <c r="AD262" s="73"/>
      <c r="AE262" s="73"/>
      <c r="AF262" s="73"/>
      <c r="AG262" s="73"/>
      <c r="AH262" s="73"/>
      <c r="AI262" s="73"/>
      <c r="AJ262" s="73"/>
      <c r="AK262" s="73"/>
      <c r="AL262" s="73"/>
      <c r="AM262" s="73"/>
      <c r="AN262" s="73"/>
      <c r="AO262" s="73"/>
      <c r="AP262" s="73"/>
      <c r="AQ262" s="73"/>
      <c r="AR262" s="73"/>
      <c r="AS262" s="73"/>
      <c r="AT262" s="73"/>
      <c r="AU262" s="73"/>
      <c r="AV262" s="73"/>
      <c r="AW262" s="73"/>
      <c r="AX262" s="73"/>
      <c r="AY262" s="73"/>
      <c r="AZ262" s="73"/>
      <c r="BA262" s="73"/>
      <c r="BB262" s="73"/>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row>
    <row r="263" spans="1:76" s="75" customFormat="1" ht="15" hidden="1" customHeight="1">
      <c r="A263" s="73"/>
      <c r="B263" s="73"/>
      <c r="C263" s="73"/>
      <c r="D263" s="76"/>
      <c r="E263" s="63"/>
      <c r="F263" s="63"/>
      <c r="G263" s="63"/>
      <c r="H263" s="63"/>
      <c r="I263" s="63"/>
      <c r="J263" s="63"/>
      <c r="K263" s="63"/>
      <c r="L263" s="63"/>
      <c r="M263" s="63"/>
      <c r="N263" s="63"/>
      <c r="O263" s="63"/>
      <c r="P263" s="63"/>
      <c r="Q263" s="63"/>
      <c r="R263" s="63"/>
      <c r="S263" s="63"/>
      <c r="T263" s="63"/>
      <c r="U263" s="63"/>
      <c r="V263" s="63"/>
      <c r="W263" s="63"/>
      <c r="X263" s="63"/>
      <c r="Y263" s="73"/>
      <c r="Z263" s="73"/>
      <c r="AA263" s="73"/>
      <c r="AB263" s="73"/>
      <c r="AC263" s="73"/>
      <c r="AD263" s="73"/>
      <c r="AE263" s="73"/>
      <c r="AF263" s="73"/>
      <c r="AG263" s="73"/>
      <c r="AH263" s="73"/>
      <c r="AI263" s="73"/>
      <c r="AJ263" s="73"/>
      <c r="AK263" s="73"/>
      <c r="AL263" s="73"/>
      <c r="AM263" s="73"/>
      <c r="AN263" s="73"/>
      <c r="AO263" s="73"/>
      <c r="AP263" s="73"/>
      <c r="AQ263" s="73"/>
      <c r="AR263" s="73"/>
      <c r="AS263" s="73"/>
      <c r="AT263" s="73"/>
      <c r="AU263" s="73"/>
      <c r="AV263" s="73"/>
      <c r="AW263" s="73"/>
      <c r="AX263" s="73"/>
      <c r="AY263" s="73"/>
      <c r="AZ263" s="73"/>
      <c r="BA263" s="73"/>
      <c r="BB263" s="73"/>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row>
    <row r="264" spans="1:76" s="75" customFormat="1" ht="15" hidden="1" customHeight="1">
      <c r="A264" s="73"/>
      <c r="B264" s="73"/>
      <c r="C264" s="73"/>
      <c r="D264" s="76"/>
      <c r="E264" s="63"/>
      <c r="F264" s="63"/>
      <c r="G264" s="63"/>
      <c r="H264" s="63"/>
      <c r="I264" s="63"/>
      <c r="J264" s="63"/>
      <c r="K264" s="63"/>
      <c r="L264" s="63"/>
      <c r="M264" s="63"/>
      <c r="N264" s="63"/>
      <c r="O264" s="63"/>
      <c r="P264" s="63"/>
      <c r="Q264" s="63"/>
      <c r="R264" s="63"/>
      <c r="S264" s="63"/>
      <c r="T264" s="63"/>
      <c r="U264" s="63"/>
      <c r="V264" s="63"/>
      <c r="W264" s="63"/>
      <c r="X264" s="63"/>
      <c r="Y264" s="73"/>
      <c r="Z264" s="73"/>
      <c r="AA264" s="73"/>
      <c r="AB264" s="73"/>
      <c r="AC264" s="73"/>
      <c r="AD264" s="73"/>
      <c r="AE264" s="73"/>
      <c r="AF264" s="73"/>
      <c r="AG264" s="73"/>
      <c r="AH264" s="73"/>
      <c r="AI264" s="73"/>
      <c r="AJ264" s="73"/>
      <c r="AK264" s="73"/>
      <c r="AL264" s="73"/>
      <c r="AM264" s="73"/>
      <c r="AN264" s="73"/>
      <c r="AO264" s="73"/>
      <c r="AP264" s="73"/>
      <c r="AQ264" s="73"/>
      <c r="AR264" s="73"/>
      <c r="AS264" s="73"/>
      <c r="AT264" s="73"/>
      <c r="AU264" s="73"/>
      <c r="AV264" s="73"/>
      <c r="AW264" s="73"/>
      <c r="AX264" s="73"/>
      <c r="AY264" s="73"/>
      <c r="AZ264" s="73"/>
      <c r="BA264" s="73"/>
      <c r="BB264" s="73"/>
      <c r="BC264" s="74"/>
      <c r="BD264" s="74"/>
      <c r="BE264" s="74"/>
      <c r="BF264" s="74"/>
      <c r="BG264" s="74"/>
      <c r="BH264" s="74"/>
      <c r="BI264" s="74"/>
      <c r="BJ264" s="74"/>
      <c r="BK264" s="74"/>
      <c r="BL264" s="74"/>
      <c r="BM264" s="74"/>
      <c r="BN264" s="74"/>
      <c r="BO264" s="74"/>
      <c r="BP264" s="74"/>
      <c r="BQ264" s="74"/>
      <c r="BR264" s="74"/>
      <c r="BS264" s="74"/>
      <c r="BT264" s="74"/>
      <c r="BU264" s="74"/>
      <c r="BV264" s="74"/>
      <c r="BW264" s="74"/>
      <c r="BX264" s="74"/>
    </row>
    <row r="265" spans="1:76" s="75" customFormat="1" ht="15" hidden="1" customHeight="1">
      <c r="A265" s="73"/>
      <c r="B265" s="73"/>
      <c r="C265" s="73"/>
      <c r="D265" s="76"/>
      <c r="E265" s="63"/>
      <c r="F265" s="63"/>
      <c r="G265" s="63"/>
      <c r="H265" s="63"/>
      <c r="I265" s="63"/>
      <c r="J265" s="63"/>
      <c r="K265" s="63"/>
      <c r="L265" s="63"/>
      <c r="M265" s="63"/>
      <c r="N265" s="63"/>
      <c r="O265" s="63"/>
      <c r="P265" s="63"/>
      <c r="Q265" s="63"/>
      <c r="R265" s="63"/>
      <c r="S265" s="63"/>
      <c r="T265" s="63"/>
      <c r="U265" s="63"/>
      <c r="V265" s="63"/>
      <c r="W265" s="63"/>
      <c r="X265" s="63"/>
      <c r="Y265" s="73"/>
      <c r="Z265" s="73"/>
      <c r="AA265" s="73"/>
      <c r="AB265" s="73"/>
      <c r="AC265" s="73"/>
      <c r="AD265" s="73"/>
      <c r="AE265" s="73"/>
      <c r="AF265" s="73"/>
      <c r="AG265" s="73"/>
      <c r="AH265" s="73"/>
      <c r="AI265" s="73"/>
      <c r="AJ265" s="73"/>
      <c r="AK265" s="73"/>
      <c r="AL265" s="73"/>
      <c r="AM265" s="73"/>
      <c r="AN265" s="73"/>
      <c r="AO265" s="73"/>
      <c r="AP265" s="73"/>
      <c r="AQ265" s="73"/>
      <c r="AR265" s="73"/>
      <c r="AS265" s="73"/>
      <c r="AT265" s="73"/>
      <c r="AU265" s="73"/>
      <c r="AV265" s="73"/>
      <c r="AW265" s="73"/>
      <c r="AX265" s="73"/>
      <c r="AY265" s="73"/>
      <c r="AZ265" s="73"/>
      <c r="BA265" s="73"/>
      <c r="BB265" s="73"/>
      <c r="BC265" s="74"/>
      <c r="BD265" s="74"/>
      <c r="BE265" s="74"/>
      <c r="BF265" s="74"/>
      <c r="BG265" s="74"/>
      <c r="BH265" s="74"/>
      <c r="BI265" s="74"/>
      <c r="BJ265" s="74"/>
      <c r="BK265" s="74"/>
      <c r="BL265" s="74"/>
      <c r="BM265" s="74"/>
      <c r="BN265" s="74"/>
      <c r="BO265" s="74"/>
      <c r="BP265" s="74"/>
      <c r="BQ265" s="74"/>
      <c r="BR265" s="74"/>
      <c r="BS265" s="74"/>
      <c r="BT265" s="74"/>
      <c r="BU265" s="74"/>
      <c r="BV265" s="74"/>
      <c r="BW265" s="74"/>
      <c r="BX265" s="74"/>
    </row>
    <row r="266" spans="1:76" s="75" customFormat="1" ht="15" hidden="1" customHeight="1">
      <c r="A266" s="73"/>
      <c r="B266" s="73"/>
      <c r="C266" s="73"/>
      <c r="D266" s="76"/>
      <c r="E266" s="63"/>
      <c r="F266" s="63"/>
      <c r="G266" s="63"/>
      <c r="H266" s="63"/>
      <c r="I266" s="63"/>
      <c r="J266" s="63"/>
      <c r="K266" s="63"/>
      <c r="L266" s="63"/>
      <c r="M266" s="63"/>
      <c r="N266" s="63"/>
      <c r="O266" s="63"/>
      <c r="P266" s="63"/>
      <c r="Q266" s="63"/>
      <c r="R266" s="63"/>
      <c r="S266" s="63"/>
      <c r="T266" s="63"/>
      <c r="U266" s="63"/>
      <c r="V266" s="63"/>
      <c r="W266" s="63"/>
      <c r="X266" s="63"/>
      <c r="Y266" s="73"/>
      <c r="Z266" s="73"/>
      <c r="AA266" s="73"/>
      <c r="AB266" s="73"/>
      <c r="AC266" s="73"/>
      <c r="AD266" s="73"/>
      <c r="AE266" s="73"/>
      <c r="AF266" s="73"/>
      <c r="AG266" s="73"/>
      <c r="AH266" s="73"/>
      <c r="AI266" s="73"/>
      <c r="AJ266" s="73"/>
      <c r="AK266" s="73"/>
      <c r="AL266" s="73"/>
      <c r="AM266" s="73"/>
      <c r="AN266" s="73"/>
      <c r="AO266" s="73"/>
      <c r="AP266" s="73"/>
      <c r="AQ266" s="73"/>
      <c r="AR266" s="73"/>
      <c r="AS266" s="73"/>
      <c r="AT266" s="73"/>
      <c r="AU266" s="73"/>
      <c r="AV266" s="73"/>
      <c r="AW266" s="73"/>
      <c r="AX266" s="73"/>
      <c r="AY266" s="73"/>
      <c r="AZ266" s="73"/>
      <c r="BA266" s="73"/>
      <c r="BB266" s="73"/>
      <c r="BC266" s="74"/>
      <c r="BD266" s="74"/>
      <c r="BE266" s="74"/>
      <c r="BF266" s="74"/>
      <c r="BG266" s="74"/>
      <c r="BH266" s="74"/>
      <c r="BI266" s="74"/>
      <c r="BJ266" s="74"/>
      <c r="BK266" s="74"/>
      <c r="BL266" s="74"/>
      <c r="BM266" s="74"/>
      <c r="BN266" s="74"/>
      <c r="BO266" s="74"/>
      <c r="BP266" s="74"/>
      <c r="BQ266" s="74"/>
      <c r="BR266" s="74"/>
      <c r="BS266" s="74"/>
      <c r="BT266" s="74"/>
      <c r="BU266" s="74"/>
      <c r="BV266" s="74"/>
      <c r="BW266" s="74"/>
      <c r="BX266" s="74"/>
    </row>
    <row r="267" spans="1:76" s="75" customFormat="1" ht="15" hidden="1" customHeight="1">
      <c r="A267" s="73"/>
      <c r="B267" s="73"/>
      <c r="C267" s="73"/>
      <c r="D267" s="76"/>
      <c r="E267" s="63"/>
      <c r="F267" s="63"/>
      <c r="G267" s="63"/>
      <c r="H267" s="63"/>
      <c r="I267" s="63"/>
      <c r="J267" s="63"/>
      <c r="K267" s="63"/>
      <c r="L267" s="63"/>
      <c r="M267" s="63"/>
      <c r="N267" s="63"/>
      <c r="O267" s="63"/>
      <c r="P267" s="63"/>
      <c r="Q267" s="63"/>
      <c r="R267" s="63"/>
      <c r="S267" s="63"/>
      <c r="T267" s="63"/>
      <c r="U267" s="63"/>
      <c r="V267" s="63"/>
      <c r="W267" s="63"/>
      <c r="X267" s="63"/>
      <c r="Y267" s="73"/>
      <c r="Z267" s="73"/>
      <c r="AA267" s="73"/>
      <c r="AB267" s="73"/>
      <c r="AC267" s="73"/>
      <c r="AD267" s="73"/>
      <c r="AE267" s="73"/>
      <c r="AF267" s="73"/>
      <c r="AG267" s="73"/>
      <c r="AH267" s="73"/>
      <c r="AI267" s="73"/>
      <c r="AJ267" s="73"/>
      <c r="AK267" s="73"/>
      <c r="AL267" s="73"/>
      <c r="AM267" s="73"/>
      <c r="AN267" s="73"/>
      <c r="AO267" s="73"/>
      <c r="AP267" s="73"/>
      <c r="AQ267" s="73"/>
      <c r="AR267" s="73"/>
      <c r="AS267" s="73"/>
      <c r="AT267" s="73"/>
      <c r="AU267" s="73"/>
      <c r="AV267" s="73"/>
      <c r="AW267" s="73"/>
      <c r="AX267" s="73"/>
      <c r="AY267" s="73"/>
      <c r="AZ267" s="73"/>
      <c r="BA267" s="73"/>
      <c r="BB267" s="73"/>
      <c r="BC267" s="74"/>
      <c r="BD267" s="74"/>
      <c r="BE267" s="74"/>
      <c r="BF267" s="74"/>
      <c r="BG267" s="74"/>
      <c r="BH267" s="74"/>
      <c r="BI267" s="74"/>
      <c r="BJ267" s="74"/>
      <c r="BK267" s="74"/>
      <c r="BL267" s="74"/>
      <c r="BM267" s="74"/>
      <c r="BN267" s="74"/>
      <c r="BO267" s="74"/>
      <c r="BP267" s="74"/>
      <c r="BQ267" s="74"/>
      <c r="BR267" s="74"/>
      <c r="BS267" s="74"/>
      <c r="BT267" s="74"/>
      <c r="BU267" s="74"/>
      <c r="BV267" s="74"/>
      <c r="BW267" s="74"/>
      <c r="BX267" s="74"/>
    </row>
    <row r="268" spans="1:76" s="75" customFormat="1" ht="15" hidden="1" customHeight="1">
      <c r="A268" s="73"/>
      <c r="B268" s="73"/>
      <c r="C268" s="73"/>
      <c r="D268" s="76"/>
      <c r="E268" s="63"/>
      <c r="F268" s="63"/>
      <c r="G268" s="63"/>
      <c r="H268" s="63"/>
      <c r="I268" s="63"/>
      <c r="J268" s="63"/>
      <c r="K268" s="63"/>
      <c r="L268" s="63"/>
      <c r="M268" s="63"/>
      <c r="N268" s="63"/>
      <c r="O268" s="63"/>
      <c r="P268" s="63"/>
      <c r="Q268" s="63"/>
      <c r="R268" s="63"/>
      <c r="S268" s="63"/>
      <c r="T268" s="63"/>
      <c r="U268" s="63"/>
      <c r="V268" s="63"/>
      <c r="W268" s="63"/>
      <c r="X268" s="63"/>
      <c r="Y268" s="73"/>
      <c r="Z268" s="73"/>
      <c r="AA268" s="73"/>
      <c r="AB268" s="73"/>
      <c r="AC268" s="73"/>
      <c r="AD268" s="73"/>
      <c r="AE268" s="73"/>
      <c r="AF268" s="73"/>
      <c r="AG268" s="73"/>
      <c r="AH268" s="73"/>
      <c r="AI268" s="73"/>
      <c r="AJ268" s="73"/>
      <c r="AK268" s="73"/>
      <c r="AL268" s="73"/>
      <c r="AM268" s="73"/>
      <c r="AN268" s="73"/>
      <c r="AO268" s="73"/>
      <c r="AP268" s="73"/>
      <c r="AQ268" s="73"/>
      <c r="AR268" s="73"/>
      <c r="AS268" s="73"/>
      <c r="AT268" s="73"/>
      <c r="AU268" s="73"/>
      <c r="AV268" s="73"/>
      <c r="AW268" s="73"/>
      <c r="AX268" s="73"/>
      <c r="AY268" s="73"/>
      <c r="AZ268" s="73"/>
      <c r="BA268" s="73"/>
      <c r="BB268" s="73"/>
      <c r="BC268" s="74"/>
      <c r="BD268" s="74"/>
      <c r="BE268" s="74"/>
      <c r="BF268" s="74"/>
      <c r="BG268" s="74"/>
      <c r="BH268" s="74"/>
      <c r="BI268" s="74"/>
      <c r="BJ268" s="74"/>
      <c r="BK268" s="74"/>
      <c r="BL268" s="74"/>
      <c r="BM268" s="74"/>
      <c r="BN268" s="74"/>
      <c r="BO268" s="74"/>
      <c r="BP268" s="74"/>
      <c r="BQ268" s="74"/>
      <c r="BR268" s="74"/>
      <c r="BS268" s="74"/>
      <c r="BT268" s="74"/>
      <c r="BU268" s="74"/>
      <c r="BV268" s="74"/>
      <c r="BW268" s="74"/>
      <c r="BX268" s="74"/>
    </row>
    <row r="269" spans="1:76" s="75" customFormat="1" ht="15" hidden="1" customHeight="1">
      <c r="A269" s="73"/>
      <c r="B269" s="73"/>
      <c r="C269" s="73"/>
      <c r="D269" s="76"/>
      <c r="E269" s="63"/>
      <c r="F269" s="63"/>
      <c r="G269" s="63"/>
      <c r="H269" s="63"/>
      <c r="I269" s="63"/>
      <c r="J269" s="63"/>
      <c r="K269" s="63"/>
      <c r="L269" s="63"/>
      <c r="M269" s="63"/>
      <c r="N269" s="63"/>
      <c r="O269" s="63"/>
      <c r="P269" s="63"/>
      <c r="Q269" s="63"/>
      <c r="R269" s="63"/>
      <c r="S269" s="63"/>
      <c r="T269" s="63"/>
      <c r="U269" s="63"/>
      <c r="V269" s="63"/>
      <c r="W269" s="63"/>
      <c r="X269" s="63"/>
      <c r="Y269" s="73"/>
      <c r="Z269" s="73"/>
      <c r="AA269" s="73"/>
      <c r="AB269" s="73"/>
      <c r="AC269" s="73"/>
      <c r="AD269" s="73"/>
      <c r="AE269" s="73"/>
      <c r="AF269" s="73"/>
      <c r="AG269" s="73"/>
      <c r="AH269" s="73"/>
      <c r="AI269" s="73"/>
      <c r="AJ269" s="73"/>
      <c r="AK269" s="73"/>
      <c r="AL269" s="73"/>
      <c r="AM269" s="73"/>
      <c r="AN269" s="73"/>
      <c r="AO269" s="73"/>
      <c r="AP269" s="73"/>
      <c r="AQ269" s="73"/>
      <c r="AR269" s="73"/>
      <c r="AS269" s="73"/>
      <c r="AT269" s="73"/>
      <c r="AU269" s="73"/>
      <c r="AV269" s="73"/>
      <c r="AW269" s="73"/>
      <c r="AX269" s="73"/>
      <c r="AY269" s="73"/>
      <c r="AZ269" s="73"/>
      <c r="BA269" s="73"/>
      <c r="BB269" s="73"/>
      <c r="BC269" s="74"/>
      <c r="BD269" s="74"/>
      <c r="BE269" s="74"/>
      <c r="BF269" s="74"/>
      <c r="BG269" s="74"/>
      <c r="BH269" s="74"/>
      <c r="BI269" s="74"/>
      <c r="BJ269" s="74"/>
      <c r="BK269" s="74"/>
      <c r="BL269" s="74"/>
      <c r="BM269" s="74"/>
      <c r="BN269" s="74"/>
      <c r="BO269" s="74"/>
      <c r="BP269" s="74"/>
      <c r="BQ269" s="74"/>
      <c r="BR269" s="74"/>
      <c r="BS269" s="74"/>
      <c r="BT269" s="74"/>
      <c r="BU269" s="74"/>
      <c r="BV269" s="74"/>
      <c r="BW269" s="74"/>
      <c r="BX269" s="74"/>
    </row>
    <row r="270" spans="1:76" s="75" customFormat="1" ht="15" hidden="1" customHeight="1">
      <c r="A270" s="73"/>
      <c r="B270" s="73"/>
      <c r="C270" s="73"/>
      <c r="D270" s="76"/>
      <c r="E270" s="63"/>
      <c r="F270" s="63"/>
      <c r="G270" s="63"/>
      <c r="H270" s="63"/>
      <c r="I270" s="63"/>
      <c r="J270" s="63"/>
      <c r="K270" s="63"/>
      <c r="L270" s="63"/>
      <c r="M270" s="63"/>
      <c r="N270" s="63"/>
      <c r="O270" s="63"/>
      <c r="P270" s="63"/>
      <c r="Q270" s="63"/>
      <c r="R270" s="63"/>
      <c r="S270" s="63"/>
      <c r="T270" s="63"/>
      <c r="U270" s="63"/>
      <c r="V270" s="63"/>
      <c r="W270" s="63"/>
      <c r="X270" s="63"/>
      <c r="Y270" s="73"/>
      <c r="Z270" s="73"/>
      <c r="AA270" s="73"/>
      <c r="AB270" s="73"/>
      <c r="AC270" s="73"/>
      <c r="AD270" s="73"/>
      <c r="AE270" s="73"/>
      <c r="AF270" s="73"/>
      <c r="AG270" s="73"/>
      <c r="AH270" s="73"/>
      <c r="AI270" s="73"/>
      <c r="AJ270" s="73"/>
      <c r="AK270" s="73"/>
      <c r="AL270" s="73"/>
      <c r="AM270" s="73"/>
      <c r="AN270" s="73"/>
      <c r="AO270" s="73"/>
      <c r="AP270" s="73"/>
      <c r="AQ270" s="73"/>
      <c r="AR270" s="73"/>
      <c r="AS270" s="73"/>
      <c r="AT270" s="73"/>
      <c r="AU270" s="73"/>
      <c r="AV270" s="73"/>
      <c r="AW270" s="73"/>
      <c r="AX270" s="73"/>
      <c r="AY270" s="73"/>
      <c r="AZ270" s="73"/>
      <c r="BA270" s="73"/>
      <c r="BB270" s="73"/>
      <c r="BC270" s="74"/>
      <c r="BD270" s="74"/>
      <c r="BE270" s="74"/>
      <c r="BF270" s="74"/>
      <c r="BG270" s="74"/>
      <c r="BH270" s="74"/>
      <c r="BI270" s="74"/>
      <c r="BJ270" s="74"/>
      <c r="BK270" s="74"/>
      <c r="BL270" s="74"/>
      <c r="BM270" s="74"/>
      <c r="BN270" s="74"/>
      <c r="BO270" s="74"/>
      <c r="BP270" s="74"/>
      <c r="BQ270" s="74"/>
      <c r="BR270" s="74"/>
      <c r="BS270" s="74"/>
      <c r="BT270" s="74"/>
      <c r="BU270" s="74"/>
      <c r="BV270" s="74"/>
      <c r="BW270" s="74"/>
      <c r="BX270" s="74"/>
    </row>
    <row r="271" spans="1:76" s="75" customFormat="1" ht="15" hidden="1" customHeight="1">
      <c r="A271" s="73"/>
      <c r="B271" s="73"/>
      <c r="C271" s="73"/>
      <c r="D271" s="76"/>
      <c r="E271" s="63"/>
      <c r="F271" s="63"/>
      <c r="G271" s="63"/>
      <c r="H271" s="63"/>
      <c r="I271" s="63"/>
      <c r="J271" s="63"/>
      <c r="K271" s="63"/>
      <c r="L271" s="63"/>
      <c r="M271" s="63"/>
      <c r="N271" s="63"/>
      <c r="O271" s="63"/>
      <c r="P271" s="63"/>
      <c r="Q271" s="63"/>
      <c r="R271" s="63"/>
      <c r="S271" s="63"/>
      <c r="T271" s="63"/>
      <c r="U271" s="63"/>
      <c r="V271" s="63"/>
      <c r="W271" s="63"/>
      <c r="X271" s="63"/>
      <c r="Y271" s="73"/>
      <c r="Z271" s="73"/>
      <c r="AA271" s="73"/>
      <c r="AB271" s="73"/>
      <c r="AC271" s="73"/>
      <c r="AD271" s="73"/>
      <c r="AE271" s="73"/>
      <c r="AF271" s="73"/>
      <c r="AG271" s="73"/>
      <c r="AH271" s="73"/>
      <c r="AI271" s="73"/>
      <c r="AJ271" s="73"/>
      <c r="AK271" s="73"/>
      <c r="AL271" s="73"/>
      <c r="AM271" s="73"/>
      <c r="AN271" s="73"/>
      <c r="AO271" s="73"/>
      <c r="AP271" s="73"/>
      <c r="AQ271" s="73"/>
      <c r="AR271" s="73"/>
      <c r="AS271" s="73"/>
      <c r="AT271" s="73"/>
      <c r="AU271" s="73"/>
      <c r="AV271" s="73"/>
      <c r="AW271" s="73"/>
      <c r="AX271" s="73"/>
      <c r="AY271" s="73"/>
      <c r="AZ271" s="73"/>
      <c r="BA271" s="73"/>
      <c r="BB271" s="73"/>
      <c r="BC271" s="74"/>
      <c r="BD271" s="74"/>
      <c r="BE271" s="74"/>
      <c r="BF271" s="74"/>
      <c r="BG271" s="74"/>
      <c r="BH271" s="74"/>
      <c r="BI271" s="74"/>
      <c r="BJ271" s="74"/>
      <c r="BK271" s="74"/>
      <c r="BL271" s="74"/>
      <c r="BM271" s="74"/>
      <c r="BN271" s="74"/>
      <c r="BO271" s="74"/>
      <c r="BP271" s="74"/>
      <c r="BQ271" s="74"/>
      <c r="BR271" s="74"/>
      <c r="BS271" s="74"/>
      <c r="BT271" s="74"/>
      <c r="BU271" s="74"/>
      <c r="BV271" s="74"/>
      <c r="BW271" s="74"/>
      <c r="BX271" s="74"/>
    </row>
    <row r="272" spans="1:76" s="75" customFormat="1" ht="15" hidden="1" customHeight="1">
      <c r="A272" s="73"/>
      <c r="B272" s="73"/>
      <c r="C272" s="73"/>
      <c r="D272" s="76"/>
      <c r="E272" s="63"/>
      <c r="F272" s="63"/>
      <c r="G272" s="63"/>
      <c r="H272" s="63"/>
      <c r="I272" s="63"/>
      <c r="J272" s="63"/>
      <c r="K272" s="63"/>
      <c r="L272" s="63"/>
      <c r="M272" s="63"/>
      <c r="N272" s="63"/>
      <c r="O272" s="63"/>
      <c r="P272" s="63"/>
      <c r="Q272" s="63"/>
      <c r="R272" s="63"/>
      <c r="S272" s="63"/>
      <c r="T272" s="63"/>
      <c r="U272" s="63"/>
      <c r="V272" s="63"/>
      <c r="W272" s="63"/>
      <c r="X272" s="63"/>
      <c r="Y272" s="73"/>
      <c r="Z272" s="73"/>
      <c r="AA272" s="73"/>
      <c r="AB272" s="73"/>
      <c r="AC272" s="73"/>
      <c r="AD272" s="73"/>
      <c r="AE272" s="73"/>
      <c r="AF272" s="73"/>
      <c r="AG272" s="73"/>
      <c r="AH272" s="73"/>
      <c r="AI272" s="73"/>
      <c r="AJ272" s="73"/>
      <c r="AK272" s="73"/>
      <c r="AL272" s="73"/>
      <c r="AM272" s="73"/>
      <c r="AN272" s="73"/>
      <c r="AO272" s="73"/>
      <c r="AP272" s="73"/>
      <c r="AQ272" s="73"/>
      <c r="AR272" s="73"/>
      <c r="AS272" s="73"/>
      <c r="AT272" s="73"/>
      <c r="AU272" s="73"/>
      <c r="AV272" s="73"/>
      <c r="AW272" s="73"/>
      <c r="AX272" s="73"/>
      <c r="AY272" s="73"/>
      <c r="AZ272" s="73"/>
      <c r="BA272" s="73"/>
      <c r="BB272" s="73"/>
      <c r="BC272" s="74"/>
      <c r="BD272" s="74"/>
      <c r="BE272" s="74"/>
      <c r="BF272" s="74"/>
      <c r="BG272" s="74"/>
      <c r="BH272" s="74"/>
      <c r="BI272" s="74"/>
      <c r="BJ272" s="74"/>
      <c r="BK272" s="74"/>
      <c r="BL272" s="74"/>
      <c r="BM272" s="74"/>
      <c r="BN272" s="74"/>
      <c r="BO272" s="74"/>
      <c r="BP272" s="74"/>
      <c r="BQ272" s="74"/>
      <c r="BR272" s="74"/>
      <c r="BS272" s="74"/>
      <c r="BT272" s="74"/>
      <c r="BU272" s="74"/>
      <c r="BV272" s="74"/>
      <c r="BW272" s="74"/>
      <c r="BX272" s="74"/>
    </row>
    <row r="273" spans="1:76" s="75" customFormat="1" ht="15" hidden="1" customHeight="1">
      <c r="A273" s="73"/>
      <c r="B273" s="73"/>
      <c r="C273" s="73"/>
      <c r="D273" s="76"/>
      <c r="E273" s="63"/>
      <c r="F273" s="63"/>
      <c r="G273" s="63"/>
      <c r="H273" s="63"/>
      <c r="I273" s="63"/>
      <c r="J273" s="63"/>
      <c r="K273" s="63"/>
      <c r="L273" s="63"/>
      <c r="M273" s="63"/>
      <c r="N273" s="63"/>
      <c r="O273" s="63"/>
      <c r="P273" s="63"/>
      <c r="Q273" s="63"/>
      <c r="R273" s="63"/>
      <c r="S273" s="63"/>
      <c r="T273" s="63"/>
      <c r="U273" s="63"/>
      <c r="V273" s="63"/>
      <c r="W273" s="63"/>
      <c r="X273" s="63"/>
      <c r="Y273" s="73"/>
      <c r="Z273" s="73"/>
      <c r="AA273" s="73"/>
      <c r="AB273" s="73"/>
      <c r="AC273" s="73"/>
      <c r="AD273" s="73"/>
      <c r="AE273" s="73"/>
      <c r="AF273" s="73"/>
      <c r="AG273" s="73"/>
      <c r="AH273" s="73"/>
      <c r="AI273" s="73"/>
      <c r="AJ273" s="73"/>
      <c r="AK273" s="73"/>
      <c r="AL273" s="73"/>
      <c r="AM273" s="73"/>
      <c r="AN273" s="73"/>
      <c r="AO273" s="73"/>
      <c r="AP273" s="73"/>
      <c r="AQ273" s="73"/>
      <c r="AR273" s="73"/>
      <c r="AS273" s="73"/>
      <c r="AT273" s="73"/>
      <c r="AU273" s="73"/>
      <c r="AV273" s="73"/>
      <c r="AW273" s="73"/>
      <c r="AX273" s="73"/>
      <c r="AY273" s="73"/>
      <c r="AZ273" s="73"/>
      <c r="BA273" s="73"/>
      <c r="BB273" s="73"/>
      <c r="BC273" s="74"/>
      <c r="BD273" s="74"/>
      <c r="BE273" s="74"/>
      <c r="BF273" s="74"/>
      <c r="BG273" s="74"/>
      <c r="BH273" s="74"/>
      <c r="BI273" s="74"/>
      <c r="BJ273" s="74"/>
      <c r="BK273" s="74"/>
      <c r="BL273" s="74"/>
      <c r="BM273" s="74"/>
      <c r="BN273" s="74"/>
      <c r="BO273" s="74"/>
      <c r="BP273" s="74"/>
      <c r="BQ273" s="74"/>
      <c r="BR273" s="74"/>
      <c r="BS273" s="74"/>
      <c r="BT273" s="74"/>
      <c r="BU273" s="74"/>
      <c r="BV273" s="74"/>
      <c r="BW273" s="74"/>
      <c r="BX273" s="74"/>
    </row>
    <row r="274" spans="1:76" s="75" customFormat="1" ht="15" hidden="1" customHeight="1">
      <c r="A274" s="73"/>
      <c r="B274" s="73"/>
      <c r="C274" s="73"/>
      <c r="D274" s="76"/>
      <c r="E274" s="63"/>
      <c r="F274" s="63"/>
      <c r="G274" s="63"/>
      <c r="H274" s="63"/>
      <c r="I274" s="63"/>
      <c r="J274" s="63"/>
      <c r="K274" s="63"/>
      <c r="L274" s="63"/>
      <c r="M274" s="63"/>
      <c r="N274" s="63"/>
      <c r="O274" s="63"/>
      <c r="P274" s="63"/>
      <c r="Q274" s="63"/>
      <c r="R274" s="63"/>
      <c r="S274" s="63"/>
      <c r="T274" s="63"/>
      <c r="U274" s="63"/>
      <c r="V274" s="63"/>
      <c r="W274" s="63"/>
      <c r="X274" s="63"/>
      <c r="Y274" s="73"/>
      <c r="Z274" s="73"/>
      <c r="AA274" s="73"/>
      <c r="AB274" s="73"/>
      <c r="AC274" s="73"/>
      <c r="AD274" s="73"/>
      <c r="AE274" s="73"/>
      <c r="AF274" s="73"/>
      <c r="AG274" s="73"/>
      <c r="AH274" s="73"/>
      <c r="AI274" s="73"/>
      <c r="AJ274" s="73"/>
      <c r="AK274" s="73"/>
      <c r="AL274" s="73"/>
      <c r="AM274" s="73"/>
      <c r="AN274" s="73"/>
      <c r="AO274" s="73"/>
      <c r="AP274" s="73"/>
      <c r="AQ274" s="73"/>
      <c r="AR274" s="73"/>
      <c r="AS274" s="73"/>
      <c r="AT274" s="73"/>
      <c r="AU274" s="73"/>
      <c r="AV274" s="73"/>
      <c r="AW274" s="73"/>
      <c r="AX274" s="73"/>
      <c r="AY274" s="73"/>
      <c r="AZ274" s="73"/>
      <c r="BA274" s="73"/>
      <c r="BB274" s="73"/>
      <c r="BC274" s="74"/>
      <c r="BD274" s="74"/>
      <c r="BE274" s="74"/>
      <c r="BF274" s="74"/>
      <c r="BG274" s="74"/>
      <c r="BH274" s="74"/>
      <c r="BI274" s="74"/>
      <c r="BJ274" s="74"/>
      <c r="BK274" s="74"/>
      <c r="BL274" s="74"/>
      <c r="BM274" s="74"/>
      <c r="BN274" s="74"/>
      <c r="BO274" s="74"/>
      <c r="BP274" s="74"/>
      <c r="BQ274" s="74"/>
      <c r="BR274" s="74"/>
      <c r="BS274" s="74"/>
      <c r="BT274" s="74"/>
      <c r="BU274" s="74"/>
      <c r="BV274" s="74"/>
      <c r="BW274" s="74"/>
      <c r="BX274" s="74"/>
    </row>
    <row r="275" spans="1:76" s="75" customFormat="1" ht="15" hidden="1" customHeight="1">
      <c r="A275" s="73"/>
      <c r="B275" s="73"/>
      <c r="C275" s="73"/>
      <c r="D275" s="76"/>
      <c r="E275" s="63"/>
      <c r="F275" s="63"/>
      <c r="G275" s="63"/>
      <c r="H275" s="63"/>
      <c r="I275" s="63"/>
      <c r="J275" s="63"/>
      <c r="K275" s="63"/>
      <c r="L275" s="63"/>
      <c r="M275" s="63"/>
      <c r="N275" s="63"/>
      <c r="O275" s="63"/>
      <c r="P275" s="63"/>
      <c r="Q275" s="63"/>
      <c r="R275" s="63"/>
      <c r="S275" s="63"/>
      <c r="T275" s="63"/>
      <c r="U275" s="63"/>
      <c r="V275" s="63"/>
      <c r="W275" s="63"/>
      <c r="X275" s="63"/>
      <c r="Y275" s="73"/>
      <c r="Z275" s="73"/>
      <c r="AA275" s="73"/>
      <c r="AB275" s="73"/>
      <c r="AC275" s="73"/>
      <c r="AD275" s="73"/>
      <c r="AE275" s="73"/>
      <c r="AF275" s="73"/>
      <c r="AG275" s="73"/>
      <c r="AH275" s="73"/>
      <c r="AI275" s="73"/>
      <c r="AJ275" s="73"/>
      <c r="AK275" s="73"/>
      <c r="AL275" s="73"/>
      <c r="AM275" s="73"/>
      <c r="AN275" s="73"/>
      <c r="AO275" s="73"/>
      <c r="AP275" s="73"/>
      <c r="AQ275" s="73"/>
      <c r="AR275" s="73"/>
      <c r="AS275" s="73"/>
      <c r="AT275" s="73"/>
      <c r="AU275" s="73"/>
      <c r="AV275" s="73"/>
      <c r="AW275" s="73"/>
      <c r="AX275" s="73"/>
      <c r="AY275" s="73"/>
      <c r="AZ275" s="73"/>
      <c r="BA275" s="73"/>
      <c r="BB275" s="73"/>
      <c r="BC275" s="74"/>
      <c r="BD275" s="74"/>
      <c r="BE275" s="74"/>
      <c r="BF275" s="74"/>
      <c r="BG275" s="74"/>
      <c r="BH275" s="74"/>
      <c r="BI275" s="74"/>
      <c r="BJ275" s="74"/>
      <c r="BK275" s="74"/>
      <c r="BL275" s="74"/>
      <c r="BM275" s="74"/>
      <c r="BN275" s="74"/>
      <c r="BO275" s="74"/>
      <c r="BP275" s="74"/>
      <c r="BQ275" s="74"/>
      <c r="BR275" s="74"/>
      <c r="BS275" s="74"/>
      <c r="BT275" s="74"/>
      <c r="BU275" s="74"/>
      <c r="BV275" s="74"/>
      <c r="BW275" s="74"/>
      <c r="BX275" s="74"/>
    </row>
    <row r="276" spans="1:76" s="75" customFormat="1" ht="15" hidden="1" customHeight="1">
      <c r="A276" s="73"/>
      <c r="B276" s="73"/>
      <c r="C276" s="73"/>
      <c r="D276" s="76"/>
      <c r="E276" s="63"/>
      <c r="F276" s="63"/>
      <c r="G276" s="63"/>
      <c r="H276" s="63"/>
      <c r="I276" s="63"/>
      <c r="J276" s="63"/>
      <c r="K276" s="63"/>
      <c r="L276" s="63"/>
      <c r="M276" s="63"/>
      <c r="N276" s="63"/>
      <c r="O276" s="63"/>
      <c r="P276" s="63"/>
      <c r="Q276" s="63"/>
      <c r="R276" s="63"/>
      <c r="S276" s="63"/>
      <c r="T276" s="63"/>
      <c r="U276" s="63"/>
      <c r="V276" s="63"/>
      <c r="W276" s="63"/>
      <c r="X276" s="63"/>
      <c r="Y276" s="73"/>
      <c r="Z276" s="73"/>
      <c r="AA276" s="73"/>
      <c r="AB276" s="73"/>
      <c r="AC276" s="73"/>
      <c r="AD276" s="73"/>
      <c r="AE276" s="73"/>
      <c r="AF276" s="73"/>
      <c r="AG276" s="73"/>
      <c r="AH276" s="73"/>
      <c r="AI276" s="73"/>
      <c r="AJ276" s="73"/>
      <c r="AK276" s="73"/>
      <c r="AL276" s="73"/>
      <c r="AM276" s="73"/>
      <c r="AN276" s="73"/>
      <c r="AO276" s="73"/>
      <c r="AP276" s="73"/>
      <c r="AQ276" s="73"/>
      <c r="AR276" s="73"/>
      <c r="AS276" s="73"/>
      <c r="AT276" s="73"/>
      <c r="AU276" s="73"/>
      <c r="AV276" s="73"/>
      <c r="AW276" s="73"/>
      <c r="AX276" s="73"/>
      <c r="AY276" s="73"/>
      <c r="AZ276" s="73"/>
      <c r="BA276" s="73"/>
      <c r="BB276" s="73"/>
      <c r="BC276" s="74"/>
      <c r="BD276" s="74"/>
      <c r="BE276" s="74"/>
      <c r="BF276" s="74"/>
      <c r="BG276" s="74"/>
      <c r="BH276" s="74"/>
      <c r="BI276" s="74"/>
      <c r="BJ276" s="74"/>
      <c r="BK276" s="74"/>
      <c r="BL276" s="74"/>
      <c r="BM276" s="74"/>
      <c r="BN276" s="74"/>
      <c r="BO276" s="74"/>
      <c r="BP276" s="74"/>
      <c r="BQ276" s="74"/>
      <c r="BR276" s="74"/>
      <c r="BS276" s="74"/>
      <c r="BT276" s="74"/>
      <c r="BU276" s="74"/>
      <c r="BV276" s="74"/>
      <c r="BW276" s="74"/>
      <c r="BX276" s="74"/>
    </row>
    <row r="277" spans="1:76" s="75" customFormat="1" ht="15" hidden="1" customHeight="1">
      <c r="A277" s="73"/>
      <c r="B277" s="73"/>
      <c r="C277" s="73"/>
      <c r="D277" s="76"/>
      <c r="E277" s="63"/>
      <c r="F277" s="63"/>
      <c r="G277" s="63"/>
      <c r="H277" s="63"/>
      <c r="I277" s="63"/>
      <c r="J277" s="63"/>
      <c r="K277" s="63"/>
      <c r="L277" s="63"/>
      <c r="M277" s="63"/>
      <c r="N277" s="63"/>
      <c r="O277" s="63"/>
      <c r="P277" s="63"/>
      <c r="Q277" s="63"/>
      <c r="R277" s="63"/>
      <c r="S277" s="63"/>
      <c r="T277" s="63"/>
      <c r="U277" s="63"/>
      <c r="V277" s="63"/>
      <c r="W277" s="63"/>
      <c r="X277" s="63"/>
      <c r="Y277" s="73"/>
      <c r="Z277" s="73"/>
      <c r="AA277" s="73"/>
      <c r="AB277" s="73"/>
      <c r="AC277" s="73"/>
      <c r="AD277" s="73"/>
      <c r="AE277" s="73"/>
      <c r="AF277" s="73"/>
      <c r="AG277" s="73"/>
      <c r="AH277" s="73"/>
      <c r="AI277" s="73"/>
      <c r="AJ277" s="73"/>
      <c r="AK277" s="73"/>
      <c r="AL277" s="73"/>
      <c r="AM277" s="73"/>
      <c r="AN277" s="73"/>
      <c r="AO277" s="73"/>
      <c r="AP277" s="73"/>
      <c r="AQ277" s="73"/>
      <c r="AR277" s="73"/>
      <c r="AS277" s="73"/>
      <c r="AT277" s="73"/>
      <c r="AU277" s="73"/>
      <c r="AV277" s="73"/>
      <c r="AW277" s="73"/>
      <c r="AX277" s="73"/>
      <c r="AY277" s="73"/>
      <c r="AZ277" s="73"/>
      <c r="BA277" s="73"/>
      <c r="BB277" s="73"/>
      <c r="BC277" s="74"/>
      <c r="BD277" s="74"/>
      <c r="BE277" s="74"/>
      <c r="BF277" s="74"/>
      <c r="BG277" s="74"/>
      <c r="BH277" s="74"/>
      <c r="BI277" s="74"/>
      <c r="BJ277" s="74"/>
      <c r="BK277" s="74"/>
      <c r="BL277" s="74"/>
      <c r="BM277" s="74"/>
      <c r="BN277" s="74"/>
      <c r="BO277" s="74"/>
      <c r="BP277" s="74"/>
      <c r="BQ277" s="74"/>
      <c r="BR277" s="74"/>
      <c r="BS277" s="74"/>
      <c r="BT277" s="74"/>
      <c r="BU277" s="74"/>
      <c r="BV277" s="74"/>
      <c r="BW277" s="74"/>
      <c r="BX277" s="74"/>
    </row>
    <row r="278" spans="1:76" s="75" customFormat="1" ht="15" hidden="1" customHeight="1">
      <c r="A278" s="73"/>
      <c r="B278" s="73"/>
      <c r="C278" s="73"/>
      <c r="D278" s="76"/>
      <c r="E278" s="63"/>
      <c r="F278" s="63"/>
      <c r="G278" s="63"/>
      <c r="H278" s="63"/>
      <c r="I278" s="63"/>
      <c r="J278" s="63"/>
      <c r="K278" s="63"/>
      <c r="L278" s="63"/>
      <c r="M278" s="63"/>
      <c r="N278" s="63"/>
      <c r="O278" s="63"/>
      <c r="P278" s="63"/>
      <c r="Q278" s="63"/>
      <c r="R278" s="63"/>
      <c r="S278" s="63"/>
      <c r="T278" s="63"/>
      <c r="U278" s="63"/>
      <c r="V278" s="63"/>
      <c r="W278" s="63"/>
      <c r="X278" s="63"/>
      <c r="Y278" s="73"/>
      <c r="Z278" s="73"/>
      <c r="AA278" s="73"/>
      <c r="AB278" s="73"/>
      <c r="AC278" s="73"/>
      <c r="AD278" s="73"/>
      <c r="AE278" s="73"/>
      <c r="AF278" s="73"/>
      <c r="AG278" s="73"/>
      <c r="AH278" s="73"/>
      <c r="AI278" s="73"/>
      <c r="AJ278" s="73"/>
      <c r="AK278" s="73"/>
      <c r="AL278" s="73"/>
      <c r="AM278" s="73"/>
      <c r="AN278" s="73"/>
      <c r="AO278" s="73"/>
      <c r="AP278" s="73"/>
      <c r="AQ278" s="73"/>
      <c r="AR278" s="73"/>
      <c r="AS278" s="73"/>
      <c r="AT278" s="73"/>
      <c r="AU278" s="73"/>
      <c r="AV278" s="73"/>
      <c r="AW278" s="73"/>
      <c r="AX278" s="73"/>
      <c r="AY278" s="73"/>
      <c r="AZ278" s="73"/>
      <c r="BA278" s="73"/>
      <c r="BB278" s="73"/>
      <c r="BC278" s="74"/>
      <c r="BD278" s="74"/>
      <c r="BE278" s="74"/>
      <c r="BF278" s="74"/>
      <c r="BG278" s="74"/>
      <c r="BH278" s="74"/>
      <c r="BI278" s="74"/>
      <c r="BJ278" s="74"/>
      <c r="BK278" s="74"/>
      <c r="BL278" s="74"/>
      <c r="BM278" s="74"/>
      <c r="BN278" s="74"/>
      <c r="BO278" s="74"/>
      <c r="BP278" s="74"/>
      <c r="BQ278" s="74"/>
      <c r="BR278" s="74"/>
      <c r="BS278" s="74"/>
      <c r="BT278" s="74"/>
      <c r="BU278" s="74"/>
      <c r="BV278" s="74"/>
      <c r="BW278" s="74"/>
      <c r="BX278" s="74"/>
    </row>
    <row r="279" spans="1:76" s="75" customFormat="1" ht="15" hidden="1" customHeight="1">
      <c r="A279" s="73"/>
      <c r="B279" s="73"/>
      <c r="C279" s="73"/>
      <c r="D279" s="76"/>
      <c r="E279" s="63"/>
      <c r="F279" s="63"/>
      <c r="G279" s="63"/>
      <c r="H279" s="63"/>
      <c r="I279" s="63"/>
      <c r="J279" s="63"/>
      <c r="K279" s="63"/>
      <c r="L279" s="63"/>
      <c r="M279" s="63"/>
      <c r="N279" s="63"/>
      <c r="O279" s="63"/>
      <c r="P279" s="63"/>
      <c r="Q279" s="63"/>
      <c r="R279" s="63"/>
      <c r="S279" s="63"/>
      <c r="T279" s="63"/>
      <c r="U279" s="63"/>
      <c r="V279" s="63"/>
      <c r="W279" s="63"/>
      <c r="X279" s="63"/>
      <c r="Y279" s="73"/>
      <c r="Z279" s="73"/>
      <c r="AA279" s="73"/>
      <c r="AB279" s="73"/>
      <c r="AC279" s="73"/>
      <c r="AD279" s="73"/>
      <c r="AE279" s="73"/>
      <c r="AF279" s="73"/>
      <c r="AG279" s="73"/>
      <c r="AH279" s="73"/>
      <c r="AI279" s="73"/>
      <c r="AJ279" s="73"/>
      <c r="AK279" s="73"/>
      <c r="AL279" s="73"/>
      <c r="AM279" s="73"/>
      <c r="AN279" s="73"/>
      <c r="AO279" s="73"/>
      <c r="AP279" s="73"/>
      <c r="AQ279" s="73"/>
      <c r="AR279" s="73"/>
      <c r="AS279" s="73"/>
      <c r="AT279" s="73"/>
      <c r="AU279" s="73"/>
      <c r="AV279" s="73"/>
      <c r="AW279" s="73"/>
      <c r="AX279" s="73"/>
      <c r="AY279" s="73"/>
      <c r="AZ279" s="73"/>
      <c r="BA279" s="73"/>
      <c r="BB279" s="73"/>
      <c r="BC279" s="74"/>
      <c r="BD279" s="74"/>
      <c r="BE279" s="74"/>
      <c r="BF279" s="74"/>
      <c r="BG279" s="74"/>
      <c r="BH279" s="74"/>
      <c r="BI279" s="74"/>
      <c r="BJ279" s="74"/>
      <c r="BK279" s="74"/>
      <c r="BL279" s="74"/>
      <c r="BM279" s="74"/>
      <c r="BN279" s="74"/>
      <c r="BO279" s="74"/>
      <c r="BP279" s="74"/>
      <c r="BQ279" s="74"/>
      <c r="BR279" s="74"/>
      <c r="BS279" s="74"/>
      <c r="BT279" s="74"/>
      <c r="BU279" s="74"/>
      <c r="BV279" s="74"/>
      <c r="BW279" s="74"/>
      <c r="BX279" s="74"/>
    </row>
    <row r="280" spans="1:76" s="75" customFormat="1" ht="15" hidden="1" customHeight="1">
      <c r="A280" s="73"/>
      <c r="B280" s="73"/>
      <c r="C280" s="73"/>
      <c r="D280" s="76"/>
      <c r="E280" s="63"/>
      <c r="F280" s="63"/>
      <c r="G280" s="63"/>
      <c r="H280" s="63"/>
      <c r="I280" s="63"/>
      <c r="J280" s="63"/>
      <c r="K280" s="63"/>
      <c r="L280" s="63"/>
      <c r="M280" s="63"/>
      <c r="N280" s="63"/>
      <c r="O280" s="63"/>
      <c r="P280" s="63"/>
      <c r="Q280" s="63"/>
      <c r="R280" s="63"/>
      <c r="S280" s="63"/>
      <c r="T280" s="63"/>
      <c r="U280" s="63"/>
      <c r="V280" s="63"/>
      <c r="W280" s="63"/>
      <c r="X280" s="63"/>
      <c r="Y280" s="73"/>
      <c r="Z280" s="73"/>
      <c r="AA280" s="73"/>
      <c r="AB280" s="73"/>
      <c r="AC280" s="73"/>
      <c r="AD280" s="73"/>
      <c r="AE280" s="73"/>
      <c r="AF280" s="73"/>
      <c r="AG280" s="73"/>
      <c r="AH280" s="73"/>
      <c r="AI280" s="73"/>
      <c r="AJ280" s="73"/>
      <c r="AK280" s="73"/>
      <c r="AL280" s="73"/>
      <c r="AM280" s="73"/>
      <c r="AN280" s="73"/>
      <c r="AO280" s="73"/>
      <c r="AP280" s="73"/>
      <c r="AQ280" s="73"/>
      <c r="AR280" s="73"/>
      <c r="AS280" s="73"/>
      <c r="AT280" s="73"/>
      <c r="AU280" s="73"/>
      <c r="AV280" s="73"/>
      <c r="AW280" s="73"/>
      <c r="AX280" s="73"/>
      <c r="AY280" s="73"/>
      <c r="AZ280" s="73"/>
      <c r="BA280" s="73"/>
      <c r="BB280" s="73"/>
      <c r="BC280" s="74"/>
      <c r="BD280" s="74"/>
      <c r="BE280" s="74"/>
      <c r="BF280" s="74"/>
      <c r="BG280" s="74"/>
      <c r="BH280" s="74"/>
      <c r="BI280" s="74"/>
      <c r="BJ280" s="74"/>
      <c r="BK280" s="74"/>
      <c r="BL280" s="74"/>
      <c r="BM280" s="74"/>
      <c r="BN280" s="74"/>
      <c r="BO280" s="74"/>
      <c r="BP280" s="74"/>
      <c r="BQ280" s="74"/>
      <c r="BR280" s="74"/>
      <c r="BS280" s="74"/>
      <c r="BT280" s="74"/>
      <c r="BU280" s="74"/>
      <c r="BV280" s="74"/>
      <c r="BW280" s="74"/>
      <c r="BX280" s="74"/>
    </row>
    <row r="281" spans="1:76" s="75" customFormat="1" ht="15" hidden="1" customHeight="1">
      <c r="A281" s="73"/>
      <c r="B281" s="73"/>
      <c r="C281" s="73"/>
      <c r="D281" s="76"/>
      <c r="E281" s="63"/>
      <c r="F281" s="63"/>
      <c r="G281" s="63"/>
      <c r="H281" s="63"/>
      <c r="I281" s="63"/>
      <c r="J281" s="63"/>
      <c r="K281" s="63"/>
      <c r="L281" s="63"/>
      <c r="M281" s="63"/>
      <c r="N281" s="63"/>
      <c r="O281" s="63"/>
      <c r="P281" s="63"/>
      <c r="Q281" s="63"/>
      <c r="R281" s="63"/>
      <c r="S281" s="63"/>
      <c r="T281" s="63"/>
      <c r="U281" s="63"/>
      <c r="V281" s="63"/>
      <c r="W281" s="63"/>
      <c r="X281" s="63"/>
      <c r="Y281" s="73"/>
      <c r="Z281" s="73"/>
      <c r="AA281" s="73"/>
      <c r="AB281" s="73"/>
      <c r="AC281" s="73"/>
      <c r="AD281" s="73"/>
      <c r="AE281" s="73"/>
      <c r="AF281" s="73"/>
      <c r="AG281" s="73"/>
      <c r="AH281" s="73"/>
      <c r="AI281" s="73"/>
      <c r="AJ281" s="73"/>
      <c r="AK281" s="73"/>
      <c r="AL281" s="73"/>
      <c r="AM281" s="73"/>
      <c r="AN281" s="73"/>
      <c r="AO281" s="73"/>
      <c r="AP281" s="73"/>
      <c r="AQ281" s="73"/>
      <c r="AR281" s="73"/>
      <c r="AS281" s="73"/>
      <c r="AT281" s="73"/>
      <c r="AU281" s="73"/>
      <c r="AV281" s="73"/>
      <c r="AW281" s="73"/>
      <c r="AX281" s="73"/>
      <c r="AY281" s="73"/>
      <c r="AZ281" s="73"/>
      <c r="BA281" s="73"/>
      <c r="BB281" s="73"/>
      <c r="BC281" s="74"/>
      <c r="BD281" s="74"/>
      <c r="BE281" s="74"/>
      <c r="BF281" s="74"/>
      <c r="BG281" s="74"/>
      <c r="BH281" s="74"/>
      <c r="BI281" s="74"/>
      <c r="BJ281" s="74"/>
      <c r="BK281" s="74"/>
      <c r="BL281" s="74"/>
      <c r="BM281" s="74"/>
      <c r="BN281" s="74"/>
      <c r="BO281" s="74"/>
      <c r="BP281" s="74"/>
      <c r="BQ281" s="74"/>
      <c r="BR281" s="74"/>
      <c r="BS281" s="74"/>
      <c r="BT281" s="74"/>
      <c r="BU281" s="74"/>
      <c r="BV281" s="74"/>
      <c r="BW281" s="74"/>
      <c r="BX281" s="74"/>
    </row>
    <row r="282" spans="1:76" s="75" customFormat="1" ht="15" hidden="1" customHeight="1">
      <c r="A282" s="73"/>
      <c r="B282" s="73"/>
      <c r="C282" s="73"/>
      <c r="D282" s="76"/>
      <c r="E282" s="63"/>
      <c r="F282" s="63"/>
      <c r="G282" s="63"/>
      <c r="H282" s="63"/>
      <c r="I282" s="63"/>
      <c r="J282" s="63"/>
      <c r="K282" s="63"/>
      <c r="L282" s="63"/>
      <c r="M282" s="63"/>
      <c r="N282" s="63"/>
      <c r="O282" s="63"/>
      <c r="P282" s="63"/>
      <c r="Q282" s="63"/>
      <c r="R282" s="63"/>
      <c r="S282" s="63"/>
      <c r="T282" s="63"/>
      <c r="U282" s="63"/>
      <c r="V282" s="63"/>
      <c r="W282" s="63"/>
      <c r="X282" s="63"/>
      <c r="Y282" s="73"/>
      <c r="Z282" s="73"/>
      <c r="AA282" s="73"/>
      <c r="AB282" s="73"/>
      <c r="AC282" s="73"/>
      <c r="AD282" s="73"/>
      <c r="AE282" s="73"/>
      <c r="AF282" s="73"/>
      <c r="AG282" s="73"/>
      <c r="AH282" s="73"/>
      <c r="AI282" s="73"/>
      <c r="AJ282" s="73"/>
      <c r="AK282" s="73"/>
      <c r="AL282" s="73"/>
      <c r="AM282" s="73"/>
      <c r="AN282" s="73"/>
      <c r="AO282" s="73"/>
      <c r="AP282" s="73"/>
      <c r="AQ282" s="73"/>
      <c r="AR282" s="73"/>
      <c r="AS282" s="73"/>
      <c r="AT282" s="73"/>
      <c r="AU282" s="73"/>
      <c r="AV282" s="73"/>
      <c r="AW282" s="73"/>
      <c r="AX282" s="73"/>
      <c r="AY282" s="73"/>
      <c r="AZ282" s="73"/>
      <c r="BA282" s="73"/>
      <c r="BB282" s="73"/>
      <c r="BC282" s="74"/>
      <c r="BD282" s="74"/>
      <c r="BE282" s="74"/>
      <c r="BF282" s="74"/>
      <c r="BG282" s="74"/>
      <c r="BH282" s="74"/>
      <c r="BI282" s="74"/>
      <c r="BJ282" s="74"/>
      <c r="BK282" s="74"/>
      <c r="BL282" s="74"/>
      <c r="BM282" s="74"/>
      <c r="BN282" s="74"/>
      <c r="BO282" s="74"/>
      <c r="BP282" s="74"/>
      <c r="BQ282" s="74"/>
      <c r="BR282" s="74"/>
      <c r="BS282" s="74"/>
      <c r="BT282" s="74"/>
      <c r="BU282" s="74"/>
      <c r="BV282" s="74"/>
      <c r="BW282" s="74"/>
      <c r="BX282" s="74"/>
    </row>
    <row r="283" spans="1:76" s="75" customFormat="1" ht="15" hidden="1" customHeight="1">
      <c r="A283" s="73"/>
      <c r="B283" s="73"/>
      <c r="C283" s="73"/>
      <c r="D283" s="76"/>
      <c r="E283" s="63"/>
      <c r="F283" s="63"/>
      <c r="G283" s="63"/>
      <c r="H283" s="63"/>
      <c r="I283" s="63"/>
      <c r="J283" s="63"/>
      <c r="K283" s="63"/>
      <c r="L283" s="63"/>
      <c r="M283" s="63"/>
      <c r="N283" s="63"/>
      <c r="O283" s="63"/>
      <c r="P283" s="63"/>
      <c r="Q283" s="63"/>
      <c r="R283" s="63"/>
      <c r="S283" s="63"/>
      <c r="T283" s="63"/>
      <c r="U283" s="63"/>
      <c r="V283" s="63"/>
      <c r="W283" s="63"/>
      <c r="X283" s="63"/>
      <c r="Y283" s="73"/>
      <c r="Z283" s="73"/>
      <c r="AA283" s="73"/>
      <c r="AB283" s="73"/>
      <c r="AC283" s="73"/>
      <c r="AD283" s="73"/>
      <c r="AE283" s="73"/>
      <c r="AF283" s="73"/>
      <c r="AG283" s="73"/>
      <c r="AH283" s="73"/>
      <c r="AI283" s="73"/>
      <c r="AJ283" s="73"/>
      <c r="AK283" s="73"/>
      <c r="AL283" s="73"/>
      <c r="AM283" s="73"/>
      <c r="AN283" s="73"/>
      <c r="AO283" s="73"/>
      <c r="AP283" s="73"/>
      <c r="AQ283" s="73"/>
      <c r="AR283" s="73"/>
      <c r="AS283" s="73"/>
      <c r="AT283" s="73"/>
      <c r="AU283" s="73"/>
      <c r="AV283" s="73"/>
      <c r="AW283" s="73"/>
      <c r="AX283" s="73"/>
      <c r="AY283" s="73"/>
      <c r="AZ283" s="73"/>
      <c r="BA283" s="73"/>
      <c r="BB283" s="73"/>
      <c r="BC283" s="74"/>
      <c r="BD283" s="74"/>
      <c r="BE283" s="74"/>
      <c r="BF283" s="74"/>
      <c r="BG283" s="74"/>
      <c r="BH283" s="74"/>
      <c r="BI283" s="74"/>
      <c r="BJ283" s="74"/>
      <c r="BK283" s="74"/>
      <c r="BL283" s="74"/>
      <c r="BM283" s="74"/>
      <c r="BN283" s="74"/>
      <c r="BO283" s="74"/>
      <c r="BP283" s="74"/>
      <c r="BQ283" s="74"/>
      <c r="BR283" s="74"/>
      <c r="BS283" s="74"/>
      <c r="BT283" s="74"/>
      <c r="BU283" s="74"/>
      <c r="BV283" s="74"/>
      <c r="BW283" s="74"/>
      <c r="BX283" s="74"/>
    </row>
    <row r="284" spans="1:76" s="75" customFormat="1" ht="15" hidden="1" customHeight="1">
      <c r="A284" s="73"/>
      <c r="B284" s="73"/>
      <c r="C284" s="73"/>
      <c r="D284" s="76"/>
      <c r="E284" s="63"/>
      <c r="F284" s="63"/>
      <c r="G284" s="63"/>
      <c r="H284" s="63"/>
      <c r="I284" s="63"/>
      <c r="J284" s="63"/>
      <c r="K284" s="63"/>
      <c r="L284" s="63"/>
      <c r="M284" s="63"/>
      <c r="N284" s="63"/>
      <c r="O284" s="63"/>
      <c r="P284" s="63"/>
      <c r="Q284" s="63"/>
      <c r="R284" s="63"/>
      <c r="S284" s="63"/>
      <c r="T284" s="63"/>
      <c r="U284" s="63"/>
      <c r="V284" s="63"/>
      <c r="W284" s="63"/>
      <c r="X284" s="63"/>
      <c r="Y284" s="73"/>
      <c r="Z284" s="73"/>
      <c r="AA284" s="73"/>
      <c r="AB284" s="73"/>
      <c r="AC284" s="73"/>
      <c r="AD284" s="73"/>
      <c r="AE284" s="73"/>
      <c r="AF284" s="73"/>
      <c r="AG284" s="73"/>
      <c r="AH284" s="73"/>
      <c r="AI284" s="73"/>
      <c r="AJ284" s="73"/>
      <c r="AK284" s="73"/>
      <c r="AL284" s="73"/>
      <c r="AM284" s="73"/>
      <c r="AN284" s="73"/>
      <c r="AO284" s="73"/>
      <c r="AP284" s="73"/>
      <c r="AQ284" s="73"/>
      <c r="AR284" s="73"/>
      <c r="AS284" s="73"/>
      <c r="AT284" s="73"/>
      <c r="AU284" s="73"/>
      <c r="AV284" s="73"/>
      <c r="AW284" s="73"/>
      <c r="AX284" s="73"/>
      <c r="AY284" s="73"/>
      <c r="AZ284" s="73"/>
      <c r="BA284" s="73"/>
      <c r="BB284" s="73"/>
      <c r="BC284" s="74"/>
      <c r="BD284" s="74"/>
      <c r="BE284" s="74"/>
      <c r="BF284" s="74"/>
      <c r="BG284" s="74"/>
      <c r="BH284" s="74"/>
      <c r="BI284" s="74"/>
      <c r="BJ284" s="74"/>
      <c r="BK284" s="74"/>
      <c r="BL284" s="74"/>
      <c r="BM284" s="74"/>
      <c r="BN284" s="74"/>
      <c r="BO284" s="74"/>
      <c r="BP284" s="74"/>
      <c r="BQ284" s="74"/>
      <c r="BR284" s="74"/>
      <c r="BS284" s="74"/>
      <c r="BT284" s="74"/>
      <c r="BU284" s="74"/>
      <c r="BV284" s="74"/>
      <c r="BW284" s="74"/>
      <c r="BX284" s="74"/>
    </row>
    <row r="285" spans="1:76" s="75" customFormat="1" ht="15" hidden="1" customHeight="1">
      <c r="A285" s="73"/>
      <c r="B285" s="73"/>
      <c r="C285" s="73"/>
      <c r="D285" s="76"/>
      <c r="E285" s="63"/>
      <c r="F285" s="63"/>
      <c r="G285" s="63"/>
      <c r="H285" s="63"/>
      <c r="I285" s="63"/>
      <c r="J285" s="63"/>
      <c r="K285" s="63"/>
      <c r="L285" s="63"/>
      <c r="M285" s="63"/>
      <c r="N285" s="63"/>
      <c r="O285" s="63"/>
      <c r="P285" s="63"/>
      <c r="Q285" s="63"/>
      <c r="R285" s="63"/>
      <c r="S285" s="63"/>
      <c r="T285" s="63"/>
      <c r="U285" s="63"/>
      <c r="V285" s="63"/>
      <c r="W285" s="63"/>
      <c r="X285" s="63"/>
      <c r="Y285" s="73"/>
      <c r="Z285" s="73"/>
      <c r="AA285" s="73"/>
      <c r="AB285" s="73"/>
      <c r="AC285" s="73"/>
      <c r="AD285" s="73"/>
      <c r="AE285" s="73"/>
      <c r="AF285" s="73"/>
      <c r="AG285" s="73"/>
      <c r="AH285" s="73"/>
      <c r="AI285" s="73"/>
      <c r="AJ285" s="73"/>
      <c r="AK285" s="73"/>
      <c r="AL285" s="73"/>
      <c r="AM285" s="73"/>
      <c r="AN285" s="73"/>
      <c r="AO285" s="73"/>
      <c r="AP285" s="73"/>
      <c r="AQ285" s="73"/>
      <c r="AR285" s="73"/>
      <c r="AS285" s="73"/>
      <c r="AT285" s="73"/>
      <c r="AU285" s="73"/>
      <c r="AV285" s="73"/>
      <c r="AW285" s="73"/>
      <c r="AX285" s="73"/>
      <c r="AY285" s="73"/>
      <c r="AZ285" s="73"/>
      <c r="BA285" s="73"/>
      <c r="BB285" s="73"/>
      <c r="BC285" s="74"/>
      <c r="BD285" s="74"/>
      <c r="BE285" s="74"/>
      <c r="BF285" s="74"/>
      <c r="BG285" s="74"/>
      <c r="BH285" s="74"/>
      <c r="BI285" s="74"/>
      <c r="BJ285" s="74"/>
      <c r="BK285" s="74"/>
      <c r="BL285" s="74"/>
      <c r="BM285" s="74"/>
      <c r="BN285" s="74"/>
      <c r="BO285" s="74"/>
      <c r="BP285" s="74"/>
      <c r="BQ285" s="74"/>
      <c r="BR285" s="74"/>
      <c r="BS285" s="74"/>
      <c r="BT285" s="74"/>
      <c r="BU285" s="74"/>
      <c r="BV285" s="74"/>
      <c r="BW285" s="74"/>
      <c r="BX285" s="74"/>
    </row>
    <row r="286" spans="1:76" s="75" customFormat="1" ht="15" hidden="1" customHeight="1">
      <c r="A286" s="73"/>
      <c r="B286" s="73"/>
      <c r="C286" s="73"/>
      <c r="D286" s="76"/>
      <c r="E286" s="63"/>
      <c r="F286" s="63"/>
      <c r="G286" s="63"/>
      <c r="H286" s="63"/>
      <c r="I286" s="63"/>
      <c r="J286" s="63"/>
      <c r="K286" s="63"/>
      <c r="L286" s="63"/>
      <c r="M286" s="63"/>
      <c r="N286" s="63"/>
      <c r="O286" s="63"/>
      <c r="P286" s="63"/>
      <c r="Q286" s="63"/>
      <c r="R286" s="63"/>
      <c r="S286" s="63"/>
      <c r="T286" s="63"/>
      <c r="U286" s="63"/>
      <c r="V286" s="63"/>
      <c r="W286" s="63"/>
      <c r="X286" s="63"/>
      <c r="Y286" s="73"/>
      <c r="Z286" s="73"/>
      <c r="AA286" s="73"/>
      <c r="AB286" s="73"/>
      <c r="AC286" s="73"/>
      <c r="AD286" s="73"/>
      <c r="AE286" s="73"/>
      <c r="AF286" s="73"/>
      <c r="AG286" s="73"/>
      <c r="AH286" s="73"/>
      <c r="AI286" s="73"/>
      <c r="AJ286" s="73"/>
      <c r="AK286" s="73"/>
      <c r="AL286" s="73"/>
      <c r="AM286" s="73"/>
      <c r="AN286" s="73"/>
      <c r="AO286" s="73"/>
      <c r="AP286" s="73"/>
      <c r="AQ286" s="73"/>
      <c r="AR286" s="73"/>
      <c r="AS286" s="73"/>
      <c r="AT286" s="73"/>
      <c r="AU286" s="73"/>
      <c r="AV286" s="73"/>
      <c r="AW286" s="73"/>
      <c r="AX286" s="73"/>
      <c r="AY286" s="73"/>
      <c r="AZ286" s="73"/>
      <c r="BA286" s="73"/>
      <c r="BB286" s="73"/>
      <c r="BC286" s="74"/>
      <c r="BD286" s="74"/>
      <c r="BE286" s="74"/>
      <c r="BF286" s="74"/>
      <c r="BG286" s="74"/>
      <c r="BH286" s="74"/>
      <c r="BI286" s="74"/>
      <c r="BJ286" s="74"/>
      <c r="BK286" s="74"/>
      <c r="BL286" s="74"/>
      <c r="BM286" s="74"/>
      <c r="BN286" s="74"/>
      <c r="BO286" s="74"/>
      <c r="BP286" s="74"/>
      <c r="BQ286" s="74"/>
      <c r="BR286" s="74"/>
      <c r="BS286" s="74"/>
      <c r="BT286" s="74"/>
      <c r="BU286" s="74"/>
      <c r="BV286" s="74"/>
      <c r="BW286" s="74"/>
      <c r="BX286" s="74"/>
    </row>
    <row r="287" spans="1:76" s="75" customFormat="1" ht="15" hidden="1" customHeight="1">
      <c r="A287" s="73"/>
      <c r="B287" s="73"/>
      <c r="C287" s="73"/>
      <c r="D287" s="76"/>
      <c r="E287" s="63"/>
      <c r="F287" s="63"/>
      <c r="G287" s="63"/>
      <c r="H287" s="63"/>
      <c r="I287" s="63"/>
      <c r="J287" s="63"/>
      <c r="K287" s="63"/>
      <c r="L287" s="63"/>
      <c r="M287" s="63"/>
      <c r="N287" s="63"/>
      <c r="O287" s="63"/>
      <c r="P287" s="63"/>
      <c r="Q287" s="63"/>
      <c r="R287" s="63"/>
      <c r="S287" s="63"/>
      <c r="T287" s="63"/>
      <c r="U287" s="63"/>
      <c r="V287" s="63"/>
      <c r="W287" s="63"/>
      <c r="X287" s="63"/>
      <c r="Y287" s="73"/>
      <c r="Z287" s="73"/>
      <c r="AA287" s="73"/>
      <c r="AB287" s="73"/>
      <c r="AC287" s="73"/>
      <c r="AD287" s="73"/>
      <c r="AE287" s="73"/>
      <c r="AF287" s="73"/>
      <c r="AG287" s="73"/>
      <c r="AH287" s="73"/>
      <c r="AI287" s="73"/>
      <c r="AJ287" s="73"/>
      <c r="AK287" s="73"/>
      <c r="AL287" s="73"/>
      <c r="AM287" s="73"/>
      <c r="AN287" s="73"/>
      <c r="AO287" s="73"/>
      <c r="AP287" s="73"/>
      <c r="AQ287" s="73"/>
      <c r="AR287" s="73"/>
      <c r="AS287" s="73"/>
      <c r="AT287" s="73"/>
      <c r="AU287" s="73"/>
      <c r="AV287" s="73"/>
      <c r="AW287" s="73"/>
      <c r="AX287" s="73"/>
      <c r="AY287" s="73"/>
      <c r="AZ287" s="73"/>
      <c r="BA287" s="73"/>
      <c r="BB287" s="73"/>
      <c r="BC287" s="74"/>
      <c r="BD287" s="74"/>
      <c r="BE287" s="74"/>
      <c r="BF287" s="74"/>
      <c r="BG287" s="74"/>
      <c r="BH287" s="74"/>
      <c r="BI287" s="74"/>
      <c r="BJ287" s="74"/>
      <c r="BK287" s="74"/>
      <c r="BL287" s="74"/>
      <c r="BM287" s="74"/>
      <c r="BN287" s="74"/>
      <c r="BO287" s="74"/>
      <c r="BP287" s="74"/>
      <c r="BQ287" s="74"/>
      <c r="BR287" s="74"/>
      <c r="BS287" s="74"/>
      <c r="BT287" s="74"/>
      <c r="BU287" s="74"/>
      <c r="BV287" s="74"/>
      <c r="BW287" s="74"/>
      <c r="BX287" s="74"/>
    </row>
    <row r="288" spans="1:76" s="75" customFormat="1" ht="15" hidden="1" customHeight="1">
      <c r="A288" s="73"/>
      <c r="B288" s="73"/>
      <c r="C288" s="73"/>
      <c r="D288" s="76"/>
      <c r="E288" s="63"/>
      <c r="F288" s="63"/>
      <c r="G288" s="63"/>
      <c r="H288" s="63"/>
      <c r="I288" s="63"/>
      <c r="J288" s="63"/>
      <c r="K288" s="63"/>
      <c r="L288" s="63"/>
      <c r="M288" s="63"/>
      <c r="N288" s="63"/>
      <c r="O288" s="63"/>
      <c r="P288" s="63"/>
      <c r="Q288" s="63"/>
      <c r="R288" s="63"/>
      <c r="S288" s="63"/>
      <c r="T288" s="63"/>
      <c r="U288" s="63"/>
      <c r="V288" s="63"/>
      <c r="W288" s="63"/>
      <c r="X288" s="63"/>
      <c r="Y288" s="73"/>
      <c r="Z288" s="73"/>
      <c r="AA288" s="73"/>
      <c r="AB288" s="73"/>
      <c r="AC288" s="73"/>
      <c r="AD288" s="73"/>
      <c r="AE288" s="73"/>
      <c r="AF288" s="73"/>
      <c r="AG288" s="73"/>
      <c r="AH288" s="73"/>
      <c r="AI288" s="73"/>
      <c r="AJ288" s="73"/>
      <c r="AK288" s="73"/>
      <c r="AL288" s="73"/>
      <c r="AM288" s="73"/>
      <c r="AN288" s="73"/>
      <c r="AO288" s="73"/>
      <c r="AP288" s="73"/>
      <c r="AQ288" s="73"/>
      <c r="AR288" s="73"/>
      <c r="AS288" s="73"/>
      <c r="AT288" s="73"/>
      <c r="AU288" s="73"/>
      <c r="AV288" s="73"/>
      <c r="AW288" s="73"/>
      <c r="AX288" s="73"/>
      <c r="AY288" s="73"/>
      <c r="AZ288" s="73"/>
      <c r="BA288" s="73"/>
      <c r="BB288" s="73"/>
      <c r="BC288" s="74"/>
      <c r="BD288" s="74"/>
      <c r="BE288" s="74"/>
      <c r="BF288" s="74"/>
      <c r="BG288" s="74"/>
      <c r="BH288" s="74"/>
      <c r="BI288" s="74"/>
      <c r="BJ288" s="74"/>
      <c r="BK288" s="74"/>
      <c r="BL288" s="74"/>
      <c r="BM288" s="74"/>
      <c r="BN288" s="74"/>
      <c r="BO288" s="74"/>
      <c r="BP288" s="74"/>
      <c r="BQ288" s="74"/>
      <c r="BR288" s="74"/>
      <c r="BS288" s="74"/>
      <c r="BT288" s="74"/>
      <c r="BU288" s="74"/>
      <c r="BV288" s="74"/>
      <c r="BW288" s="74"/>
      <c r="BX288" s="74"/>
    </row>
    <row r="289" spans="1:76" s="75" customFormat="1" ht="15" hidden="1" customHeight="1">
      <c r="A289" s="73"/>
      <c r="B289" s="73"/>
      <c r="C289" s="73"/>
      <c r="D289" s="76"/>
      <c r="E289" s="63"/>
      <c r="F289" s="63"/>
      <c r="G289" s="63"/>
      <c r="H289" s="63"/>
      <c r="I289" s="63"/>
      <c r="J289" s="63"/>
      <c r="K289" s="63"/>
      <c r="L289" s="63"/>
      <c r="M289" s="63"/>
      <c r="N289" s="63"/>
      <c r="O289" s="63"/>
      <c r="P289" s="63"/>
      <c r="Q289" s="63"/>
      <c r="R289" s="63"/>
      <c r="S289" s="63"/>
      <c r="T289" s="63"/>
      <c r="U289" s="63"/>
      <c r="V289" s="63"/>
      <c r="W289" s="63"/>
      <c r="X289" s="63"/>
      <c r="Y289" s="73"/>
      <c r="Z289" s="73"/>
      <c r="AA289" s="73"/>
      <c r="AB289" s="73"/>
      <c r="AC289" s="73"/>
      <c r="AD289" s="73"/>
      <c r="AE289" s="73"/>
      <c r="AF289" s="73"/>
      <c r="AG289" s="73"/>
      <c r="AH289" s="73"/>
      <c r="AI289" s="73"/>
      <c r="AJ289" s="73"/>
      <c r="AK289" s="73"/>
      <c r="AL289" s="73"/>
      <c r="AM289" s="73"/>
      <c r="AN289" s="73"/>
      <c r="AO289" s="73"/>
      <c r="AP289" s="73"/>
      <c r="AQ289" s="73"/>
      <c r="AR289" s="73"/>
      <c r="AS289" s="73"/>
      <c r="AT289" s="73"/>
      <c r="AU289" s="73"/>
      <c r="AV289" s="73"/>
      <c r="AW289" s="73"/>
      <c r="AX289" s="73"/>
      <c r="AY289" s="73"/>
      <c r="AZ289" s="73"/>
      <c r="BA289" s="73"/>
      <c r="BB289" s="73"/>
      <c r="BC289" s="74"/>
      <c r="BD289" s="74"/>
      <c r="BE289" s="74"/>
      <c r="BF289" s="74"/>
      <c r="BG289" s="74"/>
      <c r="BH289" s="74"/>
      <c r="BI289" s="74"/>
      <c r="BJ289" s="74"/>
      <c r="BK289" s="74"/>
      <c r="BL289" s="74"/>
      <c r="BM289" s="74"/>
      <c r="BN289" s="74"/>
      <c r="BO289" s="74"/>
      <c r="BP289" s="74"/>
      <c r="BQ289" s="74"/>
      <c r="BR289" s="74"/>
      <c r="BS289" s="74"/>
      <c r="BT289" s="74"/>
      <c r="BU289" s="74"/>
      <c r="BV289" s="74"/>
      <c r="BW289" s="74"/>
      <c r="BX289" s="74"/>
    </row>
    <row r="290" spans="1:76" s="75" customFormat="1" ht="15" hidden="1" customHeight="1">
      <c r="A290" s="73"/>
      <c r="B290" s="73"/>
      <c r="C290" s="73"/>
      <c r="D290" s="76"/>
      <c r="E290" s="63"/>
      <c r="F290" s="63"/>
      <c r="G290" s="63"/>
      <c r="H290" s="63"/>
      <c r="I290" s="63"/>
      <c r="J290" s="63"/>
      <c r="K290" s="63"/>
      <c r="L290" s="63"/>
      <c r="M290" s="63"/>
      <c r="N290" s="63"/>
      <c r="O290" s="63"/>
      <c r="P290" s="63"/>
      <c r="Q290" s="63"/>
      <c r="R290" s="63"/>
      <c r="S290" s="63"/>
      <c r="T290" s="63"/>
      <c r="U290" s="63"/>
      <c r="V290" s="63"/>
      <c r="W290" s="63"/>
      <c r="X290" s="63"/>
      <c r="Y290" s="73"/>
      <c r="Z290" s="73"/>
      <c r="AA290" s="73"/>
      <c r="AB290" s="73"/>
      <c r="AC290" s="73"/>
      <c r="AD290" s="73"/>
      <c r="AE290" s="73"/>
      <c r="AF290" s="73"/>
      <c r="AG290" s="73"/>
      <c r="AH290" s="73"/>
      <c r="AI290" s="73"/>
      <c r="AJ290" s="73"/>
      <c r="AK290" s="73"/>
      <c r="AL290" s="73"/>
      <c r="AM290" s="73"/>
      <c r="AN290" s="73"/>
      <c r="AO290" s="73"/>
      <c r="AP290" s="73"/>
      <c r="AQ290" s="73"/>
      <c r="AR290" s="73"/>
      <c r="AS290" s="73"/>
      <c r="AT290" s="73"/>
      <c r="AU290" s="73"/>
      <c r="AV290" s="73"/>
      <c r="AW290" s="73"/>
      <c r="AX290" s="73"/>
      <c r="AY290" s="73"/>
      <c r="AZ290" s="73"/>
      <c r="BA290" s="73"/>
      <c r="BB290" s="73"/>
      <c r="BC290" s="74"/>
      <c r="BD290" s="74"/>
      <c r="BE290" s="74"/>
      <c r="BF290" s="74"/>
      <c r="BG290" s="74"/>
      <c r="BH290" s="74"/>
      <c r="BI290" s="74"/>
      <c r="BJ290" s="74"/>
      <c r="BK290" s="74"/>
      <c r="BL290" s="74"/>
      <c r="BM290" s="74"/>
      <c r="BN290" s="74"/>
      <c r="BO290" s="74"/>
      <c r="BP290" s="74"/>
      <c r="BQ290" s="74"/>
      <c r="BR290" s="74"/>
      <c r="BS290" s="74"/>
      <c r="BT290" s="74"/>
      <c r="BU290" s="74"/>
      <c r="BV290" s="74"/>
      <c r="BW290" s="74"/>
      <c r="BX290" s="74"/>
    </row>
    <row r="291" spans="1:76" s="75" customFormat="1" ht="15" hidden="1" customHeight="1">
      <c r="A291" s="73"/>
      <c r="B291" s="73"/>
      <c r="C291" s="73"/>
      <c r="D291" s="76"/>
      <c r="E291" s="63"/>
      <c r="F291" s="63"/>
      <c r="G291" s="63"/>
      <c r="H291" s="63"/>
      <c r="I291" s="63"/>
      <c r="J291" s="63"/>
      <c r="K291" s="63"/>
      <c r="L291" s="63"/>
      <c r="M291" s="63"/>
      <c r="N291" s="63"/>
      <c r="O291" s="63"/>
      <c r="P291" s="63"/>
      <c r="Q291" s="63"/>
      <c r="R291" s="63"/>
      <c r="S291" s="63"/>
      <c r="T291" s="63"/>
      <c r="U291" s="63"/>
      <c r="V291" s="63"/>
      <c r="W291" s="63"/>
      <c r="X291" s="63"/>
      <c r="Y291" s="73"/>
      <c r="Z291" s="73"/>
      <c r="AA291" s="73"/>
      <c r="AB291" s="73"/>
      <c r="AC291" s="73"/>
      <c r="AD291" s="73"/>
      <c r="AE291" s="73"/>
      <c r="AF291" s="73"/>
      <c r="AG291" s="73"/>
      <c r="AH291" s="73"/>
      <c r="AI291" s="73"/>
      <c r="AJ291" s="73"/>
      <c r="AK291" s="73"/>
      <c r="AL291" s="73"/>
      <c r="AM291" s="73"/>
      <c r="AN291" s="73"/>
      <c r="AO291" s="73"/>
      <c r="AP291" s="73"/>
      <c r="AQ291" s="73"/>
      <c r="AR291" s="73"/>
      <c r="AS291" s="73"/>
      <c r="AT291" s="73"/>
      <c r="AU291" s="73"/>
      <c r="AV291" s="73"/>
      <c r="AW291" s="73"/>
      <c r="AX291" s="73"/>
      <c r="AY291" s="73"/>
      <c r="AZ291" s="73"/>
      <c r="BA291" s="73"/>
      <c r="BB291" s="73"/>
      <c r="BC291" s="74"/>
      <c r="BD291" s="74"/>
      <c r="BE291" s="74"/>
      <c r="BF291" s="74"/>
      <c r="BG291" s="74"/>
      <c r="BH291" s="74"/>
      <c r="BI291" s="74"/>
      <c r="BJ291" s="74"/>
      <c r="BK291" s="74"/>
      <c r="BL291" s="74"/>
      <c r="BM291" s="74"/>
      <c r="BN291" s="74"/>
      <c r="BO291" s="74"/>
      <c r="BP291" s="74"/>
      <c r="BQ291" s="74"/>
      <c r="BR291" s="74"/>
      <c r="BS291" s="74"/>
      <c r="BT291" s="74"/>
      <c r="BU291" s="74"/>
      <c r="BV291" s="74"/>
      <c r="BW291" s="74"/>
      <c r="BX291" s="74"/>
    </row>
    <row r="292" spans="1:76" s="75" customFormat="1" ht="15" hidden="1" customHeight="1">
      <c r="A292" s="73"/>
      <c r="B292" s="73"/>
      <c r="C292" s="73"/>
      <c r="D292" s="76"/>
      <c r="E292" s="63"/>
      <c r="F292" s="63"/>
      <c r="G292" s="63"/>
      <c r="H292" s="63"/>
      <c r="I292" s="63"/>
      <c r="J292" s="63"/>
      <c r="K292" s="63"/>
      <c r="L292" s="63"/>
      <c r="M292" s="63"/>
      <c r="N292" s="63"/>
      <c r="O292" s="63"/>
      <c r="P292" s="63"/>
      <c r="Q292" s="63"/>
      <c r="R292" s="63"/>
      <c r="S292" s="63"/>
      <c r="T292" s="63"/>
      <c r="U292" s="63"/>
      <c r="V292" s="63"/>
      <c r="W292" s="63"/>
      <c r="X292" s="63"/>
      <c r="Y292" s="73"/>
      <c r="Z292" s="73"/>
      <c r="AA292" s="73"/>
      <c r="AB292" s="73"/>
      <c r="AC292" s="73"/>
      <c r="AD292" s="73"/>
      <c r="AE292" s="73"/>
      <c r="AF292" s="73"/>
      <c r="AG292" s="73"/>
      <c r="AH292" s="73"/>
      <c r="AI292" s="73"/>
      <c r="AJ292" s="73"/>
      <c r="AK292" s="73"/>
      <c r="AL292" s="73"/>
      <c r="AM292" s="73"/>
      <c r="AN292" s="73"/>
      <c r="AO292" s="73"/>
      <c r="AP292" s="73"/>
      <c r="AQ292" s="73"/>
      <c r="AR292" s="73"/>
      <c r="AS292" s="73"/>
      <c r="AT292" s="73"/>
      <c r="AU292" s="73"/>
      <c r="AV292" s="73"/>
      <c r="AW292" s="73"/>
      <c r="AX292" s="73"/>
      <c r="AY292" s="73"/>
      <c r="AZ292" s="73"/>
      <c r="BA292" s="73"/>
      <c r="BB292" s="73"/>
      <c r="BC292" s="74"/>
      <c r="BD292" s="74"/>
      <c r="BE292" s="74"/>
      <c r="BF292" s="74"/>
      <c r="BG292" s="74"/>
      <c r="BH292" s="74"/>
      <c r="BI292" s="74"/>
      <c r="BJ292" s="74"/>
      <c r="BK292" s="74"/>
      <c r="BL292" s="74"/>
      <c r="BM292" s="74"/>
      <c r="BN292" s="74"/>
      <c r="BO292" s="74"/>
      <c r="BP292" s="74"/>
      <c r="BQ292" s="74"/>
      <c r="BR292" s="74"/>
      <c r="BS292" s="74"/>
      <c r="BT292" s="74"/>
      <c r="BU292" s="74"/>
      <c r="BV292" s="74"/>
      <c r="BW292" s="74"/>
      <c r="BX292" s="74"/>
    </row>
    <row r="293" spans="1:76" s="75" customFormat="1" ht="15" hidden="1" customHeight="1">
      <c r="A293" s="73"/>
      <c r="B293" s="73"/>
      <c r="C293" s="73"/>
      <c r="D293" s="76"/>
      <c r="E293" s="63"/>
      <c r="F293" s="63"/>
      <c r="G293" s="63"/>
      <c r="H293" s="63"/>
      <c r="I293" s="63"/>
      <c r="J293" s="63"/>
      <c r="K293" s="63"/>
      <c r="L293" s="63"/>
      <c r="M293" s="63"/>
      <c r="N293" s="63"/>
      <c r="O293" s="63"/>
      <c r="P293" s="63"/>
      <c r="Q293" s="63"/>
      <c r="R293" s="63"/>
      <c r="S293" s="63"/>
      <c r="T293" s="63"/>
      <c r="U293" s="63"/>
      <c r="V293" s="63"/>
      <c r="W293" s="63"/>
      <c r="X293" s="63"/>
      <c r="Y293" s="73"/>
      <c r="Z293" s="73"/>
      <c r="AA293" s="73"/>
      <c r="AB293" s="73"/>
      <c r="AC293" s="73"/>
      <c r="AD293" s="73"/>
      <c r="AE293" s="73"/>
      <c r="AF293" s="73"/>
      <c r="AG293" s="73"/>
      <c r="AH293" s="73"/>
      <c r="AI293" s="73"/>
      <c r="AJ293" s="73"/>
      <c r="AK293" s="73"/>
      <c r="AL293" s="73"/>
      <c r="AM293" s="73"/>
      <c r="AN293" s="73"/>
      <c r="AO293" s="73"/>
      <c r="AP293" s="73"/>
      <c r="AQ293" s="73"/>
      <c r="AR293" s="73"/>
      <c r="AS293" s="73"/>
      <c r="AT293" s="73"/>
      <c r="AU293" s="73"/>
      <c r="AV293" s="73"/>
      <c r="AW293" s="73"/>
      <c r="AX293" s="73"/>
      <c r="AY293" s="73"/>
      <c r="AZ293" s="73"/>
      <c r="BA293" s="73"/>
      <c r="BB293" s="73"/>
      <c r="BC293" s="74"/>
      <c r="BD293" s="74"/>
      <c r="BE293" s="74"/>
      <c r="BF293" s="74"/>
      <c r="BG293" s="74"/>
      <c r="BH293" s="74"/>
      <c r="BI293" s="74"/>
      <c r="BJ293" s="74"/>
      <c r="BK293" s="74"/>
      <c r="BL293" s="74"/>
      <c r="BM293" s="74"/>
      <c r="BN293" s="74"/>
      <c r="BO293" s="74"/>
      <c r="BP293" s="74"/>
      <c r="BQ293" s="74"/>
      <c r="BR293" s="74"/>
      <c r="BS293" s="74"/>
      <c r="BT293" s="74"/>
      <c r="BU293" s="74"/>
      <c r="BV293" s="74"/>
      <c r="BW293" s="74"/>
      <c r="BX293" s="74"/>
    </row>
    <row r="294" spans="1:76" s="75" customFormat="1" ht="15" hidden="1" customHeight="1">
      <c r="A294" s="73"/>
      <c r="B294" s="73"/>
      <c r="C294" s="73"/>
      <c r="D294" s="76"/>
      <c r="E294" s="63"/>
      <c r="F294" s="63"/>
      <c r="G294" s="63"/>
      <c r="H294" s="63"/>
      <c r="I294" s="63"/>
      <c r="J294" s="63"/>
      <c r="K294" s="63"/>
      <c r="L294" s="63"/>
      <c r="M294" s="63"/>
      <c r="N294" s="63"/>
      <c r="O294" s="63"/>
      <c r="P294" s="63"/>
      <c r="Q294" s="63"/>
      <c r="R294" s="63"/>
      <c r="S294" s="63"/>
      <c r="T294" s="63"/>
      <c r="U294" s="63"/>
      <c r="V294" s="63"/>
      <c r="W294" s="63"/>
      <c r="X294" s="63"/>
      <c r="Y294" s="73"/>
      <c r="Z294" s="73"/>
      <c r="AA294" s="73"/>
      <c r="AB294" s="73"/>
      <c r="AC294" s="73"/>
      <c r="AD294" s="73"/>
      <c r="AE294" s="73"/>
      <c r="AF294" s="73"/>
      <c r="AG294" s="73"/>
      <c r="AH294" s="73"/>
      <c r="AI294" s="73"/>
      <c r="AJ294" s="73"/>
      <c r="AK294" s="73"/>
      <c r="AL294" s="73"/>
      <c r="AM294" s="73"/>
      <c r="AN294" s="73"/>
      <c r="AO294" s="73"/>
      <c r="AP294" s="73"/>
      <c r="AQ294" s="73"/>
      <c r="AR294" s="73"/>
      <c r="AS294" s="73"/>
      <c r="AT294" s="73"/>
      <c r="AU294" s="73"/>
      <c r="AV294" s="73"/>
      <c r="AW294" s="73"/>
      <c r="AX294" s="73"/>
      <c r="AY294" s="73"/>
      <c r="AZ294" s="73"/>
      <c r="BA294" s="73"/>
      <c r="BB294" s="73"/>
      <c r="BC294" s="74"/>
      <c r="BD294" s="74"/>
      <c r="BE294" s="74"/>
      <c r="BF294" s="74"/>
      <c r="BG294" s="74"/>
      <c r="BH294" s="74"/>
      <c r="BI294" s="74"/>
      <c r="BJ294" s="74"/>
      <c r="BK294" s="74"/>
      <c r="BL294" s="74"/>
      <c r="BM294" s="74"/>
      <c r="BN294" s="74"/>
      <c r="BO294" s="74"/>
      <c r="BP294" s="74"/>
      <c r="BQ294" s="74"/>
      <c r="BR294" s="74"/>
      <c r="BS294" s="74"/>
      <c r="BT294" s="74"/>
      <c r="BU294" s="74"/>
      <c r="BV294" s="74"/>
      <c r="BW294" s="74"/>
      <c r="BX294" s="74"/>
    </row>
    <row r="295" spans="1:76" s="75" customFormat="1" ht="15" hidden="1" customHeight="1">
      <c r="A295" s="73"/>
      <c r="B295" s="73"/>
      <c r="C295" s="73"/>
      <c r="D295" s="76"/>
      <c r="E295" s="63"/>
      <c r="F295" s="63"/>
      <c r="G295" s="63"/>
      <c r="H295" s="63"/>
      <c r="I295" s="63"/>
      <c r="J295" s="63"/>
      <c r="K295" s="63"/>
      <c r="L295" s="63"/>
      <c r="M295" s="63"/>
      <c r="N295" s="63"/>
      <c r="O295" s="63"/>
      <c r="P295" s="63"/>
      <c r="Q295" s="63"/>
      <c r="R295" s="63"/>
      <c r="S295" s="63"/>
      <c r="T295" s="63"/>
      <c r="U295" s="63"/>
      <c r="V295" s="63"/>
      <c r="W295" s="63"/>
      <c r="X295" s="63"/>
      <c r="Y295" s="73"/>
      <c r="Z295" s="73"/>
      <c r="AA295" s="73"/>
      <c r="AB295" s="73"/>
      <c r="AC295" s="73"/>
      <c r="AD295" s="73"/>
      <c r="AE295" s="73"/>
      <c r="AF295" s="73"/>
      <c r="AG295" s="73"/>
      <c r="AH295" s="73"/>
      <c r="AI295" s="73"/>
      <c r="AJ295" s="73"/>
      <c r="AK295" s="73"/>
      <c r="AL295" s="73"/>
      <c r="AM295" s="73"/>
      <c r="AN295" s="73"/>
      <c r="AO295" s="73"/>
      <c r="AP295" s="73"/>
      <c r="AQ295" s="73"/>
      <c r="AR295" s="73"/>
      <c r="AS295" s="73"/>
      <c r="AT295" s="73"/>
      <c r="AU295" s="73"/>
      <c r="AV295" s="73"/>
      <c r="AW295" s="73"/>
      <c r="AX295" s="73"/>
      <c r="AY295" s="73"/>
      <c r="AZ295" s="73"/>
      <c r="BA295" s="73"/>
      <c r="BB295" s="73"/>
      <c r="BC295" s="74"/>
      <c r="BD295" s="74"/>
      <c r="BE295" s="74"/>
      <c r="BF295" s="74"/>
      <c r="BG295" s="74"/>
      <c r="BH295" s="74"/>
      <c r="BI295" s="74"/>
      <c r="BJ295" s="74"/>
      <c r="BK295" s="74"/>
      <c r="BL295" s="74"/>
      <c r="BM295" s="74"/>
      <c r="BN295" s="74"/>
      <c r="BO295" s="74"/>
      <c r="BP295" s="74"/>
      <c r="BQ295" s="74"/>
      <c r="BR295" s="74"/>
      <c r="BS295" s="74"/>
      <c r="BT295" s="74"/>
      <c r="BU295" s="74"/>
      <c r="BV295" s="74"/>
      <c r="BW295" s="74"/>
      <c r="BX295" s="74"/>
    </row>
    <row r="296" spans="1:76" s="75" customFormat="1" ht="15" hidden="1" customHeight="1">
      <c r="A296" s="73"/>
      <c r="B296" s="73"/>
      <c r="C296" s="73"/>
      <c r="D296" s="76"/>
      <c r="E296" s="63"/>
      <c r="F296" s="63"/>
      <c r="G296" s="63"/>
      <c r="H296" s="63"/>
      <c r="I296" s="63"/>
      <c r="J296" s="63"/>
      <c r="K296" s="63"/>
      <c r="L296" s="63"/>
      <c r="M296" s="63"/>
      <c r="N296" s="63"/>
      <c r="O296" s="63"/>
      <c r="P296" s="63"/>
      <c r="Q296" s="63"/>
      <c r="R296" s="63"/>
      <c r="S296" s="63"/>
      <c r="T296" s="63"/>
      <c r="U296" s="63"/>
      <c r="V296" s="63"/>
      <c r="W296" s="63"/>
      <c r="X296" s="63"/>
      <c r="Y296" s="73"/>
      <c r="Z296" s="73"/>
      <c r="AA296" s="73"/>
      <c r="AB296" s="73"/>
      <c r="AC296" s="73"/>
      <c r="AD296" s="73"/>
      <c r="AE296" s="73"/>
      <c r="AF296" s="73"/>
      <c r="AG296" s="73"/>
      <c r="AH296" s="73"/>
      <c r="AI296" s="73"/>
      <c r="AJ296" s="73"/>
      <c r="AK296" s="73"/>
      <c r="AL296" s="73"/>
      <c r="AM296" s="73"/>
      <c r="AN296" s="73"/>
      <c r="AO296" s="73"/>
      <c r="AP296" s="73"/>
      <c r="AQ296" s="73"/>
      <c r="AR296" s="73"/>
      <c r="AS296" s="73"/>
      <c r="AT296" s="73"/>
      <c r="AU296" s="73"/>
      <c r="AV296" s="73"/>
      <c r="AW296" s="73"/>
      <c r="AX296" s="73"/>
      <c r="AY296" s="73"/>
      <c r="AZ296" s="73"/>
      <c r="BA296" s="73"/>
      <c r="BB296" s="73"/>
      <c r="BC296" s="74"/>
      <c r="BD296" s="74"/>
      <c r="BE296" s="74"/>
      <c r="BF296" s="74"/>
      <c r="BG296" s="74"/>
      <c r="BH296" s="74"/>
      <c r="BI296" s="74"/>
      <c r="BJ296" s="74"/>
      <c r="BK296" s="74"/>
      <c r="BL296" s="74"/>
      <c r="BM296" s="74"/>
      <c r="BN296" s="74"/>
      <c r="BO296" s="74"/>
      <c r="BP296" s="74"/>
      <c r="BQ296" s="74"/>
      <c r="BR296" s="74"/>
      <c r="BS296" s="74"/>
      <c r="BT296" s="74"/>
      <c r="BU296" s="74"/>
      <c r="BV296" s="74"/>
      <c r="BW296" s="74"/>
      <c r="BX296" s="74"/>
    </row>
    <row r="297" spans="1:76" s="75" customFormat="1" ht="15" hidden="1" customHeight="1">
      <c r="A297" s="73"/>
      <c r="B297" s="73"/>
      <c r="C297" s="73"/>
      <c r="D297" s="76"/>
      <c r="E297" s="63"/>
      <c r="F297" s="63"/>
      <c r="G297" s="63"/>
      <c r="H297" s="63"/>
      <c r="I297" s="63"/>
      <c r="J297" s="63"/>
      <c r="K297" s="63"/>
      <c r="L297" s="63"/>
      <c r="M297" s="63"/>
      <c r="N297" s="63"/>
      <c r="O297" s="63"/>
      <c r="P297" s="63"/>
      <c r="Q297" s="63"/>
      <c r="R297" s="63"/>
      <c r="S297" s="63"/>
      <c r="T297" s="63"/>
      <c r="U297" s="63"/>
      <c r="V297" s="63"/>
      <c r="W297" s="63"/>
      <c r="X297" s="63"/>
      <c r="Y297" s="73"/>
      <c r="Z297" s="73"/>
      <c r="AA297" s="73"/>
      <c r="AB297" s="73"/>
      <c r="AC297" s="73"/>
      <c r="AD297" s="73"/>
      <c r="AE297" s="73"/>
      <c r="AF297" s="73"/>
      <c r="AG297" s="73"/>
      <c r="AH297" s="73"/>
      <c r="AI297" s="73"/>
      <c r="AJ297" s="73"/>
      <c r="AK297" s="73"/>
      <c r="AL297" s="73"/>
      <c r="AM297" s="73"/>
      <c r="AN297" s="73"/>
      <c r="AO297" s="73"/>
      <c r="AP297" s="73"/>
      <c r="AQ297" s="73"/>
      <c r="AR297" s="73"/>
      <c r="AS297" s="73"/>
      <c r="AT297" s="73"/>
      <c r="AU297" s="73"/>
      <c r="AV297" s="73"/>
      <c r="AW297" s="73"/>
      <c r="AX297" s="73"/>
      <c r="AY297" s="73"/>
      <c r="AZ297" s="73"/>
      <c r="BA297" s="73"/>
      <c r="BB297" s="73"/>
      <c r="BC297" s="74"/>
      <c r="BD297" s="74"/>
      <c r="BE297" s="74"/>
      <c r="BF297" s="74"/>
      <c r="BG297" s="74"/>
      <c r="BH297" s="74"/>
      <c r="BI297" s="74"/>
      <c r="BJ297" s="74"/>
      <c r="BK297" s="74"/>
      <c r="BL297" s="74"/>
      <c r="BM297" s="74"/>
      <c r="BN297" s="74"/>
      <c r="BO297" s="74"/>
      <c r="BP297" s="74"/>
      <c r="BQ297" s="74"/>
      <c r="BR297" s="74"/>
      <c r="BS297" s="74"/>
      <c r="BT297" s="74"/>
      <c r="BU297" s="74"/>
      <c r="BV297" s="74"/>
      <c r="BW297" s="74"/>
      <c r="BX297" s="74"/>
    </row>
    <row r="298" spans="1:76" s="75" customFormat="1" ht="15" hidden="1" customHeight="1">
      <c r="A298" s="73"/>
      <c r="B298" s="73"/>
      <c r="C298" s="73"/>
      <c r="D298" s="76"/>
      <c r="E298" s="63"/>
      <c r="F298" s="63"/>
      <c r="G298" s="63"/>
      <c r="H298" s="63"/>
      <c r="I298" s="63"/>
      <c r="J298" s="63"/>
      <c r="K298" s="63"/>
      <c r="L298" s="63"/>
      <c r="M298" s="63"/>
      <c r="N298" s="63"/>
      <c r="O298" s="63"/>
      <c r="P298" s="63"/>
      <c r="Q298" s="63"/>
      <c r="R298" s="63"/>
      <c r="S298" s="63"/>
      <c r="T298" s="63"/>
      <c r="U298" s="63"/>
      <c r="V298" s="63"/>
      <c r="W298" s="63"/>
      <c r="X298" s="63"/>
      <c r="Y298" s="73"/>
      <c r="Z298" s="73"/>
      <c r="AA298" s="73"/>
      <c r="AB298" s="73"/>
      <c r="AC298" s="73"/>
      <c r="AD298" s="73"/>
      <c r="AE298" s="73"/>
      <c r="AF298" s="73"/>
      <c r="AG298" s="73"/>
      <c r="AH298" s="73"/>
      <c r="AI298" s="73"/>
      <c r="AJ298" s="73"/>
      <c r="AK298" s="73"/>
      <c r="AL298" s="73"/>
      <c r="AM298" s="73"/>
      <c r="AN298" s="73"/>
      <c r="AO298" s="73"/>
      <c r="AP298" s="73"/>
      <c r="AQ298" s="73"/>
      <c r="AR298" s="73"/>
      <c r="AS298" s="73"/>
      <c r="AT298" s="73"/>
      <c r="AU298" s="73"/>
      <c r="AV298" s="73"/>
      <c r="AW298" s="73"/>
      <c r="AX298" s="73"/>
      <c r="AY298" s="73"/>
      <c r="AZ298" s="73"/>
      <c r="BA298" s="73"/>
      <c r="BB298" s="73"/>
      <c r="BC298" s="74"/>
      <c r="BD298" s="74"/>
      <c r="BE298" s="74"/>
      <c r="BF298" s="74"/>
      <c r="BG298" s="74"/>
      <c r="BH298" s="74"/>
      <c r="BI298" s="74"/>
      <c r="BJ298" s="74"/>
      <c r="BK298" s="74"/>
      <c r="BL298" s="74"/>
      <c r="BM298" s="74"/>
      <c r="BN298" s="74"/>
      <c r="BO298" s="74"/>
      <c r="BP298" s="74"/>
      <c r="BQ298" s="74"/>
      <c r="BR298" s="74"/>
      <c r="BS298" s="74"/>
      <c r="BT298" s="74"/>
      <c r="BU298" s="74"/>
      <c r="BV298" s="74"/>
      <c r="BW298" s="74"/>
      <c r="BX298" s="74"/>
    </row>
    <row r="299" spans="1:76" s="75" customFormat="1" ht="15" hidden="1" customHeight="1">
      <c r="A299" s="73"/>
      <c r="B299" s="73"/>
      <c r="C299" s="73"/>
      <c r="D299" s="76"/>
      <c r="E299" s="63"/>
      <c r="F299" s="63"/>
      <c r="G299" s="63"/>
      <c r="H299" s="63"/>
      <c r="I299" s="63"/>
      <c r="J299" s="63"/>
      <c r="K299" s="63"/>
      <c r="L299" s="63"/>
      <c r="M299" s="63"/>
      <c r="N299" s="63"/>
      <c r="O299" s="63"/>
      <c r="P299" s="63"/>
      <c r="Q299" s="63"/>
      <c r="R299" s="63"/>
      <c r="S299" s="63"/>
      <c r="T299" s="63"/>
      <c r="U299" s="63"/>
      <c r="V299" s="63"/>
      <c r="W299" s="63"/>
      <c r="X299" s="63"/>
      <c r="Y299" s="73"/>
      <c r="Z299" s="73"/>
      <c r="AA299" s="73"/>
      <c r="AB299" s="73"/>
      <c r="AC299" s="73"/>
      <c r="AD299" s="73"/>
      <c r="AE299" s="73"/>
      <c r="AF299" s="73"/>
      <c r="AG299" s="73"/>
      <c r="AH299" s="73"/>
      <c r="AI299" s="73"/>
      <c r="AJ299" s="73"/>
      <c r="AK299" s="73"/>
      <c r="AL299" s="73"/>
      <c r="AM299" s="73"/>
      <c r="AN299" s="73"/>
      <c r="AO299" s="73"/>
      <c r="AP299" s="73"/>
      <c r="AQ299" s="73"/>
      <c r="AR299" s="73"/>
      <c r="AS299" s="73"/>
      <c r="AT299" s="73"/>
      <c r="AU299" s="73"/>
      <c r="AV299" s="73"/>
      <c r="AW299" s="73"/>
      <c r="AX299" s="73"/>
      <c r="AY299" s="73"/>
      <c r="AZ299" s="73"/>
      <c r="BA299" s="73"/>
      <c r="BB299" s="73"/>
      <c r="BC299" s="74"/>
      <c r="BD299" s="74"/>
      <c r="BE299" s="74"/>
      <c r="BF299" s="74"/>
      <c r="BG299" s="74"/>
      <c r="BH299" s="74"/>
      <c r="BI299" s="74"/>
      <c r="BJ299" s="74"/>
      <c r="BK299" s="74"/>
      <c r="BL299" s="74"/>
      <c r="BM299" s="74"/>
      <c r="BN299" s="74"/>
      <c r="BO299" s="74"/>
      <c r="BP299" s="74"/>
      <c r="BQ299" s="74"/>
      <c r="BR299" s="74"/>
      <c r="BS299" s="74"/>
      <c r="BT299" s="74"/>
      <c r="BU299" s="74"/>
      <c r="BV299" s="74"/>
      <c r="BW299" s="74"/>
      <c r="BX299" s="74"/>
    </row>
    <row r="300" spans="1:76" s="75" customFormat="1" ht="15" hidden="1" customHeight="1">
      <c r="A300" s="73"/>
      <c r="B300" s="73"/>
      <c r="C300" s="73"/>
      <c r="D300" s="76"/>
      <c r="E300" s="63"/>
      <c r="F300" s="63"/>
      <c r="G300" s="63"/>
      <c r="H300" s="63"/>
      <c r="I300" s="63"/>
      <c r="J300" s="63"/>
      <c r="K300" s="63"/>
      <c r="L300" s="63"/>
      <c r="M300" s="63"/>
      <c r="N300" s="63"/>
      <c r="O300" s="63"/>
      <c r="P300" s="63"/>
      <c r="Q300" s="63"/>
      <c r="R300" s="63"/>
      <c r="S300" s="63"/>
      <c r="T300" s="63"/>
      <c r="U300" s="63"/>
      <c r="V300" s="63"/>
      <c r="W300" s="63"/>
      <c r="X300" s="63"/>
      <c r="Y300" s="73"/>
      <c r="Z300" s="73"/>
      <c r="AA300" s="73"/>
      <c r="AB300" s="73"/>
      <c r="AC300" s="73"/>
      <c r="AD300" s="73"/>
      <c r="AE300" s="73"/>
      <c r="AF300" s="73"/>
      <c r="AG300" s="73"/>
      <c r="AH300" s="73"/>
      <c r="AI300" s="73"/>
      <c r="AJ300" s="73"/>
      <c r="AK300" s="73"/>
      <c r="AL300" s="73"/>
      <c r="AM300" s="73"/>
      <c r="AN300" s="73"/>
      <c r="AO300" s="73"/>
      <c r="AP300" s="73"/>
      <c r="AQ300" s="73"/>
      <c r="AR300" s="73"/>
      <c r="AS300" s="73"/>
      <c r="AT300" s="73"/>
      <c r="AU300" s="73"/>
      <c r="AV300" s="73"/>
      <c r="AW300" s="73"/>
      <c r="AX300" s="73"/>
      <c r="AY300" s="73"/>
      <c r="AZ300" s="73"/>
      <c r="BA300" s="73"/>
      <c r="BB300" s="73"/>
      <c r="BC300" s="74"/>
      <c r="BD300" s="74"/>
      <c r="BE300" s="74"/>
      <c r="BF300" s="74"/>
      <c r="BG300" s="74"/>
      <c r="BH300" s="74"/>
      <c r="BI300" s="74"/>
      <c r="BJ300" s="74"/>
      <c r="BK300" s="74"/>
      <c r="BL300" s="74"/>
      <c r="BM300" s="74"/>
      <c r="BN300" s="74"/>
      <c r="BO300" s="74"/>
      <c r="BP300" s="74"/>
      <c r="BQ300" s="74"/>
      <c r="BR300" s="74"/>
      <c r="BS300" s="74"/>
      <c r="BT300" s="74"/>
      <c r="BU300" s="74"/>
      <c r="BV300" s="74"/>
      <c r="BW300" s="74"/>
      <c r="BX300" s="74"/>
    </row>
    <row r="301" spans="1:76" s="75" customFormat="1" ht="15" hidden="1" customHeight="1">
      <c r="A301" s="73"/>
      <c r="B301" s="73"/>
      <c r="C301" s="73"/>
      <c r="D301" s="76"/>
      <c r="E301" s="63"/>
      <c r="F301" s="63"/>
      <c r="G301" s="63"/>
      <c r="H301" s="63"/>
      <c r="I301" s="63"/>
      <c r="J301" s="63"/>
      <c r="K301" s="63"/>
      <c r="L301" s="63"/>
      <c r="M301" s="63"/>
      <c r="N301" s="63"/>
      <c r="O301" s="63"/>
      <c r="P301" s="63"/>
      <c r="Q301" s="63"/>
      <c r="R301" s="63"/>
      <c r="S301" s="63"/>
      <c r="T301" s="63"/>
      <c r="U301" s="63"/>
      <c r="V301" s="63"/>
      <c r="W301" s="63"/>
      <c r="X301" s="63"/>
      <c r="Y301" s="73"/>
      <c r="Z301" s="73"/>
      <c r="AA301" s="73"/>
      <c r="AB301" s="73"/>
      <c r="AC301" s="73"/>
      <c r="AD301" s="73"/>
      <c r="AE301" s="73"/>
      <c r="AF301" s="73"/>
      <c r="AG301" s="73"/>
      <c r="AH301" s="73"/>
      <c r="AI301" s="73"/>
      <c r="AJ301" s="73"/>
      <c r="AK301" s="73"/>
      <c r="AL301" s="73"/>
      <c r="AM301" s="73"/>
      <c r="AN301" s="73"/>
      <c r="AO301" s="73"/>
      <c r="AP301" s="73"/>
      <c r="AQ301" s="73"/>
      <c r="AR301" s="73"/>
      <c r="AS301" s="73"/>
      <c r="AT301" s="73"/>
      <c r="AU301" s="73"/>
      <c r="AV301" s="73"/>
      <c r="AW301" s="73"/>
      <c r="AX301" s="73"/>
      <c r="AY301" s="73"/>
      <c r="AZ301" s="73"/>
      <c r="BA301" s="73"/>
      <c r="BB301" s="73"/>
      <c r="BC301" s="74"/>
      <c r="BD301" s="74"/>
      <c r="BE301" s="74"/>
      <c r="BF301" s="74"/>
      <c r="BG301" s="74"/>
      <c r="BH301" s="74"/>
      <c r="BI301" s="74"/>
      <c r="BJ301" s="74"/>
      <c r="BK301" s="74"/>
      <c r="BL301" s="74"/>
      <c r="BM301" s="74"/>
      <c r="BN301" s="74"/>
      <c r="BO301" s="74"/>
      <c r="BP301" s="74"/>
      <c r="BQ301" s="74"/>
      <c r="BR301" s="74"/>
      <c r="BS301" s="74"/>
      <c r="BT301" s="74"/>
      <c r="BU301" s="74"/>
      <c r="BV301" s="74"/>
      <c r="BW301" s="74"/>
      <c r="BX301" s="74"/>
    </row>
    <row r="302" spans="1:76" s="75" customFormat="1" ht="15" hidden="1" customHeight="1">
      <c r="A302" s="73"/>
      <c r="B302" s="73"/>
      <c r="C302" s="73"/>
      <c r="D302" s="76"/>
      <c r="E302" s="63"/>
      <c r="F302" s="63"/>
      <c r="G302" s="63"/>
      <c r="H302" s="63"/>
      <c r="I302" s="63"/>
      <c r="J302" s="63"/>
      <c r="K302" s="63"/>
      <c r="L302" s="63"/>
      <c r="M302" s="63"/>
      <c r="N302" s="63"/>
      <c r="O302" s="63"/>
      <c r="P302" s="63"/>
      <c r="Q302" s="63"/>
      <c r="R302" s="63"/>
      <c r="S302" s="63"/>
      <c r="T302" s="63"/>
      <c r="U302" s="63"/>
      <c r="V302" s="63"/>
      <c r="W302" s="63"/>
      <c r="X302" s="63"/>
      <c r="Y302" s="73"/>
      <c r="Z302" s="73"/>
      <c r="AA302" s="73"/>
      <c r="AB302" s="73"/>
      <c r="AC302" s="73"/>
      <c r="AD302" s="73"/>
      <c r="AE302" s="73"/>
      <c r="AF302" s="73"/>
      <c r="AG302" s="73"/>
      <c r="AH302" s="73"/>
      <c r="AI302" s="73"/>
      <c r="AJ302" s="73"/>
      <c r="AK302" s="73"/>
      <c r="AL302" s="73"/>
      <c r="AM302" s="73"/>
      <c r="AN302" s="73"/>
      <c r="AO302" s="73"/>
      <c r="AP302" s="73"/>
      <c r="AQ302" s="73"/>
      <c r="AR302" s="73"/>
      <c r="AS302" s="73"/>
      <c r="AT302" s="73"/>
      <c r="AU302" s="73"/>
      <c r="AV302" s="73"/>
      <c r="AW302" s="73"/>
      <c r="AX302" s="73"/>
      <c r="AY302" s="73"/>
      <c r="AZ302" s="73"/>
      <c r="BA302" s="73"/>
      <c r="BB302" s="73"/>
      <c r="BC302" s="74"/>
      <c r="BD302" s="74"/>
      <c r="BE302" s="74"/>
      <c r="BF302" s="74"/>
      <c r="BG302" s="74"/>
      <c r="BH302" s="74"/>
      <c r="BI302" s="74"/>
      <c r="BJ302" s="74"/>
      <c r="BK302" s="74"/>
      <c r="BL302" s="74"/>
      <c r="BM302" s="74"/>
      <c r="BN302" s="74"/>
      <c r="BO302" s="74"/>
      <c r="BP302" s="74"/>
      <c r="BQ302" s="74"/>
      <c r="BR302" s="74"/>
      <c r="BS302" s="74"/>
      <c r="BT302" s="74"/>
      <c r="BU302" s="74"/>
      <c r="BV302" s="74"/>
      <c r="BW302" s="74"/>
      <c r="BX302" s="74"/>
    </row>
    <row r="303" spans="1:76" s="75" customFormat="1" ht="15" hidden="1" customHeight="1">
      <c r="A303" s="73"/>
      <c r="B303" s="73"/>
      <c r="C303" s="73"/>
      <c r="D303" s="76"/>
      <c r="E303" s="63"/>
      <c r="F303" s="63"/>
      <c r="G303" s="63"/>
      <c r="H303" s="63"/>
      <c r="I303" s="63"/>
      <c r="J303" s="63"/>
      <c r="K303" s="63"/>
      <c r="L303" s="63"/>
      <c r="M303" s="63"/>
      <c r="N303" s="63"/>
      <c r="O303" s="63"/>
      <c r="P303" s="63"/>
      <c r="Q303" s="63"/>
      <c r="R303" s="63"/>
      <c r="S303" s="63"/>
      <c r="T303" s="63"/>
      <c r="U303" s="63"/>
      <c r="V303" s="63"/>
      <c r="W303" s="63"/>
      <c r="X303" s="63"/>
      <c r="Y303" s="73"/>
      <c r="Z303" s="73"/>
      <c r="AA303" s="73"/>
      <c r="AB303" s="73"/>
      <c r="AC303" s="73"/>
      <c r="AD303" s="73"/>
      <c r="AE303" s="73"/>
      <c r="AF303" s="73"/>
      <c r="AG303" s="73"/>
      <c r="AH303" s="73"/>
      <c r="AI303" s="73"/>
      <c r="AJ303" s="73"/>
      <c r="AK303" s="73"/>
      <c r="AL303" s="73"/>
      <c r="AM303" s="73"/>
      <c r="AN303" s="73"/>
      <c r="AO303" s="73"/>
      <c r="AP303" s="73"/>
      <c r="AQ303" s="73"/>
      <c r="AR303" s="73"/>
      <c r="AS303" s="73"/>
      <c r="AT303" s="73"/>
      <c r="AU303" s="73"/>
      <c r="AV303" s="73"/>
      <c r="AW303" s="73"/>
      <c r="AX303" s="73"/>
      <c r="AY303" s="73"/>
      <c r="AZ303" s="73"/>
      <c r="BA303" s="73"/>
      <c r="BB303" s="73"/>
      <c r="BC303" s="74"/>
      <c r="BD303" s="74"/>
      <c r="BE303" s="74"/>
      <c r="BF303" s="74"/>
      <c r="BG303" s="74"/>
      <c r="BH303" s="74"/>
      <c r="BI303" s="74"/>
      <c r="BJ303" s="74"/>
      <c r="BK303" s="74"/>
      <c r="BL303" s="74"/>
      <c r="BM303" s="74"/>
      <c r="BN303" s="74"/>
      <c r="BO303" s="74"/>
      <c r="BP303" s="74"/>
      <c r="BQ303" s="74"/>
      <c r="BR303" s="74"/>
      <c r="BS303" s="74"/>
      <c r="BT303" s="74"/>
      <c r="BU303" s="74"/>
      <c r="BV303" s="74"/>
      <c r="BW303" s="74"/>
      <c r="BX303" s="74"/>
    </row>
    <row r="304" spans="1:76" s="75" customFormat="1" ht="15" hidden="1" customHeight="1">
      <c r="A304" s="73"/>
      <c r="B304" s="73"/>
      <c r="C304" s="73"/>
      <c r="D304" s="76"/>
      <c r="E304" s="63"/>
      <c r="F304" s="63"/>
      <c r="G304" s="63"/>
      <c r="H304" s="63"/>
      <c r="I304" s="63"/>
      <c r="J304" s="63"/>
      <c r="K304" s="63"/>
      <c r="L304" s="63"/>
      <c r="M304" s="63"/>
      <c r="N304" s="63"/>
      <c r="O304" s="63"/>
      <c r="P304" s="63"/>
      <c r="Q304" s="63"/>
      <c r="R304" s="63"/>
      <c r="S304" s="63"/>
      <c r="T304" s="63"/>
      <c r="U304" s="63"/>
      <c r="V304" s="63"/>
      <c r="W304" s="63"/>
      <c r="X304" s="63"/>
      <c r="Y304" s="73"/>
      <c r="Z304" s="73"/>
      <c r="AA304" s="73"/>
      <c r="AB304" s="73"/>
      <c r="AC304" s="73"/>
      <c r="AD304" s="73"/>
      <c r="AE304" s="73"/>
      <c r="AF304" s="73"/>
      <c r="AG304" s="73"/>
      <c r="AH304" s="73"/>
      <c r="AI304" s="73"/>
      <c r="AJ304" s="73"/>
      <c r="AK304" s="73"/>
      <c r="AL304" s="73"/>
      <c r="AM304" s="73"/>
      <c r="AN304" s="73"/>
      <c r="AO304" s="73"/>
      <c r="AP304" s="73"/>
      <c r="AQ304" s="73"/>
      <c r="AR304" s="73"/>
      <c r="AS304" s="73"/>
      <c r="AT304" s="73"/>
      <c r="AU304" s="73"/>
      <c r="AV304" s="73"/>
      <c r="AW304" s="73"/>
      <c r="AX304" s="73"/>
      <c r="AY304" s="73"/>
      <c r="AZ304" s="73"/>
      <c r="BA304" s="73"/>
      <c r="BB304" s="73"/>
      <c r="BC304" s="74"/>
      <c r="BD304" s="74"/>
      <c r="BE304" s="74"/>
      <c r="BF304" s="74"/>
      <c r="BG304" s="74"/>
      <c r="BH304" s="74"/>
      <c r="BI304" s="74"/>
      <c r="BJ304" s="74"/>
      <c r="BK304" s="74"/>
      <c r="BL304" s="74"/>
      <c r="BM304" s="74"/>
      <c r="BN304" s="74"/>
      <c r="BO304" s="74"/>
      <c r="BP304" s="74"/>
      <c r="BQ304" s="74"/>
      <c r="BR304" s="74"/>
      <c r="BS304" s="74"/>
      <c r="BT304" s="74"/>
      <c r="BU304" s="74"/>
      <c r="BV304" s="74"/>
      <c r="BW304" s="74"/>
      <c r="BX304" s="74"/>
    </row>
    <row r="305" spans="1:76" s="81" customFormat="1" ht="15" hidden="1" customHeight="1">
      <c r="A305" s="77"/>
      <c r="B305" s="77"/>
      <c r="C305" s="77"/>
      <c r="D305" s="78"/>
      <c r="E305" s="79"/>
      <c r="F305" s="79"/>
      <c r="G305" s="79"/>
      <c r="H305" s="79"/>
      <c r="I305" s="79"/>
      <c r="J305" s="79"/>
      <c r="K305" s="79"/>
      <c r="L305" s="79"/>
      <c r="M305" s="79"/>
      <c r="N305" s="79"/>
      <c r="O305" s="79"/>
      <c r="P305" s="79"/>
      <c r="Q305" s="79"/>
      <c r="R305" s="79"/>
      <c r="S305" s="79"/>
      <c r="T305" s="79"/>
      <c r="U305" s="79"/>
      <c r="V305" s="79"/>
      <c r="W305" s="79"/>
      <c r="X305" s="79"/>
      <c r="Y305" s="77"/>
      <c r="Z305" s="77"/>
      <c r="AA305" s="77"/>
      <c r="AB305" s="77"/>
      <c r="AC305" s="77"/>
      <c r="AD305" s="77"/>
      <c r="AE305" s="77"/>
      <c r="AF305" s="77"/>
      <c r="AG305" s="77"/>
      <c r="AH305" s="77"/>
      <c r="AI305" s="77"/>
      <c r="AJ305" s="77"/>
      <c r="AK305" s="77"/>
      <c r="AL305" s="77"/>
      <c r="AM305" s="77"/>
      <c r="AN305" s="77"/>
      <c r="AO305" s="77"/>
      <c r="AP305" s="77"/>
      <c r="AQ305" s="77"/>
      <c r="AR305" s="77"/>
      <c r="AS305" s="77"/>
      <c r="AT305" s="77"/>
      <c r="AU305" s="77"/>
      <c r="AV305" s="77"/>
      <c r="AW305" s="77"/>
      <c r="AX305" s="77"/>
      <c r="AY305" s="77"/>
      <c r="AZ305" s="77"/>
      <c r="BA305" s="77"/>
      <c r="BB305" s="77"/>
      <c r="BC305" s="80"/>
      <c r="BD305" s="80"/>
      <c r="BE305" s="80"/>
      <c r="BF305" s="80"/>
      <c r="BG305" s="80"/>
      <c r="BH305" s="80"/>
      <c r="BI305" s="80"/>
      <c r="BJ305" s="80"/>
      <c r="BK305" s="80"/>
      <c r="BL305" s="80"/>
      <c r="BM305" s="80"/>
      <c r="BN305" s="80"/>
      <c r="BO305" s="80"/>
      <c r="BP305" s="80"/>
      <c r="BQ305" s="80"/>
      <c r="BR305" s="80"/>
      <c r="BS305" s="80"/>
      <c r="BT305" s="80"/>
      <c r="BU305" s="80"/>
      <c r="BV305" s="80"/>
      <c r="BW305" s="80"/>
      <c r="BX305" s="80"/>
    </row>
    <row r="306" spans="1:76" s="81" customFormat="1" ht="15" hidden="1" customHeight="1">
      <c r="A306" s="77"/>
      <c r="B306" s="77"/>
      <c r="C306" s="77"/>
      <c r="D306" s="78"/>
      <c r="E306" s="79"/>
      <c r="F306" s="79"/>
      <c r="G306" s="79"/>
      <c r="H306" s="79"/>
      <c r="I306" s="79"/>
      <c r="J306" s="79"/>
      <c r="K306" s="79"/>
      <c r="L306" s="79"/>
      <c r="M306" s="79"/>
      <c r="N306" s="79"/>
      <c r="O306" s="79"/>
      <c r="P306" s="79"/>
      <c r="Q306" s="79"/>
      <c r="R306" s="79"/>
      <c r="S306" s="79"/>
      <c r="T306" s="79"/>
      <c r="U306" s="79"/>
      <c r="V306" s="79"/>
      <c r="W306" s="79"/>
      <c r="X306" s="79"/>
      <c r="Y306" s="77"/>
      <c r="Z306" s="77"/>
      <c r="AA306" s="77"/>
      <c r="AB306" s="77"/>
      <c r="AC306" s="77"/>
      <c r="AD306" s="77"/>
      <c r="AE306" s="77"/>
      <c r="AF306" s="77"/>
      <c r="AG306" s="77"/>
      <c r="AH306" s="77"/>
      <c r="AI306" s="77"/>
      <c r="AJ306" s="77"/>
      <c r="AK306" s="77"/>
      <c r="AL306" s="77"/>
      <c r="AM306" s="77"/>
      <c r="AN306" s="77"/>
      <c r="AO306" s="77"/>
      <c r="AP306" s="77"/>
      <c r="AQ306" s="77"/>
      <c r="AR306" s="77"/>
      <c r="AS306" s="77"/>
      <c r="AT306" s="77"/>
      <c r="AU306" s="77"/>
      <c r="AV306" s="77"/>
      <c r="AW306" s="77"/>
      <c r="AX306" s="77"/>
      <c r="AY306" s="77"/>
      <c r="AZ306" s="77"/>
      <c r="BA306" s="77"/>
      <c r="BB306" s="77"/>
      <c r="BC306" s="80"/>
      <c r="BD306" s="80"/>
      <c r="BE306" s="80"/>
      <c r="BF306" s="80"/>
      <c r="BG306" s="80"/>
      <c r="BH306" s="80"/>
      <c r="BI306" s="80"/>
      <c r="BJ306" s="80"/>
      <c r="BK306" s="80"/>
      <c r="BL306" s="80"/>
      <c r="BM306" s="80"/>
      <c r="BN306" s="80"/>
      <c r="BO306" s="80"/>
      <c r="BP306" s="80"/>
      <c r="BQ306" s="80"/>
      <c r="BR306" s="80"/>
      <c r="BS306" s="80"/>
      <c r="BT306" s="80"/>
      <c r="BU306" s="80"/>
      <c r="BV306" s="80"/>
      <c r="BW306" s="80"/>
      <c r="BX306" s="80"/>
    </row>
    <row r="307" spans="1:76" s="81" customFormat="1" ht="15" hidden="1" customHeight="1">
      <c r="A307" s="77"/>
      <c r="B307" s="77"/>
      <c r="C307" s="77"/>
      <c r="D307" s="78"/>
      <c r="E307" s="79"/>
      <c r="F307" s="79"/>
      <c r="G307" s="79"/>
      <c r="H307" s="79"/>
      <c r="I307" s="79"/>
      <c r="J307" s="79"/>
      <c r="K307" s="79"/>
      <c r="L307" s="79"/>
      <c r="M307" s="79"/>
      <c r="N307" s="79"/>
      <c r="O307" s="79"/>
      <c r="P307" s="79"/>
      <c r="Q307" s="79"/>
      <c r="R307" s="79"/>
      <c r="S307" s="79"/>
      <c r="T307" s="79"/>
      <c r="U307" s="79"/>
      <c r="V307" s="79"/>
      <c r="W307" s="79"/>
      <c r="X307" s="79"/>
      <c r="Y307" s="77"/>
      <c r="Z307" s="77"/>
      <c r="AA307" s="77"/>
      <c r="AB307" s="77"/>
      <c r="AC307" s="77"/>
      <c r="AD307" s="77"/>
      <c r="AE307" s="77"/>
      <c r="AF307" s="77"/>
      <c r="AG307" s="77"/>
      <c r="AH307" s="77"/>
      <c r="AI307" s="77"/>
      <c r="AJ307" s="77"/>
      <c r="AK307" s="77"/>
      <c r="AL307" s="77"/>
      <c r="AM307" s="77"/>
      <c r="AN307" s="77"/>
      <c r="AO307" s="77"/>
      <c r="AP307" s="77"/>
      <c r="AQ307" s="77"/>
      <c r="AR307" s="77"/>
      <c r="AS307" s="77"/>
      <c r="AT307" s="77"/>
      <c r="AU307" s="77"/>
      <c r="AV307" s="77"/>
      <c r="AW307" s="77"/>
      <c r="AX307" s="77"/>
      <c r="AY307" s="77"/>
      <c r="AZ307" s="77"/>
      <c r="BA307" s="77"/>
      <c r="BB307" s="77"/>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row>
    <row r="308" spans="1:76" s="81" customFormat="1" ht="15" hidden="1" customHeight="1">
      <c r="A308" s="77"/>
      <c r="B308" s="77"/>
      <c r="C308" s="77"/>
      <c r="D308" s="78"/>
      <c r="E308" s="79"/>
      <c r="F308" s="79"/>
      <c r="G308" s="79"/>
      <c r="H308" s="79"/>
      <c r="I308" s="79"/>
      <c r="J308" s="79"/>
      <c r="K308" s="79"/>
      <c r="L308" s="79"/>
      <c r="M308" s="79"/>
      <c r="N308" s="79"/>
      <c r="O308" s="79"/>
      <c r="P308" s="79"/>
      <c r="Q308" s="79"/>
      <c r="R308" s="79"/>
      <c r="S308" s="79"/>
      <c r="T308" s="79"/>
      <c r="U308" s="79"/>
      <c r="V308" s="79"/>
      <c r="W308" s="79"/>
      <c r="X308" s="79"/>
      <c r="Y308" s="77"/>
      <c r="Z308" s="77"/>
      <c r="AA308" s="77"/>
      <c r="AB308" s="77"/>
      <c r="AC308" s="77"/>
      <c r="AD308" s="77"/>
      <c r="AE308" s="77"/>
      <c r="AF308" s="77"/>
      <c r="AG308" s="77"/>
      <c r="AH308" s="77"/>
      <c r="AI308" s="77"/>
      <c r="AJ308" s="77"/>
      <c r="AK308" s="77"/>
      <c r="AL308" s="77"/>
      <c r="AM308" s="77"/>
      <c r="AN308" s="77"/>
      <c r="AO308" s="77"/>
      <c r="AP308" s="77"/>
      <c r="AQ308" s="77"/>
      <c r="AR308" s="77"/>
      <c r="AS308" s="77"/>
      <c r="AT308" s="77"/>
      <c r="AU308" s="77"/>
      <c r="AV308" s="77"/>
      <c r="AW308" s="77"/>
      <c r="AX308" s="77"/>
      <c r="AY308" s="77"/>
      <c r="AZ308" s="77"/>
      <c r="BA308" s="77"/>
      <c r="BB308" s="77"/>
      <c r="BC308" s="80"/>
      <c r="BD308" s="80"/>
      <c r="BE308" s="80"/>
      <c r="BF308" s="80"/>
      <c r="BG308" s="80"/>
      <c r="BH308" s="80"/>
      <c r="BI308" s="80"/>
      <c r="BJ308" s="80"/>
      <c r="BK308" s="80"/>
      <c r="BL308" s="80"/>
      <c r="BM308" s="80"/>
      <c r="BN308" s="80"/>
      <c r="BO308" s="80"/>
      <c r="BP308" s="80"/>
      <c r="BQ308" s="80"/>
      <c r="BR308" s="80"/>
      <c r="BS308" s="80"/>
      <c r="BT308" s="80"/>
      <c r="BU308" s="80"/>
      <c r="BV308" s="80"/>
      <c r="BW308" s="80"/>
      <c r="BX308" s="80"/>
    </row>
    <row r="309" spans="1:76" s="81" customFormat="1" ht="15" hidden="1" customHeight="1">
      <c r="A309" s="77"/>
      <c r="B309" s="77"/>
      <c r="C309" s="77"/>
      <c r="D309" s="78"/>
      <c r="E309" s="79"/>
      <c r="F309" s="79"/>
      <c r="G309" s="79"/>
      <c r="H309" s="79"/>
      <c r="I309" s="79"/>
      <c r="J309" s="79"/>
      <c r="K309" s="79"/>
      <c r="L309" s="79"/>
      <c r="M309" s="79"/>
      <c r="N309" s="79"/>
      <c r="O309" s="79"/>
      <c r="P309" s="79"/>
      <c r="Q309" s="79"/>
      <c r="R309" s="79"/>
      <c r="S309" s="79"/>
      <c r="T309" s="79"/>
      <c r="U309" s="79"/>
      <c r="V309" s="79"/>
      <c r="W309" s="79"/>
      <c r="X309" s="79"/>
      <c r="Y309" s="77"/>
      <c r="Z309" s="77"/>
      <c r="AA309" s="77"/>
      <c r="AB309" s="77"/>
      <c r="AC309" s="77"/>
      <c r="AD309" s="77"/>
      <c r="AE309" s="77"/>
      <c r="AF309" s="77"/>
      <c r="AG309" s="77"/>
      <c r="AH309" s="77"/>
      <c r="AI309" s="77"/>
      <c r="AJ309" s="77"/>
      <c r="AK309" s="77"/>
      <c r="AL309" s="77"/>
      <c r="AM309" s="77"/>
      <c r="AN309" s="77"/>
      <c r="AO309" s="77"/>
      <c r="AP309" s="77"/>
      <c r="AQ309" s="77"/>
      <c r="AR309" s="77"/>
      <c r="AS309" s="77"/>
      <c r="AT309" s="77"/>
      <c r="AU309" s="77"/>
      <c r="AV309" s="77"/>
      <c r="AW309" s="77"/>
      <c r="AX309" s="77"/>
      <c r="AY309" s="77"/>
      <c r="AZ309" s="77"/>
      <c r="BA309" s="77"/>
      <c r="BB309" s="77"/>
      <c r="BC309" s="80"/>
      <c r="BD309" s="80"/>
      <c r="BE309" s="80"/>
      <c r="BF309" s="80"/>
      <c r="BG309" s="80"/>
      <c r="BH309" s="80"/>
      <c r="BI309" s="80"/>
      <c r="BJ309" s="80"/>
      <c r="BK309" s="80"/>
      <c r="BL309" s="80"/>
      <c r="BM309" s="80"/>
      <c r="BN309" s="80"/>
      <c r="BO309" s="80"/>
      <c r="BP309" s="80"/>
      <c r="BQ309" s="80"/>
      <c r="BR309" s="80"/>
      <c r="BS309" s="80"/>
      <c r="BT309" s="80"/>
      <c r="BU309" s="80"/>
      <c r="BV309" s="80"/>
      <c r="BW309" s="80"/>
      <c r="BX309" s="80"/>
    </row>
    <row r="310" spans="1:76" s="81" customFormat="1" ht="15" hidden="1" customHeight="1">
      <c r="A310" s="77"/>
      <c r="B310" s="77"/>
      <c r="C310" s="77"/>
      <c r="D310" s="78"/>
      <c r="E310" s="79"/>
      <c r="F310" s="79"/>
      <c r="G310" s="79"/>
      <c r="H310" s="79"/>
      <c r="I310" s="79"/>
      <c r="J310" s="79"/>
      <c r="K310" s="79"/>
      <c r="L310" s="79"/>
      <c r="M310" s="79"/>
      <c r="N310" s="79"/>
      <c r="O310" s="79"/>
      <c r="P310" s="79"/>
      <c r="Q310" s="79"/>
      <c r="R310" s="79"/>
      <c r="S310" s="79"/>
      <c r="T310" s="79"/>
      <c r="U310" s="79"/>
      <c r="V310" s="79"/>
      <c r="W310" s="79"/>
      <c r="X310" s="79"/>
      <c r="Y310" s="77"/>
      <c r="Z310" s="77"/>
      <c r="AA310" s="77"/>
      <c r="AB310" s="77"/>
      <c r="AC310" s="77"/>
      <c r="AD310" s="77"/>
      <c r="AE310" s="77"/>
      <c r="AF310" s="77"/>
      <c r="AG310" s="77"/>
      <c r="AH310" s="77"/>
      <c r="AI310" s="77"/>
      <c r="AJ310" s="77"/>
      <c r="AK310" s="77"/>
      <c r="AL310" s="77"/>
      <c r="AM310" s="77"/>
      <c r="AN310" s="77"/>
      <c r="AO310" s="77"/>
      <c r="AP310" s="77"/>
      <c r="AQ310" s="77"/>
      <c r="AR310" s="77"/>
      <c r="AS310" s="77"/>
      <c r="AT310" s="77"/>
      <c r="AU310" s="77"/>
      <c r="AV310" s="77"/>
      <c r="AW310" s="77"/>
      <c r="AX310" s="77"/>
      <c r="AY310" s="77"/>
      <c r="AZ310" s="77"/>
      <c r="BA310" s="77"/>
      <c r="BB310" s="77"/>
      <c r="BC310" s="80"/>
      <c r="BD310" s="80"/>
      <c r="BE310" s="80"/>
      <c r="BF310" s="80"/>
      <c r="BG310" s="80"/>
      <c r="BH310" s="80"/>
      <c r="BI310" s="80"/>
      <c r="BJ310" s="80"/>
      <c r="BK310" s="80"/>
      <c r="BL310" s="80"/>
      <c r="BM310" s="80"/>
      <c r="BN310" s="80"/>
      <c r="BO310" s="80"/>
      <c r="BP310" s="80"/>
      <c r="BQ310" s="80"/>
      <c r="BR310" s="80"/>
      <c r="BS310" s="80"/>
      <c r="BT310" s="80"/>
      <c r="BU310" s="80"/>
      <c r="BV310" s="80"/>
      <c r="BW310" s="80"/>
      <c r="BX310" s="80"/>
    </row>
    <row r="311" spans="1:76" s="81" customFormat="1" ht="15" hidden="1" customHeight="1">
      <c r="A311" s="77"/>
      <c r="B311" s="77"/>
      <c r="C311" s="77"/>
      <c r="D311" s="78"/>
      <c r="E311" s="79"/>
      <c r="F311" s="79"/>
      <c r="G311" s="79"/>
      <c r="H311" s="79"/>
      <c r="I311" s="79"/>
      <c r="J311" s="79"/>
      <c r="K311" s="79"/>
      <c r="L311" s="79"/>
      <c r="M311" s="79"/>
      <c r="N311" s="79"/>
      <c r="O311" s="79"/>
      <c r="P311" s="79"/>
      <c r="Q311" s="79"/>
      <c r="R311" s="79"/>
      <c r="S311" s="79"/>
      <c r="T311" s="79"/>
      <c r="U311" s="79"/>
      <c r="V311" s="79"/>
      <c r="W311" s="79"/>
      <c r="X311" s="79"/>
      <c r="Y311" s="77"/>
      <c r="Z311" s="77"/>
      <c r="AA311" s="77"/>
      <c r="AB311" s="77"/>
      <c r="AC311" s="77"/>
      <c r="AD311" s="77"/>
      <c r="AE311" s="77"/>
      <c r="AF311" s="77"/>
      <c r="AG311" s="77"/>
      <c r="AH311" s="77"/>
      <c r="AI311" s="77"/>
      <c r="AJ311" s="77"/>
      <c r="AK311" s="77"/>
      <c r="AL311" s="77"/>
      <c r="AM311" s="77"/>
      <c r="AN311" s="77"/>
      <c r="AO311" s="77"/>
      <c r="AP311" s="77"/>
      <c r="AQ311" s="77"/>
      <c r="AR311" s="77"/>
      <c r="AS311" s="77"/>
      <c r="AT311" s="77"/>
      <c r="AU311" s="77"/>
      <c r="AV311" s="77"/>
      <c r="AW311" s="77"/>
      <c r="AX311" s="77"/>
      <c r="AY311" s="77"/>
      <c r="AZ311" s="77"/>
      <c r="BA311" s="77"/>
      <c r="BB311" s="77"/>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row>
    <row r="312" spans="1:76" s="81" customFormat="1" ht="15" hidden="1" customHeight="1">
      <c r="A312" s="77"/>
      <c r="B312" s="77"/>
      <c r="C312" s="77"/>
      <c r="D312" s="78"/>
      <c r="E312" s="79"/>
      <c r="F312" s="79"/>
      <c r="G312" s="79"/>
      <c r="H312" s="79"/>
      <c r="I312" s="79"/>
      <c r="J312" s="79"/>
      <c r="K312" s="79"/>
      <c r="L312" s="79"/>
      <c r="M312" s="79"/>
      <c r="N312" s="79"/>
      <c r="O312" s="79"/>
      <c r="P312" s="79"/>
      <c r="Q312" s="79"/>
      <c r="R312" s="79"/>
      <c r="S312" s="79"/>
      <c r="T312" s="79"/>
      <c r="U312" s="79"/>
      <c r="V312" s="79"/>
      <c r="W312" s="79"/>
      <c r="X312" s="79"/>
      <c r="Y312" s="77"/>
      <c r="Z312" s="77"/>
      <c r="AA312" s="77"/>
      <c r="AB312" s="77"/>
      <c r="AC312" s="77"/>
      <c r="AD312" s="77"/>
      <c r="AE312" s="77"/>
      <c r="AF312" s="77"/>
      <c r="AG312" s="77"/>
      <c r="AH312" s="77"/>
      <c r="AI312" s="77"/>
      <c r="AJ312" s="77"/>
      <c r="AK312" s="77"/>
      <c r="AL312" s="77"/>
      <c r="AM312" s="77"/>
      <c r="AN312" s="77"/>
      <c r="AO312" s="77"/>
      <c r="AP312" s="77"/>
      <c r="AQ312" s="77"/>
      <c r="AR312" s="77"/>
      <c r="AS312" s="77"/>
      <c r="AT312" s="77"/>
      <c r="AU312" s="77"/>
      <c r="AV312" s="77"/>
      <c r="AW312" s="77"/>
      <c r="AX312" s="77"/>
      <c r="AY312" s="77"/>
      <c r="AZ312" s="77"/>
      <c r="BA312" s="77"/>
      <c r="BB312" s="77"/>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row>
    <row r="313" spans="1:76" s="81" customFormat="1" ht="15" hidden="1" customHeight="1">
      <c r="A313" s="77"/>
      <c r="B313" s="77"/>
      <c r="C313" s="77"/>
      <c r="D313" s="78"/>
      <c r="E313" s="79"/>
      <c r="F313" s="79"/>
      <c r="G313" s="79"/>
      <c r="H313" s="79"/>
      <c r="I313" s="79"/>
      <c r="J313" s="79"/>
      <c r="K313" s="79"/>
      <c r="L313" s="79"/>
      <c r="M313" s="79"/>
      <c r="N313" s="79"/>
      <c r="O313" s="79"/>
      <c r="P313" s="79"/>
      <c r="Q313" s="79"/>
      <c r="R313" s="79"/>
      <c r="S313" s="79"/>
      <c r="T313" s="79"/>
      <c r="U313" s="79"/>
      <c r="V313" s="79"/>
      <c r="W313" s="79"/>
      <c r="X313" s="79"/>
      <c r="Y313" s="77"/>
      <c r="Z313" s="77"/>
      <c r="AA313" s="77"/>
      <c r="AB313" s="77"/>
      <c r="AC313" s="77"/>
      <c r="AD313" s="77"/>
      <c r="AE313" s="77"/>
      <c r="AF313" s="77"/>
      <c r="AG313" s="77"/>
      <c r="AH313" s="77"/>
      <c r="AI313" s="77"/>
      <c r="AJ313" s="77"/>
      <c r="AK313" s="77"/>
      <c r="AL313" s="77"/>
      <c r="AM313" s="77"/>
      <c r="AN313" s="77"/>
      <c r="AO313" s="77"/>
      <c r="AP313" s="77"/>
      <c r="AQ313" s="77"/>
      <c r="AR313" s="77"/>
      <c r="AS313" s="77"/>
      <c r="AT313" s="77"/>
      <c r="AU313" s="77"/>
      <c r="AV313" s="77"/>
      <c r="AW313" s="77"/>
      <c r="AX313" s="77"/>
      <c r="AY313" s="77"/>
      <c r="AZ313" s="77"/>
      <c r="BA313" s="77"/>
      <c r="BB313" s="77"/>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row>
    <row r="314" spans="1:76" s="81" customFormat="1" ht="15" hidden="1" customHeight="1">
      <c r="A314" s="77"/>
      <c r="B314" s="77"/>
      <c r="C314" s="77"/>
      <c r="D314" s="78"/>
      <c r="E314" s="79"/>
      <c r="F314" s="79"/>
      <c r="G314" s="79"/>
      <c r="H314" s="79"/>
      <c r="I314" s="79"/>
      <c r="J314" s="79"/>
      <c r="K314" s="79"/>
      <c r="L314" s="79"/>
      <c r="M314" s="79"/>
      <c r="N314" s="79"/>
      <c r="O314" s="79"/>
      <c r="P314" s="79"/>
      <c r="Q314" s="79"/>
      <c r="R314" s="79"/>
      <c r="S314" s="79"/>
      <c r="T314" s="79"/>
      <c r="U314" s="79"/>
      <c r="V314" s="79"/>
      <c r="W314" s="79"/>
      <c r="X314" s="79"/>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row>
    <row r="315" spans="1:76" s="81" customFormat="1" ht="15" hidden="1" customHeight="1">
      <c r="A315" s="77"/>
      <c r="B315" s="77"/>
      <c r="C315" s="77"/>
      <c r="D315" s="78"/>
      <c r="E315" s="79"/>
      <c r="F315" s="79"/>
      <c r="G315" s="79"/>
      <c r="H315" s="79"/>
      <c r="I315" s="79"/>
      <c r="J315" s="79"/>
      <c r="K315" s="79"/>
      <c r="L315" s="79"/>
      <c r="M315" s="79"/>
      <c r="N315" s="79"/>
      <c r="O315" s="79"/>
      <c r="P315" s="79"/>
      <c r="Q315" s="79"/>
      <c r="R315" s="79"/>
      <c r="S315" s="79"/>
      <c r="T315" s="79"/>
      <c r="U315" s="79"/>
      <c r="V315" s="79"/>
      <c r="W315" s="79"/>
      <c r="X315" s="79"/>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row>
    <row r="316" spans="1:76" s="81" customFormat="1" ht="15" hidden="1" customHeight="1">
      <c r="A316" s="77"/>
      <c r="B316" s="77"/>
      <c r="C316" s="77"/>
      <c r="D316" s="78"/>
      <c r="E316" s="79"/>
      <c r="F316" s="79"/>
      <c r="G316" s="79"/>
      <c r="H316" s="79"/>
      <c r="I316" s="79"/>
      <c r="J316" s="79"/>
      <c r="K316" s="79"/>
      <c r="L316" s="79"/>
      <c r="M316" s="79"/>
      <c r="N316" s="79"/>
      <c r="O316" s="79"/>
      <c r="P316" s="79"/>
      <c r="Q316" s="79"/>
      <c r="R316" s="79"/>
      <c r="S316" s="79"/>
      <c r="T316" s="79"/>
      <c r="U316" s="79"/>
      <c r="V316" s="79"/>
      <c r="W316" s="79"/>
      <c r="X316" s="79"/>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row>
    <row r="317" spans="1:76" s="81" customFormat="1" ht="15" hidden="1" customHeight="1">
      <c r="A317" s="77"/>
      <c r="B317" s="77"/>
      <c r="C317" s="77"/>
      <c r="D317" s="78"/>
      <c r="E317" s="79"/>
      <c r="F317" s="79"/>
      <c r="G317" s="79"/>
      <c r="H317" s="79"/>
      <c r="I317" s="79"/>
      <c r="J317" s="79"/>
      <c r="K317" s="79"/>
      <c r="L317" s="79"/>
      <c r="M317" s="79"/>
      <c r="N317" s="79"/>
      <c r="O317" s="79"/>
      <c r="P317" s="79"/>
      <c r="Q317" s="79"/>
      <c r="R317" s="79"/>
      <c r="S317" s="79"/>
      <c r="T317" s="79"/>
      <c r="U317" s="79"/>
      <c r="V317" s="79"/>
      <c r="W317" s="79"/>
      <c r="X317" s="79"/>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row>
    <row r="318" spans="1:76" s="81" customFormat="1" ht="15" hidden="1" customHeight="1">
      <c r="A318" s="77"/>
      <c r="B318" s="77"/>
      <c r="C318" s="77"/>
      <c r="D318" s="78"/>
      <c r="E318" s="79"/>
      <c r="F318" s="79"/>
      <c r="G318" s="79"/>
      <c r="H318" s="79"/>
      <c r="I318" s="79"/>
      <c r="J318" s="79"/>
      <c r="K318" s="79"/>
      <c r="L318" s="79"/>
      <c r="M318" s="79"/>
      <c r="N318" s="79"/>
      <c r="O318" s="79"/>
      <c r="P318" s="79"/>
      <c r="Q318" s="79"/>
      <c r="R318" s="79"/>
      <c r="S318" s="79"/>
      <c r="T318" s="79"/>
      <c r="U318" s="79"/>
      <c r="V318" s="79"/>
      <c r="W318" s="79"/>
      <c r="X318" s="79"/>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row>
    <row r="319" spans="1:76" s="81" customFormat="1" ht="15" hidden="1" customHeight="1">
      <c r="A319" s="77"/>
      <c r="B319" s="77"/>
      <c r="C319" s="77"/>
      <c r="D319" s="78"/>
      <c r="E319" s="79"/>
      <c r="F319" s="79"/>
      <c r="G319" s="79"/>
      <c r="H319" s="79"/>
      <c r="I319" s="79"/>
      <c r="J319" s="79"/>
      <c r="K319" s="79"/>
      <c r="L319" s="79"/>
      <c r="M319" s="79"/>
      <c r="N319" s="79"/>
      <c r="O319" s="79"/>
      <c r="P319" s="79"/>
      <c r="Q319" s="79"/>
      <c r="R319" s="79"/>
      <c r="S319" s="79"/>
      <c r="T319" s="79"/>
      <c r="U319" s="79"/>
      <c r="V319" s="79"/>
      <c r="W319" s="79"/>
      <c r="X319" s="79"/>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row>
    <row r="320" spans="1:76" s="81" customFormat="1" ht="15" hidden="1" customHeight="1">
      <c r="A320" s="77"/>
      <c r="B320" s="77"/>
      <c r="C320" s="77"/>
      <c r="D320" s="78"/>
      <c r="E320" s="79"/>
      <c r="F320" s="79"/>
      <c r="G320" s="79"/>
      <c r="H320" s="79"/>
      <c r="I320" s="79"/>
      <c r="J320" s="79"/>
      <c r="K320" s="79"/>
      <c r="L320" s="79"/>
      <c r="M320" s="79"/>
      <c r="N320" s="79"/>
      <c r="O320" s="79"/>
      <c r="P320" s="79"/>
      <c r="Q320" s="79"/>
      <c r="R320" s="79"/>
      <c r="S320" s="79"/>
      <c r="T320" s="79"/>
      <c r="U320" s="79"/>
      <c r="V320" s="79"/>
      <c r="W320" s="79"/>
      <c r="X320" s="79"/>
      <c r="Y320" s="77"/>
      <c r="Z320" s="77"/>
      <c r="AA320" s="77"/>
      <c r="AB320" s="77"/>
      <c r="AC320" s="77"/>
      <c r="AD320" s="77"/>
      <c r="AE320" s="77"/>
      <c r="AF320" s="77"/>
      <c r="AG320" s="77"/>
      <c r="AH320" s="77"/>
      <c r="AI320" s="77"/>
      <c r="AJ320" s="77"/>
      <c r="AK320" s="77"/>
      <c r="AL320" s="77"/>
      <c r="AM320" s="77"/>
      <c r="AN320" s="77"/>
      <c r="AO320" s="77"/>
      <c r="AP320" s="77"/>
      <c r="AQ320" s="77"/>
      <c r="AR320" s="77"/>
      <c r="AS320" s="77"/>
      <c r="AT320" s="77"/>
      <c r="AU320" s="77"/>
      <c r="AV320" s="77"/>
      <c r="AW320" s="77"/>
      <c r="AX320" s="77"/>
      <c r="AY320" s="77"/>
      <c r="AZ320" s="77"/>
      <c r="BA320" s="77"/>
      <c r="BB320" s="77"/>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row>
    <row r="321" spans="1:76" s="81" customFormat="1" ht="15" hidden="1" customHeight="1">
      <c r="A321" s="77"/>
      <c r="B321" s="77"/>
      <c r="C321" s="77"/>
      <c r="D321" s="78"/>
      <c r="E321" s="79"/>
      <c r="F321" s="79"/>
      <c r="G321" s="79"/>
      <c r="H321" s="79"/>
      <c r="I321" s="79"/>
      <c r="J321" s="79"/>
      <c r="K321" s="79"/>
      <c r="L321" s="79"/>
      <c r="M321" s="79"/>
      <c r="N321" s="79"/>
      <c r="O321" s="79"/>
      <c r="P321" s="79"/>
      <c r="Q321" s="79"/>
      <c r="R321" s="79"/>
      <c r="S321" s="79"/>
      <c r="T321" s="79"/>
      <c r="U321" s="79"/>
      <c r="V321" s="79"/>
      <c r="W321" s="79"/>
      <c r="X321" s="79"/>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row>
    <row r="322" spans="1:76" s="81" customFormat="1" ht="15" hidden="1" customHeight="1">
      <c r="A322" s="77"/>
      <c r="B322" s="77"/>
      <c r="C322" s="77"/>
      <c r="D322" s="78"/>
      <c r="E322" s="79"/>
      <c r="F322" s="79"/>
      <c r="G322" s="79"/>
      <c r="H322" s="79"/>
      <c r="I322" s="79"/>
      <c r="J322" s="79"/>
      <c r="K322" s="79"/>
      <c r="L322" s="79"/>
      <c r="M322" s="79"/>
      <c r="N322" s="79"/>
      <c r="O322" s="79"/>
      <c r="P322" s="79"/>
      <c r="Q322" s="79"/>
      <c r="R322" s="79"/>
      <c r="S322" s="79"/>
      <c r="T322" s="79"/>
      <c r="U322" s="79"/>
      <c r="V322" s="79"/>
      <c r="W322" s="79"/>
      <c r="X322" s="79"/>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row>
    <row r="323" spans="1:76" s="81" customFormat="1" ht="15" hidden="1" customHeight="1">
      <c r="A323" s="77"/>
      <c r="B323" s="77"/>
      <c r="C323" s="77"/>
      <c r="D323" s="78"/>
      <c r="E323" s="79"/>
      <c r="F323" s="79"/>
      <c r="G323" s="79"/>
      <c r="H323" s="79"/>
      <c r="I323" s="79"/>
      <c r="J323" s="79"/>
      <c r="K323" s="79"/>
      <c r="L323" s="79"/>
      <c r="M323" s="79"/>
      <c r="N323" s="79"/>
      <c r="O323" s="79"/>
      <c r="P323" s="79"/>
      <c r="Q323" s="79"/>
      <c r="R323" s="79"/>
      <c r="S323" s="79"/>
      <c r="T323" s="79"/>
      <c r="U323" s="79"/>
      <c r="V323" s="79"/>
      <c r="W323" s="79"/>
      <c r="X323" s="79"/>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row>
    <row r="324" spans="1:76" s="81" customFormat="1" ht="15" hidden="1" customHeight="1">
      <c r="A324" s="77"/>
      <c r="B324" s="77"/>
      <c r="C324" s="77"/>
      <c r="D324" s="78"/>
      <c r="E324" s="79"/>
      <c r="F324" s="79"/>
      <c r="G324" s="79"/>
      <c r="H324" s="79"/>
      <c r="I324" s="79"/>
      <c r="J324" s="79"/>
      <c r="K324" s="79"/>
      <c r="L324" s="79"/>
      <c r="M324" s="79"/>
      <c r="N324" s="79"/>
      <c r="O324" s="79"/>
      <c r="P324" s="79"/>
      <c r="Q324" s="79"/>
      <c r="R324" s="79"/>
      <c r="S324" s="79"/>
      <c r="T324" s="79"/>
      <c r="U324" s="79"/>
      <c r="V324" s="79"/>
      <c r="W324" s="79"/>
      <c r="X324" s="79"/>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row>
    <row r="325" spans="1:76" s="81" customFormat="1" ht="15" hidden="1" customHeight="1">
      <c r="A325" s="77"/>
      <c r="B325" s="77"/>
      <c r="C325" s="77"/>
      <c r="D325" s="78"/>
      <c r="E325" s="79"/>
      <c r="F325" s="79"/>
      <c r="G325" s="79"/>
      <c r="H325" s="79"/>
      <c r="I325" s="79"/>
      <c r="J325" s="79"/>
      <c r="K325" s="79"/>
      <c r="L325" s="79"/>
      <c r="M325" s="79"/>
      <c r="N325" s="79"/>
      <c r="O325" s="79"/>
      <c r="P325" s="79"/>
      <c r="Q325" s="79"/>
      <c r="R325" s="79"/>
      <c r="S325" s="79"/>
      <c r="T325" s="79"/>
      <c r="U325" s="79"/>
      <c r="V325" s="79"/>
      <c r="W325" s="79"/>
      <c r="X325" s="79"/>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row>
    <row r="326" spans="1:76" s="81" customFormat="1" ht="15" hidden="1" customHeight="1">
      <c r="A326" s="77"/>
      <c r="B326" s="77"/>
      <c r="C326" s="77"/>
      <c r="D326" s="78"/>
      <c r="E326" s="79"/>
      <c r="F326" s="79"/>
      <c r="G326" s="79"/>
      <c r="H326" s="79"/>
      <c r="I326" s="79"/>
      <c r="J326" s="79"/>
      <c r="K326" s="79"/>
      <c r="L326" s="79"/>
      <c r="M326" s="79"/>
      <c r="N326" s="79"/>
      <c r="O326" s="79"/>
      <c r="P326" s="79"/>
      <c r="Q326" s="79"/>
      <c r="R326" s="79"/>
      <c r="S326" s="79"/>
      <c r="T326" s="79"/>
      <c r="U326" s="79"/>
      <c r="V326" s="79"/>
      <c r="W326" s="79"/>
      <c r="X326" s="79"/>
      <c r="Y326" s="77"/>
      <c r="Z326" s="77"/>
      <c r="AA326" s="77"/>
      <c r="AB326" s="77"/>
      <c r="AC326" s="77"/>
      <c r="AD326" s="77"/>
      <c r="AE326" s="77"/>
      <c r="AF326" s="77"/>
      <c r="AG326" s="77"/>
      <c r="AH326" s="77"/>
      <c r="AI326" s="77"/>
      <c r="AJ326" s="77"/>
      <c r="AK326" s="77"/>
      <c r="AL326" s="77"/>
      <c r="AM326" s="77"/>
      <c r="AN326" s="77"/>
      <c r="AO326" s="77"/>
      <c r="AP326" s="77"/>
      <c r="AQ326" s="77"/>
      <c r="AR326" s="77"/>
      <c r="AS326" s="77"/>
      <c r="AT326" s="77"/>
      <c r="AU326" s="77"/>
      <c r="AV326" s="77"/>
      <c r="AW326" s="77"/>
      <c r="AX326" s="77"/>
      <c r="AY326" s="77"/>
      <c r="AZ326" s="77"/>
      <c r="BA326" s="77"/>
      <c r="BB326" s="77"/>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row>
    <row r="327" spans="1:76" s="81" customFormat="1" ht="15" hidden="1" customHeight="1">
      <c r="A327" s="77"/>
      <c r="B327" s="77"/>
      <c r="C327" s="77"/>
      <c r="D327" s="78"/>
      <c r="E327" s="79"/>
      <c r="F327" s="79"/>
      <c r="G327" s="79"/>
      <c r="H327" s="79"/>
      <c r="I327" s="79"/>
      <c r="J327" s="79"/>
      <c r="K327" s="79"/>
      <c r="L327" s="79"/>
      <c r="M327" s="79"/>
      <c r="N327" s="79"/>
      <c r="O327" s="79"/>
      <c r="P327" s="79"/>
      <c r="Q327" s="79"/>
      <c r="R327" s="79"/>
      <c r="S327" s="79"/>
      <c r="T327" s="79"/>
      <c r="U327" s="79"/>
      <c r="V327" s="79"/>
      <c r="W327" s="79"/>
      <c r="X327" s="79"/>
      <c r="Y327" s="77"/>
      <c r="Z327" s="77"/>
      <c r="AA327" s="77"/>
      <c r="AB327" s="77"/>
      <c r="AC327" s="77"/>
      <c r="AD327" s="77"/>
      <c r="AE327" s="77"/>
      <c r="AF327" s="77"/>
      <c r="AG327" s="77"/>
      <c r="AH327" s="77"/>
      <c r="AI327" s="77"/>
      <c r="AJ327" s="77"/>
      <c r="AK327" s="77"/>
      <c r="AL327" s="77"/>
      <c r="AM327" s="77"/>
      <c r="AN327" s="77"/>
      <c r="AO327" s="77"/>
      <c r="AP327" s="77"/>
      <c r="AQ327" s="77"/>
      <c r="AR327" s="77"/>
      <c r="AS327" s="77"/>
      <c r="AT327" s="77"/>
      <c r="AU327" s="77"/>
      <c r="AV327" s="77"/>
      <c r="AW327" s="77"/>
      <c r="AX327" s="77"/>
      <c r="AY327" s="77"/>
      <c r="AZ327" s="77"/>
      <c r="BA327" s="77"/>
      <c r="BB327" s="77"/>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row>
    <row r="328" spans="1:76" s="81" customFormat="1" ht="15" hidden="1" customHeight="1">
      <c r="A328" s="77"/>
      <c r="B328" s="77"/>
      <c r="C328" s="77"/>
      <c r="D328" s="78"/>
      <c r="E328" s="79"/>
      <c r="F328" s="79"/>
      <c r="G328" s="79"/>
      <c r="H328" s="79"/>
      <c r="I328" s="79"/>
      <c r="J328" s="79"/>
      <c r="K328" s="79"/>
      <c r="L328" s="79"/>
      <c r="M328" s="79"/>
      <c r="N328" s="79"/>
      <c r="O328" s="79"/>
      <c r="P328" s="79"/>
      <c r="Q328" s="79"/>
      <c r="R328" s="79"/>
      <c r="S328" s="79"/>
      <c r="T328" s="79"/>
      <c r="U328" s="79"/>
      <c r="V328" s="79"/>
      <c r="W328" s="79"/>
      <c r="X328" s="79"/>
      <c r="Y328" s="77"/>
      <c r="Z328" s="77"/>
      <c r="AA328" s="77"/>
      <c r="AB328" s="77"/>
      <c r="AC328" s="77"/>
      <c r="AD328" s="77"/>
      <c r="AE328" s="77"/>
      <c r="AF328" s="77"/>
      <c r="AG328" s="77"/>
      <c r="AH328" s="77"/>
      <c r="AI328" s="77"/>
      <c r="AJ328" s="77"/>
      <c r="AK328" s="77"/>
      <c r="AL328" s="77"/>
      <c r="AM328" s="77"/>
      <c r="AN328" s="77"/>
      <c r="AO328" s="77"/>
      <c r="AP328" s="77"/>
      <c r="AQ328" s="77"/>
      <c r="AR328" s="77"/>
      <c r="AS328" s="77"/>
      <c r="AT328" s="77"/>
      <c r="AU328" s="77"/>
      <c r="AV328" s="77"/>
      <c r="AW328" s="77"/>
      <c r="AX328" s="77"/>
      <c r="AY328" s="77"/>
      <c r="AZ328" s="77"/>
      <c r="BA328" s="77"/>
      <c r="BB328" s="77"/>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row>
    <row r="329" spans="1:76" s="81" customFormat="1" ht="15" hidden="1" customHeight="1">
      <c r="A329" s="77"/>
      <c r="B329" s="77"/>
      <c r="C329" s="77"/>
      <c r="D329" s="78"/>
      <c r="E329" s="79"/>
      <c r="F329" s="79"/>
      <c r="G329" s="79"/>
      <c r="H329" s="79"/>
      <c r="I329" s="79"/>
      <c r="J329" s="79"/>
      <c r="K329" s="79"/>
      <c r="L329" s="79"/>
      <c r="M329" s="79"/>
      <c r="N329" s="79"/>
      <c r="O329" s="79"/>
      <c r="P329" s="79"/>
      <c r="Q329" s="79"/>
      <c r="R329" s="79"/>
      <c r="S329" s="79"/>
      <c r="T329" s="79"/>
      <c r="U329" s="79"/>
      <c r="V329" s="79"/>
      <c r="W329" s="79"/>
      <c r="X329" s="79"/>
      <c r="Y329" s="77"/>
      <c r="Z329" s="77"/>
      <c r="AA329" s="77"/>
      <c r="AB329" s="77"/>
      <c r="AC329" s="77"/>
      <c r="AD329" s="77"/>
      <c r="AE329" s="77"/>
      <c r="AF329" s="77"/>
      <c r="AG329" s="77"/>
      <c r="AH329" s="77"/>
      <c r="AI329" s="77"/>
      <c r="AJ329" s="77"/>
      <c r="AK329" s="77"/>
      <c r="AL329" s="77"/>
      <c r="AM329" s="77"/>
      <c r="AN329" s="77"/>
      <c r="AO329" s="77"/>
      <c r="AP329" s="77"/>
      <c r="AQ329" s="77"/>
      <c r="AR329" s="77"/>
      <c r="AS329" s="77"/>
      <c r="AT329" s="77"/>
      <c r="AU329" s="77"/>
      <c r="AV329" s="77"/>
      <c r="AW329" s="77"/>
      <c r="AX329" s="77"/>
      <c r="AY329" s="77"/>
      <c r="AZ329" s="77"/>
      <c r="BA329" s="77"/>
      <c r="BB329" s="77"/>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row>
    <row r="330" spans="1:76" s="81" customFormat="1" ht="15" hidden="1" customHeight="1">
      <c r="A330" s="77"/>
      <c r="B330" s="77"/>
      <c r="C330" s="77"/>
      <c r="D330" s="78"/>
      <c r="E330" s="79"/>
      <c r="F330" s="79"/>
      <c r="G330" s="79"/>
      <c r="H330" s="79"/>
      <c r="I330" s="79"/>
      <c r="J330" s="79"/>
      <c r="K330" s="79"/>
      <c r="L330" s="79"/>
      <c r="M330" s="79"/>
      <c r="N330" s="79"/>
      <c r="O330" s="79"/>
      <c r="P330" s="79"/>
      <c r="Q330" s="79"/>
      <c r="R330" s="79"/>
      <c r="S330" s="79"/>
      <c r="T330" s="79"/>
      <c r="U330" s="79"/>
      <c r="V330" s="79"/>
      <c r="W330" s="79"/>
      <c r="X330" s="79"/>
      <c r="Y330" s="77"/>
      <c r="Z330" s="77"/>
      <c r="AA330" s="77"/>
      <c r="AB330" s="77"/>
      <c r="AC330" s="77"/>
      <c r="AD330" s="77"/>
      <c r="AE330" s="77"/>
      <c r="AF330" s="77"/>
      <c r="AG330" s="77"/>
      <c r="AH330" s="77"/>
      <c r="AI330" s="77"/>
      <c r="AJ330" s="77"/>
      <c r="AK330" s="77"/>
      <c r="AL330" s="77"/>
      <c r="AM330" s="77"/>
      <c r="AN330" s="77"/>
      <c r="AO330" s="77"/>
      <c r="AP330" s="77"/>
      <c r="AQ330" s="77"/>
      <c r="AR330" s="77"/>
      <c r="AS330" s="77"/>
      <c r="AT330" s="77"/>
      <c r="AU330" s="77"/>
      <c r="AV330" s="77"/>
      <c r="AW330" s="77"/>
      <c r="AX330" s="77"/>
      <c r="AY330" s="77"/>
      <c r="AZ330" s="77"/>
      <c r="BA330" s="77"/>
      <c r="BB330" s="77"/>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row>
    <row r="331" spans="1:76" s="81" customFormat="1" ht="15" hidden="1" customHeight="1">
      <c r="A331" s="77"/>
      <c r="B331" s="77"/>
      <c r="C331" s="77"/>
      <c r="D331" s="78"/>
      <c r="E331" s="79"/>
      <c r="F331" s="79"/>
      <c r="G331" s="79"/>
      <c r="H331" s="79"/>
      <c r="I331" s="79"/>
      <c r="J331" s="79"/>
      <c r="K331" s="79"/>
      <c r="L331" s="79"/>
      <c r="M331" s="79"/>
      <c r="N331" s="79"/>
      <c r="O331" s="79"/>
      <c r="P331" s="79"/>
      <c r="Q331" s="79"/>
      <c r="R331" s="79"/>
      <c r="S331" s="79"/>
      <c r="T331" s="79"/>
      <c r="U331" s="79"/>
      <c r="V331" s="79"/>
      <c r="W331" s="79"/>
      <c r="X331" s="79"/>
      <c r="Y331" s="77"/>
      <c r="Z331" s="77"/>
      <c r="AA331" s="77"/>
      <c r="AB331" s="77"/>
      <c r="AC331" s="77"/>
      <c r="AD331" s="77"/>
      <c r="AE331" s="77"/>
      <c r="AF331" s="77"/>
      <c r="AG331" s="77"/>
      <c r="AH331" s="77"/>
      <c r="AI331" s="77"/>
      <c r="AJ331" s="77"/>
      <c r="AK331" s="77"/>
      <c r="AL331" s="77"/>
      <c r="AM331" s="77"/>
      <c r="AN331" s="77"/>
      <c r="AO331" s="77"/>
      <c r="AP331" s="77"/>
      <c r="AQ331" s="77"/>
      <c r="AR331" s="77"/>
      <c r="AS331" s="77"/>
      <c r="AT331" s="77"/>
      <c r="AU331" s="77"/>
      <c r="AV331" s="77"/>
      <c r="AW331" s="77"/>
      <c r="AX331" s="77"/>
      <c r="AY331" s="77"/>
      <c r="AZ331" s="77"/>
      <c r="BA331" s="77"/>
      <c r="BB331" s="77"/>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row>
    <row r="332" spans="1:76" s="81" customFormat="1" ht="15" hidden="1" customHeight="1">
      <c r="A332" s="77"/>
      <c r="B332" s="77"/>
      <c r="C332" s="77"/>
      <c r="D332" s="78"/>
      <c r="E332" s="79"/>
      <c r="F332" s="79"/>
      <c r="G332" s="79"/>
      <c r="H332" s="79"/>
      <c r="I332" s="79"/>
      <c r="J332" s="79"/>
      <c r="K332" s="79"/>
      <c r="L332" s="79"/>
      <c r="M332" s="79"/>
      <c r="N332" s="79"/>
      <c r="O332" s="79"/>
      <c r="P332" s="79"/>
      <c r="Q332" s="79"/>
      <c r="R332" s="79"/>
      <c r="S332" s="79"/>
      <c r="T332" s="79"/>
      <c r="U332" s="79"/>
      <c r="V332" s="79"/>
      <c r="W332" s="79"/>
      <c r="X332" s="79"/>
      <c r="Y332" s="77"/>
      <c r="Z332" s="77"/>
      <c r="AA332" s="77"/>
      <c r="AB332" s="77"/>
      <c r="AC332" s="77"/>
      <c r="AD332" s="77"/>
      <c r="AE332" s="77"/>
      <c r="AF332" s="77"/>
      <c r="AG332" s="77"/>
      <c r="AH332" s="77"/>
      <c r="AI332" s="77"/>
      <c r="AJ332" s="77"/>
      <c r="AK332" s="77"/>
      <c r="AL332" s="77"/>
      <c r="AM332" s="77"/>
      <c r="AN332" s="77"/>
      <c r="AO332" s="77"/>
      <c r="AP332" s="77"/>
      <c r="AQ332" s="77"/>
      <c r="AR332" s="77"/>
      <c r="AS332" s="77"/>
      <c r="AT332" s="77"/>
      <c r="AU332" s="77"/>
      <c r="AV332" s="77"/>
      <c r="AW332" s="77"/>
      <c r="AX332" s="77"/>
      <c r="AY332" s="77"/>
      <c r="AZ332" s="77"/>
      <c r="BA332" s="77"/>
      <c r="BB332" s="77"/>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row>
    <row r="333" spans="1:76" s="81" customFormat="1" ht="15" hidden="1" customHeight="1">
      <c r="A333" s="77"/>
      <c r="B333" s="77"/>
      <c r="C333" s="77"/>
      <c r="D333" s="78"/>
      <c r="E333" s="79"/>
      <c r="F333" s="79"/>
      <c r="G333" s="79"/>
      <c r="H333" s="79"/>
      <c r="I333" s="79"/>
      <c r="J333" s="79"/>
      <c r="K333" s="79"/>
      <c r="L333" s="79"/>
      <c r="M333" s="79"/>
      <c r="N333" s="79"/>
      <c r="O333" s="79"/>
      <c r="P333" s="79"/>
      <c r="Q333" s="79"/>
      <c r="R333" s="79"/>
      <c r="S333" s="79"/>
      <c r="T333" s="79"/>
      <c r="U333" s="79"/>
      <c r="V333" s="79"/>
      <c r="W333" s="79"/>
      <c r="X333" s="79"/>
      <c r="Y333" s="77"/>
      <c r="Z333" s="77"/>
      <c r="AA333" s="77"/>
      <c r="AB333" s="77"/>
      <c r="AC333" s="77"/>
      <c r="AD333" s="77"/>
      <c r="AE333" s="77"/>
      <c r="AF333" s="77"/>
      <c r="AG333" s="77"/>
      <c r="AH333" s="77"/>
      <c r="AI333" s="77"/>
      <c r="AJ333" s="77"/>
      <c r="AK333" s="77"/>
      <c r="AL333" s="77"/>
      <c r="AM333" s="77"/>
      <c r="AN333" s="77"/>
      <c r="AO333" s="77"/>
      <c r="AP333" s="77"/>
      <c r="AQ333" s="77"/>
      <c r="AR333" s="77"/>
      <c r="AS333" s="77"/>
      <c r="AT333" s="77"/>
      <c r="AU333" s="77"/>
      <c r="AV333" s="77"/>
      <c r="AW333" s="77"/>
      <c r="AX333" s="77"/>
      <c r="AY333" s="77"/>
      <c r="AZ333" s="77"/>
      <c r="BA333" s="77"/>
      <c r="BB333" s="77"/>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row>
    <row r="334" spans="1:76" s="81" customFormat="1" ht="15" hidden="1" customHeight="1">
      <c r="A334" s="77"/>
      <c r="B334" s="77"/>
      <c r="C334" s="77"/>
      <c r="D334" s="78"/>
      <c r="E334" s="79"/>
      <c r="F334" s="79"/>
      <c r="G334" s="79"/>
      <c r="H334" s="79"/>
      <c r="I334" s="79"/>
      <c r="J334" s="79"/>
      <c r="K334" s="79"/>
      <c r="L334" s="79"/>
      <c r="M334" s="79"/>
      <c r="N334" s="79"/>
      <c r="O334" s="79"/>
      <c r="P334" s="79"/>
      <c r="Q334" s="79"/>
      <c r="R334" s="79"/>
      <c r="S334" s="79"/>
      <c r="T334" s="79"/>
      <c r="U334" s="79"/>
      <c r="V334" s="79"/>
      <c r="W334" s="79"/>
      <c r="X334" s="79"/>
      <c r="Y334" s="77"/>
      <c r="Z334" s="77"/>
      <c r="AA334" s="77"/>
      <c r="AB334" s="77"/>
      <c r="AC334" s="77"/>
      <c r="AD334" s="77"/>
      <c r="AE334" s="77"/>
      <c r="AF334" s="77"/>
      <c r="AG334" s="77"/>
      <c r="AH334" s="77"/>
      <c r="AI334" s="77"/>
      <c r="AJ334" s="77"/>
      <c r="AK334" s="77"/>
      <c r="AL334" s="77"/>
      <c r="AM334" s="77"/>
      <c r="AN334" s="77"/>
      <c r="AO334" s="77"/>
      <c r="AP334" s="77"/>
      <c r="AQ334" s="77"/>
      <c r="AR334" s="77"/>
      <c r="AS334" s="77"/>
      <c r="AT334" s="77"/>
      <c r="AU334" s="77"/>
      <c r="AV334" s="77"/>
      <c r="AW334" s="77"/>
      <c r="AX334" s="77"/>
      <c r="AY334" s="77"/>
      <c r="AZ334" s="77"/>
      <c r="BA334" s="77"/>
      <c r="BB334" s="77"/>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row>
    <row r="335" spans="1:76" s="81" customFormat="1" ht="15" hidden="1" customHeight="1">
      <c r="A335" s="77"/>
      <c r="B335" s="77"/>
      <c r="C335" s="77"/>
      <c r="D335" s="78"/>
      <c r="E335" s="79"/>
      <c r="F335" s="79"/>
      <c r="G335" s="79"/>
      <c r="H335" s="79"/>
      <c r="I335" s="79"/>
      <c r="J335" s="79"/>
      <c r="K335" s="79"/>
      <c r="L335" s="79"/>
      <c r="M335" s="79"/>
      <c r="N335" s="79"/>
      <c r="O335" s="79"/>
      <c r="P335" s="79"/>
      <c r="Q335" s="79"/>
      <c r="R335" s="79"/>
      <c r="S335" s="79"/>
      <c r="T335" s="79"/>
      <c r="U335" s="79"/>
      <c r="V335" s="79"/>
      <c r="W335" s="79"/>
      <c r="X335" s="79"/>
      <c r="Y335" s="77"/>
      <c r="Z335" s="77"/>
      <c r="AA335" s="77"/>
      <c r="AB335" s="77"/>
      <c r="AC335" s="77"/>
      <c r="AD335" s="77"/>
      <c r="AE335" s="77"/>
      <c r="AF335" s="77"/>
      <c r="AG335" s="77"/>
      <c r="AH335" s="77"/>
      <c r="AI335" s="77"/>
      <c r="AJ335" s="77"/>
      <c r="AK335" s="77"/>
      <c r="AL335" s="77"/>
      <c r="AM335" s="77"/>
      <c r="AN335" s="77"/>
      <c r="AO335" s="77"/>
      <c r="AP335" s="77"/>
      <c r="AQ335" s="77"/>
      <c r="AR335" s="77"/>
      <c r="AS335" s="77"/>
      <c r="AT335" s="77"/>
      <c r="AU335" s="77"/>
      <c r="AV335" s="77"/>
      <c r="AW335" s="77"/>
      <c r="AX335" s="77"/>
      <c r="AY335" s="77"/>
      <c r="AZ335" s="77"/>
      <c r="BA335" s="77"/>
      <c r="BB335" s="77"/>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row>
    <row r="336" spans="1:76" s="81" customFormat="1" ht="15" hidden="1" customHeight="1">
      <c r="A336" s="77"/>
      <c r="B336" s="77"/>
      <c r="C336" s="77"/>
      <c r="D336" s="78"/>
      <c r="E336" s="79"/>
      <c r="F336" s="79"/>
      <c r="G336" s="79"/>
      <c r="H336" s="79"/>
      <c r="I336" s="79"/>
      <c r="J336" s="79"/>
      <c r="K336" s="79"/>
      <c r="L336" s="79"/>
      <c r="M336" s="79"/>
      <c r="N336" s="79"/>
      <c r="O336" s="79"/>
      <c r="P336" s="79"/>
      <c r="Q336" s="79"/>
      <c r="R336" s="79"/>
      <c r="S336" s="79"/>
      <c r="T336" s="79"/>
      <c r="U336" s="79"/>
      <c r="V336" s="79"/>
      <c r="W336" s="79"/>
      <c r="X336" s="79"/>
      <c r="Y336" s="77"/>
      <c r="Z336" s="77"/>
      <c r="AA336" s="77"/>
      <c r="AB336" s="77"/>
      <c r="AC336" s="77"/>
      <c r="AD336" s="77"/>
      <c r="AE336" s="77"/>
      <c r="AF336" s="77"/>
      <c r="AG336" s="77"/>
      <c r="AH336" s="77"/>
      <c r="AI336" s="77"/>
      <c r="AJ336" s="77"/>
      <c r="AK336" s="77"/>
      <c r="AL336" s="77"/>
      <c r="AM336" s="77"/>
      <c r="AN336" s="77"/>
      <c r="AO336" s="77"/>
      <c r="AP336" s="77"/>
      <c r="AQ336" s="77"/>
      <c r="AR336" s="77"/>
      <c r="AS336" s="77"/>
      <c r="AT336" s="77"/>
      <c r="AU336" s="77"/>
      <c r="AV336" s="77"/>
      <c r="AW336" s="77"/>
      <c r="AX336" s="77"/>
      <c r="AY336" s="77"/>
      <c r="AZ336" s="77"/>
      <c r="BA336" s="77"/>
      <c r="BB336" s="77"/>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row>
    <row r="337" spans="1:76" s="81" customFormat="1" ht="15" hidden="1" customHeight="1">
      <c r="A337" s="77"/>
      <c r="B337" s="77"/>
      <c r="C337" s="77"/>
      <c r="D337" s="78"/>
      <c r="E337" s="79"/>
      <c r="F337" s="79"/>
      <c r="G337" s="79"/>
      <c r="H337" s="79"/>
      <c r="I337" s="79"/>
      <c r="J337" s="79"/>
      <c r="K337" s="79"/>
      <c r="L337" s="79"/>
      <c r="M337" s="79"/>
      <c r="N337" s="79"/>
      <c r="O337" s="79"/>
      <c r="P337" s="79"/>
      <c r="Q337" s="79"/>
      <c r="R337" s="79"/>
      <c r="S337" s="79"/>
      <c r="T337" s="79"/>
      <c r="U337" s="79"/>
      <c r="V337" s="79"/>
      <c r="W337" s="79"/>
      <c r="X337" s="79"/>
      <c r="Y337" s="77"/>
      <c r="Z337" s="77"/>
      <c r="AA337" s="77"/>
      <c r="AB337" s="77"/>
      <c r="AC337" s="77"/>
      <c r="AD337" s="77"/>
      <c r="AE337" s="77"/>
      <c r="AF337" s="77"/>
      <c r="AG337" s="77"/>
      <c r="AH337" s="77"/>
      <c r="AI337" s="77"/>
      <c r="AJ337" s="77"/>
      <c r="AK337" s="77"/>
      <c r="AL337" s="77"/>
      <c r="AM337" s="77"/>
      <c r="AN337" s="77"/>
      <c r="AO337" s="77"/>
      <c r="AP337" s="77"/>
      <c r="AQ337" s="77"/>
      <c r="AR337" s="77"/>
      <c r="AS337" s="77"/>
      <c r="AT337" s="77"/>
      <c r="AU337" s="77"/>
      <c r="AV337" s="77"/>
      <c r="AW337" s="77"/>
      <c r="AX337" s="77"/>
      <c r="AY337" s="77"/>
      <c r="AZ337" s="77"/>
      <c r="BA337" s="77"/>
      <c r="BB337" s="77"/>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row>
    <row r="338" spans="1:76" s="81" customFormat="1" ht="15" hidden="1" customHeight="1">
      <c r="A338" s="77"/>
      <c r="B338" s="77"/>
      <c r="C338" s="77"/>
      <c r="D338" s="78"/>
      <c r="E338" s="79"/>
      <c r="F338" s="79"/>
      <c r="G338" s="79"/>
      <c r="H338" s="79"/>
      <c r="I338" s="79"/>
      <c r="J338" s="79"/>
      <c r="K338" s="79"/>
      <c r="L338" s="79"/>
      <c r="M338" s="79"/>
      <c r="N338" s="79"/>
      <c r="O338" s="79"/>
      <c r="P338" s="79"/>
      <c r="Q338" s="79"/>
      <c r="R338" s="79"/>
      <c r="S338" s="79"/>
      <c r="T338" s="79"/>
      <c r="U338" s="79"/>
      <c r="V338" s="79"/>
      <c r="W338" s="79"/>
      <c r="X338" s="79"/>
      <c r="Y338" s="77"/>
      <c r="Z338" s="77"/>
      <c r="AA338" s="77"/>
      <c r="AB338" s="77"/>
      <c r="AC338" s="77"/>
      <c r="AD338" s="77"/>
      <c r="AE338" s="77"/>
      <c r="AF338" s="77"/>
      <c r="AG338" s="77"/>
      <c r="AH338" s="77"/>
      <c r="AI338" s="77"/>
      <c r="AJ338" s="77"/>
      <c r="AK338" s="77"/>
      <c r="AL338" s="77"/>
      <c r="AM338" s="77"/>
      <c r="AN338" s="77"/>
      <c r="AO338" s="77"/>
      <c r="AP338" s="77"/>
      <c r="AQ338" s="77"/>
      <c r="AR338" s="77"/>
      <c r="AS338" s="77"/>
      <c r="AT338" s="77"/>
      <c r="AU338" s="77"/>
      <c r="AV338" s="77"/>
      <c r="AW338" s="77"/>
      <c r="AX338" s="77"/>
      <c r="AY338" s="77"/>
      <c r="AZ338" s="77"/>
      <c r="BA338" s="77"/>
      <c r="BB338" s="77"/>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row>
    <row r="339" spans="1:76" s="81" customFormat="1" ht="15" hidden="1" customHeight="1">
      <c r="A339" s="77"/>
      <c r="B339" s="77"/>
      <c r="C339" s="77"/>
      <c r="D339" s="78"/>
      <c r="E339" s="79"/>
      <c r="F339" s="79"/>
      <c r="G339" s="79"/>
      <c r="H339" s="79"/>
      <c r="I339" s="79"/>
      <c r="J339" s="79"/>
      <c r="K339" s="79"/>
      <c r="L339" s="79"/>
      <c r="M339" s="79"/>
      <c r="N339" s="79"/>
      <c r="O339" s="79"/>
      <c r="P339" s="79"/>
      <c r="Q339" s="79"/>
      <c r="R339" s="79"/>
      <c r="S339" s="79"/>
      <c r="T339" s="79"/>
      <c r="U339" s="79"/>
      <c r="V339" s="79"/>
      <c r="W339" s="79"/>
      <c r="X339" s="79"/>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row>
    <row r="340" spans="1:76" s="81" customFormat="1" ht="15" hidden="1" customHeight="1">
      <c r="A340" s="77"/>
      <c r="B340" s="77"/>
      <c r="C340" s="77"/>
      <c r="D340" s="78"/>
      <c r="E340" s="79"/>
      <c r="F340" s="79"/>
      <c r="G340" s="79"/>
      <c r="H340" s="79"/>
      <c r="I340" s="79"/>
      <c r="J340" s="79"/>
      <c r="K340" s="79"/>
      <c r="L340" s="79"/>
      <c r="M340" s="79"/>
      <c r="N340" s="79"/>
      <c r="O340" s="79"/>
      <c r="P340" s="79"/>
      <c r="Q340" s="79"/>
      <c r="R340" s="79"/>
      <c r="S340" s="79"/>
      <c r="T340" s="79"/>
      <c r="U340" s="79"/>
      <c r="V340" s="79"/>
      <c r="W340" s="79"/>
      <c r="X340" s="79"/>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row>
    <row r="341" spans="1:76" s="81" customFormat="1" ht="15" hidden="1" customHeight="1">
      <c r="A341" s="77"/>
      <c r="B341" s="77"/>
      <c r="C341" s="77"/>
      <c r="D341" s="78"/>
      <c r="E341" s="79"/>
      <c r="F341" s="79"/>
      <c r="G341" s="79"/>
      <c r="H341" s="79"/>
      <c r="I341" s="79"/>
      <c r="J341" s="79"/>
      <c r="K341" s="79"/>
      <c r="L341" s="79"/>
      <c r="M341" s="79"/>
      <c r="N341" s="79"/>
      <c r="O341" s="79"/>
      <c r="P341" s="79"/>
      <c r="Q341" s="79"/>
      <c r="R341" s="79"/>
      <c r="S341" s="79"/>
      <c r="T341" s="79"/>
      <c r="U341" s="79"/>
      <c r="V341" s="79"/>
      <c r="W341" s="79"/>
      <c r="X341" s="79"/>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row>
    <row r="342" spans="1:76" s="81" customFormat="1" ht="15" hidden="1" customHeight="1">
      <c r="A342" s="77"/>
      <c r="B342" s="77"/>
      <c r="C342" s="77"/>
      <c r="D342" s="78"/>
      <c r="E342" s="79"/>
      <c r="F342" s="79"/>
      <c r="G342" s="79"/>
      <c r="H342" s="79"/>
      <c r="I342" s="79"/>
      <c r="J342" s="79"/>
      <c r="K342" s="79"/>
      <c r="L342" s="79"/>
      <c r="M342" s="79"/>
      <c r="N342" s="79"/>
      <c r="O342" s="79"/>
      <c r="P342" s="79"/>
      <c r="Q342" s="79"/>
      <c r="R342" s="79"/>
      <c r="S342" s="79"/>
      <c r="T342" s="79"/>
      <c r="U342" s="79"/>
      <c r="V342" s="79"/>
      <c r="W342" s="79"/>
      <c r="X342" s="79"/>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row>
    <row r="343" spans="1:76" s="81" customFormat="1" ht="15" hidden="1" customHeight="1">
      <c r="A343" s="77"/>
      <c r="B343" s="77"/>
      <c r="C343" s="77"/>
      <c r="D343" s="78"/>
      <c r="E343" s="79"/>
      <c r="F343" s="79"/>
      <c r="G343" s="79"/>
      <c r="H343" s="79"/>
      <c r="I343" s="79"/>
      <c r="J343" s="79"/>
      <c r="K343" s="79"/>
      <c r="L343" s="79"/>
      <c r="M343" s="79"/>
      <c r="N343" s="79"/>
      <c r="O343" s="79"/>
      <c r="P343" s="79"/>
      <c r="Q343" s="79"/>
      <c r="R343" s="79"/>
      <c r="S343" s="79"/>
      <c r="T343" s="79"/>
      <c r="U343" s="79"/>
      <c r="V343" s="79"/>
      <c r="W343" s="79"/>
      <c r="X343" s="79"/>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row>
    <row r="344" spans="1:76" s="81" customFormat="1" ht="15" hidden="1" customHeight="1">
      <c r="A344" s="77"/>
      <c r="B344" s="77"/>
      <c r="C344" s="77"/>
      <c r="D344" s="78"/>
      <c r="E344" s="79"/>
      <c r="F344" s="79"/>
      <c r="G344" s="79"/>
      <c r="H344" s="79"/>
      <c r="I344" s="79"/>
      <c r="J344" s="79"/>
      <c r="K344" s="79"/>
      <c r="L344" s="79"/>
      <c r="M344" s="79"/>
      <c r="N344" s="79"/>
      <c r="O344" s="79"/>
      <c r="P344" s="79"/>
      <c r="Q344" s="79"/>
      <c r="R344" s="79"/>
      <c r="S344" s="79"/>
      <c r="T344" s="79"/>
      <c r="U344" s="79"/>
      <c r="V344" s="79"/>
      <c r="W344" s="79"/>
      <c r="X344" s="79"/>
      <c r="Y344" s="77"/>
      <c r="Z344" s="77"/>
      <c r="AA344" s="77"/>
      <c r="AB344" s="77"/>
      <c r="AC344" s="77"/>
      <c r="AD344" s="77"/>
      <c r="AE344" s="77"/>
      <c r="AF344" s="77"/>
      <c r="AG344" s="77"/>
      <c r="AH344" s="77"/>
      <c r="AI344" s="77"/>
      <c r="AJ344" s="77"/>
      <c r="AK344" s="77"/>
      <c r="AL344" s="77"/>
      <c r="AM344" s="77"/>
      <c r="AN344" s="77"/>
      <c r="AO344" s="77"/>
      <c r="AP344" s="77"/>
      <c r="AQ344" s="77"/>
      <c r="AR344" s="77"/>
      <c r="AS344" s="77"/>
      <c r="AT344" s="77"/>
      <c r="AU344" s="77"/>
      <c r="AV344" s="77"/>
      <c r="AW344" s="77"/>
      <c r="AX344" s="77"/>
      <c r="AY344" s="77"/>
      <c r="AZ344" s="77"/>
      <c r="BA344" s="77"/>
      <c r="BB344" s="77"/>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row>
    <row r="345" spans="1:76" s="81" customFormat="1" ht="15" hidden="1" customHeight="1">
      <c r="A345" s="77"/>
      <c r="B345" s="77"/>
      <c r="C345" s="77"/>
      <c r="D345" s="78"/>
      <c r="E345" s="79"/>
      <c r="F345" s="79"/>
      <c r="G345" s="79"/>
      <c r="H345" s="79"/>
      <c r="I345" s="79"/>
      <c r="J345" s="79"/>
      <c r="K345" s="79"/>
      <c r="L345" s="79"/>
      <c r="M345" s="79"/>
      <c r="N345" s="79"/>
      <c r="O345" s="79"/>
      <c r="P345" s="79"/>
      <c r="Q345" s="79"/>
      <c r="R345" s="79"/>
      <c r="S345" s="79"/>
      <c r="T345" s="79"/>
      <c r="U345" s="79"/>
      <c r="V345" s="79"/>
      <c r="W345" s="79"/>
      <c r="X345" s="79"/>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row>
    <row r="346" spans="1:76" s="81" customFormat="1" ht="15" hidden="1" customHeight="1">
      <c r="A346" s="77"/>
      <c r="B346" s="77"/>
      <c r="C346" s="77"/>
      <c r="D346" s="78"/>
      <c r="E346" s="79"/>
      <c r="F346" s="79"/>
      <c r="G346" s="79"/>
      <c r="H346" s="79"/>
      <c r="I346" s="79"/>
      <c r="J346" s="79"/>
      <c r="K346" s="79"/>
      <c r="L346" s="79"/>
      <c r="M346" s="79"/>
      <c r="N346" s="79"/>
      <c r="O346" s="79"/>
      <c r="P346" s="79"/>
      <c r="Q346" s="79"/>
      <c r="R346" s="79"/>
      <c r="S346" s="79"/>
      <c r="T346" s="79"/>
      <c r="U346" s="79"/>
      <c r="V346" s="79"/>
      <c r="W346" s="79"/>
      <c r="X346" s="79"/>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row>
    <row r="347" spans="1:76" s="81" customFormat="1" ht="15" hidden="1" customHeight="1">
      <c r="A347" s="77"/>
      <c r="B347" s="77"/>
      <c r="C347" s="77"/>
      <c r="D347" s="78"/>
      <c r="E347" s="79"/>
      <c r="F347" s="79"/>
      <c r="G347" s="79"/>
      <c r="H347" s="79"/>
      <c r="I347" s="79"/>
      <c r="J347" s="79"/>
      <c r="K347" s="79"/>
      <c r="L347" s="79"/>
      <c r="M347" s="79"/>
      <c r="N347" s="79"/>
      <c r="O347" s="79"/>
      <c r="P347" s="79"/>
      <c r="Q347" s="79"/>
      <c r="R347" s="79"/>
      <c r="S347" s="79"/>
      <c r="T347" s="79"/>
      <c r="U347" s="79"/>
      <c r="V347" s="79"/>
      <c r="W347" s="79"/>
      <c r="X347" s="79"/>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row>
    <row r="348" spans="1:76" s="81" customFormat="1" ht="15" hidden="1" customHeight="1">
      <c r="A348" s="77"/>
      <c r="B348" s="77"/>
      <c r="C348" s="77"/>
      <c r="D348" s="78"/>
      <c r="E348" s="79"/>
      <c r="F348" s="79"/>
      <c r="G348" s="79"/>
      <c r="H348" s="79"/>
      <c r="I348" s="79"/>
      <c r="J348" s="79"/>
      <c r="K348" s="79"/>
      <c r="L348" s="79"/>
      <c r="M348" s="79"/>
      <c r="N348" s="79"/>
      <c r="O348" s="79"/>
      <c r="P348" s="79"/>
      <c r="Q348" s="79"/>
      <c r="R348" s="79"/>
      <c r="S348" s="79"/>
      <c r="T348" s="79"/>
      <c r="U348" s="79"/>
      <c r="V348" s="79"/>
      <c r="W348" s="79"/>
      <c r="X348" s="79"/>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row>
    <row r="349" spans="1:76" s="81" customFormat="1" ht="15" hidden="1" customHeight="1">
      <c r="A349" s="77"/>
      <c r="B349" s="77"/>
      <c r="C349" s="77"/>
      <c r="D349" s="78"/>
      <c r="E349" s="79"/>
      <c r="F349" s="79"/>
      <c r="G349" s="79"/>
      <c r="H349" s="79"/>
      <c r="I349" s="79"/>
      <c r="J349" s="79"/>
      <c r="K349" s="79"/>
      <c r="L349" s="79"/>
      <c r="M349" s="79"/>
      <c r="N349" s="79"/>
      <c r="O349" s="79"/>
      <c r="P349" s="79"/>
      <c r="Q349" s="79"/>
      <c r="R349" s="79"/>
      <c r="S349" s="79"/>
      <c r="T349" s="79"/>
      <c r="U349" s="79"/>
      <c r="V349" s="79"/>
      <c r="W349" s="79"/>
      <c r="X349" s="79"/>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80"/>
      <c r="BD349" s="80"/>
      <c r="BE349" s="80"/>
      <c r="BF349" s="80"/>
      <c r="BG349" s="80"/>
      <c r="BH349" s="80"/>
      <c r="BI349" s="80"/>
      <c r="BJ349" s="80"/>
      <c r="BK349" s="80"/>
      <c r="BL349" s="80"/>
      <c r="BM349" s="80"/>
      <c r="BN349" s="80"/>
      <c r="BO349" s="80"/>
      <c r="BP349" s="80"/>
      <c r="BQ349" s="80"/>
      <c r="BR349" s="80"/>
      <c r="BS349" s="80"/>
      <c r="BT349" s="80"/>
      <c r="BU349" s="80"/>
      <c r="BV349" s="80"/>
      <c r="BW349" s="80"/>
      <c r="BX349" s="80"/>
    </row>
    <row r="350" spans="1:76" s="81" customFormat="1" ht="15" hidden="1" customHeight="1">
      <c r="A350" s="77"/>
      <c r="B350" s="77"/>
      <c r="C350" s="77"/>
      <c r="D350" s="78"/>
      <c r="E350" s="79"/>
      <c r="F350" s="79"/>
      <c r="G350" s="79"/>
      <c r="H350" s="79"/>
      <c r="I350" s="79"/>
      <c r="J350" s="79"/>
      <c r="K350" s="79"/>
      <c r="L350" s="79"/>
      <c r="M350" s="79"/>
      <c r="N350" s="79"/>
      <c r="O350" s="79"/>
      <c r="P350" s="79"/>
      <c r="Q350" s="79"/>
      <c r="R350" s="79"/>
      <c r="S350" s="79"/>
      <c r="T350" s="79"/>
      <c r="U350" s="79"/>
      <c r="V350" s="79"/>
      <c r="W350" s="79"/>
      <c r="X350" s="79"/>
      <c r="Y350" s="77"/>
      <c r="Z350" s="77"/>
      <c r="AA350" s="77"/>
      <c r="AB350" s="77"/>
      <c r="AC350" s="77"/>
      <c r="AD350" s="77"/>
      <c r="AE350" s="77"/>
      <c r="AF350" s="77"/>
      <c r="AG350" s="77"/>
      <c r="AH350" s="77"/>
      <c r="AI350" s="77"/>
      <c r="AJ350" s="77"/>
      <c r="AK350" s="77"/>
      <c r="AL350" s="77"/>
      <c r="AM350" s="77"/>
      <c r="AN350" s="77"/>
      <c r="AO350" s="77"/>
      <c r="AP350" s="77"/>
      <c r="AQ350" s="77"/>
      <c r="AR350" s="77"/>
      <c r="AS350" s="77"/>
      <c r="AT350" s="77"/>
      <c r="AU350" s="77"/>
      <c r="AV350" s="77"/>
      <c r="AW350" s="77"/>
      <c r="AX350" s="77"/>
      <c r="AY350" s="77"/>
      <c r="AZ350" s="77"/>
      <c r="BA350" s="77"/>
      <c r="BB350" s="77"/>
      <c r="BC350" s="80"/>
      <c r="BD350" s="80"/>
      <c r="BE350" s="80"/>
      <c r="BF350" s="80"/>
      <c r="BG350" s="80"/>
      <c r="BH350" s="80"/>
      <c r="BI350" s="80"/>
      <c r="BJ350" s="80"/>
      <c r="BK350" s="80"/>
      <c r="BL350" s="80"/>
      <c r="BM350" s="80"/>
      <c r="BN350" s="80"/>
      <c r="BO350" s="80"/>
      <c r="BP350" s="80"/>
      <c r="BQ350" s="80"/>
      <c r="BR350" s="80"/>
      <c r="BS350" s="80"/>
      <c r="BT350" s="80"/>
      <c r="BU350" s="80"/>
      <c r="BV350" s="80"/>
      <c r="BW350" s="80"/>
      <c r="BX350" s="80"/>
    </row>
    <row r="351" spans="1:76" s="81" customFormat="1" ht="15" hidden="1" customHeight="1">
      <c r="A351" s="77"/>
      <c r="B351" s="77"/>
      <c r="C351" s="77"/>
      <c r="D351" s="78"/>
      <c r="E351" s="79"/>
      <c r="F351" s="79"/>
      <c r="G351" s="79"/>
      <c r="H351" s="79"/>
      <c r="I351" s="79"/>
      <c r="J351" s="79"/>
      <c r="K351" s="79"/>
      <c r="L351" s="79"/>
      <c r="M351" s="79"/>
      <c r="N351" s="79"/>
      <c r="O351" s="79"/>
      <c r="P351" s="79"/>
      <c r="Q351" s="79"/>
      <c r="R351" s="79"/>
      <c r="S351" s="79"/>
      <c r="T351" s="79"/>
      <c r="U351" s="79"/>
      <c r="V351" s="79"/>
      <c r="W351" s="79"/>
      <c r="X351" s="79"/>
      <c r="Y351" s="77"/>
      <c r="Z351" s="77"/>
      <c r="AA351" s="77"/>
      <c r="AB351" s="77"/>
      <c r="AC351" s="77"/>
      <c r="AD351" s="77"/>
      <c r="AE351" s="77"/>
      <c r="AF351" s="77"/>
      <c r="AG351" s="77"/>
      <c r="AH351" s="77"/>
      <c r="AI351" s="77"/>
      <c r="AJ351" s="77"/>
      <c r="AK351" s="77"/>
      <c r="AL351" s="77"/>
      <c r="AM351" s="77"/>
      <c r="AN351" s="77"/>
      <c r="AO351" s="77"/>
      <c r="AP351" s="77"/>
      <c r="AQ351" s="77"/>
      <c r="AR351" s="77"/>
      <c r="AS351" s="77"/>
      <c r="AT351" s="77"/>
      <c r="AU351" s="77"/>
      <c r="AV351" s="77"/>
      <c r="AW351" s="77"/>
      <c r="AX351" s="77"/>
      <c r="AY351" s="77"/>
      <c r="AZ351" s="77"/>
      <c r="BA351" s="77"/>
      <c r="BB351" s="77"/>
      <c r="BC351" s="80"/>
      <c r="BD351" s="80"/>
      <c r="BE351" s="80"/>
      <c r="BF351" s="80"/>
      <c r="BG351" s="80"/>
      <c r="BH351" s="80"/>
      <c r="BI351" s="80"/>
      <c r="BJ351" s="80"/>
      <c r="BK351" s="80"/>
      <c r="BL351" s="80"/>
      <c r="BM351" s="80"/>
      <c r="BN351" s="80"/>
      <c r="BO351" s="80"/>
      <c r="BP351" s="80"/>
      <c r="BQ351" s="80"/>
      <c r="BR351" s="80"/>
      <c r="BS351" s="80"/>
      <c r="BT351" s="80"/>
      <c r="BU351" s="80"/>
      <c r="BV351" s="80"/>
      <c r="BW351" s="80"/>
      <c r="BX351" s="80"/>
    </row>
    <row r="352" spans="1:76" s="81" customFormat="1" ht="15" hidden="1" customHeight="1">
      <c r="A352" s="77"/>
      <c r="B352" s="77"/>
      <c r="C352" s="77"/>
      <c r="D352" s="78"/>
      <c r="E352" s="79"/>
      <c r="F352" s="79"/>
      <c r="G352" s="79"/>
      <c r="H352" s="79"/>
      <c r="I352" s="79"/>
      <c r="J352" s="79"/>
      <c r="K352" s="79"/>
      <c r="L352" s="79"/>
      <c r="M352" s="79"/>
      <c r="N352" s="79"/>
      <c r="O352" s="79"/>
      <c r="P352" s="79"/>
      <c r="Q352" s="79"/>
      <c r="R352" s="79"/>
      <c r="S352" s="79"/>
      <c r="T352" s="79"/>
      <c r="U352" s="79"/>
      <c r="V352" s="79"/>
      <c r="W352" s="79"/>
      <c r="X352" s="79"/>
      <c r="Y352" s="77"/>
      <c r="Z352" s="77"/>
      <c r="AA352" s="77"/>
      <c r="AB352" s="77"/>
      <c r="AC352" s="77"/>
      <c r="AD352" s="77"/>
      <c r="AE352" s="77"/>
      <c r="AF352" s="77"/>
      <c r="AG352" s="77"/>
      <c r="AH352" s="77"/>
      <c r="AI352" s="77"/>
      <c r="AJ352" s="77"/>
      <c r="AK352" s="77"/>
      <c r="AL352" s="77"/>
      <c r="AM352" s="77"/>
      <c r="AN352" s="77"/>
      <c r="AO352" s="77"/>
      <c r="AP352" s="77"/>
      <c r="AQ352" s="77"/>
      <c r="AR352" s="77"/>
      <c r="AS352" s="77"/>
      <c r="AT352" s="77"/>
      <c r="AU352" s="77"/>
      <c r="AV352" s="77"/>
      <c r="AW352" s="77"/>
      <c r="AX352" s="77"/>
      <c r="AY352" s="77"/>
      <c r="AZ352" s="77"/>
      <c r="BA352" s="77"/>
      <c r="BB352" s="77"/>
      <c r="BC352" s="80"/>
      <c r="BD352" s="80"/>
      <c r="BE352" s="80"/>
      <c r="BF352" s="80"/>
      <c r="BG352" s="80"/>
      <c r="BH352" s="80"/>
      <c r="BI352" s="80"/>
      <c r="BJ352" s="80"/>
      <c r="BK352" s="80"/>
      <c r="BL352" s="80"/>
      <c r="BM352" s="80"/>
      <c r="BN352" s="80"/>
      <c r="BO352" s="80"/>
      <c r="BP352" s="80"/>
      <c r="BQ352" s="80"/>
      <c r="BR352" s="80"/>
      <c r="BS352" s="80"/>
      <c r="BT352" s="80"/>
      <c r="BU352" s="80"/>
      <c r="BV352" s="80"/>
      <c r="BW352" s="80"/>
      <c r="BX352" s="80"/>
    </row>
    <row r="353" spans="1:76" s="81" customFormat="1" ht="15" hidden="1" customHeight="1">
      <c r="A353" s="77"/>
      <c r="B353" s="77"/>
      <c r="C353" s="77"/>
      <c r="D353" s="78"/>
      <c r="E353" s="79"/>
      <c r="F353" s="79"/>
      <c r="G353" s="79"/>
      <c r="H353" s="79"/>
      <c r="I353" s="79"/>
      <c r="J353" s="79"/>
      <c r="K353" s="79"/>
      <c r="L353" s="79"/>
      <c r="M353" s="79"/>
      <c r="N353" s="79"/>
      <c r="O353" s="79"/>
      <c r="P353" s="79"/>
      <c r="Q353" s="79"/>
      <c r="R353" s="79"/>
      <c r="S353" s="79"/>
      <c r="T353" s="79"/>
      <c r="U353" s="79"/>
      <c r="V353" s="79"/>
      <c r="W353" s="79"/>
      <c r="X353" s="79"/>
      <c r="Y353" s="77"/>
      <c r="Z353" s="77"/>
      <c r="AA353" s="77"/>
      <c r="AB353" s="77"/>
      <c r="AC353" s="77"/>
      <c r="AD353" s="77"/>
      <c r="AE353" s="77"/>
      <c r="AF353" s="77"/>
      <c r="AG353" s="77"/>
      <c r="AH353" s="77"/>
      <c r="AI353" s="77"/>
      <c r="AJ353" s="77"/>
      <c r="AK353" s="77"/>
      <c r="AL353" s="77"/>
      <c r="AM353" s="77"/>
      <c r="AN353" s="77"/>
      <c r="AO353" s="77"/>
      <c r="AP353" s="77"/>
      <c r="AQ353" s="77"/>
      <c r="AR353" s="77"/>
      <c r="AS353" s="77"/>
      <c r="AT353" s="77"/>
      <c r="AU353" s="77"/>
      <c r="AV353" s="77"/>
      <c r="AW353" s="77"/>
      <c r="AX353" s="77"/>
      <c r="AY353" s="77"/>
      <c r="AZ353" s="77"/>
      <c r="BA353" s="77"/>
      <c r="BB353" s="77"/>
      <c r="BC353" s="80"/>
      <c r="BD353" s="80"/>
      <c r="BE353" s="80"/>
      <c r="BF353" s="80"/>
      <c r="BG353" s="80"/>
      <c r="BH353" s="80"/>
      <c r="BI353" s="80"/>
      <c r="BJ353" s="80"/>
      <c r="BK353" s="80"/>
      <c r="BL353" s="80"/>
      <c r="BM353" s="80"/>
      <c r="BN353" s="80"/>
      <c r="BO353" s="80"/>
      <c r="BP353" s="80"/>
      <c r="BQ353" s="80"/>
      <c r="BR353" s="80"/>
      <c r="BS353" s="80"/>
      <c r="BT353" s="80"/>
      <c r="BU353" s="80"/>
      <c r="BV353" s="80"/>
      <c r="BW353" s="80"/>
      <c r="BX353" s="80"/>
    </row>
    <row r="354" spans="1:76" s="81" customFormat="1" ht="15" hidden="1" customHeight="1">
      <c r="A354" s="77"/>
      <c r="B354" s="77"/>
      <c r="C354" s="77"/>
      <c r="D354" s="78"/>
      <c r="E354" s="79"/>
      <c r="F354" s="79"/>
      <c r="G354" s="79"/>
      <c r="H354" s="79"/>
      <c r="I354" s="79"/>
      <c r="J354" s="79"/>
      <c r="K354" s="79"/>
      <c r="L354" s="79"/>
      <c r="M354" s="79"/>
      <c r="N354" s="79"/>
      <c r="O354" s="79"/>
      <c r="P354" s="79"/>
      <c r="Q354" s="79"/>
      <c r="R354" s="79"/>
      <c r="S354" s="79"/>
      <c r="T354" s="79"/>
      <c r="U354" s="79"/>
      <c r="V354" s="79"/>
      <c r="W354" s="79"/>
      <c r="X354" s="79"/>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c r="AZ354" s="77"/>
      <c r="BA354" s="77"/>
      <c r="BB354" s="77"/>
      <c r="BC354" s="80"/>
      <c r="BD354" s="80"/>
      <c r="BE354" s="80"/>
      <c r="BF354" s="80"/>
      <c r="BG354" s="80"/>
      <c r="BH354" s="80"/>
      <c r="BI354" s="80"/>
      <c r="BJ354" s="80"/>
      <c r="BK354" s="80"/>
      <c r="BL354" s="80"/>
      <c r="BM354" s="80"/>
      <c r="BN354" s="80"/>
      <c r="BO354" s="80"/>
      <c r="BP354" s="80"/>
      <c r="BQ354" s="80"/>
      <c r="BR354" s="80"/>
      <c r="BS354" s="80"/>
      <c r="BT354" s="80"/>
      <c r="BU354" s="80"/>
      <c r="BV354" s="80"/>
      <c r="BW354" s="80"/>
      <c r="BX354" s="80"/>
    </row>
    <row r="355" spans="1:76" s="81" customFormat="1" ht="15" hidden="1" customHeight="1">
      <c r="A355" s="77"/>
      <c r="B355" s="77"/>
      <c r="C355" s="77"/>
      <c r="D355" s="78"/>
      <c r="E355" s="79"/>
      <c r="F355" s="79"/>
      <c r="G355" s="79"/>
      <c r="H355" s="79"/>
      <c r="I355" s="79"/>
      <c r="J355" s="79"/>
      <c r="K355" s="79"/>
      <c r="L355" s="79"/>
      <c r="M355" s="79"/>
      <c r="N355" s="79"/>
      <c r="O355" s="79"/>
      <c r="P355" s="79"/>
      <c r="Q355" s="79"/>
      <c r="R355" s="79"/>
      <c r="S355" s="79"/>
      <c r="T355" s="79"/>
      <c r="U355" s="79"/>
      <c r="V355" s="79"/>
      <c r="W355" s="79"/>
      <c r="X355" s="79"/>
      <c r="Y355" s="77"/>
      <c r="Z355" s="77"/>
      <c r="AA355" s="77"/>
      <c r="AB355" s="77"/>
      <c r="AC355" s="77"/>
      <c r="AD355" s="77"/>
      <c r="AE355" s="77"/>
      <c r="AF355" s="77"/>
      <c r="AG355" s="77"/>
      <c r="AH355" s="77"/>
      <c r="AI355" s="77"/>
      <c r="AJ355" s="77"/>
      <c r="AK355" s="77"/>
      <c r="AL355" s="77"/>
      <c r="AM355" s="77"/>
      <c r="AN355" s="77"/>
      <c r="AO355" s="77"/>
      <c r="AP355" s="77"/>
      <c r="AQ355" s="77"/>
      <c r="AR355" s="77"/>
      <c r="AS355" s="77"/>
      <c r="AT355" s="77"/>
      <c r="AU355" s="77"/>
      <c r="AV355" s="77"/>
      <c r="AW355" s="77"/>
      <c r="AX355" s="77"/>
      <c r="AY355" s="77"/>
      <c r="AZ355" s="77"/>
      <c r="BA355" s="77"/>
      <c r="BB355" s="77"/>
      <c r="BC355" s="80"/>
      <c r="BD355" s="80"/>
      <c r="BE355" s="80"/>
      <c r="BF355" s="80"/>
      <c r="BG355" s="80"/>
      <c r="BH355" s="80"/>
      <c r="BI355" s="80"/>
      <c r="BJ355" s="80"/>
      <c r="BK355" s="80"/>
      <c r="BL355" s="80"/>
      <c r="BM355" s="80"/>
      <c r="BN355" s="80"/>
      <c r="BO355" s="80"/>
      <c r="BP355" s="80"/>
      <c r="BQ355" s="80"/>
      <c r="BR355" s="80"/>
      <c r="BS355" s="80"/>
      <c r="BT355" s="80"/>
      <c r="BU355" s="80"/>
      <c r="BV355" s="80"/>
      <c r="BW355" s="80"/>
      <c r="BX355" s="80"/>
    </row>
    <row r="356" spans="1:76" s="81" customFormat="1" ht="15" hidden="1" customHeight="1">
      <c r="A356" s="77"/>
      <c r="B356" s="77"/>
      <c r="C356" s="77"/>
      <c r="D356" s="78"/>
      <c r="E356" s="79"/>
      <c r="F356" s="79"/>
      <c r="G356" s="79"/>
      <c r="H356" s="79"/>
      <c r="I356" s="79"/>
      <c r="J356" s="79"/>
      <c r="K356" s="79"/>
      <c r="L356" s="79"/>
      <c r="M356" s="79"/>
      <c r="N356" s="79"/>
      <c r="O356" s="79"/>
      <c r="P356" s="79"/>
      <c r="Q356" s="79"/>
      <c r="R356" s="79"/>
      <c r="S356" s="79"/>
      <c r="T356" s="79"/>
      <c r="U356" s="79"/>
      <c r="V356" s="79"/>
      <c r="W356" s="79"/>
      <c r="X356" s="79"/>
      <c r="Y356" s="77"/>
      <c r="Z356" s="77"/>
      <c r="AA356" s="77"/>
      <c r="AB356" s="77"/>
      <c r="AC356" s="77"/>
      <c r="AD356" s="77"/>
      <c r="AE356" s="77"/>
      <c r="AF356" s="77"/>
      <c r="AG356" s="77"/>
      <c r="AH356" s="77"/>
      <c r="AI356" s="77"/>
      <c r="AJ356" s="77"/>
      <c r="AK356" s="77"/>
      <c r="AL356" s="77"/>
      <c r="AM356" s="77"/>
      <c r="AN356" s="77"/>
      <c r="AO356" s="77"/>
      <c r="AP356" s="77"/>
      <c r="AQ356" s="77"/>
      <c r="AR356" s="77"/>
      <c r="AS356" s="77"/>
      <c r="AT356" s="77"/>
      <c r="AU356" s="77"/>
      <c r="AV356" s="77"/>
      <c r="AW356" s="77"/>
      <c r="AX356" s="77"/>
      <c r="AY356" s="77"/>
      <c r="AZ356" s="77"/>
      <c r="BA356" s="77"/>
      <c r="BB356" s="77"/>
      <c r="BC356" s="80"/>
      <c r="BD356" s="80"/>
      <c r="BE356" s="80"/>
      <c r="BF356" s="80"/>
      <c r="BG356" s="80"/>
      <c r="BH356" s="80"/>
      <c r="BI356" s="80"/>
      <c r="BJ356" s="80"/>
      <c r="BK356" s="80"/>
      <c r="BL356" s="80"/>
      <c r="BM356" s="80"/>
      <c r="BN356" s="80"/>
      <c r="BO356" s="80"/>
      <c r="BP356" s="80"/>
      <c r="BQ356" s="80"/>
      <c r="BR356" s="80"/>
      <c r="BS356" s="80"/>
      <c r="BT356" s="80"/>
      <c r="BU356" s="80"/>
      <c r="BV356" s="80"/>
      <c r="BW356" s="80"/>
      <c r="BX356" s="80"/>
    </row>
    <row r="357" spans="1:76" s="81" customFormat="1" ht="15" hidden="1" customHeight="1">
      <c r="A357" s="77"/>
      <c r="B357" s="77"/>
      <c r="C357" s="77"/>
      <c r="D357" s="78"/>
      <c r="E357" s="79"/>
      <c r="F357" s="79"/>
      <c r="G357" s="79"/>
      <c r="H357" s="79"/>
      <c r="I357" s="79"/>
      <c r="J357" s="79"/>
      <c r="K357" s="79"/>
      <c r="L357" s="79"/>
      <c r="M357" s="79"/>
      <c r="N357" s="79"/>
      <c r="O357" s="79"/>
      <c r="P357" s="79"/>
      <c r="Q357" s="79"/>
      <c r="R357" s="79"/>
      <c r="S357" s="79"/>
      <c r="T357" s="79"/>
      <c r="U357" s="79"/>
      <c r="V357" s="79"/>
      <c r="W357" s="79"/>
      <c r="X357" s="79"/>
      <c r="Y357" s="77"/>
      <c r="Z357" s="77"/>
      <c r="AA357" s="77"/>
      <c r="AB357" s="77"/>
      <c r="AC357" s="77"/>
      <c r="AD357" s="77"/>
      <c r="AE357" s="77"/>
      <c r="AF357" s="77"/>
      <c r="AG357" s="77"/>
      <c r="AH357" s="77"/>
      <c r="AI357" s="77"/>
      <c r="AJ357" s="77"/>
      <c r="AK357" s="77"/>
      <c r="AL357" s="77"/>
      <c r="AM357" s="77"/>
      <c r="AN357" s="77"/>
      <c r="AO357" s="77"/>
      <c r="AP357" s="77"/>
      <c r="AQ357" s="77"/>
      <c r="AR357" s="77"/>
      <c r="AS357" s="77"/>
      <c r="AT357" s="77"/>
      <c r="AU357" s="77"/>
      <c r="AV357" s="77"/>
      <c r="AW357" s="77"/>
      <c r="AX357" s="77"/>
      <c r="AY357" s="77"/>
      <c r="AZ357" s="77"/>
      <c r="BA357" s="77"/>
      <c r="BB357" s="77"/>
      <c r="BC357" s="80"/>
      <c r="BD357" s="80"/>
      <c r="BE357" s="80"/>
      <c r="BF357" s="80"/>
      <c r="BG357" s="80"/>
      <c r="BH357" s="80"/>
      <c r="BI357" s="80"/>
      <c r="BJ357" s="80"/>
      <c r="BK357" s="80"/>
      <c r="BL357" s="80"/>
      <c r="BM357" s="80"/>
      <c r="BN357" s="80"/>
      <c r="BO357" s="80"/>
      <c r="BP357" s="80"/>
      <c r="BQ357" s="80"/>
      <c r="BR357" s="80"/>
      <c r="BS357" s="80"/>
      <c r="BT357" s="80"/>
      <c r="BU357" s="80"/>
      <c r="BV357" s="80"/>
      <c r="BW357" s="80"/>
      <c r="BX357" s="80"/>
    </row>
    <row r="358" spans="1:76" s="81" customFormat="1" ht="15" hidden="1" customHeight="1">
      <c r="A358" s="77"/>
      <c r="B358" s="77"/>
      <c r="C358" s="77"/>
      <c r="D358" s="78"/>
      <c r="E358" s="79"/>
      <c r="F358" s="79"/>
      <c r="G358" s="79"/>
      <c r="H358" s="79"/>
      <c r="I358" s="79"/>
      <c r="J358" s="79"/>
      <c r="K358" s="79"/>
      <c r="L358" s="79"/>
      <c r="M358" s="79"/>
      <c r="N358" s="79"/>
      <c r="O358" s="79"/>
      <c r="P358" s="79"/>
      <c r="Q358" s="79"/>
      <c r="R358" s="79"/>
      <c r="S358" s="79"/>
      <c r="T358" s="79"/>
      <c r="U358" s="79"/>
      <c r="V358" s="79"/>
      <c r="W358" s="79"/>
      <c r="X358" s="79"/>
      <c r="Y358" s="77"/>
      <c r="Z358" s="77"/>
      <c r="AA358" s="77"/>
      <c r="AB358" s="77"/>
      <c r="AC358" s="77"/>
      <c r="AD358" s="77"/>
      <c r="AE358" s="77"/>
      <c r="AF358" s="77"/>
      <c r="AG358" s="77"/>
      <c r="AH358" s="77"/>
      <c r="AI358" s="77"/>
      <c r="AJ358" s="77"/>
      <c r="AK358" s="77"/>
      <c r="AL358" s="77"/>
      <c r="AM358" s="77"/>
      <c r="AN358" s="77"/>
      <c r="AO358" s="77"/>
      <c r="AP358" s="77"/>
      <c r="AQ358" s="77"/>
      <c r="AR358" s="77"/>
      <c r="AS358" s="77"/>
      <c r="AT358" s="77"/>
      <c r="AU358" s="77"/>
      <c r="AV358" s="77"/>
      <c r="AW358" s="77"/>
      <c r="AX358" s="77"/>
      <c r="AY358" s="77"/>
      <c r="AZ358" s="77"/>
      <c r="BA358" s="77"/>
      <c r="BB358" s="77"/>
      <c r="BC358" s="80"/>
      <c r="BD358" s="80"/>
      <c r="BE358" s="80"/>
      <c r="BF358" s="80"/>
      <c r="BG358" s="80"/>
      <c r="BH358" s="80"/>
      <c r="BI358" s="80"/>
      <c r="BJ358" s="80"/>
      <c r="BK358" s="80"/>
      <c r="BL358" s="80"/>
      <c r="BM358" s="80"/>
      <c r="BN358" s="80"/>
      <c r="BO358" s="80"/>
      <c r="BP358" s="80"/>
      <c r="BQ358" s="80"/>
      <c r="BR358" s="80"/>
      <c r="BS358" s="80"/>
      <c r="BT358" s="80"/>
      <c r="BU358" s="80"/>
      <c r="BV358" s="80"/>
      <c r="BW358" s="80"/>
      <c r="BX358" s="80"/>
    </row>
    <row r="359" spans="1:76" s="81" customFormat="1" ht="15" hidden="1" customHeight="1">
      <c r="A359" s="77"/>
      <c r="B359" s="77"/>
      <c r="C359" s="77"/>
      <c r="D359" s="78"/>
      <c r="E359" s="79"/>
      <c r="F359" s="79"/>
      <c r="G359" s="79"/>
      <c r="H359" s="79"/>
      <c r="I359" s="79"/>
      <c r="J359" s="79"/>
      <c r="K359" s="79"/>
      <c r="L359" s="79"/>
      <c r="M359" s="79"/>
      <c r="N359" s="79"/>
      <c r="O359" s="79"/>
      <c r="P359" s="79"/>
      <c r="Q359" s="79"/>
      <c r="R359" s="79"/>
      <c r="S359" s="79"/>
      <c r="T359" s="79"/>
      <c r="U359" s="79"/>
      <c r="V359" s="79"/>
      <c r="W359" s="79"/>
      <c r="X359" s="79"/>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80"/>
      <c r="BD359" s="80"/>
      <c r="BE359" s="80"/>
      <c r="BF359" s="80"/>
      <c r="BG359" s="80"/>
      <c r="BH359" s="80"/>
      <c r="BI359" s="80"/>
      <c r="BJ359" s="80"/>
      <c r="BK359" s="80"/>
      <c r="BL359" s="80"/>
      <c r="BM359" s="80"/>
      <c r="BN359" s="80"/>
      <c r="BO359" s="80"/>
      <c r="BP359" s="80"/>
      <c r="BQ359" s="80"/>
      <c r="BR359" s="80"/>
      <c r="BS359" s="80"/>
      <c r="BT359" s="80"/>
      <c r="BU359" s="80"/>
      <c r="BV359" s="80"/>
      <c r="BW359" s="80"/>
      <c r="BX359" s="80"/>
    </row>
    <row r="360" spans="1:76" s="81" customFormat="1" ht="15" hidden="1" customHeight="1">
      <c r="A360" s="77"/>
      <c r="B360" s="77"/>
      <c r="C360" s="77"/>
      <c r="D360" s="78"/>
      <c r="E360" s="79"/>
      <c r="F360" s="79"/>
      <c r="G360" s="79"/>
      <c r="H360" s="79"/>
      <c r="I360" s="79"/>
      <c r="J360" s="79"/>
      <c r="K360" s="79"/>
      <c r="L360" s="79"/>
      <c r="M360" s="79"/>
      <c r="N360" s="79"/>
      <c r="O360" s="79"/>
      <c r="P360" s="79"/>
      <c r="Q360" s="79"/>
      <c r="R360" s="79"/>
      <c r="S360" s="79"/>
      <c r="T360" s="79"/>
      <c r="U360" s="79"/>
      <c r="V360" s="79"/>
      <c r="W360" s="79"/>
      <c r="X360" s="79"/>
      <c r="Y360" s="77"/>
      <c r="Z360" s="77"/>
      <c r="AA360" s="77"/>
      <c r="AB360" s="77"/>
      <c r="AC360" s="77"/>
      <c r="AD360" s="77"/>
      <c r="AE360" s="77"/>
      <c r="AF360" s="77"/>
      <c r="AG360" s="77"/>
      <c r="AH360" s="77"/>
      <c r="AI360" s="77"/>
      <c r="AJ360" s="77"/>
      <c r="AK360" s="77"/>
      <c r="AL360" s="77"/>
      <c r="AM360" s="77"/>
      <c r="AN360" s="77"/>
      <c r="AO360" s="77"/>
      <c r="AP360" s="77"/>
      <c r="AQ360" s="77"/>
      <c r="AR360" s="77"/>
      <c r="AS360" s="77"/>
      <c r="AT360" s="77"/>
      <c r="AU360" s="77"/>
      <c r="AV360" s="77"/>
      <c r="AW360" s="77"/>
      <c r="AX360" s="77"/>
      <c r="AY360" s="77"/>
      <c r="AZ360" s="77"/>
      <c r="BA360" s="77"/>
      <c r="BB360" s="77"/>
      <c r="BC360" s="80"/>
      <c r="BD360" s="80"/>
      <c r="BE360" s="80"/>
      <c r="BF360" s="80"/>
      <c r="BG360" s="80"/>
      <c r="BH360" s="80"/>
      <c r="BI360" s="80"/>
      <c r="BJ360" s="80"/>
      <c r="BK360" s="80"/>
      <c r="BL360" s="80"/>
      <c r="BM360" s="80"/>
      <c r="BN360" s="80"/>
      <c r="BO360" s="80"/>
      <c r="BP360" s="80"/>
      <c r="BQ360" s="80"/>
      <c r="BR360" s="80"/>
      <c r="BS360" s="80"/>
      <c r="BT360" s="80"/>
      <c r="BU360" s="80"/>
      <c r="BV360" s="80"/>
      <c r="BW360" s="80"/>
      <c r="BX360" s="80"/>
    </row>
    <row r="361" spans="1:76" s="81" customFormat="1" ht="15" hidden="1" customHeight="1">
      <c r="A361" s="77"/>
      <c r="B361" s="77"/>
      <c r="C361" s="77"/>
      <c r="D361" s="78"/>
      <c r="E361" s="79"/>
      <c r="F361" s="79"/>
      <c r="G361" s="79"/>
      <c r="H361" s="79"/>
      <c r="I361" s="79"/>
      <c r="J361" s="79"/>
      <c r="K361" s="79"/>
      <c r="L361" s="79"/>
      <c r="M361" s="79"/>
      <c r="N361" s="79"/>
      <c r="O361" s="79"/>
      <c r="P361" s="79"/>
      <c r="Q361" s="79"/>
      <c r="R361" s="79"/>
      <c r="S361" s="79"/>
      <c r="T361" s="79"/>
      <c r="U361" s="79"/>
      <c r="V361" s="79"/>
      <c r="W361" s="79"/>
      <c r="X361" s="79"/>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80"/>
      <c r="BD361" s="80"/>
      <c r="BE361" s="80"/>
      <c r="BF361" s="80"/>
      <c r="BG361" s="80"/>
      <c r="BH361" s="80"/>
      <c r="BI361" s="80"/>
      <c r="BJ361" s="80"/>
      <c r="BK361" s="80"/>
      <c r="BL361" s="80"/>
      <c r="BM361" s="80"/>
      <c r="BN361" s="80"/>
      <c r="BO361" s="80"/>
      <c r="BP361" s="80"/>
      <c r="BQ361" s="80"/>
      <c r="BR361" s="80"/>
      <c r="BS361" s="80"/>
      <c r="BT361" s="80"/>
      <c r="BU361" s="80"/>
      <c r="BV361" s="80"/>
      <c r="BW361" s="80"/>
      <c r="BX361" s="80"/>
    </row>
    <row r="362" spans="1:76" s="81" customFormat="1" ht="15" hidden="1" customHeight="1">
      <c r="A362" s="77"/>
      <c r="B362" s="77"/>
      <c r="C362" s="77"/>
      <c r="D362" s="78"/>
      <c r="E362" s="79"/>
      <c r="F362" s="79"/>
      <c r="G362" s="79"/>
      <c r="H362" s="79"/>
      <c r="I362" s="79"/>
      <c r="J362" s="79"/>
      <c r="K362" s="79"/>
      <c r="L362" s="79"/>
      <c r="M362" s="79"/>
      <c r="N362" s="79"/>
      <c r="O362" s="79"/>
      <c r="P362" s="79"/>
      <c r="Q362" s="79"/>
      <c r="R362" s="79"/>
      <c r="S362" s="79"/>
      <c r="T362" s="79"/>
      <c r="U362" s="79"/>
      <c r="V362" s="79"/>
      <c r="W362" s="79"/>
      <c r="X362" s="79"/>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80"/>
      <c r="BD362" s="80"/>
      <c r="BE362" s="80"/>
      <c r="BF362" s="80"/>
      <c r="BG362" s="80"/>
      <c r="BH362" s="80"/>
      <c r="BI362" s="80"/>
      <c r="BJ362" s="80"/>
      <c r="BK362" s="80"/>
      <c r="BL362" s="80"/>
      <c r="BM362" s="80"/>
      <c r="BN362" s="80"/>
      <c r="BO362" s="80"/>
      <c r="BP362" s="80"/>
      <c r="BQ362" s="80"/>
      <c r="BR362" s="80"/>
      <c r="BS362" s="80"/>
      <c r="BT362" s="80"/>
      <c r="BU362" s="80"/>
      <c r="BV362" s="80"/>
      <c r="BW362" s="80"/>
      <c r="BX362" s="80"/>
    </row>
    <row r="363" spans="1:76" s="81" customFormat="1" ht="15" hidden="1" customHeight="1">
      <c r="A363" s="77"/>
      <c r="B363" s="77"/>
      <c r="C363" s="77"/>
      <c r="D363" s="78"/>
      <c r="E363" s="79"/>
      <c r="F363" s="79"/>
      <c r="G363" s="79"/>
      <c r="H363" s="79"/>
      <c r="I363" s="79"/>
      <c r="J363" s="79"/>
      <c r="K363" s="79"/>
      <c r="L363" s="79"/>
      <c r="M363" s="79"/>
      <c r="N363" s="79"/>
      <c r="O363" s="79"/>
      <c r="P363" s="79"/>
      <c r="Q363" s="79"/>
      <c r="R363" s="79"/>
      <c r="S363" s="79"/>
      <c r="T363" s="79"/>
      <c r="U363" s="79"/>
      <c r="V363" s="79"/>
      <c r="W363" s="79"/>
      <c r="X363" s="79"/>
      <c r="Y363" s="77"/>
      <c r="Z363" s="77"/>
      <c r="AA363" s="77"/>
      <c r="AB363" s="77"/>
      <c r="AC363" s="77"/>
      <c r="AD363" s="77"/>
      <c r="AE363" s="77"/>
      <c r="AF363" s="77"/>
      <c r="AG363" s="77"/>
      <c r="AH363" s="77"/>
      <c r="AI363" s="77"/>
      <c r="AJ363" s="77"/>
      <c r="AK363" s="77"/>
      <c r="AL363" s="77"/>
      <c r="AM363" s="77"/>
      <c r="AN363" s="77"/>
      <c r="AO363" s="77"/>
      <c r="AP363" s="77"/>
      <c r="AQ363" s="77"/>
      <c r="AR363" s="77"/>
      <c r="AS363" s="77"/>
      <c r="AT363" s="77"/>
      <c r="AU363" s="77"/>
      <c r="AV363" s="77"/>
      <c r="AW363" s="77"/>
      <c r="AX363" s="77"/>
      <c r="AY363" s="77"/>
      <c r="AZ363" s="77"/>
      <c r="BA363" s="77"/>
      <c r="BB363" s="77"/>
      <c r="BC363" s="80"/>
      <c r="BD363" s="80"/>
      <c r="BE363" s="80"/>
      <c r="BF363" s="80"/>
      <c r="BG363" s="80"/>
      <c r="BH363" s="80"/>
      <c r="BI363" s="80"/>
      <c r="BJ363" s="80"/>
      <c r="BK363" s="80"/>
      <c r="BL363" s="80"/>
      <c r="BM363" s="80"/>
      <c r="BN363" s="80"/>
      <c r="BO363" s="80"/>
      <c r="BP363" s="80"/>
      <c r="BQ363" s="80"/>
      <c r="BR363" s="80"/>
      <c r="BS363" s="80"/>
      <c r="BT363" s="80"/>
      <c r="BU363" s="80"/>
      <c r="BV363" s="80"/>
      <c r="BW363" s="80"/>
      <c r="BX363" s="80"/>
    </row>
    <row r="364" spans="1:76" s="81" customFormat="1" ht="15" hidden="1" customHeight="1">
      <c r="A364" s="77"/>
      <c r="B364" s="77"/>
      <c r="C364" s="77"/>
      <c r="D364" s="78"/>
      <c r="E364" s="79"/>
      <c r="F364" s="79"/>
      <c r="G364" s="79"/>
      <c r="H364" s="79"/>
      <c r="I364" s="79"/>
      <c r="J364" s="79"/>
      <c r="K364" s="79"/>
      <c r="L364" s="79"/>
      <c r="M364" s="79"/>
      <c r="N364" s="79"/>
      <c r="O364" s="79"/>
      <c r="P364" s="79"/>
      <c r="Q364" s="79"/>
      <c r="R364" s="79"/>
      <c r="S364" s="79"/>
      <c r="T364" s="79"/>
      <c r="U364" s="79"/>
      <c r="V364" s="79"/>
      <c r="W364" s="79"/>
      <c r="X364" s="79"/>
      <c r="Y364" s="77"/>
      <c r="Z364" s="77"/>
      <c r="AA364" s="77"/>
      <c r="AB364" s="77"/>
      <c r="AC364" s="77"/>
      <c r="AD364" s="77"/>
      <c r="AE364" s="77"/>
      <c r="AF364" s="77"/>
      <c r="AG364" s="77"/>
      <c r="AH364" s="77"/>
      <c r="AI364" s="77"/>
      <c r="AJ364" s="77"/>
      <c r="AK364" s="77"/>
      <c r="AL364" s="77"/>
      <c r="AM364" s="77"/>
      <c r="AN364" s="77"/>
      <c r="AO364" s="77"/>
      <c r="AP364" s="77"/>
      <c r="AQ364" s="77"/>
      <c r="AR364" s="77"/>
      <c r="AS364" s="77"/>
      <c r="AT364" s="77"/>
      <c r="AU364" s="77"/>
      <c r="AV364" s="77"/>
      <c r="AW364" s="77"/>
      <c r="AX364" s="77"/>
      <c r="AY364" s="77"/>
      <c r="AZ364" s="77"/>
      <c r="BA364" s="77"/>
      <c r="BB364" s="77"/>
      <c r="BC364" s="80"/>
      <c r="BD364" s="80"/>
      <c r="BE364" s="80"/>
      <c r="BF364" s="80"/>
      <c r="BG364" s="80"/>
      <c r="BH364" s="80"/>
      <c r="BI364" s="80"/>
      <c r="BJ364" s="80"/>
      <c r="BK364" s="80"/>
      <c r="BL364" s="80"/>
      <c r="BM364" s="80"/>
      <c r="BN364" s="80"/>
      <c r="BO364" s="80"/>
      <c r="BP364" s="80"/>
      <c r="BQ364" s="80"/>
      <c r="BR364" s="80"/>
      <c r="BS364" s="80"/>
      <c r="BT364" s="80"/>
      <c r="BU364" s="80"/>
      <c r="BV364" s="80"/>
      <c r="BW364" s="80"/>
      <c r="BX364" s="80"/>
    </row>
    <row r="365" spans="1:76" s="81" customFormat="1" ht="15" hidden="1" customHeight="1">
      <c r="A365" s="77"/>
      <c r="B365" s="77"/>
      <c r="C365" s="77"/>
      <c r="D365" s="78"/>
      <c r="E365" s="79"/>
      <c r="F365" s="79"/>
      <c r="G365" s="79"/>
      <c r="H365" s="79"/>
      <c r="I365" s="79"/>
      <c r="J365" s="79"/>
      <c r="K365" s="79"/>
      <c r="L365" s="79"/>
      <c r="M365" s="79"/>
      <c r="N365" s="79"/>
      <c r="O365" s="79"/>
      <c r="P365" s="79"/>
      <c r="Q365" s="79"/>
      <c r="R365" s="79"/>
      <c r="S365" s="79"/>
      <c r="T365" s="79"/>
      <c r="U365" s="79"/>
      <c r="V365" s="79"/>
      <c r="W365" s="79"/>
      <c r="X365" s="79"/>
      <c r="Y365" s="77"/>
      <c r="Z365" s="77"/>
      <c r="AA365" s="77"/>
      <c r="AB365" s="77"/>
      <c r="AC365" s="77"/>
      <c r="AD365" s="77"/>
      <c r="AE365" s="77"/>
      <c r="AF365" s="77"/>
      <c r="AG365" s="77"/>
      <c r="AH365" s="77"/>
      <c r="AI365" s="77"/>
      <c r="AJ365" s="77"/>
      <c r="AK365" s="77"/>
      <c r="AL365" s="77"/>
      <c r="AM365" s="77"/>
      <c r="AN365" s="77"/>
      <c r="AO365" s="77"/>
      <c r="AP365" s="77"/>
      <c r="AQ365" s="77"/>
      <c r="AR365" s="77"/>
      <c r="AS365" s="77"/>
      <c r="AT365" s="77"/>
      <c r="AU365" s="77"/>
      <c r="AV365" s="77"/>
      <c r="AW365" s="77"/>
      <c r="AX365" s="77"/>
      <c r="AY365" s="77"/>
      <c r="AZ365" s="77"/>
      <c r="BA365" s="77"/>
      <c r="BB365" s="77"/>
      <c r="BC365" s="80"/>
      <c r="BD365" s="80"/>
      <c r="BE365" s="80"/>
      <c r="BF365" s="80"/>
      <c r="BG365" s="80"/>
      <c r="BH365" s="80"/>
      <c r="BI365" s="80"/>
      <c r="BJ365" s="80"/>
      <c r="BK365" s="80"/>
      <c r="BL365" s="80"/>
      <c r="BM365" s="80"/>
      <c r="BN365" s="80"/>
      <c r="BO365" s="80"/>
      <c r="BP365" s="80"/>
      <c r="BQ365" s="80"/>
      <c r="BR365" s="80"/>
      <c r="BS365" s="80"/>
      <c r="BT365" s="80"/>
      <c r="BU365" s="80"/>
      <c r="BV365" s="80"/>
      <c r="BW365" s="80"/>
      <c r="BX365" s="80"/>
    </row>
    <row r="366" spans="1:76" s="81" customFormat="1" ht="15" hidden="1" customHeight="1">
      <c r="A366" s="77"/>
      <c r="B366" s="77"/>
      <c r="C366" s="77"/>
      <c r="D366" s="78"/>
      <c r="E366" s="79"/>
      <c r="F366" s="79"/>
      <c r="G366" s="79"/>
      <c r="H366" s="79"/>
      <c r="I366" s="79"/>
      <c r="J366" s="79"/>
      <c r="K366" s="79"/>
      <c r="L366" s="79"/>
      <c r="M366" s="79"/>
      <c r="N366" s="79"/>
      <c r="O366" s="79"/>
      <c r="P366" s="79"/>
      <c r="Q366" s="79"/>
      <c r="R366" s="79"/>
      <c r="S366" s="79"/>
      <c r="T366" s="79"/>
      <c r="U366" s="79"/>
      <c r="V366" s="79"/>
      <c r="W366" s="79"/>
      <c r="X366" s="79"/>
      <c r="Y366" s="77"/>
      <c r="Z366" s="77"/>
      <c r="AA366" s="77"/>
      <c r="AB366" s="77"/>
      <c r="AC366" s="77"/>
      <c r="AD366" s="77"/>
      <c r="AE366" s="77"/>
      <c r="AF366" s="77"/>
      <c r="AG366" s="77"/>
      <c r="AH366" s="77"/>
      <c r="AI366" s="77"/>
      <c r="AJ366" s="77"/>
      <c r="AK366" s="77"/>
      <c r="AL366" s="77"/>
      <c r="AM366" s="77"/>
      <c r="AN366" s="77"/>
      <c r="AO366" s="77"/>
      <c r="AP366" s="77"/>
      <c r="AQ366" s="77"/>
      <c r="AR366" s="77"/>
      <c r="AS366" s="77"/>
      <c r="AT366" s="77"/>
      <c r="AU366" s="77"/>
      <c r="AV366" s="77"/>
      <c r="AW366" s="77"/>
      <c r="AX366" s="77"/>
      <c r="AY366" s="77"/>
      <c r="AZ366" s="77"/>
      <c r="BA366" s="77"/>
      <c r="BB366" s="77"/>
      <c r="BC366" s="80"/>
      <c r="BD366" s="80"/>
      <c r="BE366" s="80"/>
      <c r="BF366" s="80"/>
      <c r="BG366" s="80"/>
      <c r="BH366" s="80"/>
      <c r="BI366" s="80"/>
      <c r="BJ366" s="80"/>
      <c r="BK366" s="80"/>
      <c r="BL366" s="80"/>
      <c r="BM366" s="80"/>
      <c r="BN366" s="80"/>
      <c r="BO366" s="80"/>
      <c r="BP366" s="80"/>
      <c r="BQ366" s="80"/>
      <c r="BR366" s="80"/>
      <c r="BS366" s="80"/>
      <c r="BT366" s="80"/>
      <c r="BU366" s="80"/>
      <c r="BV366" s="80"/>
      <c r="BW366" s="80"/>
      <c r="BX366" s="80"/>
    </row>
    <row r="367" spans="1:76" s="81" customFormat="1" ht="15" hidden="1" customHeight="1">
      <c r="A367" s="77"/>
      <c r="B367" s="77"/>
      <c r="C367" s="77"/>
      <c r="D367" s="78"/>
      <c r="E367" s="79"/>
      <c r="F367" s="79"/>
      <c r="G367" s="79"/>
      <c r="H367" s="79"/>
      <c r="I367" s="79"/>
      <c r="J367" s="79"/>
      <c r="K367" s="79"/>
      <c r="L367" s="79"/>
      <c r="M367" s="79"/>
      <c r="N367" s="79"/>
      <c r="O367" s="79"/>
      <c r="P367" s="79"/>
      <c r="Q367" s="79"/>
      <c r="R367" s="79"/>
      <c r="S367" s="79"/>
      <c r="T367" s="79"/>
      <c r="U367" s="79"/>
      <c r="V367" s="79"/>
      <c r="W367" s="79"/>
      <c r="X367" s="79"/>
      <c r="Y367" s="77"/>
      <c r="Z367" s="77"/>
      <c r="AA367" s="77"/>
      <c r="AB367" s="77"/>
      <c r="AC367" s="77"/>
      <c r="AD367" s="77"/>
      <c r="AE367" s="77"/>
      <c r="AF367" s="77"/>
      <c r="AG367" s="77"/>
      <c r="AH367" s="77"/>
      <c r="AI367" s="77"/>
      <c r="AJ367" s="77"/>
      <c r="AK367" s="77"/>
      <c r="AL367" s="77"/>
      <c r="AM367" s="77"/>
      <c r="AN367" s="77"/>
      <c r="AO367" s="77"/>
      <c r="AP367" s="77"/>
      <c r="AQ367" s="77"/>
      <c r="AR367" s="77"/>
      <c r="AS367" s="77"/>
      <c r="AT367" s="77"/>
      <c r="AU367" s="77"/>
      <c r="AV367" s="77"/>
      <c r="AW367" s="77"/>
      <c r="AX367" s="77"/>
      <c r="AY367" s="77"/>
      <c r="AZ367" s="77"/>
      <c r="BA367" s="77"/>
      <c r="BB367" s="77"/>
      <c r="BC367" s="80"/>
      <c r="BD367" s="80"/>
      <c r="BE367" s="80"/>
      <c r="BF367" s="80"/>
      <c r="BG367" s="80"/>
      <c r="BH367" s="80"/>
      <c r="BI367" s="80"/>
      <c r="BJ367" s="80"/>
      <c r="BK367" s="80"/>
      <c r="BL367" s="80"/>
      <c r="BM367" s="80"/>
      <c r="BN367" s="80"/>
      <c r="BO367" s="80"/>
      <c r="BP367" s="80"/>
      <c r="BQ367" s="80"/>
      <c r="BR367" s="80"/>
      <c r="BS367" s="80"/>
      <c r="BT367" s="80"/>
      <c r="BU367" s="80"/>
      <c r="BV367" s="80"/>
      <c r="BW367" s="80"/>
      <c r="BX367" s="80"/>
    </row>
    <row r="368" spans="1:76" s="81" customFormat="1" ht="15" hidden="1" customHeight="1">
      <c r="A368" s="77"/>
      <c r="B368" s="77"/>
      <c r="C368" s="77"/>
      <c r="D368" s="78"/>
      <c r="E368" s="79"/>
      <c r="F368" s="79"/>
      <c r="G368" s="79"/>
      <c r="H368" s="79"/>
      <c r="I368" s="79"/>
      <c r="J368" s="79"/>
      <c r="K368" s="79"/>
      <c r="L368" s="79"/>
      <c r="M368" s="79"/>
      <c r="N368" s="79"/>
      <c r="O368" s="79"/>
      <c r="P368" s="79"/>
      <c r="Q368" s="79"/>
      <c r="R368" s="79"/>
      <c r="S368" s="79"/>
      <c r="T368" s="79"/>
      <c r="U368" s="79"/>
      <c r="V368" s="79"/>
      <c r="W368" s="79"/>
      <c r="X368" s="79"/>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80"/>
      <c r="BD368" s="80"/>
      <c r="BE368" s="80"/>
      <c r="BF368" s="80"/>
      <c r="BG368" s="80"/>
      <c r="BH368" s="80"/>
      <c r="BI368" s="80"/>
      <c r="BJ368" s="80"/>
      <c r="BK368" s="80"/>
      <c r="BL368" s="80"/>
      <c r="BM368" s="80"/>
      <c r="BN368" s="80"/>
      <c r="BO368" s="80"/>
      <c r="BP368" s="80"/>
      <c r="BQ368" s="80"/>
      <c r="BR368" s="80"/>
      <c r="BS368" s="80"/>
      <c r="BT368" s="80"/>
      <c r="BU368" s="80"/>
      <c r="BV368" s="80"/>
      <c r="BW368" s="80"/>
      <c r="BX368" s="80"/>
    </row>
    <row r="369" spans="1:76" s="81" customFormat="1" ht="15" hidden="1" customHeight="1">
      <c r="A369" s="77"/>
      <c r="B369" s="77"/>
      <c r="C369" s="77"/>
      <c r="D369" s="78"/>
      <c r="E369" s="79"/>
      <c r="F369" s="79"/>
      <c r="G369" s="79"/>
      <c r="H369" s="79"/>
      <c r="I369" s="79"/>
      <c r="J369" s="79"/>
      <c r="K369" s="79"/>
      <c r="L369" s="79"/>
      <c r="M369" s="79"/>
      <c r="N369" s="79"/>
      <c r="O369" s="79"/>
      <c r="P369" s="79"/>
      <c r="Q369" s="79"/>
      <c r="R369" s="79"/>
      <c r="S369" s="79"/>
      <c r="T369" s="79"/>
      <c r="U369" s="79"/>
      <c r="V369" s="79"/>
      <c r="W369" s="79"/>
      <c r="X369" s="79"/>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80"/>
      <c r="BD369" s="80"/>
      <c r="BE369" s="80"/>
      <c r="BF369" s="80"/>
      <c r="BG369" s="80"/>
      <c r="BH369" s="80"/>
      <c r="BI369" s="80"/>
      <c r="BJ369" s="80"/>
      <c r="BK369" s="80"/>
      <c r="BL369" s="80"/>
      <c r="BM369" s="80"/>
      <c r="BN369" s="80"/>
      <c r="BO369" s="80"/>
      <c r="BP369" s="80"/>
      <c r="BQ369" s="80"/>
      <c r="BR369" s="80"/>
      <c r="BS369" s="80"/>
      <c r="BT369" s="80"/>
      <c r="BU369" s="80"/>
      <c r="BV369" s="80"/>
      <c r="BW369" s="80"/>
      <c r="BX369" s="80"/>
    </row>
    <row r="370" spans="1:76" s="81" customFormat="1" ht="15" hidden="1" customHeight="1">
      <c r="A370" s="77"/>
      <c r="B370" s="77"/>
      <c r="C370" s="77"/>
      <c r="D370" s="78"/>
      <c r="E370" s="79"/>
      <c r="F370" s="79"/>
      <c r="G370" s="79"/>
      <c r="H370" s="79"/>
      <c r="I370" s="79"/>
      <c r="J370" s="79"/>
      <c r="K370" s="79"/>
      <c r="L370" s="79"/>
      <c r="M370" s="79"/>
      <c r="N370" s="79"/>
      <c r="O370" s="79"/>
      <c r="P370" s="79"/>
      <c r="Q370" s="79"/>
      <c r="R370" s="79"/>
      <c r="S370" s="79"/>
      <c r="T370" s="79"/>
      <c r="U370" s="79"/>
      <c r="V370" s="79"/>
      <c r="W370" s="79"/>
      <c r="X370" s="79"/>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80"/>
      <c r="BD370" s="80"/>
      <c r="BE370" s="80"/>
      <c r="BF370" s="80"/>
      <c r="BG370" s="80"/>
      <c r="BH370" s="80"/>
      <c r="BI370" s="80"/>
      <c r="BJ370" s="80"/>
      <c r="BK370" s="80"/>
      <c r="BL370" s="80"/>
      <c r="BM370" s="80"/>
      <c r="BN370" s="80"/>
      <c r="BO370" s="80"/>
      <c r="BP370" s="80"/>
      <c r="BQ370" s="80"/>
      <c r="BR370" s="80"/>
      <c r="BS370" s="80"/>
      <c r="BT370" s="80"/>
      <c r="BU370" s="80"/>
      <c r="BV370" s="80"/>
      <c r="BW370" s="80"/>
      <c r="BX370" s="80"/>
    </row>
    <row r="371" spans="1:76" s="81" customFormat="1" ht="15" hidden="1" customHeight="1">
      <c r="A371" s="77"/>
      <c r="B371" s="77"/>
      <c r="C371" s="77"/>
      <c r="D371" s="78"/>
      <c r="E371" s="79"/>
      <c r="F371" s="79"/>
      <c r="G371" s="79"/>
      <c r="H371" s="79"/>
      <c r="I371" s="79"/>
      <c r="J371" s="79"/>
      <c r="K371" s="79"/>
      <c r="L371" s="79"/>
      <c r="M371" s="79"/>
      <c r="N371" s="79"/>
      <c r="O371" s="79"/>
      <c r="P371" s="79"/>
      <c r="Q371" s="79"/>
      <c r="R371" s="79"/>
      <c r="S371" s="79"/>
      <c r="T371" s="79"/>
      <c r="U371" s="79"/>
      <c r="V371" s="79"/>
      <c r="W371" s="79"/>
      <c r="X371" s="79"/>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80"/>
      <c r="BD371" s="80"/>
      <c r="BE371" s="80"/>
      <c r="BF371" s="80"/>
      <c r="BG371" s="80"/>
      <c r="BH371" s="80"/>
      <c r="BI371" s="80"/>
      <c r="BJ371" s="80"/>
      <c r="BK371" s="80"/>
      <c r="BL371" s="80"/>
      <c r="BM371" s="80"/>
      <c r="BN371" s="80"/>
      <c r="BO371" s="80"/>
      <c r="BP371" s="80"/>
      <c r="BQ371" s="80"/>
      <c r="BR371" s="80"/>
      <c r="BS371" s="80"/>
      <c r="BT371" s="80"/>
      <c r="BU371" s="80"/>
      <c r="BV371" s="80"/>
      <c r="BW371" s="80"/>
      <c r="BX371" s="80"/>
    </row>
    <row r="372" spans="1:76" s="81" customFormat="1" ht="15" hidden="1" customHeight="1">
      <c r="A372" s="77"/>
      <c r="B372" s="77"/>
      <c r="C372" s="77"/>
      <c r="D372" s="78"/>
      <c r="E372" s="79"/>
      <c r="F372" s="79"/>
      <c r="G372" s="79"/>
      <c r="H372" s="79"/>
      <c r="I372" s="79"/>
      <c r="J372" s="79"/>
      <c r="K372" s="79"/>
      <c r="L372" s="79"/>
      <c r="M372" s="79"/>
      <c r="N372" s="79"/>
      <c r="O372" s="79"/>
      <c r="P372" s="79"/>
      <c r="Q372" s="79"/>
      <c r="R372" s="79"/>
      <c r="S372" s="79"/>
      <c r="T372" s="79"/>
      <c r="U372" s="79"/>
      <c r="V372" s="79"/>
      <c r="W372" s="79"/>
      <c r="X372" s="79"/>
      <c r="Y372" s="77"/>
      <c r="Z372" s="77"/>
      <c r="AA372" s="77"/>
      <c r="AB372" s="77"/>
      <c r="AC372" s="77"/>
      <c r="AD372" s="77"/>
      <c r="AE372" s="77"/>
      <c r="AF372" s="77"/>
      <c r="AG372" s="77"/>
      <c r="AH372" s="77"/>
      <c r="AI372" s="77"/>
      <c r="AJ372" s="77"/>
      <c r="AK372" s="77"/>
      <c r="AL372" s="77"/>
      <c r="AM372" s="77"/>
      <c r="AN372" s="77"/>
      <c r="AO372" s="77"/>
      <c r="AP372" s="77"/>
      <c r="AQ372" s="77"/>
      <c r="AR372" s="77"/>
      <c r="AS372" s="77"/>
      <c r="AT372" s="77"/>
      <c r="AU372" s="82"/>
      <c r="AV372" s="82"/>
      <c r="AW372" s="82"/>
      <c r="AX372" s="82"/>
      <c r="AY372" s="82"/>
      <c r="AZ372" s="82"/>
      <c r="BA372" s="82"/>
      <c r="BB372" s="82"/>
    </row>
    <row r="373" spans="1:76" s="81" customFormat="1" ht="15" hidden="1" customHeight="1">
      <c r="A373" s="77"/>
      <c r="B373" s="77"/>
      <c r="C373" s="77"/>
      <c r="D373" s="78"/>
      <c r="E373" s="79"/>
      <c r="F373" s="79"/>
      <c r="G373" s="79"/>
      <c r="H373" s="79"/>
      <c r="I373" s="79"/>
      <c r="J373" s="79"/>
      <c r="K373" s="79"/>
      <c r="L373" s="79"/>
      <c r="M373" s="79"/>
      <c r="N373" s="79"/>
      <c r="O373" s="79"/>
      <c r="P373" s="79"/>
      <c r="Q373" s="79"/>
      <c r="R373" s="79"/>
      <c r="S373" s="79"/>
      <c r="T373" s="79"/>
      <c r="U373" s="79"/>
      <c r="V373" s="79"/>
      <c r="W373" s="79"/>
      <c r="X373" s="79"/>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82"/>
      <c r="AV373" s="82"/>
      <c r="AW373" s="82"/>
      <c r="AX373" s="82"/>
      <c r="AY373" s="82"/>
      <c r="AZ373" s="82"/>
      <c r="BA373" s="82"/>
      <c r="BB373" s="82"/>
    </row>
    <row r="374" spans="1:76" s="81" customFormat="1" ht="15" hidden="1" customHeight="1">
      <c r="A374" s="77"/>
      <c r="B374" s="77"/>
      <c r="C374" s="77"/>
      <c r="D374" s="78"/>
      <c r="E374" s="79"/>
      <c r="F374" s="79"/>
      <c r="G374" s="79"/>
      <c r="H374" s="79"/>
      <c r="I374" s="79"/>
      <c r="J374" s="79"/>
      <c r="K374" s="79"/>
      <c r="L374" s="79"/>
      <c r="M374" s="79"/>
      <c r="N374" s="79"/>
      <c r="O374" s="79"/>
      <c r="P374" s="79"/>
      <c r="Q374" s="79"/>
      <c r="R374" s="79"/>
      <c r="S374" s="79"/>
      <c r="T374" s="79"/>
      <c r="U374" s="79"/>
      <c r="V374" s="79"/>
      <c r="W374" s="79"/>
      <c r="X374" s="79"/>
      <c r="Y374" s="77"/>
      <c r="Z374" s="77"/>
      <c r="AA374" s="77"/>
      <c r="AB374" s="77"/>
      <c r="AC374" s="77"/>
      <c r="AD374" s="77"/>
      <c r="AE374" s="77"/>
      <c r="AF374" s="77"/>
      <c r="AG374" s="77"/>
      <c r="AH374" s="77"/>
      <c r="AI374" s="77"/>
      <c r="AJ374" s="77"/>
      <c r="AK374" s="77"/>
      <c r="AL374" s="77"/>
      <c r="AM374" s="77"/>
      <c r="AN374" s="77"/>
      <c r="AO374" s="77"/>
      <c r="AP374" s="77"/>
      <c r="AQ374" s="77"/>
      <c r="AR374" s="77"/>
      <c r="AS374" s="77"/>
      <c r="AT374" s="77"/>
      <c r="AU374" s="82"/>
      <c r="AV374" s="82"/>
      <c r="AW374" s="82"/>
      <c r="AX374" s="82"/>
      <c r="AY374" s="82"/>
      <c r="AZ374" s="82"/>
      <c r="BA374" s="82"/>
      <c r="BB374" s="82"/>
    </row>
    <row r="375" spans="1:76" s="81" customFormat="1" ht="15" hidden="1" customHeight="1">
      <c r="A375" s="77"/>
      <c r="B375" s="77"/>
      <c r="C375" s="77"/>
      <c r="D375" s="78"/>
      <c r="E375" s="79"/>
      <c r="F375" s="79"/>
      <c r="G375" s="79"/>
      <c r="H375" s="79"/>
      <c r="I375" s="79"/>
      <c r="J375" s="79"/>
      <c r="K375" s="79"/>
      <c r="L375" s="79"/>
      <c r="M375" s="79"/>
      <c r="N375" s="79"/>
      <c r="O375" s="79"/>
      <c r="P375" s="79"/>
      <c r="Q375" s="79"/>
      <c r="R375" s="79"/>
      <c r="S375" s="79"/>
      <c r="T375" s="79"/>
      <c r="U375" s="79"/>
      <c r="V375" s="79"/>
      <c r="W375" s="79"/>
      <c r="X375" s="79"/>
      <c r="Y375" s="77"/>
      <c r="Z375" s="77"/>
      <c r="AA375" s="77"/>
      <c r="AB375" s="77"/>
      <c r="AC375" s="77"/>
      <c r="AD375" s="77"/>
      <c r="AE375" s="77"/>
      <c r="AF375" s="77"/>
      <c r="AG375" s="77"/>
      <c r="AH375" s="77"/>
      <c r="AI375" s="77"/>
      <c r="AJ375" s="77"/>
      <c r="AK375" s="77"/>
      <c r="AL375" s="77"/>
      <c r="AM375" s="77"/>
      <c r="AN375" s="77"/>
      <c r="AO375" s="77"/>
      <c r="AP375" s="77"/>
      <c r="AQ375" s="77"/>
      <c r="AR375" s="77"/>
      <c r="AS375" s="77"/>
      <c r="AT375" s="77"/>
      <c r="AU375" s="82"/>
      <c r="AV375" s="82"/>
      <c r="AW375" s="82"/>
      <c r="AX375" s="82"/>
      <c r="AY375" s="82"/>
      <c r="AZ375" s="82"/>
      <c r="BA375" s="82"/>
      <c r="BB375" s="82"/>
    </row>
    <row r="376" spans="1:76" s="81" customFormat="1" ht="15" hidden="1" customHeight="1">
      <c r="A376" s="77"/>
      <c r="B376" s="77"/>
      <c r="C376" s="77"/>
      <c r="D376" s="78"/>
      <c r="E376" s="79"/>
      <c r="F376" s="79"/>
      <c r="G376" s="79"/>
      <c r="H376" s="79"/>
      <c r="I376" s="79"/>
      <c r="J376" s="79"/>
      <c r="K376" s="79"/>
      <c r="L376" s="79"/>
      <c r="M376" s="79"/>
      <c r="N376" s="79"/>
      <c r="O376" s="79"/>
      <c r="P376" s="79"/>
      <c r="Q376" s="79"/>
      <c r="R376" s="79"/>
      <c r="S376" s="79"/>
      <c r="T376" s="79"/>
      <c r="U376" s="79"/>
      <c r="V376" s="79"/>
      <c r="W376" s="79"/>
      <c r="X376" s="79"/>
      <c r="Y376" s="77"/>
      <c r="Z376" s="77"/>
      <c r="AA376" s="77"/>
      <c r="AB376" s="77"/>
      <c r="AC376" s="77"/>
      <c r="AD376" s="77"/>
      <c r="AE376" s="77"/>
      <c r="AF376" s="77"/>
      <c r="AG376" s="77"/>
      <c r="AH376" s="77"/>
      <c r="AI376" s="77"/>
      <c r="AJ376" s="77"/>
      <c r="AK376" s="77"/>
      <c r="AL376" s="77"/>
      <c r="AM376" s="77"/>
      <c r="AN376" s="77"/>
      <c r="AO376" s="77"/>
      <c r="AP376" s="77"/>
      <c r="AQ376" s="77"/>
      <c r="AR376" s="77"/>
      <c r="AS376" s="77"/>
      <c r="AT376" s="77"/>
      <c r="AU376" s="82"/>
      <c r="AV376" s="82"/>
      <c r="AW376" s="82"/>
      <c r="AX376" s="82"/>
      <c r="AY376" s="82"/>
      <c r="AZ376" s="82"/>
      <c r="BA376" s="82"/>
      <c r="BB376" s="82"/>
    </row>
    <row r="377" spans="1:76" s="81" customFormat="1" ht="15" hidden="1" customHeight="1">
      <c r="A377" s="77"/>
      <c r="B377" s="77"/>
      <c r="C377" s="77"/>
      <c r="D377" s="78"/>
      <c r="E377" s="79"/>
      <c r="F377" s="79"/>
      <c r="G377" s="79"/>
      <c r="H377" s="79"/>
      <c r="I377" s="79"/>
      <c r="J377" s="79"/>
      <c r="K377" s="79"/>
      <c r="L377" s="79"/>
      <c r="M377" s="79"/>
      <c r="N377" s="79"/>
      <c r="O377" s="79"/>
      <c r="P377" s="79"/>
      <c r="Q377" s="79"/>
      <c r="R377" s="79"/>
      <c r="S377" s="79"/>
      <c r="T377" s="79"/>
      <c r="U377" s="79"/>
      <c r="V377" s="79"/>
      <c r="W377" s="79"/>
      <c r="X377" s="79"/>
      <c r="Y377" s="77"/>
      <c r="Z377" s="77"/>
      <c r="AA377" s="77"/>
      <c r="AB377" s="77"/>
      <c r="AC377" s="77"/>
      <c r="AD377" s="77"/>
      <c r="AE377" s="77"/>
      <c r="AF377" s="77"/>
      <c r="AG377" s="77"/>
      <c r="AH377" s="77"/>
      <c r="AI377" s="77"/>
      <c r="AJ377" s="77"/>
      <c r="AK377" s="77"/>
      <c r="AL377" s="77"/>
      <c r="AM377" s="77"/>
      <c r="AN377" s="77"/>
      <c r="AO377" s="77"/>
      <c r="AP377" s="77"/>
      <c r="AQ377" s="77"/>
      <c r="AR377" s="77"/>
      <c r="AS377" s="77"/>
      <c r="AT377" s="77"/>
      <c r="AU377" s="82"/>
      <c r="AV377" s="82"/>
      <c r="AW377" s="82"/>
      <c r="AX377" s="82"/>
      <c r="AY377" s="82"/>
      <c r="AZ377" s="82"/>
      <c r="BA377" s="82"/>
      <c r="BB377" s="82"/>
    </row>
    <row r="378" spans="1:76" s="81" customFormat="1" ht="15" hidden="1" customHeight="1">
      <c r="A378" s="77"/>
      <c r="B378" s="77"/>
      <c r="C378" s="77"/>
      <c r="D378" s="78"/>
      <c r="E378" s="79"/>
      <c r="F378" s="79"/>
      <c r="G378" s="79"/>
      <c r="H378" s="79"/>
      <c r="I378" s="79"/>
      <c r="J378" s="79"/>
      <c r="K378" s="79"/>
      <c r="L378" s="79"/>
      <c r="M378" s="79"/>
      <c r="N378" s="79"/>
      <c r="O378" s="79"/>
      <c r="P378" s="79"/>
      <c r="Q378" s="79"/>
      <c r="R378" s="79"/>
      <c r="S378" s="79"/>
      <c r="T378" s="79"/>
      <c r="U378" s="79"/>
      <c r="V378" s="79"/>
      <c r="W378" s="79"/>
      <c r="X378" s="79"/>
      <c r="Y378" s="77"/>
      <c r="Z378" s="77"/>
      <c r="AA378" s="77"/>
      <c r="AB378" s="77"/>
      <c r="AC378" s="77"/>
      <c r="AD378" s="77"/>
      <c r="AE378" s="77"/>
      <c r="AF378" s="77"/>
      <c r="AG378" s="77"/>
      <c r="AH378" s="77"/>
      <c r="AI378" s="77"/>
      <c r="AJ378" s="77"/>
      <c r="AK378" s="77"/>
      <c r="AL378" s="77"/>
      <c r="AM378" s="77"/>
      <c r="AN378" s="77"/>
      <c r="AO378" s="77"/>
      <c r="AP378" s="77"/>
      <c r="AQ378" s="77"/>
      <c r="AR378" s="77"/>
      <c r="AS378" s="77"/>
      <c r="AT378" s="77"/>
      <c r="AU378" s="82"/>
      <c r="AV378" s="82"/>
      <c r="AW378" s="82"/>
      <c r="AX378" s="82"/>
      <c r="AY378" s="82"/>
      <c r="AZ378" s="82"/>
      <c r="BA378" s="82"/>
      <c r="BB378" s="82"/>
    </row>
    <row r="379" spans="1:76" s="81" customFormat="1" ht="15" hidden="1" customHeight="1">
      <c r="A379" s="77"/>
      <c r="B379" s="77"/>
      <c r="C379" s="77"/>
      <c r="D379" s="78"/>
      <c r="E379" s="79"/>
      <c r="F379" s="79"/>
      <c r="G379" s="79"/>
      <c r="H379" s="79"/>
      <c r="I379" s="79"/>
      <c r="J379" s="79"/>
      <c r="K379" s="79"/>
      <c r="L379" s="79"/>
      <c r="M379" s="79"/>
      <c r="N379" s="79"/>
      <c r="O379" s="79"/>
      <c r="P379" s="79"/>
      <c r="Q379" s="79"/>
      <c r="R379" s="79"/>
      <c r="S379" s="79"/>
      <c r="T379" s="79"/>
      <c r="U379" s="79"/>
      <c r="V379" s="79"/>
      <c r="W379" s="79"/>
      <c r="X379" s="79"/>
      <c r="Y379" s="77"/>
      <c r="Z379" s="77"/>
      <c r="AA379" s="77"/>
      <c r="AB379" s="77"/>
      <c r="AC379" s="77"/>
      <c r="AD379" s="77"/>
      <c r="AE379" s="77"/>
      <c r="AF379" s="77"/>
      <c r="AG379" s="77"/>
      <c r="AH379" s="77"/>
      <c r="AI379" s="77"/>
      <c r="AJ379" s="77"/>
      <c r="AK379" s="77"/>
      <c r="AL379" s="77"/>
      <c r="AM379" s="77"/>
      <c r="AN379" s="77"/>
      <c r="AO379" s="77"/>
      <c r="AP379" s="77"/>
      <c r="AQ379" s="77"/>
      <c r="AR379" s="77"/>
      <c r="AS379" s="77"/>
      <c r="AT379" s="77"/>
      <c r="AU379" s="82"/>
      <c r="AV379" s="82"/>
      <c r="AW379" s="82"/>
      <c r="AX379" s="82"/>
      <c r="AY379" s="82"/>
      <c r="AZ379" s="82"/>
      <c r="BA379" s="82"/>
      <c r="BB379" s="82"/>
    </row>
    <row r="380" spans="1:76" s="81" customFormat="1" ht="15" hidden="1" customHeight="1">
      <c r="A380" s="77"/>
      <c r="B380" s="77"/>
      <c r="C380" s="77"/>
      <c r="D380" s="78"/>
      <c r="E380" s="79"/>
      <c r="F380" s="79"/>
      <c r="G380" s="79"/>
      <c r="H380" s="79"/>
      <c r="I380" s="79"/>
      <c r="J380" s="79"/>
      <c r="K380" s="79"/>
      <c r="L380" s="79"/>
      <c r="M380" s="79"/>
      <c r="N380" s="79"/>
      <c r="O380" s="79"/>
      <c r="P380" s="79"/>
      <c r="Q380" s="79"/>
      <c r="R380" s="79"/>
      <c r="S380" s="79"/>
      <c r="T380" s="79"/>
      <c r="U380" s="79"/>
      <c r="V380" s="79"/>
      <c r="W380" s="79"/>
      <c r="X380" s="79"/>
      <c r="Y380" s="77"/>
      <c r="Z380" s="77"/>
      <c r="AA380" s="77"/>
      <c r="AB380" s="77"/>
      <c r="AC380" s="77"/>
      <c r="AD380" s="77"/>
      <c r="AE380" s="77"/>
      <c r="AF380" s="77"/>
      <c r="AG380" s="77"/>
      <c r="AH380" s="77"/>
      <c r="AI380" s="77"/>
      <c r="AJ380" s="77"/>
      <c r="AK380" s="77"/>
      <c r="AL380" s="77"/>
      <c r="AM380" s="77"/>
      <c r="AN380" s="77"/>
      <c r="AO380" s="77"/>
      <c r="AP380" s="77"/>
      <c r="AQ380" s="77"/>
      <c r="AR380" s="77"/>
      <c r="AS380" s="77"/>
      <c r="AT380" s="77"/>
      <c r="AU380" s="82"/>
      <c r="AV380" s="82"/>
      <c r="AW380" s="82"/>
      <c r="AX380" s="82"/>
      <c r="AY380" s="82"/>
      <c r="AZ380" s="82"/>
      <c r="BA380" s="82"/>
      <c r="BB380" s="82"/>
    </row>
    <row r="381" spans="1:76" s="81" customFormat="1" ht="15" hidden="1" customHeight="1">
      <c r="A381" s="77"/>
      <c r="B381" s="77"/>
      <c r="C381" s="77"/>
      <c r="D381" s="78"/>
      <c r="E381" s="79"/>
      <c r="F381" s="79"/>
      <c r="G381" s="79"/>
      <c r="H381" s="79"/>
      <c r="I381" s="79"/>
      <c r="J381" s="79"/>
      <c r="K381" s="79"/>
      <c r="L381" s="79"/>
      <c r="M381" s="79"/>
      <c r="N381" s="79"/>
      <c r="O381" s="79"/>
      <c r="P381" s="79"/>
      <c r="Q381" s="79"/>
      <c r="R381" s="79"/>
      <c r="S381" s="79"/>
      <c r="T381" s="79"/>
      <c r="U381" s="79"/>
      <c r="V381" s="79"/>
      <c r="W381" s="79"/>
      <c r="X381" s="79"/>
      <c r="Y381" s="77"/>
      <c r="Z381" s="77"/>
      <c r="AA381" s="77"/>
      <c r="AB381" s="77"/>
      <c r="AC381" s="77"/>
      <c r="AD381" s="77"/>
      <c r="AE381" s="77"/>
      <c r="AF381" s="77"/>
      <c r="AG381" s="77"/>
      <c r="AH381" s="77"/>
      <c r="AI381" s="77"/>
      <c r="AJ381" s="77"/>
      <c r="AK381" s="77"/>
      <c r="AL381" s="77"/>
      <c r="AM381" s="77"/>
      <c r="AN381" s="77"/>
      <c r="AO381" s="77"/>
      <c r="AP381" s="77"/>
      <c r="AQ381" s="77"/>
      <c r="AR381" s="77"/>
      <c r="AS381" s="77"/>
      <c r="AT381" s="77"/>
      <c r="AU381" s="82"/>
      <c r="AV381" s="82"/>
      <c r="AW381" s="82"/>
      <c r="AX381" s="82"/>
      <c r="AY381" s="82"/>
      <c r="AZ381" s="82"/>
      <c r="BA381" s="82"/>
      <c r="BB381" s="82"/>
    </row>
    <row r="382" spans="1:76" s="81" customFormat="1" ht="15" hidden="1" customHeight="1">
      <c r="A382" s="77"/>
      <c r="B382" s="77"/>
      <c r="C382" s="77"/>
      <c r="D382" s="78"/>
      <c r="E382" s="79"/>
      <c r="F382" s="79"/>
      <c r="G382" s="79"/>
      <c r="H382" s="79"/>
      <c r="I382" s="79"/>
      <c r="J382" s="79"/>
      <c r="K382" s="79"/>
      <c r="L382" s="79"/>
      <c r="M382" s="79"/>
      <c r="N382" s="79"/>
      <c r="O382" s="79"/>
      <c r="P382" s="79"/>
      <c r="Q382" s="79"/>
      <c r="R382" s="79"/>
      <c r="S382" s="79"/>
      <c r="T382" s="79"/>
      <c r="U382" s="79"/>
      <c r="V382" s="79"/>
      <c r="W382" s="79"/>
      <c r="X382" s="79"/>
      <c r="Y382" s="77"/>
      <c r="Z382" s="77"/>
      <c r="AA382" s="77"/>
      <c r="AB382" s="77"/>
      <c r="AC382" s="77"/>
      <c r="AD382" s="77"/>
      <c r="AE382" s="77"/>
      <c r="AF382" s="77"/>
      <c r="AG382" s="77"/>
      <c r="AH382" s="77"/>
      <c r="AI382" s="77"/>
      <c r="AJ382" s="77"/>
      <c r="AK382" s="77"/>
      <c r="AL382" s="77"/>
      <c r="AM382" s="77"/>
      <c r="AN382" s="77"/>
      <c r="AO382" s="77"/>
      <c r="AP382" s="77"/>
      <c r="AQ382" s="77"/>
      <c r="AR382" s="77"/>
      <c r="AS382" s="77"/>
      <c r="AT382" s="77"/>
      <c r="AU382" s="82"/>
      <c r="AV382" s="82"/>
      <c r="AW382" s="82"/>
      <c r="AX382" s="82"/>
      <c r="AY382" s="82"/>
      <c r="AZ382" s="82"/>
      <c r="BA382" s="82"/>
      <c r="BB382" s="82"/>
    </row>
    <row r="383" spans="1:76" s="81" customFormat="1" ht="15" hidden="1" customHeight="1">
      <c r="A383" s="77"/>
      <c r="B383" s="77"/>
      <c r="C383" s="77"/>
      <c r="D383" s="78"/>
      <c r="E383" s="79"/>
      <c r="F383" s="79"/>
      <c r="G383" s="79"/>
      <c r="H383" s="79"/>
      <c r="I383" s="79"/>
      <c r="J383" s="79"/>
      <c r="K383" s="79"/>
      <c r="L383" s="79"/>
      <c r="M383" s="79"/>
      <c r="N383" s="79"/>
      <c r="O383" s="79"/>
      <c r="P383" s="79"/>
      <c r="Q383" s="79"/>
      <c r="R383" s="79"/>
      <c r="S383" s="79"/>
      <c r="T383" s="79"/>
      <c r="U383" s="79"/>
      <c r="V383" s="79"/>
      <c r="W383" s="79"/>
      <c r="X383" s="79"/>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82"/>
      <c r="AV383" s="82"/>
      <c r="AW383" s="82"/>
      <c r="AX383" s="82"/>
      <c r="AY383" s="82"/>
      <c r="AZ383" s="82"/>
      <c r="BA383" s="82"/>
      <c r="BB383" s="82"/>
    </row>
    <row r="384" spans="1:76" s="81" customFormat="1" ht="15" hidden="1" customHeight="1">
      <c r="A384" s="77"/>
      <c r="B384" s="77"/>
      <c r="C384" s="77"/>
      <c r="D384" s="78"/>
      <c r="E384" s="79"/>
      <c r="F384" s="79"/>
      <c r="G384" s="79"/>
      <c r="H384" s="79"/>
      <c r="I384" s="79"/>
      <c r="J384" s="79"/>
      <c r="K384" s="79"/>
      <c r="L384" s="79"/>
      <c r="M384" s="79"/>
      <c r="N384" s="79"/>
      <c r="O384" s="79"/>
      <c r="P384" s="79"/>
      <c r="Q384" s="79"/>
      <c r="R384" s="79"/>
      <c r="S384" s="79"/>
      <c r="T384" s="79"/>
      <c r="U384" s="79"/>
      <c r="V384" s="79"/>
      <c r="W384" s="79"/>
      <c r="X384" s="79"/>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82"/>
      <c r="AV384" s="82"/>
      <c r="AW384" s="82"/>
      <c r="AX384" s="82"/>
      <c r="AY384" s="82"/>
      <c r="AZ384" s="82"/>
      <c r="BA384" s="82"/>
      <c r="BB384" s="82"/>
    </row>
    <row r="385" spans="1:54" s="81" customFormat="1" ht="15" hidden="1" customHeight="1">
      <c r="A385" s="77"/>
      <c r="B385" s="77"/>
      <c r="C385" s="77"/>
      <c r="D385" s="78"/>
      <c r="E385" s="79"/>
      <c r="F385" s="79"/>
      <c r="G385" s="79"/>
      <c r="H385" s="79"/>
      <c r="I385" s="79"/>
      <c r="J385" s="79"/>
      <c r="K385" s="79"/>
      <c r="L385" s="79"/>
      <c r="M385" s="79"/>
      <c r="N385" s="79"/>
      <c r="O385" s="79"/>
      <c r="P385" s="79"/>
      <c r="Q385" s="79"/>
      <c r="R385" s="79"/>
      <c r="S385" s="79"/>
      <c r="T385" s="79"/>
      <c r="U385" s="79"/>
      <c r="V385" s="79"/>
      <c r="W385" s="79"/>
      <c r="X385" s="79"/>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82"/>
      <c r="AV385" s="82"/>
      <c r="AW385" s="82"/>
      <c r="AX385" s="82"/>
      <c r="AY385" s="82"/>
      <c r="AZ385" s="82"/>
      <c r="BA385" s="82"/>
      <c r="BB385" s="82"/>
    </row>
    <row r="386" spans="1:54" s="81" customFormat="1" ht="15" hidden="1" customHeight="1">
      <c r="A386" s="77"/>
      <c r="B386" s="77"/>
      <c r="C386" s="77"/>
      <c r="D386" s="78"/>
      <c r="E386" s="79"/>
      <c r="F386" s="79"/>
      <c r="G386" s="79"/>
      <c r="H386" s="79"/>
      <c r="I386" s="79"/>
      <c r="J386" s="79"/>
      <c r="K386" s="79"/>
      <c r="L386" s="79"/>
      <c r="M386" s="79"/>
      <c r="N386" s="79"/>
      <c r="O386" s="79"/>
      <c r="P386" s="79"/>
      <c r="Q386" s="79"/>
      <c r="R386" s="79"/>
      <c r="S386" s="79"/>
      <c r="T386" s="79"/>
      <c r="U386" s="79"/>
      <c r="V386" s="79"/>
      <c r="W386" s="79"/>
      <c r="X386" s="79"/>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82"/>
      <c r="AV386" s="82"/>
      <c r="AW386" s="82"/>
      <c r="AX386" s="82"/>
      <c r="AY386" s="82"/>
      <c r="AZ386" s="82"/>
      <c r="BA386" s="82"/>
      <c r="BB386" s="82"/>
    </row>
    <row r="387" spans="1:54" s="81" customFormat="1" ht="15" hidden="1" customHeight="1">
      <c r="A387" s="77"/>
      <c r="B387" s="77"/>
      <c r="C387" s="77"/>
      <c r="D387" s="78"/>
      <c r="E387" s="79"/>
      <c r="F387" s="79"/>
      <c r="G387" s="79"/>
      <c r="H387" s="79"/>
      <c r="I387" s="79"/>
      <c r="J387" s="79"/>
      <c r="K387" s="79"/>
      <c r="L387" s="79"/>
      <c r="M387" s="79"/>
      <c r="N387" s="79"/>
      <c r="O387" s="79"/>
      <c r="P387" s="79"/>
      <c r="Q387" s="79"/>
      <c r="R387" s="79"/>
      <c r="S387" s="79"/>
      <c r="T387" s="79"/>
      <c r="U387" s="79"/>
      <c r="V387" s="79"/>
      <c r="W387" s="79"/>
      <c r="X387" s="79"/>
      <c r="Y387" s="77"/>
      <c r="Z387" s="77"/>
      <c r="AA387" s="77"/>
      <c r="AB387" s="77"/>
      <c r="AC387" s="77"/>
      <c r="AD387" s="77"/>
      <c r="AE387" s="77"/>
      <c r="AF387" s="77"/>
      <c r="AG387" s="77"/>
      <c r="AH387" s="77"/>
      <c r="AI387" s="77"/>
      <c r="AJ387" s="77"/>
      <c r="AK387" s="77"/>
      <c r="AL387" s="77"/>
      <c r="AM387" s="77"/>
      <c r="AN387" s="77"/>
      <c r="AO387" s="77"/>
      <c r="AP387" s="77"/>
      <c r="AQ387" s="77"/>
      <c r="AR387" s="77"/>
      <c r="AS387" s="77"/>
      <c r="AT387" s="77"/>
      <c r="AU387" s="82"/>
      <c r="AV387" s="82"/>
      <c r="AW387" s="82"/>
      <c r="AX387" s="82"/>
      <c r="AY387" s="82"/>
      <c r="AZ387" s="82"/>
      <c r="BA387" s="82"/>
      <c r="BB387" s="82"/>
    </row>
    <row r="388" spans="1:54" s="81" customFormat="1" ht="15" hidden="1" customHeight="1">
      <c r="A388" s="77"/>
      <c r="B388" s="77"/>
      <c r="C388" s="77"/>
      <c r="D388" s="78"/>
      <c r="E388" s="79"/>
      <c r="F388" s="79"/>
      <c r="G388" s="79"/>
      <c r="H388" s="79"/>
      <c r="I388" s="79"/>
      <c r="J388" s="79"/>
      <c r="K388" s="79"/>
      <c r="L388" s="79"/>
      <c r="M388" s="79"/>
      <c r="N388" s="79"/>
      <c r="O388" s="79"/>
      <c r="P388" s="79"/>
      <c r="Q388" s="79"/>
      <c r="R388" s="79"/>
      <c r="S388" s="79"/>
      <c r="T388" s="79"/>
      <c r="U388" s="79"/>
      <c r="V388" s="79"/>
      <c r="W388" s="79"/>
      <c r="X388" s="79"/>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82"/>
      <c r="AV388" s="82"/>
      <c r="AW388" s="82"/>
      <c r="AX388" s="82"/>
      <c r="AY388" s="82"/>
      <c r="AZ388" s="82"/>
      <c r="BA388" s="82"/>
      <c r="BB388" s="82"/>
    </row>
    <row r="389" spans="1:54" s="81" customFormat="1" ht="15" hidden="1" customHeight="1">
      <c r="A389" s="77"/>
      <c r="B389" s="77"/>
      <c r="C389" s="77"/>
      <c r="D389" s="78"/>
      <c r="E389" s="79"/>
      <c r="F389" s="79"/>
      <c r="G389" s="79"/>
      <c r="H389" s="79"/>
      <c r="I389" s="79"/>
      <c r="J389" s="79"/>
      <c r="K389" s="79"/>
      <c r="L389" s="79"/>
      <c r="M389" s="79"/>
      <c r="N389" s="79"/>
      <c r="O389" s="79"/>
      <c r="P389" s="79"/>
      <c r="Q389" s="79"/>
      <c r="R389" s="79"/>
      <c r="S389" s="79"/>
      <c r="T389" s="79"/>
      <c r="U389" s="79"/>
      <c r="V389" s="79"/>
      <c r="W389" s="79"/>
      <c r="X389" s="79"/>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82"/>
      <c r="AV389" s="82"/>
      <c r="AW389" s="82"/>
      <c r="AX389" s="82"/>
      <c r="AY389" s="82"/>
      <c r="AZ389" s="82"/>
      <c r="BA389" s="82"/>
      <c r="BB389" s="82"/>
    </row>
    <row r="390" spans="1:54" s="81" customFormat="1" ht="15" hidden="1" customHeight="1">
      <c r="A390" s="77"/>
      <c r="B390" s="77"/>
      <c r="C390" s="77"/>
      <c r="D390" s="78"/>
      <c r="E390" s="79"/>
      <c r="F390" s="79"/>
      <c r="G390" s="79"/>
      <c r="H390" s="79"/>
      <c r="I390" s="79"/>
      <c r="J390" s="79"/>
      <c r="K390" s="79"/>
      <c r="L390" s="79"/>
      <c r="M390" s="79"/>
      <c r="N390" s="79"/>
      <c r="O390" s="79"/>
      <c r="P390" s="79"/>
      <c r="Q390" s="79"/>
      <c r="R390" s="79"/>
      <c r="S390" s="79"/>
      <c r="T390" s="79"/>
      <c r="U390" s="79"/>
      <c r="V390" s="79"/>
      <c r="W390" s="79"/>
      <c r="X390" s="79"/>
      <c r="Y390" s="77"/>
      <c r="Z390" s="77"/>
      <c r="AA390" s="77"/>
      <c r="AB390" s="77"/>
      <c r="AC390" s="77"/>
      <c r="AD390" s="77"/>
      <c r="AE390" s="77"/>
      <c r="AF390" s="77"/>
      <c r="AG390" s="77"/>
      <c r="AH390" s="77"/>
      <c r="AI390" s="77"/>
      <c r="AJ390" s="77"/>
      <c r="AK390" s="77"/>
      <c r="AL390" s="77"/>
      <c r="AM390" s="77"/>
      <c r="AN390" s="77"/>
      <c r="AO390" s="77"/>
      <c r="AP390" s="77"/>
      <c r="AQ390" s="77"/>
      <c r="AR390" s="77"/>
      <c r="AS390" s="77"/>
      <c r="AT390" s="77"/>
      <c r="AU390" s="82"/>
      <c r="AV390" s="82"/>
      <c r="AW390" s="82"/>
      <c r="AX390" s="82"/>
      <c r="AY390" s="82"/>
      <c r="AZ390" s="82"/>
      <c r="BA390" s="82"/>
      <c r="BB390" s="82"/>
    </row>
    <row r="391" spans="1:54" s="81" customFormat="1" ht="15" hidden="1" customHeight="1">
      <c r="A391" s="77"/>
      <c r="B391" s="77"/>
      <c r="C391" s="77"/>
      <c r="D391" s="78"/>
      <c r="E391" s="79"/>
      <c r="F391" s="79"/>
      <c r="G391" s="79"/>
      <c r="H391" s="79"/>
      <c r="I391" s="79"/>
      <c r="J391" s="79"/>
      <c r="K391" s="79"/>
      <c r="L391" s="79"/>
      <c r="M391" s="79"/>
      <c r="N391" s="79"/>
      <c r="O391" s="79"/>
      <c r="P391" s="79"/>
      <c r="Q391" s="79"/>
      <c r="R391" s="79"/>
      <c r="S391" s="79"/>
      <c r="T391" s="79"/>
      <c r="U391" s="79"/>
      <c r="V391" s="79"/>
      <c r="W391" s="79"/>
      <c r="X391" s="79"/>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82"/>
      <c r="AV391" s="82"/>
      <c r="AW391" s="82"/>
      <c r="AX391" s="82"/>
      <c r="AY391" s="82"/>
      <c r="AZ391" s="82"/>
      <c r="BA391" s="82"/>
      <c r="BB391" s="82"/>
    </row>
    <row r="392" spans="1:54" s="81" customFormat="1" ht="15" hidden="1" customHeight="1">
      <c r="A392" s="77"/>
      <c r="B392" s="77"/>
      <c r="C392" s="77"/>
      <c r="D392" s="78"/>
      <c r="E392" s="79"/>
      <c r="F392" s="79"/>
      <c r="G392" s="79"/>
      <c r="H392" s="79"/>
      <c r="I392" s="79"/>
      <c r="J392" s="79"/>
      <c r="K392" s="79"/>
      <c r="L392" s="79"/>
      <c r="M392" s="79"/>
      <c r="N392" s="79"/>
      <c r="O392" s="79"/>
      <c r="P392" s="79"/>
      <c r="Q392" s="79"/>
      <c r="R392" s="79"/>
      <c r="S392" s="79"/>
      <c r="T392" s="79"/>
      <c r="U392" s="79"/>
      <c r="V392" s="79"/>
      <c r="W392" s="79"/>
      <c r="X392" s="79"/>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82"/>
      <c r="AV392" s="82"/>
      <c r="AW392" s="82"/>
      <c r="AX392" s="82"/>
      <c r="AY392" s="82"/>
      <c r="AZ392" s="82"/>
      <c r="BA392" s="82"/>
      <c r="BB392" s="82"/>
    </row>
    <row r="393" spans="1:54" s="81" customFormat="1" ht="15" hidden="1" customHeight="1">
      <c r="A393" s="77"/>
      <c r="B393" s="77"/>
      <c r="C393" s="77"/>
      <c r="D393" s="78"/>
      <c r="E393" s="79"/>
      <c r="F393" s="79"/>
      <c r="G393" s="79"/>
      <c r="H393" s="79"/>
      <c r="I393" s="79"/>
      <c r="J393" s="79"/>
      <c r="K393" s="79"/>
      <c r="L393" s="79"/>
      <c r="M393" s="79"/>
      <c r="N393" s="79"/>
      <c r="O393" s="79"/>
      <c r="P393" s="79"/>
      <c r="Q393" s="79"/>
      <c r="R393" s="79"/>
      <c r="S393" s="79"/>
      <c r="T393" s="79"/>
      <c r="U393" s="79"/>
      <c r="V393" s="79"/>
      <c r="W393" s="79"/>
      <c r="X393" s="79"/>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82"/>
      <c r="AV393" s="82"/>
      <c r="AW393" s="82"/>
      <c r="AX393" s="82"/>
      <c r="AY393" s="82"/>
      <c r="AZ393" s="82"/>
      <c r="BA393" s="82"/>
      <c r="BB393" s="82"/>
    </row>
    <row r="394" spans="1:54" s="81" customFormat="1" ht="15" hidden="1" customHeight="1">
      <c r="A394" s="77"/>
      <c r="B394" s="77"/>
      <c r="C394" s="77"/>
      <c r="D394" s="78"/>
      <c r="E394" s="79"/>
      <c r="F394" s="79"/>
      <c r="G394" s="79"/>
      <c r="H394" s="79"/>
      <c r="I394" s="79"/>
      <c r="J394" s="79"/>
      <c r="K394" s="79"/>
      <c r="L394" s="79"/>
      <c r="M394" s="79"/>
      <c r="N394" s="79"/>
      <c r="O394" s="79"/>
      <c r="P394" s="79"/>
      <c r="Q394" s="79"/>
      <c r="R394" s="79"/>
      <c r="S394" s="79"/>
      <c r="T394" s="79"/>
      <c r="U394" s="79"/>
      <c r="V394" s="79"/>
      <c r="W394" s="79"/>
      <c r="X394" s="79"/>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82"/>
      <c r="AV394" s="82"/>
      <c r="AW394" s="82"/>
      <c r="AX394" s="82"/>
      <c r="AY394" s="82"/>
      <c r="AZ394" s="82"/>
      <c r="BA394" s="82"/>
      <c r="BB394" s="82"/>
    </row>
    <row r="395" spans="1:54" s="81" customFormat="1" ht="15" hidden="1" customHeight="1">
      <c r="A395" s="77"/>
      <c r="B395" s="77"/>
      <c r="C395" s="77"/>
      <c r="D395" s="78"/>
      <c r="E395" s="79"/>
      <c r="F395" s="79"/>
      <c r="G395" s="79"/>
      <c r="H395" s="79"/>
      <c r="I395" s="79"/>
      <c r="J395" s="79"/>
      <c r="K395" s="79"/>
      <c r="L395" s="79"/>
      <c r="M395" s="79"/>
      <c r="N395" s="79"/>
      <c r="O395" s="79"/>
      <c r="P395" s="79"/>
      <c r="Q395" s="79"/>
      <c r="R395" s="79"/>
      <c r="S395" s="79"/>
      <c r="T395" s="79"/>
      <c r="U395" s="79"/>
      <c r="V395" s="79"/>
      <c r="W395" s="79"/>
      <c r="X395" s="79"/>
      <c r="Y395" s="77"/>
      <c r="Z395" s="77"/>
      <c r="AA395" s="77"/>
      <c r="AB395" s="77"/>
      <c r="AC395" s="77"/>
      <c r="AD395" s="77"/>
      <c r="AE395" s="77"/>
      <c r="AF395" s="77"/>
      <c r="AG395" s="77"/>
      <c r="AH395" s="77"/>
      <c r="AI395" s="77"/>
      <c r="AJ395" s="77"/>
      <c r="AK395" s="77"/>
      <c r="AL395" s="77"/>
      <c r="AM395" s="77"/>
      <c r="AN395" s="77"/>
      <c r="AO395" s="77"/>
      <c r="AP395" s="77"/>
      <c r="AQ395" s="77"/>
      <c r="AR395" s="77"/>
      <c r="AS395" s="77"/>
      <c r="AT395" s="77"/>
      <c r="AU395" s="82"/>
      <c r="AV395" s="82"/>
      <c r="AW395" s="82"/>
      <c r="AX395" s="82"/>
      <c r="AY395" s="82"/>
      <c r="AZ395" s="82"/>
      <c r="BA395" s="82"/>
      <c r="BB395" s="82"/>
    </row>
    <row r="396" spans="1:54" s="81" customFormat="1" ht="15" hidden="1" customHeight="1">
      <c r="A396" s="77"/>
      <c r="B396" s="77"/>
      <c r="C396" s="77"/>
      <c r="D396" s="78"/>
      <c r="E396" s="79"/>
      <c r="F396" s="79"/>
      <c r="G396" s="79"/>
      <c r="H396" s="79"/>
      <c r="I396" s="79"/>
      <c r="J396" s="79"/>
      <c r="K396" s="79"/>
      <c r="L396" s="79"/>
      <c r="M396" s="79"/>
      <c r="N396" s="79"/>
      <c r="O396" s="79"/>
      <c r="P396" s="79"/>
      <c r="Q396" s="79"/>
      <c r="R396" s="79"/>
      <c r="S396" s="79"/>
      <c r="T396" s="79"/>
      <c r="U396" s="79"/>
      <c r="V396" s="79"/>
      <c r="W396" s="79"/>
      <c r="X396" s="79"/>
      <c r="Y396" s="77"/>
      <c r="Z396" s="77"/>
      <c r="AA396" s="77"/>
      <c r="AB396" s="77"/>
      <c r="AC396" s="77"/>
      <c r="AD396" s="77"/>
      <c r="AE396" s="77"/>
      <c r="AF396" s="77"/>
      <c r="AG396" s="77"/>
      <c r="AH396" s="77"/>
      <c r="AI396" s="77"/>
      <c r="AJ396" s="77"/>
      <c r="AK396" s="77"/>
      <c r="AL396" s="77"/>
      <c r="AM396" s="77"/>
      <c r="AN396" s="77"/>
      <c r="AO396" s="77"/>
      <c r="AP396" s="77"/>
      <c r="AQ396" s="77"/>
      <c r="AR396" s="77"/>
      <c r="AS396" s="77"/>
      <c r="AT396" s="77"/>
      <c r="AU396" s="82"/>
      <c r="AV396" s="82"/>
      <c r="AW396" s="82"/>
      <c r="AX396" s="82"/>
      <c r="AY396" s="82"/>
      <c r="AZ396" s="82"/>
      <c r="BA396" s="82"/>
      <c r="BB396" s="82"/>
    </row>
    <row r="397" spans="1:54" s="81" customFormat="1" ht="15" hidden="1" customHeight="1">
      <c r="A397" s="77"/>
      <c r="B397" s="77"/>
      <c r="C397" s="77"/>
      <c r="D397" s="78"/>
      <c r="E397" s="79"/>
      <c r="F397" s="79"/>
      <c r="G397" s="79"/>
      <c r="H397" s="79"/>
      <c r="I397" s="79"/>
      <c r="J397" s="79"/>
      <c r="K397" s="79"/>
      <c r="L397" s="79"/>
      <c r="M397" s="79"/>
      <c r="N397" s="79"/>
      <c r="O397" s="79"/>
      <c r="P397" s="79"/>
      <c r="Q397" s="79"/>
      <c r="R397" s="79"/>
      <c r="S397" s="79"/>
      <c r="T397" s="79"/>
      <c r="U397" s="79"/>
      <c r="V397" s="79"/>
      <c r="W397" s="79"/>
      <c r="X397" s="79"/>
      <c r="Y397" s="77"/>
      <c r="Z397" s="77"/>
      <c r="AA397" s="77"/>
      <c r="AB397" s="77"/>
      <c r="AC397" s="77"/>
      <c r="AD397" s="77"/>
      <c r="AE397" s="77"/>
      <c r="AF397" s="77"/>
      <c r="AG397" s="77"/>
      <c r="AH397" s="77"/>
      <c r="AI397" s="77"/>
      <c r="AJ397" s="77"/>
      <c r="AK397" s="77"/>
      <c r="AL397" s="77"/>
      <c r="AM397" s="77"/>
      <c r="AN397" s="77"/>
      <c r="AO397" s="77"/>
      <c r="AP397" s="77"/>
      <c r="AQ397" s="77"/>
      <c r="AR397" s="77"/>
      <c r="AS397" s="77"/>
      <c r="AT397" s="77"/>
      <c r="AU397" s="82"/>
      <c r="AV397" s="82"/>
      <c r="AW397" s="82"/>
      <c r="AX397" s="82"/>
      <c r="AY397" s="82"/>
      <c r="AZ397" s="82"/>
      <c r="BA397" s="82"/>
      <c r="BB397" s="82"/>
    </row>
    <row r="398" spans="1:54" s="81" customFormat="1" ht="15" hidden="1" customHeight="1">
      <c r="A398" s="77"/>
      <c r="B398" s="77"/>
      <c r="C398" s="77"/>
      <c r="D398" s="78"/>
      <c r="E398" s="79"/>
      <c r="F398" s="79"/>
      <c r="G398" s="79"/>
      <c r="H398" s="79"/>
      <c r="I398" s="79"/>
      <c r="J398" s="79"/>
      <c r="K398" s="79"/>
      <c r="L398" s="79"/>
      <c r="M398" s="79"/>
      <c r="N398" s="79"/>
      <c r="O398" s="79"/>
      <c r="P398" s="79"/>
      <c r="Q398" s="79"/>
      <c r="R398" s="79"/>
      <c r="S398" s="79"/>
      <c r="T398" s="79"/>
      <c r="U398" s="79"/>
      <c r="V398" s="79"/>
      <c r="W398" s="79"/>
      <c r="X398" s="79"/>
      <c r="Y398" s="77"/>
      <c r="Z398" s="77"/>
      <c r="AA398" s="77"/>
      <c r="AB398" s="77"/>
      <c r="AC398" s="77"/>
      <c r="AD398" s="77"/>
      <c r="AE398" s="77"/>
      <c r="AF398" s="77"/>
      <c r="AG398" s="77"/>
      <c r="AH398" s="77"/>
      <c r="AI398" s="77"/>
      <c r="AJ398" s="77"/>
      <c r="AK398" s="77"/>
      <c r="AL398" s="77"/>
      <c r="AM398" s="77"/>
      <c r="AN398" s="77"/>
      <c r="AO398" s="77"/>
      <c r="AP398" s="77"/>
      <c r="AQ398" s="77"/>
      <c r="AR398" s="77"/>
      <c r="AS398" s="77"/>
      <c r="AT398" s="77"/>
      <c r="AU398" s="82"/>
      <c r="AV398" s="82"/>
      <c r="AW398" s="82"/>
      <c r="AX398" s="82"/>
      <c r="AY398" s="82"/>
      <c r="AZ398" s="82"/>
      <c r="BA398" s="82"/>
      <c r="BB398" s="82"/>
    </row>
    <row r="399" spans="1:54" s="81" customFormat="1" ht="15" hidden="1" customHeight="1">
      <c r="A399" s="77"/>
      <c r="B399" s="77"/>
      <c r="C399" s="77"/>
      <c r="D399" s="78"/>
      <c r="E399" s="79"/>
      <c r="F399" s="79"/>
      <c r="G399" s="79"/>
      <c r="H399" s="79"/>
      <c r="I399" s="79"/>
      <c r="J399" s="79"/>
      <c r="K399" s="79"/>
      <c r="L399" s="79"/>
      <c r="M399" s="79"/>
      <c r="N399" s="79"/>
      <c r="O399" s="79"/>
      <c r="P399" s="79"/>
      <c r="Q399" s="79"/>
      <c r="R399" s="79"/>
      <c r="S399" s="79"/>
      <c r="T399" s="79"/>
      <c r="U399" s="79"/>
      <c r="V399" s="79"/>
      <c r="W399" s="79"/>
      <c r="X399" s="79"/>
      <c r="Y399" s="77"/>
      <c r="Z399" s="77"/>
      <c r="AA399" s="77"/>
      <c r="AB399" s="77"/>
      <c r="AC399" s="77"/>
      <c r="AD399" s="77"/>
      <c r="AE399" s="77"/>
      <c r="AF399" s="77"/>
      <c r="AG399" s="77"/>
      <c r="AH399" s="77"/>
      <c r="AI399" s="77"/>
      <c r="AJ399" s="77"/>
      <c r="AK399" s="77"/>
      <c r="AL399" s="77"/>
      <c r="AM399" s="77"/>
      <c r="AN399" s="77"/>
      <c r="AO399" s="77"/>
      <c r="AP399" s="77"/>
      <c r="AQ399" s="77"/>
      <c r="AR399" s="77"/>
      <c r="AS399" s="77"/>
      <c r="AT399" s="77"/>
      <c r="AU399" s="82"/>
      <c r="AV399" s="82"/>
      <c r="AW399" s="82"/>
      <c r="AX399" s="82"/>
      <c r="AY399" s="82"/>
      <c r="AZ399" s="82"/>
      <c r="BA399" s="82"/>
      <c r="BB399" s="82"/>
    </row>
    <row r="400" spans="1:54" s="81" customFormat="1" ht="15" hidden="1" customHeight="1">
      <c r="A400" s="77"/>
      <c r="B400" s="77"/>
      <c r="C400" s="77"/>
      <c r="D400" s="78"/>
      <c r="E400" s="79"/>
      <c r="F400" s="79"/>
      <c r="G400" s="79"/>
      <c r="H400" s="79"/>
      <c r="I400" s="79"/>
      <c r="J400" s="79"/>
      <c r="K400" s="79"/>
      <c r="L400" s="79"/>
      <c r="M400" s="79"/>
      <c r="N400" s="79"/>
      <c r="O400" s="79"/>
      <c r="P400" s="79"/>
      <c r="Q400" s="79"/>
      <c r="R400" s="79"/>
      <c r="S400" s="79"/>
      <c r="T400" s="79"/>
      <c r="U400" s="79"/>
      <c r="V400" s="79"/>
      <c r="W400" s="79"/>
      <c r="X400" s="79"/>
      <c r="Y400" s="77"/>
      <c r="Z400" s="77"/>
      <c r="AA400" s="77"/>
      <c r="AB400" s="77"/>
      <c r="AC400" s="77"/>
      <c r="AD400" s="77"/>
      <c r="AE400" s="77"/>
      <c r="AF400" s="77"/>
      <c r="AG400" s="77"/>
      <c r="AH400" s="77"/>
      <c r="AI400" s="77"/>
      <c r="AJ400" s="77"/>
      <c r="AK400" s="77"/>
      <c r="AL400" s="77"/>
      <c r="AM400" s="77"/>
      <c r="AN400" s="77"/>
      <c r="AO400" s="77"/>
      <c r="AP400" s="77"/>
      <c r="AQ400" s="77"/>
      <c r="AR400" s="77"/>
      <c r="AS400" s="77"/>
      <c r="AT400" s="77"/>
      <c r="AU400" s="82"/>
      <c r="AV400" s="82"/>
      <c r="AW400" s="82"/>
      <c r="AX400" s="82"/>
      <c r="AY400" s="82"/>
      <c r="AZ400" s="82"/>
      <c r="BA400" s="82"/>
      <c r="BB400" s="82"/>
    </row>
    <row r="401" spans="1:71" s="81" customFormat="1" ht="15" hidden="1" customHeight="1">
      <c r="A401" s="77"/>
      <c r="B401" s="77"/>
      <c r="C401" s="77"/>
      <c r="D401" s="78"/>
      <c r="E401" s="79"/>
      <c r="F401" s="79"/>
      <c r="G401" s="79"/>
      <c r="H401" s="79"/>
      <c r="I401" s="79"/>
      <c r="J401" s="79"/>
      <c r="K401" s="79"/>
      <c r="L401" s="79"/>
      <c r="M401" s="79"/>
      <c r="N401" s="79"/>
      <c r="O401" s="79"/>
      <c r="P401" s="79"/>
      <c r="Q401" s="79"/>
      <c r="R401" s="79"/>
      <c r="S401" s="79"/>
      <c r="T401" s="79"/>
      <c r="U401" s="79"/>
      <c r="V401" s="79"/>
      <c r="W401" s="79"/>
      <c r="X401" s="79"/>
      <c r="Y401" s="77"/>
      <c r="Z401" s="77"/>
      <c r="AA401" s="77"/>
      <c r="AB401" s="77"/>
      <c r="AC401" s="77"/>
      <c r="AD401" s="77"/>
      <c r="AE401" s="77"/>
      <c r="AF401" s="77"/>
      <c r="AG401" s="77"/>
      <c r="AH401" s="77"/>
      <c r="AI401" s="77"/>
      <c r="AJ401" s="77"/>
      <c r="AK401" s="77"/>
      <c r="AL401" s="77"/>
      <c r="AM401" s="77"/>
      <c r="AN401" s="77"/>
      <c r="AO401" s="77"/>
      <c r="AP401" s="77"/>
      <c r="AQ401" s="77"/>
      <c r="AR401" s="77"/>
      <c r="AS401" s="77"/>
      <c r="AT401" s="77"/>
      <c r="AU401" s="82"/>
      <c r="AV401" s="82"/>
      <c r="AW401" s="82"/>
      <c r="AX401" s="82"/>
      <c r="AY401" s="82"/>
      <c r="AZ401" s="82"/>
      <c r="BA401" s="82"/>
      <c r="BB401" s="82"/>
    </row>
    <row r="402" spans="1:71" s="81" customFormat="1" ht="15" hidden="1" customHeight="1">
      <c r="A402" s="77"/>
      <c r="B402" s="77"/>
      <c r="C402" s="77"/>
      <c r="D402" s="78"/>
      <c r="E402" s="79"/>
      <c r="F402" s="79"/>
      <c r="G402" s="79"/>
      <c r="H402" s="79"/>
      <c r="I402" s="79"/>
      <c r="J402" s="79"/>
      <c r="K402" s="79"/>
      <c r="L402" s="79"/>
      <c r="M402" s="79"/>
      <c r="N402" s="79"/>
      <c r="O402" s="79"/>
      <c r="P402" s="79"/>
      <c r="Q402" s="79"/>
      <c r="R402" s="79"/>
      <c r="S402" s="79"/>
      <c r="T402" s="79"/>
      <c r="U402" s="79"/>
      <c r="V402" s="79"/>
      <c r="W402" s="79"/>
      <c r="X402" s="79"/>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82"/>
      <c r="AV402" s="82"/>
      <c r="AW402" s="82"/>
      <c r="AX402" s="82"/>
      <c r="AY402" s="82"/>
      <c r="AZ402" s="82"/>
      <c r="BA402" s="82"/>
      <c r="BB402" s="82"/>
    </row>
    <row r="403" spans="1:71" s="81" customFormat="1" ht="15" hidden="1" customHeight="1">
      <c r="A403" s="77"/>
      <c r="B403" s="77"/>
      <c r="C403" s="77"/>
      <c r="D403" s="78"/>
      <c r="E403" s="79"/>
      <c r="F403" s="79"/>
      <c r="G403" s="79"/>
      <c r="H403" s="79"/>
      <c r="I403" s="79"/>
      <c r="J403" s="79"/>
      <c r="K403" s="79"/>
      <c r="L403" s="79"/>
      <c r="M403" s="79"/>
      <c r="N403" s="79"/>
      <c r="O403" s="79"/>
      <c r="P403" s="79"/>
      <c r="Q403" s="79"/>
      <c r="R403" s="79"/>
      <c r="S403" s="79"/>
      <c r="T403" s="79"/>
      <c r="U403" s="79"/>
      <c r="V403" s="79"/>
      <c r="W403" s="79"/>
      <c r="X403" s="79"/>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82"/>
      <c r="AV403" s="82"/>
      <c r="AW403" s="82"/>
      <c r="AX403" s="82"/>
      <c r="AY403" s="82"/>
      <c r="AZ403" s="82"/>
      <c r="BA403" s="82"/>
      <c r="BB403" s="82"/>
    </row>
    <row r="404" spans="1:71" s="81" customFormat="1" ht="15" hidden="1" customHeight="1">
      <c r="A404" s="77"/>
      <c r="B404" s="77"/>
      <c r="C404" s="77"/>
      <c r="D404" s="78"/>
      <c r="E404" s="79"/>
      <c r="F404" s="79"/>
      <c r="G404" s="79"/>
      <c r="H404" s="79"/>
      <c r="I404" s="79"/>
      <c r="J404" s="79"/>
      <c r="K404" s="79"/>
      <c r="L404" s="79"/>
      <c r="M404" s="79"/>
      <c r="N404" s="79"/>
      <c r="O404" s="79"/>
      <c r="P404" s="79"/>
      <c r="Q404" s="79"/>
      <c r="R404" s="79"/>
      <c r="S404" s="79"/>
      <c r="T404" s="79"/>
      <c r="U404" s="79"/>
      <c r="V404" s="79"/>
      <c r="W404" s="79"/>
      <c r="X404" s="79"/>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82"/>
      <c r="AV404" s="82"/>
      <c r="AW404" s="82"/>
      <c r="AX404" s="82"/>
      <c r="AY404" s="82"/>
      <c r="AZ404" s="82"/>
      <c r="BA404" s="82"/>
      <c r="BB404" s="82"/>
    </row>
    <row r="405" spans="1:71" s="81" customFormat="1" ht="15" hidden="1" customHeight="1">
      <c r="A405" s="77"/>
      <c r="B405" s="77"/>
      <c r="C405" s="77"/>
      <c r="D405" s="78"/>
      <c r="E405" s="79"/>
      <c r="F405" s="79"/>
      <c r="G405" s="79"/>
      <c r="H405" s="79"/>
      <c r="I405" s="79"/>
      <c r="J405" s="79"/>
      <c r="K405" s="79"/>
      <c r="L405" s="79"/>
      <c r="M405" s="79"/>
      <c r="N405" s="79"/>
      <c r="O405" s="79"/>
      <c r="P405" s="79"/>
      <c r="Q405" s="79"/>
      <c r="R405" s="79"/>
      <c r="S405" s="79"/>
      <c r="T405" s="79"/>
      <c r="U405" s="79"/>
      <c r="V405" s="79"/>
      <c r="W405" s="79"/>
      <c r="X405" s="79"/>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82"/>
      <c r="AV405" s="82"/>
      <c r="AW405" s="82"/>
      <c r="AX405" s="82"/>
      <c r="AY405" s="82"/>
      <c r="AZ405" s="82"/>
      <c r="BA405" s="82"/>
      <c r="BB405" s="82"/>
    </row>
    <row r="406" spans="1:71" s="81" customFormat="1" ht="15" hidden="1" customHeight="1">
      <c r="A406" s="77"/>
      <c r="B406" s="77"/>
      <c r="C406" s="77"/>
      <c r="D406" s="78"/>
      <c r="E406" s="79"/>
      <c r="F406" s="79"/>
      <c r="G406" s="79"/>
      <c r="H406" s="79"/>
      <c r="I406" s="79"/>
      <c r="J406" s="79"/>
      <c r="K406" s="79"/>
      <c r="L406" s="79"/>
      <c r="M406" s="79"/>
      <c r="N406" s="79"/>
      <c r="O406" s="79"/>
      <c r="P406" s="79"/>
      <c r="Q406" s="79"/>
      <c r="R406" s="79"/>
      <c r="S406" s="79"/>
      <c r="T406" s="79"/>
      <c r="U406" s="79"/>
      <c r="V406" s="79"/>
      <c r="W406" s="79"/>
      <c r="X406" s="79"/>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82"/>
      <c r="AV406" s="82"/>
      <c r="AW406" s="82"/>
      <c r="AX406" s="82"/>
      <c r="AY406" s="82"/>
      <c r="AZ406" s="82"/>
      <c r="BA406" s="82"/>
      <c r="BB406" s="82"/>
    </row>
    <row r="407" spans="1:71" s="81" customFormat="1" ht="15" hidden="1" customHeight="1">
      <c r="A407" s="77"/>
      <c r="B407" s="77"/>
      <c r="C407" s="77"/>
      <c r="D407" s="78"/>
      <c r="E407" s="79"/>
      <c r="F407" s="79"/>
      <c r="G407" s="79"/>
      <c r="H407" s="79"/>
      <c r="I407" s="79"/>
      <c r="J407" s="79"/>
      <c r="K407" s="79"/>
      <c r="L407" s="79"/>
      <c r="M407" s="79"/>
      <c r="N407" s="79"/>
      <c r="O407" s="79"/>
      <c r="P407" s="79"/>
      <c r="Q407" s="79"/>
      <c r="R407" s="79"/>
      <c r="S407" s="79"/>
      <c r="T407" s="79"/>
      <c r="U407" s="79"/>
      <c r="V407" s="79"/>
      <c r="W407" s="79"/>
      <c r="X407" s="79"/>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82"/>
      <c r="AV407" s="82"/>
      <c r="AW407" s="82"/>
      <c r="AX407" s="82"/>
      <c r="AY407" s="82"/>
      <c r="AZ407" s="82"/>
      <c r="BA407" s="82"/>
      <c r="BB407" s="82"/>
    </row>
    <row r="408" spans="1:71" s="81" customFormat="1" ht="15" hidden="1" customHeight="1">
      <c r="A408" s="77"/>
      <c r="B408" s="77"/>
      <c r="C408" s="77"/>
      <c r="D408" s="78"/>
      <c r="E408" s="79"/>
      <c r="F408" s="79"/>
      <c r="G408" s="79"/>
      <c r="H408" s="79"/>
      <c r="I408" s="79"/>
      <c r="J408" s="79"/>
      <c r="K408" s="79"/>
      <c r="L408" s="79"/>
      <c r="M408" s="79"/>
      <c r="N408" s="79"/>
      <c r="O408" s="79"/>
      <c r="P408" s="79"/>
      <c r="Q408" s="79"/>
      <c r="R408" s="79"/>
      <c r="S408" s="79"/>
      <c r="T408" s="79"/>
      <c r="U408" s="79"/>
      <c r="V408" s="79"/>
      <c r="W408" s="79"/>
      <c r="X408" s="79"/>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82"/>
      <c r="AV408" s="82"/>
      <c r="AW408" s="82"/>
      <c r="AX408" s="82"/>
      <c r="AY408" s="82"/>
      <c r="AZ408" s="82"/>
      <c r="BA408" s="82"/>
      <c r="BB408" s="82"/>
    </row>
    <row r="409" spans="1:71" s="81" customFormat="1" ht="15" hidden="1" customHeight="1">
      <c r="A409" s="77"/>
      <c r="B409" s="77"/>
      <c r="C409" s="77"/>
      <c r="D409" s="78"/>
      <c r="E409" s="79"/>
      <c r="F409" s="79"/>
      <c r="G409" s="79"/>
      <c r="H409" s="79"/>
      <c r="I409" s="79"/>
      <c r="J409" s="79"/>
      <c r="K409" s="79"/>
      <c r="L409" s="79"/>
      <c r="M409" s="79"/>
      <c r="N409" s="79"/>
      <c r="O409" s="79"/>
      <c r="P409" s="79"/>
      <c r="Q409" s="79"/>
      <c r="R409" s="79"/>
      <c r="S409" s="79"/>
      <c r="T409" s="79"/>
      <c r="U409" s="79"/>
      <c r="V409" s="79"/>
      <c r="W409" s="79"/>
      <c r="X409" s="79"/>
      <c r="Y409" s="77"/>
      <c r="Z409" s="77"/>
      <c r="AA409" s="77"/>
      <c r="AB409" s="77"/>
      <c r="AC409" s="77"/>
      <c r="AD409" s="77"/>
      <c r="AE409" s="77"/>
      <c r="AF409" s="77"/>
      <c r="AG409" s="77"/>
      <c r="AH409" s="77"/>
      <c r="AI409" s="77"/>
      <c r="AJ409" s="77"/>
      <c r="AK409" s="77"/>
      <c r="AL409" s="77"/>
      <c r="AM409" s="77"/>
      <c r="AN409" s="77"/>
      <c r="AO409" s="77"/>
      <c r="AP409" s="77"/>
      <c r="AQ409" s="77"/>
      <c r="AR409" s="77"/>
      <c r="AS409" s="77"/>
      <c r="AT409" s="77"/>
      <c r="AU409" s="82"/>
      <c r="AV409" s="82"/>
      <c r="AW409" s="82"/>
      <c r="AX409" s="82"/>
      <c r="AY409" s="82"/>
      <c r="AZ409" s="82"/>
      <c r="BA409" s="82"/>
      <c r="BB409" s="82"/>
    </row>
    <row r="410" spans="1:71" s="81" customFormat="1" ht="15" hidden="1" customHeight="1">
      <c r="A410" s="80"/>
      <c r="B410" s="80"/>
      <c r="C410" s="80"/>
      <c r="D410" s="83"/>
      <c r="E410" s="84"/>
      <c r="F410" s="84"/>
      <c r="G410" s="84"/>
      <c r="H410" s="84"/>
      <c r="I410" s="84"/>
      <c r="J410" s="84"/>
      <c r="K410" s="84"/>
      <c r="L410" s="84"/>
      <c r="M410" s="84"/>
      <c r="N410" s="84"/>
      <c r="O410" s="84"/>
      <c r="P410" s="84"/>
      <c r="Q410" s="84"/>
      <c r="R410" s="84"/>
      <c r="S410" s="84"/>
      <c r="T410" s="84"/>
      <c r="U410" s="84"/>
      <c r="V410" s="84"/>
      <c r="W410" s="84"/>
      <c r="X410" s="84"/>
      <c r="Y410" s="80"/>
      <c r="Z410" s="80"/>
      <c r="AA410" s="80"/>
      <c r="AB410" s="80"/>
      <c r="AC410" s="80"/>
      <c r="AD410" s="80"/>
      <c r="AE410" s="80"/>
      <c r="AF410" s="80"/>
      <c r="AG410" s="80"/>
      <c r="AH410" s="80"/>
      <c r="AI410" s="80"/>
      <c r="AJ410" s="80"/>
      <c r="AK410" s="80"/>
      <c r="AL410" s="80"/>
      <c r="AM410" s="80"/>
      <c r="AN410" s="80"/>
      <c r="AO410" s="80"/>
      <c r="AP410" s="80"/>
      <c r="AQ410" s="80"/>
      <c r="AR410" s="80"/>
      <c r="AS410" s="80"/>
      <c r="AT410" s="80"/>
    </row>
    <row r="411" spans="1:71" s="81" customFormat="1" ht="15" hidden="1" customHeight="1">
      <c r="A411" s="80"/>
      <c r="B411" s="80"/>
      <c r="C411" s="80"/>
      <c r="D411" s="83"/>
      <c r="E411" s="84"/>
      <c r="F411" s="84"/>
      <c r="G411" s="84"/>
      <c r="H411" s="84"/>
      <c r="I411" s="84"/>
      <c r="J411" s="84"/>
      <c r="K411" s="84"/>
      <c r="L411" s="84"/>
      <c r="M411" s="84"/>
      <c r="N411" s="84"/>
      <c r="O411" s="84"/>
      <c r="P411" s="84"/>
      <c r="Q411" s="84"/>
      <c r="R411" s="84"/>
      <c r="S411" s="84"/>
      <c r="T411" s="84"/>
      <c r="U411" s="84"/>
      <c r="V411" s="84"/>
      <c r="W411" s="84"/>
      <c r="X411" s="84"/>
      <c r="Y411" s="80"/>
      <c r="Z411" s="80"/>
      <c r="AA411" s="80"/>
      <c r="AB411" s="80"/>
      <c r="AC411" s="80"/>
      <c r="AD411" s="80"/>
      <c r="AE411" s="80"/>
      <c r="AF411" s="80"/>
      <c r="AG411" s="80"/>
      <c r="AH411" s="80"/>
      <c r="AI411" s="80"/>
      <c r="AJ411" s="80"/>
      <c r="AK411" s="80"/>
      <c r="AL411" s="80"/>
      <c r="AM411" s="80"/>
      <c r="AN411" s="80"/>
      <c r="AO411" s="80"/>
      <c r="AP411" s="80"/>
      <c r="AQ411" s="80"/>
      <c r="AR411" s="80"/>
      <c r="AS411" s="80"/>
      <c r="AT411" s="80"/>
    </row>
    <row r="412" spans="1:71" s="81" customFormat="1" ht="15" hidden="1" customHeight="1">
      <c r="A412" s="80"/>
      <c r="B412" s="80"/>
      <c r="C412" s="80"/>
      <c r="D412" s="83"/>
      <c r="E412" s="84"/>
      <c r="F412" s="84"/>
      <c r="G412" s="84"/>
      <c r="H412" s="84"/>
      <c r="I412" s="84"/>
      <c r="J412" s="84"/>
      <c r="K412" s="84"/>
      <c r="L412" s="84"/>
      <c r="M412" s="84"/>
      <c r="N412" s="84"/>
      <c r="O412" s="84"/>
      <c r="P412" s="84"/>
      <c r="Q412" s="84"/>
      <c r="R412" s="84"/>
      <c r="S412" s="84"/>
      <c r="T412" s="84"/>
      <c r="U412" s="84"/>
      <c r="V412" s="84"/>
      <c r="W412" s="84"/>
      <c r="X412" s="84"/>
      <c r="Y412" s="80"/>
      <c r="Z412" s="80"/>
      <c r="AA412" s="80"/>
      <c r="AB412" s="80"/>
      <c r="AC412" s="80"/>
      <c r="AD412" s="80"/>
      <c r="AE412" s="80"/>
      <c r="AF412" s="80"/>
      <c r="AG412" s="80"/>
      <c r="AH412" s="80"/>
      <c r="AI412" s="80"/>
      <c r="AJ412" s="80"/>
      <c r="AK412" s="80"/>
      <c r="AL412" s="80"/>
      <c r="AM412" s="80"/>
      <c r="AN412" s="80"/>
      <c r="AO412" s="80"/>
      <c r="AP412" s="80"/>
      <c r="AQ412" s="80"/>
      <c r="AR412" s="80"/>
      <c r="AS412" s="80"/>
      <c r="AT412" s="80"/>
    </row>
    <row r="413" spans="1:71" ht="15" hidden="1" customHeight="1">
      <c r="A413" s="80"/>
      <c r="B413" s="80"/>
      <c r="C413" s="80"/>
      <c r="D413" s="83"/>
      <c r="E413" s="84"/>
      <c r="F413" s="84"/>
      <c r="G413" s="84"/>
      <c r="H413" s="84"/>
      <c r="I413" s="84"/>
      <c r="J413" s="84"/>
      <c r="K413" s="84"/>
      <c r="L413" s="84"/>
      <c r="M413" s="84"/>
      <c r="N413" s="84"/>
      <c r="O413" s="84"/>
      <c r="P413" s="84"/>
      <c r="Q413" s="84"/>
      <c r="R413" s="84"/>
      <c r="S413" s="84"/>
      <c r="T413" s="84"/>
      <c r="U413" s="84"/>
      <c r="V413" s="84"/>
      <c r="W413" s="84"/>
      <c r="X413" s="84"/>
      <c r="Y413" s="80"/>
      <c r="Z413" s="80"/>
      <c r="AA413" s="80"/>
      <c r="AB413" s="80"/>
      <c r="AC413" s="80"/>
      <c r="AD413" s="80"/>
      <c r="AE413" s="80"/>
      <c r="AF413" s="80"/>
      <c r="AG413" s="80"/>
      <c r="AH413" s="80"/>
      <c r="AI413" s="80"/>
      <c r="AJ413" s="80"/>
      <c r="AK413" s="80"/>
      <c r="AL413" s="80"/>
      <c r="AM413" s="80"/>
      <c r="AN413" s="80"/>
      <c r="AO413" s="80"/>
      <c r="AP413" s="80"/>
      <c r="AQ413" s="80"/>
      <c r="AR413" s="80"/>
      <c r="AS413" s="80"/>
      <c r="AT413" s="80"/>
      <c r="AU413" s="81"/>
      <c r="AV413" s="81"/>
      <c r="AW413" s="81"/>
      <c r="AX413" s="81"/>
      <c r="AY413" s="81"/>
      <c r="AZ413" s="81"/>
      <c r="BA413" s="81"/>
      <c r="BB413" s="81"/>
      <c r="BC413" s="81"/>
      <c r="BD413" s="81"/>
      <c r="BE413" s="81"/>
      <c r="BF413" s="81"/>
      <c r="BG413" s="81"/>
      <c r="BH413" s="81"/>
      <c r="BI413" s="81"/>
      <c r="BJ413" s="81"/>
      <c r="BK413" s="81"/>
      <c r="BL413" s="81"/>
      <c r="BM413" s="81"/>
      <c r="BN413" s="81"/>
      <c r="BO413" s="81"/>
      <c r="BP413" s="81"/>
      <c r="BQ413" s="81"/>
      <c r="BR413" s="81"/>
      <c r="BS413" s="81"/>
    </row>
    <row r="414" spans="1:71" ht="15" hidden="1" customHeight="1">
      <c r="A414" s="80"/>
      <c r="B414" s="80"/>
      <c r="C414" s="80"/>
      <c r="D414" s="83"/>
      <c r="E414" s="84"/>
      <c r="F414" s="84"/>
      <c r="G414" s="84"/>
      <c r="H414" s="84"/>
      <c r="I414" s="84"/>
      <c r="J414" s="84"/>
      <c r="K414" s="84"/>
      <c r="L414" s="84"/>
      <c r="M414" s="84"/>
      <c r="N414" s="84"/>
      <c r="O414" s="84"/>
      <c r="P414" s="84"/>
      <c r="Q414" s="84"/>
      <c r="R414" s="84"/>
      <c r="S414" s="84"/>
      <c r="T414" s="84"/>
      <c r="U414" s="84"/>
      <c r="V414" s="84"/>
      <c r="W414" s="84"/>
      <c r="X414" s="84"/>
      <c r="Y414" s="80"/>
      <c r="Z414" s="80"/>
      <c r="AA414" s="80"/>
      <c r="AB414" s="80"/>
      <c r="AC414" s="80"/>
      <c r="AD414" s="80"/>
      <c r="AE414" s="80"/>
      <c r="AF414" s="80"/>
      <c r="AG414" s="80"/>
      <c r="AH414" s="80"/>
      <c r="AI414" s="80"/>
      <c r="AJ414" s="80"/>
      <c r="AK414" s="80"/>
      <c r="AL414" s="80"/>
      <c r="AM414" s="80"/>
      <c r="AN414" s="80"/>
      <c r="AO414" s="80"/>
      <c r="AP414" s="80"/>
      <c r="AQ414" s="80"/>
      <c r="AR414" s="80"/>
      <c r="AS414" s="80"/>
      <c r="AT414" s="80"/>
      <c r="AU414" s="81"/>
      <c r="AV414" s="81"/>
      <c r="AW414" s="81"/>
      <c r="AX414" s="81"/>
      <c r="AY414" s="81"/>
      <c r="AZ414" s="81"/>
      <c r="BA414" s="81"/>
      <c r="BB414" s="81"/>
      <c r="BC414" s="81"/>
      <c r="BD414" s="81"/>
      <c r="BE414" s="81"/>
      <c r="BF414" s="81"/>
      <c r="BG414" s="81"/>
      <c r="BH414" s="81"/>
      <c r="BI414" s="81"/>
      <c r="BJ414" s="81"/>
      <c r="BK414" s="81"/>
      <c r="BL414" s="81"/>
      <c r="BM414" s="81"/>
      <c r="BN414" s="81"/>
      <c r="BO414" s="81"/>
      <c r="BP414" s="81"/>
      <c r="BQ414" s="81"/>
      <c r="BR414" s="81"/>
      <c r="BS414" s="81"/>
    </row>
    <row r="415" spans="1:71" ht="15" hidden="1" customHeight="1">
      <c r="A415" s="80"/>
      <c r="B415" s="80"/>
      <c r="C415" s="80"/>
      <c r="D415" s="83"/>
      <c r="E415" s="84"/>
      <c r="F415" s="84"/>
      <c r="G415" s="84"/>
      <c r="H415" s="84"/>
      <c r="I415" s="84"/>
      <c r="J415" s="84"/>
      <c r="K415" s="84"/>
      <c r="L415" s="84"/>
      <c r="M415" s="84"/>
      <c r="N415" s="84"/>
      <c r="O415" s="84"/>
      <c r="P415" s="84"/>
      <c r="Q415" s="84"/>
      <c r="R415" s="84"/>
      <c r="S415" s="84"/>
      <c r="T415" s="84"/>
      <c r="U415" s="84"/>
      <c r="V415" s="84"/>
      <c r="W415" s="84"/>
      <c r="X415" s="84"/>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1"/>
      <c r="AV415" s="81"/>
      <c r="AW415" s="81"/>
      <c r="AX415" s="81"/>
      <c r="AY415" s="81"/>
      <c r="AZ415" s="81"/>
      <c r="BA415" s="81"/>
      <c r="BB415" s="81"/>
      <c r="BC415" s="81"/>
      <c r="BD415" s="81"/>
      <c r="BE415" s="81"/>
      <c r="BF415" s="81"/>
      <c r="BG415" s="81"/>
      <c r="BH415" s="81"/>
      <c r="BI415" s="81"/>
      <c r="BJ415" s="81"/>
      <c r="BK415" s="81"/>
      <c r="BL415" s="81"/>
      <c r="BM415" s="81"/>
      <c r="BN415" s="81"/>
      <c r="BO415" s="81"/>
      <c r="BP415" s="81"/>
      <c r="BQ415" s="81"/>
      <c r="BR415" s="81"/>
      <c r="BS415" s="81"/>
    </row>
    <row r="416" spans="1:71" ht="15" hidden="1" customHeight="1">
      <c r="A416" s="80"/>
      <c r="B416" s="80"/>
      <c r="C416" s="80"/>
      <c r="D416" s="83"/>
      <c r="E416" s="84"/>
      <c r="F416" s="84"/>
      <c r="G416" s="84"/>
      <c r="H416" s="84"/>
      <c r="I416" s="84"/>
      <c r="J416" s="84"/>
      <c r="K416" s="84"/>
      <c r="L416" s="84"/>
      <c r="M416" s="84"/>
      <c r="N416" s="84"/>
      <c r="O416" s="84"/>
      <c r="P416" s="84"/>
      <c r="Q416" s="84"/>
      <c r="R416" s="84"/>
      <c r="S416" s="84"/>
      <c r="T416" s="84"/>
      <c r="U416" s="84"/>
      <c r="V416" s="84"/>
      <c r="W416" s="84"/>
      <c r="X416" s="84"/>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c r="AU416" s="81"/>
      <c r="AV416" s="81"/>
      <c r="AW416" s="81"/>
      <c r="AX416" s="81"/>
      <c r="AY416" s="81"/>
      <c r="AZ416" s="81"/>
      <c r="BA416" s="81"/>
      <c r="BB416" s="81"/>
      <c r="BC416" s="81"/>
      <c r="BD416" s="81"/>
      <c r="BE416" s="81"/>
      <c r="BF416" s="81"/>
      <c r="BG416" s="81"/>
      <c r="BH416" s="81"/>
      <c r="BI416" s="81"/>
      <c r="BJ416" s="81"/>
      <c r="BK416" s="81"/>
      <c r="BL416" s="81"/>
      <c r="BM416" s="81"/>
      <c r="BN416" s="81"/>
      <c r="BO416" s="81"/>
      <c r="BP416" s="81"/>
      <c r="BQ416" s="81"/>
      <c r="BR416" s="81"/>
      <c r="BS416" s="81"/>
    </row>
    <row r="417" spans="1:71" ht="15" hidden="1" customHeight="1">
      <c r="A417" s="80"/>
      <c r="B417" s="80"/>
      <c r="C417" s="80"/>
      <c r="D417" s="83"/>
      <c r="E417" s="84"/>
      <c r="F417" s="84"/>
      <c r="G417" s="84"/>
      <c r="H417" s="84"/>
      <c r="I417" s="84"/>
      <c r="J417" s="84"/>
      <c r="K417" s="84"/>
      <c r="L417" s="84"/>
      <c r="M417" s="84"/>
      <c r="N417" s="84"/>
      <c r="O417" s="84"/>
      <c r="P417" s="84"/>
      <c r="Q417" s="84"/>
      <c r="R417" s="84"/>
      <c r="S417" s="84"/>
      <c r="T417" s="84"/>
      <c r="U417" s="84"/>
      <c r="V417" s="84"/>
      <c r="W417" s="84"/>
      <c r="X417" s="84"/>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c r="AU417" s="81"/>
      <c r="AV417" s="81"/>
      <c r="AW417" s="81"/>
      <c r="AX417" s="81"/>
      <c r="AY417" s="81"/>
      <c r="AZ417" s="81"/>
      <c r="BA417" s="81"/>
      <c r="BB417" s="81"/>
      <c r="BC417" s="81"/>
      <c r="BD417" s="81"/>
      <c r="BE417" s="81"/>
      <c r="BF417" s="81"/>
      <c r="BG417" s="81"/>
      <c r="BH417" s="81"/>
      <c r="BI417" s="81"/>
      <c r="BJ417" s="81"/>
      <c r="BK417" s="81"/>
      <c r="BL417" s="81"/>
      <c r="BM417" s="81"/>
      <c r="BN417" s="81"/>
      <c r="BO417" s="81"/>
      <c r="BP417" s="81"/>
      <c r="BQ417" s="81"/>
      <c r="BR417" s="81"/>
      <c r="BS417" s="81"/>
    </row>
    <row r="418" spans="1:71" ht="15" hidden="1" customHeight="1">
      <c r="A418" s="80"/>
      <c r="B418" s="80"/>
      <c r="C418" s="80"/>
      <c r="D418" s="83"/>
      <c r="E418" s="84"/>
      <c r="F418" s="84"/>
      <c r="G418" s="84"/>
      <c r="H418" s="84"/>
      <c r="I418" s="84"/>
      <c r="J418" s="84"/>
      <c r="K418" s="84"/>
      <c r="L418" s="84"/>
      <c r="M418" s="84"/>
      <c r="N418" s="84"/>
      <c r="O418" s="84"/>
      <c r="P418" s="84"/>
      <c r="Q418" s="84"/>
      <c r="R418" s="84"/>
      <c r="S418" s="84"/>
      <c r="T418" s="84"/>
      <c r="U418" s="84"/>
      <c r="V418" s="84"/>
      <c r="W418" s="84"/>
      <c r="X418" s="84"/>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c r="AU418" s="81"/>
      <c r="AV418" s="81"/>
      <c r="AW418" s="81"/>
      <c r="AX418" s="81"/>
      <c r="AY418" s="81"/>
      <c r="AZ418" s="81"/>
      <c r="BA418" s="81"/>
      <c r="BB418" s="81"/>
      <c r="BC418" s="81"/>
      <c r="BD418" s="81"/>
      <c r="BE418" s="81"/>
      <c r="BF418" s="81"/>
      <c r="BG418" s="81"/>
      <c r="BH418" s="81"/>
      <c r="BI418" s="81"/>
      <c r="BJ418" s="81"/>
      <c r="BK418" s="81"/>
      <c r="BL418" s="81"/>
      <c r="BM418" s="81"/>
      <c r="BN418" s="81"/>
      <c r="BO418" s="81"/>
      <c r="BP418" s="81"/>
      <c r="BQ418" s="81"/>
      <c r="BR418" s="81"/>
      <c r="BS418" s="81"/>
    </row>
    <row r="419" spans="1:71" ht="15" hidden="1" customHeight="1">
      <c r="A419" s="80"/>
      <c r="B419" s="80"/>
      <c r="C419" s="80"/>
      <c r="D419" s="83"/>
      <c r="E419" s="84"/>
      <c r="F419" s="84"/>
      <c r="G419" s="84"/>
      <c r="H419" s="84"/>
      <c r="I419" s="84"/>
      <c r="J419" s="84"/>
      <c r="K419" s="84"/>
      <c r="L419" s="84"/>
      <c r="M419" s="84"/>
      <c r="N419" s="84"/>
      <c r="O419" s="84"/>
      <c r="P419" s="84"/>
      <c r="Q419" s="84"/>
      <c r="R419" s="84"/>
      <c r="S419" s="84"/>
      <c r="T419" s="84"/>
      <c r="U419" s="84"/>
      <c r="V419" s="84"/>
      <c r="W419" s="84"/>
      <c r="X419" s="84"/>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1"/>
      <c r="AV419" s="81"/>
      <c r="AW419" s="81"/>
      <c r="AX419" s="81"/>
      <c r="AY419" s="81"/>
      <c r="AZ419" s="81"/>
      <c r="BA419" s="81"/>
      <c r="BB419" s="81"/>
      <c r="BC419" s="81"/>
      <c r="BD419" s="81"/>
      <c r="BE419" s="81"/>
      <c r="BF419" s="81"/>
      <c r="BG419" s="81"/>
      <c r="BH419" s="81"/>
      <c r="BI419" s="81"/>
      <c r="BJ419" s="81"/>
      <c r="BK419" s="81"/>
      <c r="BL419" s="81"/>
      <c r="BM419" s="81"/>
      <c r="BN419" s="81"/>
      <c r="BO419" s="81"/>
      <c r="BP419" s="81"/>
      <c r="BQ419" s="81"/>
      <c r="BR419" s="81"/>
      <c r="BS419" s="81"/>
    </row>
    <row r="420" spans="1:71" ht="15" hidden="1" customHeight="1">
      <c r="A420" s="80"/>
      <c r="B420" s="80"/>
      <c r="C420" s="80"/>
      <c r="D420" s="83"/>
      <c r="E420" s="84"/>
      <c r="F420" s="84"/>
      <c r="G420" s="84"/>
      <c r="H420" s="84"/>
      <c r="I420" s="84"/>
      <c r="J420" s="84"/>
      <c r="K420" s="84"/>
      <c r="L420" s="84"/>
      <c r="M420" s="84"/>
      <c r="N420" s="84"/>
      <c r="O420" s="84"/>
      <c r="P420" s="84"/>
      <c r="Q420" s="84"/>
      <c r="R420" s="84"/>
      <c r="S420" s="84"/>
      <c r="T420" s="84"/>
      <c r="U420" s="84"/>
      <c r="V420" s="84"/>
      <c r="W420" s="84"/>
      <c r="X420" s="84"/>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1"/>
      <c r="AV420" s="81"/>
      <c r="AW420" s="81"/>
      <c r="AX420" s="81"/>
      <c r="AY420" s="81"/>
      <c r="AZ420" s="81"/>
      <c r="BA420" s="81"/>
      <c r="BB420" s="81"/>
      <c r="BC420" s="81"/>
      <c r="BD420" s="81"/>
      <c r="BE420" s="81"/>
      <c r="BF420" s="81"/>
      <c r="BG420" s="81"/>
      <c r="BH420" s="81"/>
      <c r="BI420" s="81"/>
      <c r="BJ420" s="81"/>
      <c r="BK420" s="81"/>
      <c r="BL420" s="81"/>
      <c r="BM420" s="81"/>
      <c r="BN420" s="81"/>
      <c r="BO420" s="81"/>
      <c r="BP420" s="81"/>
      <c r="BQ420" s="81"/>
      <c r="BR420" s="81"/>
      <c r="BS420" s="81"/>
    </row>
    <row r="421" spans="1:71" ht="15" hidden="1" customHeight="1">
      <c r="A421" s="80"/>
      <c r="B421" s="80"/>
      <c r="C421" s="80"/>
      <c r="D421" s="83"/>
      <c r="E421" s="84"/>
      <c r="F421" s="84"/>
      <c r="G421" s="84"/>
      <c r="H421" s="84"/>
      <c r="I421" s="84"/>
      <c r="J421" s="84"/>
      <c r="K421" s="84"/>
      <c r="L421" s="84"/>
      <c r="M421" s="84"/>
      <c r="N421" s="84"/>
      <c r="O421" s="84"/>
      <c r="P421" s="84"/>
      <c r="Q421" s="84"/>
      <c r="R421" s="84"/>
      <c r="S421" s="84"/>
      <c r="T421" s="84"/>
      <c r="U421" s="84"/>
      <c r="V421" s="84"/>
      <c r="W421" s="84"/>
      <c r="X421" s="84"/>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1"/>
      <c r="AV421" s="81"/>
      <c r="AW421" s="81"/>
      <c r="AX421" s="81"/>
      <c r="AY421" s="81"/>
      <c r="AZ421" s="81"/>
      <c r="BA421" s="81"/>
      <c r="BB421" s="81"/>
      <c r="BC421" s="81"/>
      <c r="BD421" s="81"/>
      <c r="BE421" s="81"/>
      <c r="BF421" s="81"/>
      <c r="BG421" s="81"/>
      <c r="BH421" s="81"/>
      <c r="BI421" s="81"/>
      <c r="BJ421" s="81"/>
      <c r="BK421" s="81"/>
      <c r="BL421" s="81"/>
      <c r="BM421" s="81"/>
      <c r="BN421" s="81"/>
      <c r="BO421" s="81"/>
      <c r="BP421" s="81"/>
      <c r="BQ421" s="81"/>
      <c r="BR421" s="81"/>
      <c r="BS421" s="81"/>
    </row>
    <row r="422" spans="1:71" ht="15" hidden="1" customHeight="1">
      <c r="A422" s="80"/>
      <c r="B422" s="80"/>
      <c r="C422" s="80"/>
      <c r="D422" s="83"/>
      <c r="E422" s="84"/>
      <c r="F422" s="84"/>
      <c r="G422" s="84"/>
      <c r="H422" s="84"/>
      <c r="I422" s="84"/>
      <c r="J422" s="84"/>
      <c r="K422" s="84"/>
      <c r="L422" s="84"/>
      <c r="M422" s="84"/>
      <c r="N422" s="84"/>
      <c r="O422" s="84"/>
      <c r="P422" s="84"/>
      <c r="Q422" s="84"/>
      <c r="R422" s="84"/>
      <c r="S422" s="84"/>
      <c r="T422" s="84"/>
      <c r="U422" s="84"/>
      <c r="V422" s="84"/>
      <c r="W422" s="84"/>
      <c r="X422" s="84"/>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1"/>
      <c r="AV422" s="81"/>
      <c r="AW422" s="81"/>
      <c r="AX422" s="81"/>
      <c r="AY422" s="81"/>
      <c r="AZ422" s="81"/>
      <c r="BA422" s="81"/>
      <c r="BB422" s="81"/>
      <c r="BC422" s="81"/>
      <c r="BD422" s="81"/>
      <c r="BE422" s="81"/>
      <c r="BF422" s="81"/>
      <c r="BG422" s="81"/>
      <c r="BH422" s="81"/>
      <c r="BI422" s="81"/>
      <c r="BJ422" s="81"/>
      <c r="BK422" s="81"/>
      <c r="BL422" s="81"/>
      <c r="BM422" s="81"/>
      <c r="BN422" s="81"/>
      <c r="BO422" s="81"/>
      <c r="BP422" s="81"/>
      <c r="BQ422" s="81"/>
      <c r="BR422" s="81"/>
      <c r="BS422" s="81"/>
    </row>
    <row r="423" spans="1:71" ht="15" hidden="1" customHeight="1">
      <c r="A423" s="80"/>
      <c r="B423" s="80"/>
      <c r="C423" s="80"/>
      <c r="D423" s="83"/>
      <c r="E423" s="84"/>
      <c r="F423" s="84"/>
      <c r="G423" s="84"/>
      <c r="H423" s="84"/>
      <c r="I423" s="84"/>
      <c r="J423" s="84"/>
      <c r="K423" s="84"/>
      <c r="L423" s="84"/>
      <c r="M423" s="84"/>
      <c r="N423" s="84"/>
      <c r="O423" s="84"/>
      <c r="P423" s="84"/>
      <c r="Q423" s="84"/>
      <c r="R423" s="84"/>
      <c r="S423" s="84"/>
      <c r="T423" s="84"/>
      <c r="U423" s="84"/>
      <c r="V423" s="84"/>
      <c r="W423" s="84"/>
      <c r="X423" s="84"/>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1"/>
      <c r="AV423" s="81"/>
      <c r="AW423" s="81"/>
      <c r="AX423" s="81"/>
      <c r="AY423" s="81"/>
      <c r="AZ423" s="81"/>
      <c r="BA423" s="81"/>
      <c r="BB423" s="81"/>
      <c r="BC423" s="81"/>
      <c r="BD423" s="81"/>
      <c r="BE423" s="81"/>
      <c r="BF423" s="81"/>
      <c r="BG423" s="81"/>
      <c r="BH423" s="81"/>
      <c r="BI423" s="81"/>
      <c r="BJ423" s="81"/>
      <c r="BK423" s="81"/>
      <c r="BL423" s="81"/>
      <c r="BM423" s="81"/>
      <c r="BN423" s="81"/>
      <c r="BO423" s="81"/>
      <c r="BP423" s="81"/>
      <c r="BQ423" s="81"/>
      <c r="BR423" s="81"/>
      <c r="BS423" s="81"/>
    </row>
    <row r="424" spans="1:71" ht="15" hidden="1" customHeight="1">
      <c r="A424" s="80"/>
      <c r="B424" s="80"/>
      <c r="C424" s="80"/>
      <c r="D424" s="83"/>
      <c r="E424" s="84"/>
      <c r="F424" s="84"/>
      <c r="G424" s="84"/>
      <c r="H424" s="84"/>
      <c r="I424" s="84"/>
      <c r="J424" s="84"/>
      <c r="K424" s="84"/>
      <c r="L424" s="84"/>
      <c r="M424" s="84"/>
      <c r="N424" s="84"/>
      <c r="O424" s="84"/>
      <c r="P424" s="84"/>
      <c r="Q424" s="84"/>
      <c r="R424" s="84"/>
      <c r="S424" s="84"/>
      <c r="T424" s="84"/>
      <c r="U424" s="84"/>
      <c r="V424" s="84"/>
      <c r="W424" s="84"/>
      <c r="X424" s="84"/>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1"/>
      <c r="AV424" s="81"/>
      <c r="AW424" s="81"/>
      <c r="AX424" s="81"/>
      <c r="AY424" s="81"/>
      <c r="AZ424" s="81"/>
      <c r="BA424" s="81"/>
      <c r="BB424" s="81"/>
      <c r="BC424" s="81"/>
      <c r="BD424" s="81"/>
      <c r="BE424" s="81"/>
      <c r="BF424" s="81"/>
      <c r="BG424" s="81"/>
      <c r="BH424" s="81"/>
      <c r="BI424" s="81"/>
      <c r="BJ424" s="81"/>
      <c r="BK424" s="81"/>
      <c r="BL424" s="81"/>
      <c r="BM424" s="81"/>
      <c r="BN424" s="81"/>
      <c r="BO424" s="81"/>
      <c r="BP424" s="81"/>
      <c r="BQ424" s="81"/>
      <c r="BR424" s="81"/>
      <c r="BS424" s="81"/>
    </row>
    <row r="425" spans="1:71" ht="15" hidden="1" customHeight="1">
      <c r="A425" s="80"/>
      <c r="B425" s="80"/>
      <c r="C425" s="80"/>
      <c r="D425" s="83"/>
      <c r="E425" s="84"/>
      <c r="F425" s="84"/>
      <c r="G425" s="84"/>
      <c r="H425" s="84"/>
      <c r="I425" s="84"/>
      <c r="J425" s="84"/>
      <c r="K425" s="84"/>
      <c r="L425" s="84"/>
      <c r="M425" s="84"/>
      <c r="N425" s="84"/>
      <c r="O425" s="84"/>
      <c r="P425" s="84"/>
      <c r="Q425" s="84"/>
      <c r="R425" s="84"/>
      <c r="S425" s="84"/>
      <c r="T425" s="84"/>
      <c r="U425" s="84"/>
      <c r="V425" s="84"/>
      <c r="W425" s="84"/>
      <c r="X425" s="84"/>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1"/>
      <c r="AV425" s="81"/>
      <c r="AW425" s="81"/>
      <c r="AX425" s="81"/>
      <c r="AY425" s="81"/>
      <c r="AZ425" s="81"/>
      <c r="BA425" s="81"/>
      <c r="BB425" s="81"/>
      <c r="BC425" s="81"/>
      <c r="BD425" s="81"/>
      <c r="BE425" s="81"/>
      <c r="BF425" s="81"/>
      <c r="BG425" s="81"/>
      <c r="BH425" s="81"/>
      <c r="BI425" s="81"/>
      <c r="BJ425" s="81"/>
      <c r="BK425" s="81"/>
      <c r="BL425" s="81"/>
      <c r="BM425" s="81"/>
      <c r="BN425" s="81"/>
      <c r="BO425" s="81"/>
      <c r="BP425" s="81"/>
      <c r="BQ425" s="81"/>
      <c r="BR425" s="81"/>
      <c r="BS425" s="81"/>
    </row>
    <row r="426" spans="1:71" ht="15" hidden="1" customHeight="1">
      <c r="A426" s="80"/>
      <c r="B426" s="80"/>
      <c r="C426" s="80"/>
      <c r="D426" s="83"/>
      <c r="E426" s="84"/>
      <c r="F426" s="84"/>
      <c r="G426" s="84"/>
      <c r="H426" s="84"/>
      <c r="I426" s="84"/>
      <c r="J426" s="84"/>
      <c r="K426" s="84"/>
      <c r="L426" s="84"/>
      <c r="M426" s="84"/>
      <c r="N426" s="84"/>
      <c r="O426" s="84"/>
      <c r="P426" s="84"/>
      <c r="Q426" s="84"/>
      <c r="R426" s="84"/>
      <c r="S426" s="84"/>
      <c r="T426" s="84"/>
      <c r="U426" s="84"/>
      <c r="V426" s="84"/>
      <c r="W426" s="84"/>
      <c r="X426" s="84"/>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1"/>
      <c r="AV426" s="81"/>
      <c r="AW426" s="81"/>
      <c r="AX426" s="81"/>
      <c r="AY426" s="81"/>
      <c r="AZ426" s="81"/>
      <c r="BA426" s="81"/>
      <c r="BB426" s="81"/>
      <c r="BC426" s="81"/>
      <c r="BD426" s="81"/>
      <c r="BE426" s="81"/>
      <c r="BF426" s="81"/>
      <c r="BG426" s="81"/>
      <c r="BH426" s="81"/>
      <c r="BI426" s="81"/>
      <c r="BJ426" s="81"/>
      <c r="BK426" s="81"/>
      <c r="BL426" s="81"/>
      <c r="BM426" s="81"/>
      <c r="BN426" s="81"/>
      <c r="BO426" s="81"/>
      <c r="BP426" s="81"/>
      <c r="BQ426" s="81"/>
      <c r="BR426" s="81"/>
      <c r="BS426" s="81"/>
    </row>
    <row r="427" spans="1:71" ht="15" hidden="1" customHeight="1">
      <c r="A427" s="80"/>
      <c r="B427" s="80"/>
      <c r="C427" s="80"/>
      <c r="D427" s="83"/>
      <c r="E427" s="84"/>
      <c r="F427" s="84"/>
      <c r="G427" s="84"/>
      <c r="H427" s="84"/>
      <c r="I427" s="84"/>
      <c r="J427" s="84"/>
      <c r="K427" s="84"/>
      <c r="L427" s="84"/>
      <c r="M427" s="84"/>
      <c r="N427" s="84"/>
      <c r="O427" s="84"/>
      <c r="P427" s="84"/>
      <c r="Q427" s="84"/>
      <c r="R427" s="84"/>
      <c r="S427" s="84"/>
      <c r="T427" s="84"/>
      <c r="U427" s="84"/>
      <c r="V427" s="84"/>
      <c r="W427" s="84"/>
      <c r="X427" s="84"/>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1"/>
      <c r="AV427" s="81"/>
      <c r="AW427" s="81"/>
      <c r="AX427" s="81"/>
      <c r="AY427" s="81"/>
      <c r="AZ427" s="81"/>
      <c r="BA427" s="81"/>
      <c r="BB427" s="81"/>
      <c r="BC427" s="81"/>
      <c r="BD427" s="81"/>
      <c r="BE427" s="81"/>
      <c r="BF427" s="81"/>
      <c r="BG427" s="81"/>
      <c r="BH427" s="81"/>
      <c r="BI427" s="81"/>
      <c r="BJ427" s="81"/>
      <c r="BK427" s="81"/>
      <c r="BL427" s="81"/>
      <c r="BM427" s="81"/>
      <c r="BN427" s="81"/>
      <c r="BO427" s="81"/>
      <c r="BP427" s="81"/>
      <c r="BQ427" s="81"/>
      <c r="BR427" s="81"/>
      <c r="BS427" s="81"/>
    </row>
    <row r="428" spans="1:71" ht="15" hidden="1" customHeight="1">
      <c r="A428" s="80"/>
      <c r="B428" s="80"/>
      <c r="C428" s="80"/>
      <c r="D428" s="83"/>
      <c r="E428" s="84"/>
      <c r="F428" s="84"/>
      <c r="G428" s="84"/>
      <c r="H428" s="84"/>
      <c r="I428" s="84"/>
      <c r="J428" s="84"/>
      <c r="K428" s="84"/>
      <c r="L428" s="84"/>
      <c r="M428" s="84"/>
      <c r="N428" s="84"/>
      <c r="O428" s="84"/>
      <c r="P428" s="84"/>
      <c r="Q428" s="84"/>
      <c r="R428" s="84"/>
      <c r="S428" s="84"/>
      <c r="T428" s="84"/>
      <c r="U428" s="84"/>
      <c r="V428" s="84"/>
      <c r="W428" s="84"/>
      <c r="X428" s="84"/>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1"/>
      <c r="AV428" s="81"/>
      <c r="AW428" s="81"/>
      <c r="AX428" s="81"/>
      <c r="AY428" s="81"/>
      <c r="AZ428" s="81"/>
      <c r="BA428" s="81"/>
      <c r="BB428" s="81"/>
      <c r="BC428" s="81"/>
      <c r="BD428" s="81"/>
      <c r="BE428" s="81"/>
      <c r="BF428" s="81"/>
      <c r="BG428" s="81"/>
      <c r="BH428" s="81"/>
      <c r="BI428" s="81"/>
      <c r="BJ428" s="81"/>
      <c r="BK428" s="81"/>
      <c r="BL428" s="81"/>
      <c r="BM428" s="81"/>
      <c r="BN428" s="81"/>
      <c r="BO428" s="81"/>
      <c r="BP428" s="81"/>
      <c r="BQ428" s="81"/>
      <c r="BR428" s="81"/>
      <c r="BS428" s="81"/>
    </row>
    <row r="429" spans="1:71" ht="15" hidden="1" customHeight="1">
      <c r="A429" s="80"/>
      <c r="B429" s="80"/>
      <c r="C429" s="80"/>
      <c r="D429" s="83"/>
      <c r="E429" s="84"/>
      <c r="F429" s="84"/>
      <c r="G429" s="84"/>
      <c r="H429" s="84"/>
      <c r="I429" s="84"/>
      <c r="J429" s="84"/>
      <c r="K429" s="84"/>
      <c r="L429" s="84"/>
      <c r="M429" s="84"/>
      <c r="N429" s="84"/>
      <c r="O429" s="84"/>
      <c r="P429" s="84"/>
      <c r="Q429" s="84"/>
      <c r="R429" s="84"/>
      <c r="S429" s="84"/>
      <c r="T429" s="84"/>
      <c r="U429" s="84"/>
      <c r="V429" s="84"/>
      <c r="W429" s="84"/>
      <c r="X429" s="84"/>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1"/>
      <c r="AV429" s="81"/>
      <c r="AW429" s="81"/>
      <c r="AX429" s="81"/>
      <c r="AY429" s="81"/>
      <c r="AZ429" s="81"/>
      <c r="BA429" s="81"/>
      <c r="BB429" s="81"/>
      <c r="BC429" s="81"/>
      <c r="BD429" s="81"/>
      <c r="BE429" s="81"/>
      <c r="BF429" s="81"/>
      <c r="BG429" s="81"/>
      <c r="BH429" s="81"/>
      <c r="BI429" s="81"/>
      <c r="BJ429" s="81"/>
      <c r="BK429" s="81"/>
      <c r="BL429" s="81"/>
      <c r="BM429" s="81"/>
      <c r="BN429" s="81"/>
      <c r="BO429" s="81"/>
      <c r="BP429" s="81"/>
      <c r="BQ429" s="81"/>
      <c r="BR429" s="81"/>
      <c r="BS429" s="81"/>
    </row>
    <row r="430" spans="1:71" ht="15" hidden="1" customHeight="1">
      <c r="A430" s="80"/>
      <c r="B430" s="80"/>
      <c r="C430" s="80"/>
      <c r="D430" s="83"/>
      <c r="E430" s="84"/>
      <c r="F430" s="84"/>
      <c r="G430" s="84"/>
      <c r="H430" s="84"/>
      <c r="I430" s="84"/>
      <c r="J430" s="84"/>
      <c r="K430" s="84"/>
      <c r="L430" s="84"/>
      <c r="M430" s="84"/>
      <c r="N430" s="84"/>
      <c r="O430" s="84"/>
      <c r="P430" s="84"/>
      <c r="Q430" s="84"/>
      <c r="R430" s="84"/>
      <c r="S430" s="84"/>
      <c r="T430" s="84"/>
      <c r="U430" s="84"/>
      <c r="V430" s="84"/>
      <c r="W430" s="84"/>
      <c r="X430" s="84"/>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1"/>
      <c r="AV430" s="81"/>
      <c r="AW430" s="81"/>
      <c r="AX430" s="81"/>
      <c r="AY430" s="81"/>
      <c r="AZ430" s="81"/>
      <c r="BA430" s="81"/>
      <c r="BB430" s="81"/>
      <c r="BC430" s="81"/>
      <c r="BD430" s="81"/>
      <c r="BE430" s="81"/>
      <c r="BF430" s="81"/>
      <c r="BG430" s="81"/>
      <c r="BH430" s="81"/>
      <c r="BI430" s="81"/>
      <c r="BJ430" s="81"/>
      <c r="BK430" s="81"/>
      <c r="BL430" s="81"/>
      <c r="BM430" s="81"/>
      <c r="BN430" s="81"/>
      <c r="BO430" s="81"/>
      <c r="BP430" s="81"/>
      <c r="BQ430" s="81"/>
      <c r="BR430" s="81"/>
      <c r="BS430" s="81"/>
    </row>
    <row r="431" spans="1:71" ht="15" hidden="1" customHeight="1">
      <c r="A431" s="80"/>
      <c r="B431" s="80"/>
      <c r="C431" s="80"/>
      <c r="D431" s="83"/>
      <c r="E431" s="84"/>
      <c r="F431" s="84"/>
      <c r="G431" s="84"/>
      <c r="H431" s="84"/>
      <c r="I431" s="84"/>
      <c r="J431" s="84"/>
      <c r="K431" s="84"/>
      <c r="L431" s="84"/>
      <c r="M431" s="84"/>
      <c r="N431" s="84"/>
      <c r="O431" s="84"/>
      <c r="P431" s="84"/>
      <c r="Q431" s="84"/>
      <c r="R431" s="84"/>
      <c r="S431" s="84"/>
      <c r="T431" s="84"/>
      <c r="U431" s="84"/>
      <c r="V431" s="84"/>
      <c r="W431" s="84"/>
      <c r="X431" s="84"/>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1"/>
      <c r="AV431" s="81"/>
      <c r="AW431" s="81"/>
      <c r="AX431" s="81"/>
      <c r="AY431" s="81"/>
      <c r="AZ431" s="81"/>
      <c r="BA431" s="81"/>
      <c r="BB431" s="81"/>
      <c r="BC431" s="81"/>
      <c r="BD431" s="81"/>
      <c r="BE431" s="81"/>
      <c r="BF431" s="81"/>
      <c r="BG431" s="81"/>
      <c r="BH431" s="81"/>
      <c r="BI431" s="81"/>
      <c r="BJ431" s="81"/>
      <c r="BK431" s="81"/>
      <c r="BL431" s="81"/>
      <c r="BM431" s="81"/>
      <c r="BN431" s="81"/>
      <c r="BO431" s="81"/>
      <c r="BP431" s="81"/>
      <c r="BQ431" s="81"/>
      <c r="BR431" s="81"/>
      <c r="BS431" s="81"/>
    </row>
    <row r="432" spans="1:71" ht="15" hidden="1" customHeight="1">
      <c r="A432" s="80"/>
      <c r="B432" s="80"/>
      <c r="C432" s="80"/>
      <c r="D432" s="83"/>
      <c r="E432" s="84"/>
      <c r="F432" s="84"/>
      <c r="G432" s="84"/>
      <c r="H432" s="84"/>
      <c r="I432" s="84"/>
      <c r="J432" s="84"/>
      <c r="K432" s="84"/>
      <c r="L432" s="84"/>
      <c r="M432" s="84"/>
      <c r="N432" s="84"/>
      <c r="O432" s="84"/>
      <c r="P432" s="84"/>
      <c r="Q432" s="84"/>
      <c r="R432" s="84"/>
      <c r="S432" s="84"/>
      <c r="T432" s="84"/>
      <c r="U432" s="84"/>
      <c r="V432" s="84"/>
      <c r="W432" s="84"/>
      <c r="X432" s="84"/>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1"/>
      <c r="AV432" s="81"/>
      <c r="AW432" s="81"/>
      <c r="AX432" s="81"/>
      <c r="AY432" s="81"/>
      <c r="AZ432" s="81"/>
      <c r="BA432" s="81"/>
      <c r="BB432" s="81"/>
      <c r="BC432" s="81"/>
      <c r="BD432" s="81"/>
      <c r="BE432" s="81"/>
      <c r="BF432" s="81"/>
      <c r="BG432" s="81"/>
      <c r="BH432" s="81"/>
      <c r="BI432" s="81"/>
      <c r="BJ432" s="81"/>
      <c r="BK432" s="81"/>
      <c r="BL432" s="81"/>
      <c r="BM432" s="81"/>
      <c r="BN432" s="81"/>
      <c r="BO432" s="81"/>
      <c r="BP432" s="81"/>
      <c r="BQ432" s="81"/>
      <c r="BR432" s="81"/>
      <c r="BS432" s="81"/>
    </row>
    <row r="433" spans="1:71" ht="15" hidden="1" customHeight="1">
      <c r="A433" s="80"/>
      <c r="B433" s="80"/>
      <c r="C433" s="80"/>
      <c r="D433" s="83"/>
      <c r="E433" s="84"/>
      <c r="F433" s="84"/>
      <c r="G433" s="84"/>
      <c r="H433" s="84"/>
      <c r="I433" s="84"/>
      <c r="J433" s="84"/>
      <c r="K433" s="84"/>
      <c r="L433" s="84"/>
      <c r="M433" s="84"/>
      <c r="N433" s="84"/>
      <c r="O433" s="84"/>
      <c r="P433" s="84"/>
      <c r="Q433" s="84"/>
      <c r="R433" s="84"/>
      <c r="S433" s="84"/>
      <c r="T433" s="84"/>
      <c r="U433" s="84"/>
      <c r="V433" s="84"/>
      <c r="W433" s="84"/>
      <c r="X433" s="84"/>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1"/>
      <c r="AV433" s="81"/>
      <c r="AW433" s="81"/>
      <c r="AX433" s="81"/>
      <c r="AY433" s="81"/>
      <c r="AZ433" s="81"/>
      <c r="BA433" s="81"/>
      <c r="BB433" s="81"/>
      <c r="BC433" s="81"/>
      <c r="BD433" s="81"/>
      <c r="BE433" s="81"/>
      <c r="BF433" s="81"/>
      <c r="BG433" s="81"/>
      <c r="BH433" s="81"/>
      <c r="BI433" s="81"/>
      <c r="BJ433" s="81"/>
      <c r="BK433" s="81"/>
      <c r="BL433" s="81"/>
      <c r="BM433" s="81"/>
      <c r="BN433" s="81"/>
      <c r="BO433" s="81"/>
      <c r="BP433" s="81"/>
      <c r="BQ433" s="81"/>
      <c r="BR433" s="81"/>
      <c r="BS433" s="81"/>
    </row>
    <row r="434" spans="1:71" ht="15" hidden="1" customHeight="1">
      <c r="A434" s="80"/>
      <c r="B434" s="80"/>
      <c r="C434" s="80"/>
      <c r="D434" s="83"/>
      <c r="E434" s="84"/>
      <c r="F434" s="84"/>
      <c r="G434" s="84"/>
      <c r="H434" s="84"/>
      <c r="I434" s="84"/>
      <c r="J434" s="84"/>
      <c r="K434" s="84"/>
      <c r="L434" s="84"/>
      <c r="M434" s="84"/>
      <c r="N434" s="84"/>
      <c r="O434" s="84"/>
      <c r="P434" s="84"/>
      <c r="Q434" s="84"/>
      <c r="R434" s="84"/>
      <c r="S434" s="84"/>
      <c r="T434" s="84"/>
      <c r="U434" s="84"/>
      <c r="V434" s="84"/>
      <c r="W434" s="84"/>
      <c r="X434" s="84"/>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1"/>
      <c r="AV434" s="81"/>
      <c r="AW434" s="81"/>
      <c r="AX434" s="81"/>
      <c r="AY434" s="81"/>
      <c r="AZ434" s="81"/>
      <c r="BA434" s="81"/>
      <c r="BB434" s="81"/>
      <c r="BC434" s="81"/>
      <c r="BD434" s="81"/>
      <c r="BE434" s="81"/>
      <c r="BF434" s="81"/>
      <c r="BG434" s="81"/>
      <c r="BH434" s="81"/>
      <c r="BI434" s="81"/>
      <c r="BJ434" s="81"/>
      <c r="BK434" s="81"/>
      <c r="BL434" s="81"/>
      <c r="BM434" s="81"/>
      <c r="BN434" s="81"/>
      <c r="BO434" s="81"/>
      <c r="BP434" s="81"/>
      <c r="BQ434" s="81"/>
      <c r="BR434" s="81"/>
      <c r="BS434" s="81"/>
    </row>
    <row r="435" spans="1:71" ht="15" hidden="1" customHeight="1">
      <c r="A435" s="80"/>
      <c r="B435" s="80"/>
      <c r="C435" s="80"/>
      <c r="D435" s="83"/>
      <c r="E435" s="84"/>
      <c r="F435" s="84"/>
      <c r="G435" s="84"/>
      <c r="H435" s="84"/>
      <c r="I435" s="84"/>
      <c r="J435" s="84"/>
      <c r="K435" s="84"/>
      <c r="L435" s="84"/>
      <c r="M435" s="84"/>
      <c r="N435" s="84"/>
      <c r="O435" s="84"/>
      <c r="P435" s="84"/>
      <c r="Q435" s="84"/>
      <c r="R435" s="84"/>
      <c r="S435" s="84"/>
      <c r="T435" s="84"/>
      <c r="U435" s="84"/>
      <c r="V435" s="84"/>
      <c r="W435" s="84"/>
      <c r="X435" s="84"/>
      <c r="Y435" s="80"/>
      <c r="Z435" s="80"/>
      <c r="AA435" s="80"/>
      <c r="AB435" s="80"/>
      <c r="AC435" s="80"/>
      <c r="AD435" s="80"/>
      <c r="AE435" s="80"/>
      <c r="AF435" s="80"/>
      <c r="AG435" s="80"/>
      <c r="AH435" s="80"/>
      <c r="AI435" s="80"/>
      <c r="AJ435" s="80"/>
      <c r="AK435" s="80"/>
      <c r="AL435" s="80"/>
      <c r="AM435" s="80"/>
      <c r="AN435" s="80"/>
      <c r="AO435" s="80"/>
      <c r="AP435" s="80"/>
      <c r="AQ435" s="80"/>
      <c r="AR435" s="80"/>
      <c r="AS435" s="80"/>
      <c r="AT435" s="80"/>
      <c r="AU435" s="81"/>
      <c r="AV435" s="81"/>
      <c r="AW435" s="81"/>
      <c r="AX435" s="81"/>
      <c r="AY435" s="81"/>
      <c r="AZ435" s="81"/>
      <c r="BA435" s="81"/>
      <c r="BB435" s="81"/>
      <c r="BC435" s="81"/>
      <c r="BD435" s="81"/>
      <c r="BE435" s="81"/>
      <c r="BF435" s="81"/>
      <c r="BG435" s="81"/>
      <c r="BH435" s="81"/>
      <c r="BI435" s="81"/>
      <c r="BJ435" s="81"/>
      <c r="BK435" s="81"/>
      <c r="BL435" s="81"/>
      <c r="BM435" s="81"/>
      <c r="BN435" s="81"/>
      <c r="BO435" s="81"/>
      <c r="BP435" s="81"/>
      <c r="BQ435" s="81"/>
      <c r="BR435" s="81"/>
      <c r="BS435" s="81"/>
    </row>
    <row r="436" spans="1:71" ht="15" hidden="1" customHeight="1">
      <c r="A436" s="80"/>
      <c r="B436" s="80"/>
      <c r="C436" s="80"/>
      <c r="D436" s="83"/>
      <c r="E436" s="84"/>
      <c r="F436" s="84"/>
      <c r="G436" s="84"/>
      <c r="H436" s="84"/>
      <c r="I436" s="84"/>
      <c r="J436" s="84"/>
      <c r="K436" s="84"/>
      <c r="L436" s="84"/>
      <c r="M436" s="84"/>
      <c r="N436" s="84"/>
      <c r="O436" s="84"/>
      <c r="P436" s="84"/>
      <c r="Q436" s="84"/>
      <c r="R436" s="84"/>
      <c r="S436" s="84"/>
      <c r="T436" s="84"/>
      <c r="U436" s="84"/>
      <c r="V436" s="84"/>
      <c r="W436" s="84"/>
      <c r="X436" s="84"/>
      <c r="Y436" s="80"/>
      <c r="Z436" s="80"/>
      <c r="AA436" s="80"/>
      <c r="AB436" s="80"/>
      <c r="AC436" s="80"/>
      <c r="AD436" s="80"/>
      <c r="AE436" s="80"/>
      <c r="AF436" s="80"/>
      <c r="AG436" s="80"/>
      <c r="AH436" s="80"/>
      <c r="AI436" s="80"/>
      <c r="AJ436" s="80"/>
      <c r="AK436" s="80"/>
      <c r="AL436" s="80"/>
      <c r="AM436" s="80"/>
      <c r="AN436" s="80"/>
      <c r="AO436" s="80"/>
      <c r="AP436" s="80"/>
      <c r="AQ436" s="80"/>
      <c r="AR436" s="80"/>
      <c r="AS436" s="80"/>
      <c r="AT436" s="80"/>
      <c r="AU436" s="81"/>
      <c r="AV436" s="81"/>
      <c r="AW436" s="81"/>
      <c r="AX436" s="81"/>
      <c r="AY436" s="81"/>
      <c r="AZ436" s="81"/>
      <c r="BA436" s="81"/>
      <c r="BB436" s="81"/>
      <c r="BC436" s="81"/>
      <c r="BD436" s="81"/>
      <c r="BE436" s="81"/>
      <c r="BF436" s="81"/>
      <c r="BG436" s="81"/>
      <c r="BH436" s="81"/>
      <c r="BI436" s="81"/>
      <c r="BJ436" s="81"/>
      <c r="BK436" s="81"/>
      <c r="BL436" s="81"/>
      <c r="BM436" s="81"/>
      <c r="BN436" s="81"/>
      <c r="BO436" s="81"/>
      <c r="BP436" s="81"/>
      <c r="BQ436" s="81"/>
      <c r="BR436" s="81"/>
      <c r="BS436" s="81"/>
    </row>
    <row r="437" spans="1:71" ht="15" hidden="1" customHeight="1">
      <c r="A437" s="80"/>
      <c r="B437" s="80"/>
      <c r="C437" s="80"/>
      <c r="D437" s="83"/>
      <c r="E437" s="84"/>
      <c r="F437" s="84"/>
      <c r="G437" s="84"/>
      <c r="H437" s="84"/>
      <c r="I437" s="84"/>
      <c r="J437" s="84"/>
      <c r="K437" s="84"/>
      <c r="L437" s="84"/>
      <c r="M437" s="84"/>
      <c r="N437" s="84"/>
      <c r="O437" s="84"/>
      <c r="P437" s="84"/>
      <c r="Q437" s="84"/>
      <c r="R437" s="84"/>
      <c r="S437" s="84"/>
      <c r="T437" s="84"/>
      <c r="U437" s="84"/>
      <c r="V437" s="84"/>
      <c r="W437" s="84"/>
      <c r="X437" s="84"/>
      <c r="Y437" s="80"/>
      <c r="Z437" s="80"/>
      <c r="AA437" s="80"/>
      <c r="AB437" s="80"/>
      <c r="AC437" s="80"/>
      <c r="AD437" s="80"/>
      <c r="AE437" s="80"/>
      <c r="AF437" s="80"/>
      <c r="AG437" s="80"/>
      <c r="AH437" s="80"/>
      <c r="AI437" s="80"/>
      <c r="AJ437" s="80"/>
      <c r="AK437" s="80"/>
      <c r="AL437" s="80"/>
      <c r="AM437" s="80"/>
      <c r="AN437" s="80"/>
      <c r="AO437" s="80"/>
      <c r="AP437" s="80"/>
      <c r="AQ437" s="80"/>
      <c r="AR437" s="80"/>
      <c r="AS437" s="80"/>
      <c r="AT437" s="80"/>
      <c r="AU437" s="81"/>
      <c r="AV437" s="81"/>
      <c r="AW437" s="81"/>
      <c r="AX437" s="81"/>
      <c r="AY437" s="81"/>
      <c r="AZ437" s="81"/>
      <c r="BA437" s="81"/>
      <c r="BB437" s="81"/>
      <c r="BC437" s="81"/>
      <c r="BD437" s="81"/>
      <c r="BE437" s="81"/>
      <c r="BF437" s="81"/>
      <c r="BG437" s="81"/>
      <c r="BH437" s="81"/>
      <c r="BI437" s="81"/>
      <c r="BJ437" s="81"/>
      <c r="BK437" s="81"/>
      <c r="BL437" s="81"/>
      <c r="BM437" s="81"/>
      <c r="BN437" s="81"/>
      <c r="BO437" s="81"/>
      <c r="BP437" s="81"/>
      <c r="BQ437" s="81"/>
      <c r="BR437" s="81"/>
      <c r="BS437" s="81"/>
    </row>
    <row r="438" spans="1:71" ht="15" hidden="1" customHeight="1">
      <c r="A438" s="80"/>
      <c r="B438" s="80"/>
      <c r="C438" s="80"/>
      <c r="D438" s="83"/>
      <c r="E438" s="84"/>
      <c r="F438" s="84"/>
      <c r="G438" s="84"/>
      <c r="H438" s="84"/>
      <c r="I438" s="84"/>
      <c r="J438" s="84"/>
      <c r="K438" s="84"/>
      <c r="L438" s="84"/>
      <c r="M438" s="84"/>
      <c r="N438" s="84"/>
      <c r="O438" s="84"/>
      <c r="P438" s="84"/>
      <c r="Q438" s="84"/>
      <c r="R438" s="84"/>
      <c r="S438" s="84"/>
      <c r="T438" s="84"/>
      <c r="U438" s="84"/>
      <c r="V438" s="84"/>
      <c r="W438" s="84"/>
      <c r="X438" s="84"/>
      <c r="Y438" s="80"/>
      <c r="Z438" s="80"/>
      <c r="AA438" s="80"/>
      <c r="AB438" s="80"/>
      <c r="AC438" s="80"/>
      <c r="AD438" s="80"/>
      <c r="AE438" s="80"/>
      <c r="AF438" s="80"/>
      <c r="AG438" s="80"/>
      <c r="AH438" s="80"/>
      <c r="AI438" s="80"/>
      <c r="AJ438" s="80"/>
      <c r="AK438" s="80"/>
      <c r="AL438" s="80"/>
      <c r="AM438" s="80"/>
      <c r="AN438" s="80"/>
      <c r="AO438" s="80"/>
      <c r="AP438" s="80"/>
      <c r="AQ438" s="80"/>
      <c r="AR438" s="80"/>
      <c r="AS438" s="80"/>
      <c r="AT438" s="80"/>
      <c r="AU438" s="81"/>
      <c r="AV438" s="81"/>
      <c r="AW438" s="81"/>
      <c r="AX438" s="81"/>
      <c r="AY438" s="81"/>
      <c r="AZ438" s="81"/>
      <c r="BA438" s="81"/>
      <c r="BB438" s="81"/>
      <c r="BC438" s="81"/>
      <c r="BD438" s="81"/>
      <c r="BE438" s="81"/>
      <c r="BF438" s="81"/>
      <c r="BG438" s="81"/>
      <c r="BH438" s="81"/>
      <c r="BI438" s="81"/>
      <c r="BJ438" s="81"/>
      <c r="BK438" s="81"/>
      <c r="BL438" s="81"/>
      <c r="BM438" s="81"/>
      <c r="BN438" s="81"/>
      <c r="BO438" s="81"/>
      <c r="BP438" s="81"/>
      <c r="BQ438" s="81"/>
      <c r="BR438" s="81"/>
      <c r="BS438" s="81"/>
    </row>
    <row r="439" spans="1:71" ht="15" hidden="1" customHeight="1">
      <c r="A439" s="80"/>
      <c r="B439" s="80"/>
      <c r="C439" s="80"/>
      <c r="D439" s="83"/>
      <c r="E439" s="84"/>
      <c r="F439" s="84"/>
      <c r="G439" s="84"/>
      <c r="H439" s="84"/>
      <c r="I439" s="84"/>
      <c r="J439" s="84"/>
      <c r="K439" s="84"/>
      <c r="L439" s="84"/>
      <c r="M439" s="84"/>
      <c r="N439" s="84"/>
      <c r="O439" s="84"/>
      <c r="P439" s="84"/>
      <c r="Q439" s="84"/>
      <c r="R439" s="84"/>
      <c r="S439" s="84"/>
      <c r="T439" s="84"/>
      <c r="U439" s="84"/>
      <c r="V439" s="84"/>
      <c r="W439" s="84"/>
      <c r="X439" s="84"/>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1"/>
      <c r="AV439" s="81"/>
      <c r="AW439" s="81"/>
      <c r="AX439" s="81"/>
      <c r="AY439" s="81"/>
      <c r="AZ439" s="81"/>
      <c r="BA439" s="81"/>
      <c r="BB439" s="81"/>
      <c r="BC439" s="81"/>
      <c r="BD439" s="81"/>
      <c r="BE439" s="81"/>
      <c r="BF439" s="81"/>
      <c r="BG439" s="81"/>
      <c r="BH439" s="81"/>
      <c r="BI439" s="81"/>
      <c r="BJ439" s="81"/>
      <c r="BK439" s="81"/>
      <c r="BL439" s="81"/>
      <c r="BM439" s="81"/>
      <c r="BN439" s="81"/>
      <c r="BO439" s="81"/>
      <c r="BP439" s="81"/>
      <c r="BQ439" s="81"/>
      <c r="BR439" s="81"/>
      <c r="BS439" s="81"/>
    </row>
    <row r="440" spans="1:71" ht="15" hidden="1" customHeight="1">
      <c r="A440" s="80"/>
      <c r="B440" s="80"/>
      <c r="C440" s="80"/>
      <c r="D440" s="83"/>
      <c r="E440" s="84"/>
      <c r="F440" s="84"/>
      <c r="G440" s="84"/>
      <c r="H440" s="84"/>
      <c r="I440" s="84"/>
      <c r="J440" s="84"/>
      <c r="K440" s="84"/>
      <c r="L440" s="84"/>
      <c r="M440" s="84"/>
      <c r="N440" s="84"/>
      <c r="O440" s="84"/>
      <c r="P440" s="84"/>
      <c r="Q440" s="84"/>
      <c r="R440" s="84"/>
      <c r="S440" s="84"/>
      <c r="T440" s="84"/>
      <c r="U440" s="84"/>
      <c r="V440" s="84"/>
      <c r="W440" s="84"/>
      <c r="X440" s="84"/>
      <c r="Y440" s="80"/>
      <c r="Z440" s="80"/>
      <c r="AA440" s="80"/>
      <c r="AB440" s="80"/>
      <c r="AC440" s="80"/>
      <c r="AD440" s="80"/>
      <c r="AE440" s="80"/>
      <c r="AF440" s="80"/>
      <c r="AG440" s="80"/>
      <c r="AH440" s="80"/>
      <c r="AI440" s="80"/>
      <c r="AJ440" s="80"/>
      <c r="AK440" s="80"/>
      <c r="AL440" s="80"/>
      <c r="AM440" s="80"/>
      <c r="AN440" s="80"/>
      <c r="AO440" s="80"/>
      <c r="AP440" s="80"/>
      <c r="AQ440" s="80"/>
      <c r="AR440" s="80"/>
      <c r="AS440" s="80"/>
      <c r="AT440" s="80"/>
      <c r="AU440" s="81"/>
      <c r="AV440" s="81"/>
      <c r="AW440" s="81"/>
      <c r="AX440" s="81"/>
      <c r="AY440" s="81"/>
      <c r="AZ440" s="81"/>
      <c r="BA440" s="81"/>
      <c r="BB440" s="81"/>
      <c r="BC440" s="81"/>
      <c r="BD440" s="81"/>
      <c r="BE440" s="81"/>
      <c r="BF440" s="81"/>
      <c r="BG440" s="81"/>
      <c r="BH440" s="81"/>
      <c r="BI440" s="81"/>
      <c r="BJ440" s="81"/>
      <c r="BK440" s="81"/>
      <c r="BL440" s="81"/>
      <c r="BM440" s="81"/>
      <c r="BN440" s="81"/>
      <c r="BO440" s="81"/>
      <c r="BP440" s="81"/>
      <c r="BQ440" s="81"/>
      <c r="BR440" s="81"/>
      <c r="BS440" s="81"/>
    </row>
    <row r="441" spans="1:71" ht="15" hidden="1" customHeight="1">
      <c r="A441" s="80"/>
      <c r="B441" s="80"/>
      <c r="C441" s="80"/>
      <c r="D441" s="83"/>
      <c r="E441" s="84"/>
      <c r="F441" s="84"/>
      <c r="G441" s="84"/>
      <c r="H441" s="84"/>
      <c r="I441" s="84"/>
      <c r="J441" s="84"/>
      <c r="K441" s="84"/>
      <c r="L441" s="84"/>
      <c r="M441" s="84"/>
      <c r="N441" s="84"/>
      <c r="O441" s="84"/>
      <c r="P441" s="84"/>
      <c r="Q441" s="84"/>
      <c r="R441" s="84"/>
      <c r="S441" s="84"/>
      <c r="T441" s="84"/>
      <c r="U441" s="84"/>
      <c r="V441" s="84"/>
      <c r="W441" s="84"/>
      <c r="X441" s="84"/>
      <c r="Y441" s="80"/>
      <c r="Z441" s="80"/>
      <c r="AA441" s="80"/>
      <c r="AB441" s="80"/>
      <c r="AC441" s="80"/>
      <c r="AD441" s="80"/>
      <c r="AE441" s="80"/>
      <c r="AF441" s="80"/>
      <c r="AG441" s="80"/>
      <c r="AH441" s="80"/>
      <c r="AI441" s="80"/>
      <c r="AJ441" s="80"/>
      <c r="AK441" s="80"/>
      <c r="AL441" s="80"/>
      <c r="AM441" s="80"/>
      <c r="AN441" s="80"/>
      <c r="AO441" s="80"/>
      <c r="AP441" s="80"/>
      <c r="AQ441" s="80"/>
      <c r="AR441" s="80"/>
      <c r="AS441" s="80"/>
      <c r="AT441" s="80"/>
      <c r="AU441" s="81"/>
      <c r="AV441" s="81"/>
      <c r="AW441" s="81"/>
      <c r="AX441" s="81"/>
      <c r="AY441" s="81"/>
      <c r="AZ441" s="81"/>
      <c r="BA441" s="81"/>
      <c r="BB441" s="81"/>
      <c r="BC441" s="81"/>
      <c r="BD441" s="81"/>
      <c r="BE441" s="81"/>
      <c r="BF441" s="81"/>
      <c r="BG441" s="81"/>
      <c r="BH441" s="81"/>
      <c r="BI441" s="81"/>
      <c r="BJ441" s="81"/>
      <c r="BK441" s="81"/>
      <c r="BL441" s="81"/>
      <c r="BM441" s="81"/>
      <c r="BN441" s="81"/>
      <c r="BO441" s="81"/>
      <c r="BP441" s="81"/>
      <c r="BQ441" s="81"/>
      <c r="BR441" s="81"/>
      <c r="BS441" s="81"/>
    </row>
    <row r="442" spans="1:71" ht="15" hidden="1" customHeight="1">
      <c r="A442" s="80"/>
      <c r="B442" s="80"/>
      <c r="C442" s="80"/>
      <c r="D442" s="83"/>
      <c r="E442" s="84"/>
      <c r="F442" s="84"/>
      <c r="G442" s="84"/>
      <c r="H442" s="84"/>
      <c r="I442" s="84"/>
      <c r="J442" s="84"/>
      <c r="K442" s="84"/>
      <c r="L442" s="84"/>
      <c r="M442" s="84"/>
      <c r="N442" s="84"/>
      <c r="O442" s="84"/>
      <c r="P442" s="84"/>
      <c r="Q442" s="84"/>
      <c r="R442" s="84"/>
      <c r="S442" s="84"/>
      <c r="T442" s="84"/>
      <c r="U442" s="84"/>
      <c r="V442" s="84"/>
      <c r="W442" s="84"/>
      <c r="X442" s="84"/>
      <c r="Y442" s="80"/>
      <c r="Z442" s="80"/>
      <c r="AA442" s="80"/>
      <c r="AB442" s="80"/>
      <c r="AC442" s="80"/>
      <c r="AD442" s="80"/>
      <c r="AE442" s="80"/>
      <c r="AF442" s="80"/>
      <c r="AG442" s="80"/>
      <c r="AH442" s="80"/>
      <c r="AI442" s="80"/>
      <c r="AJ442" s="80"/>
      <c r="AK442" s="80"/>
      <c r="AL442" s="80"/>
      <c r="AM442" s="80"/>
      <c r="AN442" s="80"/>
      <c r="AO442" s="80"/>
      <c r="AP442" s="80"/>
      <c r="AQ442" s="80"/>
      <c r="AR442" s="80"/>
      <c r="AS442" s="80"/>
      <c r="AT442" s="80"/>
      <c r="AU442" s="81"/>
      <c r="AV442" s="81"/>
      <c r="AW442" s="81"/>
      <c r="AX442" s="81"/>
      <c r="AY442" s="81"/>
      <c r="AZ442" s="81"/>
      <c r="BA442" s="81"/>
      <c r="BB442" s="81"/>
      <c r="BC442" s="81"/>
      <c r="BD442" s="81"/>
      <c r="BE442" s="81"/>
      <c r="BF442" s="81"/>
      <c r="BG442" s="81"/>
      <c r="BH442" s="81"/>
      <c r="BI442" s="81"/>
      <c r="BJ442" s="81"/>
      <c r="BK442" s="81"/>
      <c r="BL442" s="81"/>
      <c r="BM442" s="81"/>
      <c r="BN442" s="81"/>
      <c r="BO442" s="81"/>
      <c r="BP442" s="81"/>
      <c r="BQ442" s="81"/>
      <c r="BR442" s="81"/>
      <c r="BS442" s="81"/>
    </row>
    <row r="443" spans="1:71" ht="15" hidden="1" customHeight="1">
      <c r="A443" s="80"/>
      <c r="B443" s="80"/>
      <c r="C443" s="80"/>
      <c r="D443" s="83"/>
      <c r="E443" s="84"/>
      <c r="F443" s="84"/>
      <c r="G443" s="84"/>
      <c r="H443" s="84"/>
      <c r="I443" s="84"/>
      <c r="J443" s="84"/>
      <c r="K443" s="84"/>
      <c r="L443" s="84"/>
      <c r="M443" s="84"/>
      <c r="N443" s="84"/>
      <c r="O443" s="84"/>
      <c r="P443" s="84"/>
      <c r="Q443" s="84"/>
      <c r="R443" s="84"/>
      <c r="S443" s="84"/>
      <c r="T443" s="84"/>
      <c r="U443" s="84"/>
      <c r="V443" s="84"/>
      <c r="W443" s="84"/>
      <c r="X443" s="84"/>
      <c r="Y443" s="80"/>
      <c r="Z443" s="80"/>
      <c r="AA443" s="80"/>
      <c r="AB443" s="80"/>
      <c r="AC443" s="80"/>
      <c r="AD443" s="80"/>
      <c r="AE443" s="80"/>
      <c r="AF443" s="80"/>
      <c r="AG443" s="80"/>
      <c r="AH443" s="80"/>
      <c r="AI443" s="80"/>
      <c r="AJ443" s="80"/>
      <c r="AK443" s="80"/>
      <c r="AL443" s="80"/>
      <c r="AM443" s="80"/>
      <c r="AN443" s="80"/>
      <c r="AO443" s="80"/>
      <c r="AP443" s="80"/>
      <c r="AQ443" s="80"/>
      <c r="AR443" s="80"/>
      <c r="AS443" s="80"/>
      <c r="AT443" s="80"/>
      <c r="AU443" s="81"/>
      <c r="AV443" s="81"/>
      <c r="AW443" s="81"/>
      <c r="AX443" s="81"/>
      <c r="AY443" s="81"/>
      <c r="AZ443" s="81"/>
      <c r="BA443" s="81"/>
      <c r="BB443" s="81"/>
      <c r="BC443" s="81"/>
      <c r="BD443" s="81"/>
      <c r="BE443" s="81"/>
      <c r="BF443" s="81"/>
      <c r="BG443" s="81"/>
      <c r="BH443" s="81"/>
      <c r="BI443" s="81"/>
      <c r="BJ443" s="81"/>
      <c r="BK443" s="81"/>
      <c r="BL443" s="81"/>
      <c r="BM443" s="81"/>
      <c r="BN443" s="81"/>
      <c r="BO443" s="81"/>
      <c r="BP443" s="81"/>
      <c r="BQ443" s="81"/>
      <c r="BR443" s="81"/>
      <c r="BS443" s="81"/>
    </row>
    <row r="444" spans="1:71" ht="15" hidden="1" customHeight="1">
      <c r="A444" s="80"/>
      <c r="B444" s="80"/>
      <c r="C444" s="80"/>
      <c r="D444" s="83"/>
      <c r="E444" s="84"/>
      <c r="F444" s="84"/>
      <c r="G444" s="84"/>
      <c r="H444" s="84"/>
      <c r="I444" s="84"/>
      <c r="J444" s="84"/>
      <c r="K444" s="84"/>
      <c r="L444" s="84"/>
      <c r="M444" s="84"/>
      <c r="N444" s="84"/>
      <c r="O444" s="84"/>
      <c r="P444" s="84"/>
      <c r="Q444" s="84"/>
      <c r="R444" s="84"/>
      <c r="S444" s="84"/>
      <c r="T444" s="84"/>
      <c r="U444" s="84"/>
      <c r="V444" s="84"/>
      <c r="W444" s="84"/>
      <c r="X444" s="84"/>
      <c r="Y444" s="80"/>
      <c r="Z444" s="80"/>
      <c r="AA444" s="80"/>
      <c r="AB444" s="80"/>
      <c r="AC444" s="80"/>
      <c r="AD444" s="80"/>
      <c r="AE444" s="80"/>
      <c r="AF444" s="80"/>
      <c r="AG444" s="80"/>
      <c r="AH444" s="80"/>
      <c r="AI444" s="80"/>
      <c r="AJ444" s="80"/>
      <c r="AK444" s="80"/>
      <c r="AL444" s="80"/>
      <c r="AM444" s="80"/>
      <c r="AN444" s="80"/>
      <c r="AO444" s="80"/>
      <c r="AP444" s="80"/>
      <c r="AQ444" s="80"/>
      <c r="AR444" s="80"/>
      <c r="AS444" s="80"/>
      <c r="AT444" s="80"/>
      <c r="AU444" s="81"/>
      <c r="AV444" s="81"/>
      <c r="AW444" s="81"/>
      <c r="AX444" s="81"/>
      <c r="AY444" s="81"/>
      <c r="AZ444" s="81"/>
      <c r="BA444" s="81"/>
      <c r="BB444" s="81"/>
      <c r="BC444" s="81"/>
      <c r="BD444" s="81"/>
      <c r="BE444" s="81"/>
      <c r="BF444" s="81"/>
      <c r="BG444" s="81"/>
      <c r="BH444" s="81"/>
      <c r="BI444" s="81"/>
      <c r="BJ444" s="81"/>
      <c r="BK444" s="81"/>
      <c r="BL444" s="81"/>
      <c r="BM444" s="81"/>
      <c r="BN444" s="81"/>
      <c r="BO444" s="81"/>
      <c r="BP444" s="81"/>
      <c r="BQ444" s="81"/>
      <c r="BR444" s="81"/>
      <c r="BS444" s="81"/>
    </row>
    <row r="445" spans="1:71" ht="15" hidden="1" customHeight="1">
      <c r="A445" s="80"/>
      <c r="B445" s="80"/>
      <c r="C445" s="80"/>
      <c r="D445" s="83"/>
      <c r="E445" s="84"/>
      <c r="F445" s="84"/>
      <c r="G445" s="84"/>
      <c r="H445" s="84"/>
      <c r="I445" s="84"/>
      <c r="J445" s="84"/>
      <c r="K445" s="84"/>
      <c r="L445" s="84"/>
      <c r="M445" s="84"/>
      <c r="N445" s="84"/>
      <c r="O445" s="84"/>
      <c r="P445" s="84"/>
      <c r="Q445" s="84"/>
      <c r="R445" s="84"/>
      <c r="S445" s="84"/>
      <c r="T445" s="84"/>
      <c r="U445" s="84"/>
      <c r="V445" s="84"/>
      <c r="W445" s="84"/>
      <c r="X445" s="84"/>
      <c r="Y445" s="80"/>
      <c r="Z445" s="80"/>
      <c r="AA445" s="80"/>
      <c r="AB445" s="80"/>
      <c r="AC445" s="80"/>
      <c r="AD445" s="80"/>
      <c r="AE445" s="80"/>
      <c r="AF445" s="80"/>
      <c r="AG445" s="80"/>
      <c r="AH445" s="80"/>
      <c r="AI445" s="80"/>
      <c r="AJ445" s="80"/>
      <c r="AK445" s="80"/>
      <c r="AL445" s="80"/>
      <c r="AM445" s="80"/>
      <c r="AN445" s="80"/>
      <c r="AO445" s="80"/>
      <c r="AP445" s="80"/>
      <c r="AQ445" s="80"/>
      <c r="AR445" s="80"/>
      <c r="AS445" s="80"/>
      <c r="AT445" s="80"/>
      <c r="AU445" s="81"/>
      <c r="AV445" s="81"/>
      <c r="AW445" s="81"/>
      <c r="AX445" s="81"/>
      <c r="AY445" s="81"/>
      <c r="AZ445" s="81"/>
      <c r="BA445" s="81"/>
      <c r="BB445" s="81"/>
      <c r="BC445" s="81"/>
      <c r="BD445" s="81"/>
      <c r="BE445" s="81"/>
      <c r="BF445" s="81"/>
      <c r="BG445" s="81"/>
      <c r="BH445" s="81"/>
      <c r="BI445" s="81"/>
      <c r="BJ445" s="81"/>
      <c r="BK445" s="81"/>
      <c r="BL445" s="81"/>
      <c r="BM445" s="81"/>
      <c r="BN445" s="81"/>
      <c r="BO445" s="81"/>
      <c r="BP445" s="81"/>
      <c r="BQ445" s="81"/>
      <c r="BR445" s="81"/>
      <c r="BS445" s="81"/>
    </row>
    <row r="446" spans="1:71" ht="15" hidden="1" customHeight="1">
      <c r="A446" s="80"/>
      <c r="B446" s="80"/>
      <c r="C446" s="80"/>
      <c r="D446" s="83"/>
      <c r="E446" s="84"/>
      <c r="F446" s="84"/>
      <c r="G446" s="84"/>
      <c r="H446" s="84"/>
      <c r="I446" s="84"/>
      <c r="J446" s="84"/>
      <c r="K446" s="84"/>
      <c r="L446" s="84"/>
      <c r="M446" s="84"/>
      <c r="N446" s="84"/>
      <c r="O446" s="84"/>
      <c r="P446" s="84"/>
      <c r="Q446" s="84"/>
      <c r="R446" s="84"/>
      <c r="S446" s="84"/>
      <c r="T446" s="84"/>
      <c r="U446" s="84"/>
      <c r="V446" s="84"/>
      <c r="W446" s="84"/>
      <c r="X446" s="84"/>
      <c r="Y446" s="80"/>
      <c r="Z446" s="80"/>
      <c r="AA446" s="80"/>
      <c r="AB446" s="80"/>
      <c r="AC446" s="80"/>
      <c r="AD446" s="80"/>
      <c r="AE446" s="80"/>
      <c r="AF446" s="80"/>
      <c r="AG446" s="80"/>
      <c r="AH446" s="80"/>
      <c r="AI446" s="80"/>
      <c r="AJ446" s="80"/>
      <c r="AK446" s="80"/>
      <c r="AL446" s="80"/>
      <c r="AM446" s="80"/>
      <c r="AN446" s="80"/>
      <c r="AO446" s="80"/>
      <c r="AP446" s="80"/>
      <c r="AQ446" s="80"/>
      <c r="AR446" s="80"/>
      <c r="AS446" s="80"/>
      <c r="AT446" s="80"/>
      <c r="AU446" s="81"/>
      <c r="AV446" s="81"/>
      <c r="AW446" s="81"/>
      <c r="AX446" s="81"/>
      <c r="AY446" s="81"/>
      <c r="AZ446" s="81"/>
      <c r="BA446" s="81"/>
      <c r="BB446" s="81"/>
      <c r="BC446" s="81"/>
      <c r="BD446" s="81"/>
      <c r="BE446" s="81"/>
      <c r="BF446" s="81"/>
      <c r="BG446" s="81"/>
      <c r="BH446" s="81"/>
      <c r="BI446" s="81"/>
      <c r="BJ446" s="81"/>
      <c r="BK446" s="81"/>
      <c r="BL446" s="81"/>
      <c r="BM446" s="81"/>
      <c r="BN446" s="81"/>
      <c r="BO446" s="81"/>
      <c r="BP446" s="81"/>
      <c r="BQ446" s="81"/>
      <c r="BR446" s="81"/>
      <c r="BS446" s="81"/>
    </row>
    <row r="447" spans="1:71" ht="15" hidden="1" customHeight="1">
      <c r="A447" s="80"/>
      <c r="B447" s="80"/>
      <c r="C447" s="80"/>
      <c r="D447" s="83"/>
      <c r="E447" s="84"/>
      <c r="F447" s="84"/>
      <c r="G447" s="84"/>
      <c r="H447" s="84"/>
      <c r="I447" s="84"/>
      <c r="J447" s="84"/>
      <c r="K447" s="84"/>
      <c r="L447" s="84"/>
      <c r="M447" s="84"/>
      <c r="N447" s="84"/>
      <c r="O447" s="84"/>
      <c r="P447" s="84"/>
      <c r="Q447" s="84"/>
      <c r="R447" s="84"/>
      <c r="S447" s="84"/>
      <c r="T447" s="84"/>
      <c r="U447" s="84"/>
      <c r="V447" s="84"/>
      <c r="W447" s="84"/>
      <c r="X447" s="84"/>
      <c r="Y447" s="80"/>
      <c r="Z447" s="80"/>
      <c r="AA447" s="80"/>
      <c r="AB447" s="80"/>
      <c r="AC447" s="80"/>
      <c r="AD447" s="80"/>
      <c r="AE447" s="80"/>
      <c r="AF447" s="80"/>
      <c r="AG447" s="80"/>
      <c r="AH447" s="80"/>
      <c r="AI447" s="80"/>
      <c r="AJ447" s="80"/>
      <c r="AK447" s="80"/>
      <c r="AL447" s="80"/>
      <c r="AM447" s="80"/>
      <c r="AN447" s="80"/>
      <c r="AO447" s="80"/>
      <c r="AP447" s="80"/>
      <c r="AQ447" s="80"/>
      <c r="AR447" s="80"/>
      <c r="AS447" s="80"/>
      <c r="AT447" s="80"/>
      <c r="AU447" s="81"/>
      <c r="AV447" s="81"/>
      <c r="AW447" s="81"/>
      <c r="AX447" s="81"/>
      <c r="AY447" s="81"/>
      <c r="AZ447" s="81"/>
      <c r="BA447" s="81"/>
      <c r="BB447" s="81"/>
      <c r="BC447" s="81"/>
      <c r="BD447" s="81"/>
      <c r="BE447" s="81"/>
      <c r="BF447" s="81"/>
      <c r="BG447" s="81"/>
      <c r="BH447" s="81"/>
      <c r="BI447" s="81"/>
      <c r="BJ447" s="81"/>
      <c r="BK447" s="81"/>
      <c r="BL447" s="81"/>
      <c r="BM447" s="81"/>
      <c r="BN447" s="81"/>
      <c r="BO447" s="81"/>
      <c r="BP447" s="81"/>
      <c r="BQ447" s="81"/>
      <c r="BR447" s="81"/>
      <c r="BS447" s="81"/>
    </row>
    <row r="448" spans="1:71" ht="15" hidden="1" customHeight="1">
      <c r="A448" s="80"/>
      <c r="B448" s="80"/>
      <c r="C448" s="80"/>
      <c r="D448" s="83"/>
      <c r="E448" s="84"/>
      <c r="F448" s="84"/>
      <c r="G448" s="84"/>
      <c r="H448" s="84"/>
      <c r="I448" s="84"/>
      <c r="J448" s="84"/>
      <c r="K448" s="84"/>
      <c r="L448" s="84"/>
      <c r="M448" s="84"/>
      <c r="N448" s="84"/>
      <c r="O448" s="84"/>
      <c r="P448" s="84"/>
      <c r="Q448" s="84"/>
      <c r="R448" s="84"/>
      <c r="S448" s="84"/>
      <c r="T448" s="84"/>
      <c r="U448" s="84"/>
      <c r="V448" s="84"/>
      <c r="W448" s="84"/>
      <c r="X448" s="84"/>
      <c r="Y448" s="80"/>
      <c r="Z448" s="80"/>
      <c r="AA448" s="80"/>
      <c r="AB448" s="80"/>
      <c r="AC448" s="80"/>
      <c r="AD448" s="80"/>
      <c r="AE448" s="80"/>
      <c r="AF448" s="80"/>
      <c r="AG448" s="80"/>
      <c r="AH448" s="80"/>
      <c r="AI448" s="80"/>
      <c r="AJ448" s="80"/>
      <c r="AK448" s="80"/>
      <c r="AL448" s="80"/>
      <c r="AM448" s="80"/>
      <c r="AN448" s="80"/>
      <c r="AO448" s="80"/>
      <c r="AP448" s="80"/>
      <c r="AQ448" s="80"/>
      <c r="AR448" s="80"/>
      <c r="AS448" s="80"/>
      <c r="AT448" s="80"/>
      <c r="AU448" s="81"/>
      <c r="AV448" s="81"/>
      <c r="AW448" s="81"/>
      <c r="AX448" s="81"/>
      <c r="AY448" s="81"/>
      <c r="AZ448" s="81"/>
      <c r="BA448" s="81"/>
      <c r="BB448" s="81"/>
      <c r="BC448" s="81"/>
      <c r="BD448" s="81"/>
      <c r="BE448" s="81"/>
      <c r="BF448" s="81"/>
      <c r="BG448" s="81"/>
      <c r="BH448" s="81"/>
      <c r="BI448" s="81"/>
      <c r="BJ448" s="81"/>
      <c r="BK448" s="81"/>
      <c r="BL448" s="81"/>
      <c r="BM448" s="81"/>
      <c r="BN448" s="81"/>
      <c r="BO448" s="81"/>
      <c r="BP448" s="81"/>
      <c r="BQ448" s="81"/>
      <c r="BR448" s="81"/>
      <c r="BS448" s="81"/>
    </row>
    <row r="449" spans="1:71" ht="15" hidden="1" customHeight="1">
      <c r="A449" s="80"/>
      <c r="B449" s="80"/>
      <c r="C449" s="80"/>
      <c r="D449" s="83"/>
      <c r="E449" s="84"/>
      <c r="F449" s="84"/>
      <c r="G449" s="84"/>
      <c r="H449" s="84"/>
      <c r="I449" s="84"/>
      <c r="J449" s="84"/>
      <c r="K449" s="84"/>
      <c r="L449" s="84"/>
      <c r="M449" s="84"/>
      <c r="N449" s="84"/>
      <c r="O449" s="84"/>
      <c r="P449" s="84"/>
      <c r="Q449" s="84"/>
      <c r="R449" s="84"/>
      <c r="S449" s="84"/>
      <c r="T449" s="84"/>
      <c r="U449" s="84"/>
      <c r="V449" s="84"/>
      <c r="W449" s="84"/>
      <c r="X449" s="84"/>
      <c r="Y449" s="80"/>
      <c r="Z449" s="80"/>
      <c r="AA449" s="80"/>
      <c r="AB449" s="80"/>
      <c r="AC449" s="80"/>
      <c r="AD449" s="80"/>
      <c r="AE449" s="80"/>
      <c r="AF449" s="80"/>
      <c r="AG449" s="80"/>
      <c r="AH449" s="80"/>
      <c r="AI449" s="80"/>
      <c r="AJ449" s="80"/>
      <c r="AK449" s="80"/>
      <c r="AL449" s="80"/>
      <c r="AM449" s="80"/>
      <c r="AN449" s="80"/>
      <c r="AO449" s="80"/>
      <c r="AP449" s="80"/>
      <c r="AQ449" s="80"/>
      <c r="AR449" s="80"/>
      <c r="AS449" s="80"/>
      <c r="AT449" s="80"/>
      <c r="AU449" s="81"/>
      <c r="AV449" s="81"/>
      <c r="AW449" s="81"/>
      <c r="AX449" s="81"/>
      <c r="AY449" s="81"/>
      <c r="AZ449" s="81"/>
      <c r="BA449" s="81"/>
      <c r="BB449" s="81"/>
      <c r="BC449" s="81"/>
      <c r="BD449" s="81"/>
      <c r="BE449" s="81"/>
      <c r="BF449" s="81"/>
      <c r="BG449" s="81"/>
      <c r="BH449" s="81"/>
      <c r="BI449" s="81"/>
      <c r="BJ449" s="81"/>
      <c r="BK449" s="81"/>
      <c r="BL449" s="81"/>
      <c r="BM449" s="81"/>
      <c r="BN449" s="81"/>
      <c r="BO449" s="81"/>
      <c r="BP449" s="81"/>
      <c r="BQ449" s="81"/>
      <c r="BR449" s="81"/>
      <c r="BS449" s="81"/>
    </row>
    <row r="450" spans="1:71" ht="15" hidden="1" customHeight="1">
      <c r="A450" s="80"/>
      <c r="B450" s="80"/>
      <c r="C450" s="80"/>
      <c r="D450" s="83"/>
      <c r="E450" s="84"/>
      <c r="F450" s="84"/>
      <c r="G450" s="84"/>
      <c r="H450" s="84"/>
      <c r="I450" s="84"/>
      <c r="J450" s="84"/>
      <c r="K450" s="84"/>
      <c r="L450" s="84"/>
      <c r="M450" s="84"/>
      <c r="N450" s="84"/>
      <c r="O450" s="84"/>
      <c r="P450" s="84"/>
      <c r="Q450" s="84"/>
      <c r="R450" s="84"/>
      <c r="S450" s="84"/>
      <c r="T450" s="84"/>
      <c r="U450" s="84"/>
      <c r="V450" s="84"/>
      <c r="W450" s="84"/>
      <c r="X450" s="84"/>
      <c r="Y450" s="80"/>
      <c r="Z450" s="80"/>
      <c r="AA450" s="80"/>
      <c r="AB450" s="80"/>
      <c r="AC450" s="80"/>
      <c r="AD450" s="80"/>
      <c r="AE450" s="80"/>
      <c r="AF450" s="80"/>
      <c r="AG450" s="80"/>
      <c r="AH450" s="80"/>
      <c r="AI450" s="80"/>
      <c r="AJ450" s="80"/>
      <c r="AK450" s="80"/>
      <c r="AL450" s="80"/>
      <c r="AM450" s="80"/>
      <c r="AN450" s="80"/>
      <c r="AO450" s="80"/>
      <c r="AP450" s="80"/>
      <c r="AQ450" s="80"/>
      <c r="AR450" s="80"/>
      <c r="AS450" s="80"/>
      <c r="AT450" s="80"/>
      <c r="AU450" s="81"/>
      <c r="AV450" s="81"/>
      <c r="AW450" s="81"/>
      <c r="AX450" s="81"/>
      <c r="AY450" s="81"/>
      <c r="AZ450" s="81"/>
      <c r="BA450" s="81"/>
      <c r="BB450" s="81"/>
      <c r="BC450" s="81"/>
      <c r="BD450" s="81"/>
      <c r="BE450" s="81"/>
      <c r="BF450" s="81"/>
      <c r="BG450" s="81"/>
      <c r="BH450" s="81"/>
      <c r="BI450" s="81"/>
      <c r="BJ450" s="81"/>
      <c r="BK450" s="81"/>
      <c r="BL450" s="81"/>
      <c r="BM450" s="81"/>
      <c r="BN450" s="81"/>
      <c r="BO450" s="81"/>
      <c r="BP450" s="81"/>
      <c r="BQ450" s="81"/>
      <c r="BR450" s="81"/>
      <c r="BS450" s="81"/>
    </row>
    <row r="451" spans="1:71" ht="15" hidden="1" customHeight="1">
      <c r="A451" s="80"/>
      <c r="B451" s="80"/>
      <c r="C451" s="80"/>
      <c r="D451" s="83"/>
      <c r="E451" s="84"/>
      <c r="F451" s="84"/>
      <c r="G451" s="84"/>
      <c r="H451" s="84"/>
      <c r="I451" s="84"/>
      <c r="J451" s="84"/>
      <c r="K451" s="84"/>
      <c r="L451" s="84"/>
      <c r="M451" s="84"/>
      <c r="N451" s="84"/>
      <c r="O451" s="84"/>
      <c r="P451" s="84"/>
      <c r="Q451" s="84"/>
      <c r="R451" s="84"/>
      <c r="S451" s="84"/>
      <c r="T451" s="84"/>
      <c r="U451" s="84"/>
      <c r="V451" s="84"/>
      <c r="W451" s="84"/>
      <c r="X451" s="84"/>
      <c r="Y451" s="80"/>
      <c r="Z451" s="80"/>
      <c r="AA451" s="80"/>
      <c r="AB451" s="80"/>
      <c r="AC451" s="80"/>
      <c r="AD451" s="80"/>
      <c r="AE451" s="80"/>
      <c r="AF451" s="80"/>
      <c r="AG451" s="80"/>
      <c r="AH451" s="80"/>
      <c r="AI451" s="80"/>
      <c r="AJ451" s="80"/>
      <c r="AK451" s="80"/>
      <c r="AL451" s="80"/>
      <c r="AM451" s="80"/>
      <c r="AN451" s="80"/>
      <c r="AO451" s="80"/>
      <c r="AP451" s="80"/>
      <c r="AQ451" s="80"/>
      <c r="AR451" s="80"/>
      <c r="AS451" s="80"/>
      <c r="AT451" s="80"/>
      <c r="AU451" s="81"/>
      <c r="AV451" s="81"/>
      <c r="AW451" s="81"/>
      <c r="AX451" s="81"/>
      <c r="AY451" s="81"/>
      <c r="AZ451" s="81"/>
      <c r="BA451" s="81"/>
      <c r="BB451" s="81"/>
      <c r="BC451" s="81"/>
      <c r="BD451" s="81"/>
      <c r="BE451" s="81"/>
      <c r="BF451" s="81"/>
      <c r="BG451" s="81"/>
      <c r="BH451" s="81"/>
      <c r="BI451" s="81"/>
      <c r="BJ451" s="81"/>
      <c r="BK451" s="81"/>
      <c r="BL451" s="81"/>
      <c r="BM451" s="81"/>
      <c r="BN451" s="81"/>
      <c r="BO451" s="81"/>
      <c r="BP451" s="81"/>
      <c r="BQ451" s="81"/>
      <c r="BR451" s="81"/>
      <c r="BS451" s="81"/>
    </row>
    <row r="452" spans="1:71" ht="15" hidden="1" customHeight="1">
      <c r="A452" s="80"/>
      <c r="B452" s="80"/>
      <c r="C452" s="80"/>
      <c r="D452" s="83"/>
      <c r="E452" s="84"/>
      <c r="F452" s="84"/>
      <c r="G452" s="84"/>
      <c r="H452" s="84"/>
      <c r="I452" s="84"/>
      <c r="J452" s="84"/>
      <c r="K452" s="84"/>
      <c r="L452" s="84"/>
      <c r="M452" s="84"/>
      <c r="N452" s="84"/>
      <c r="O452" s="84"/>
      <c r="P452" s="84"/>
      <c r="Q452" s="84"/>
      <c r="R452" s="84"/>
      <c r="S452" s="84"/>
      <c r="T452" s="84"/>
      <c r="U452" s="84"/>
      <c r="V452" s="84"/>
      <c r="W452" s="84"/>
      <c r="X452" s="84"/>
      <c r="Y452" s="80"/>
      <c r="Z452" s="80"/>
      <c r="AA452" s="80"/>
      <c r="AB452" s="80"/>
      <c r="AC452" s="80"/>
      <c r="AD452" s="80"/>
      <c r="AE452" s="80"/>
      <c r="AF452" s="80"/>
      <c r="AG452" s="80"/>
      <c r="AH452" s="80"/>
      <c r="AI452" s="80"/>
      <c r="AJ452" s="80"/>
      <c r="AK452" s="80"/>
      <c r="AL452" s="80"/>
      <c r="AM452" s="80"/>
      <c r="AN452" s="80"/>
      <c r="AO452" s="80"/>
      <c r="AP452" s="80"/>
      <c r="AQ452" s="80"/>
      <c r="AR452" s="80"/>
      <c r="AS452" s="80"/>
      <c r="AT452" s="80"/>
      <c r="AU452" s="81"/>
      <c r="AV452" s="81"/>
      <c r="AW452" s="81"/>
      <c r="AX452" s="81"/>
      <c r="AY452" s="81"/>
      <c r="AZ452" s="81"/>
      <c r="BA452" s="81"/>
      <c r="BB452" s="81"/>
      <c r="BC452" s="81"/>
      <c r="BD452" s="81"/>
      <c r="BE452" s="81"/>
      <c r="BF452" s="81"/>
      <c r="BG452" s="81"/>
      <c r="BH452" s="81"/>
      <c r="BI452" s="81"/>
      <c r="BJ452" s="81"/>
      <c r="BK452" s="81"/>
      <c r="BL452" s="81"/>
      <c r="BM452" s="81"/>
      <c r="BN452" s="81"/>
      <c r="BO452" s="81"/>
      <c r="BP452" s="81"/>
      <c r="BQ452" s="81"/>
      <c r="BR452" s="81"/>
      <c r="BS452" s="81"/>
    </row>
    <row r="453" spans="1:71" ht="15" hidden="1" customHeight="1">
      <c r="A453" s="80"/>
      <c r="B453" s="80"/>
      <c r="C453" s="80"/>
      <c r="D453" s="83"/>
      <c r="E453" s="84"/>
      <c r="F453" s="84"/>
      <c r="G453" s="84"/>
      <c r="H453" s="84"/>
      <c r="I453" s="84"/>
      <c r="J453" s="84"/>
      <c r="K453" s="84"/>
      <c r="L453" s="84"/>
      <c r="M453" s="84"/>
      <c r="N453" s="84"/>
      <c r="O453" s="84"/>
      <c r="P453" s="84"/>
      <c r="Q453" s="84"/>
      <c r="R453" s="84"/>
      <c r="S453" s="84"/>
      <c r="T453" s="84"/>
      <c r="U453" s="84"/>
      <c r="V453" s="84"/>
      <c r="W453" s="84"/>
      <c r="X453" s="84"/>
      <c r="Y453" s="80"/>
      <c r="Z453" s="80"/>
      <c r="AA453" s="80"/>
      <c r="AB453" s="80"/>
      <c r="AC453" s="80"/>
      <c r="AD453" s="80"/>
      <c r="AE453" s="80"/>
      <c r="AF453" s="80"/>
      <c r="AG453" s="80"/>
      <c r="AH453" s="80"/>
      <c r="AI453" s="80"/>
      <c r="AJ453" s="80"/>
      <c r="AK453" s="80"/>
      <c r="AL453" s="80"/>
      <c r="AM453" s="80"/>
      <c r="AN453" s="80"/>
      <c r="AO453" s="80"/>
      <c r="AP453" s="80"/>
      <c r="AQ453" s="80"/>
      <c r="AR453" s="80"/>
      <c r="AS453" s="80"/>
      <c r="AT453" s="80"/>
      <c r="AU453" s="81"/>
      <c r="AV453" s="81"/>
      <c r="AW453" s="81"/>
      <c r="AX453" s="81"/>
      <c r="AY453" s="81"/>
      <c r="AZ453" s="81"/>
      <c r="BA453" s="81"/>
      <c r="BB453" s="81"/>
      <c r="BC453" s="81"/>
      <c r="BD453" s="81"/>
      <c r="BE453" s="81"/>
      <c r="BF453" s="81"/>
      <c r="BG453" s="81"/>
      <c r="BH453" s="81"/>
      <c r="BI453" s="81"/>
      <c r="BJ453" s="81"/>
      <c r="BK453" s="81"/>
      <c r="BL453" s="81"/>
      <c r="BM453" s="81"/>
      <c r="BN453" s="81"/>
      <c r="BO453" s="81"/>
      <c r="BP453" s="81"/>
      <c r="BQ453" s="81"/>
      <c r="BR453" s="81"/>
      <c r="BS453" s="81"/>
    </row>
    <row r="454" spans="1:71" ht="15" hidden="1" customHeight="1">
      <c r="A454" s="80"/>
      <c r="B454" s="80"/>
      <c r="C454" s="80"/>
      <c r="D454" s="83"/>
      <c r="E454" s="84"/>
      <c r="F454" s="84"/>
      <c r="G454" s="84"/>
      <c r="H454" s="84"/>
      <c r="I454" s="84"/>
      <c r="J454" s="84"/>
      <c r="K454" s="84"/>
      <c r="L454" s="84"/>
      <c r="M454" s="84"/>
      <c r="N454" s="84"/>
      <c r="O454" s="84"/>
      <c r="P454" s="84"/>
      <c r="Q454" s="84"/>
      <c r="R454" s="84"/>
      <c r="S454" s="84"/>
      <c r="T454" s="84"/>
      <c r="U454" s="84"/>
      <c r="V454" s="84"/>
      <c r="W454" s="84"/>
      <c r="X454" s="84"/>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1"/>
      <c r="AV454" s="81"/>
      <c r="AW454" s="81"/>
      <c r="AX454" s="81"/>
      <c r="AY454" s="81"/>
      <c r="AZ454" s="81"/>
      <c r="BA454" s="81"/>
      <c r="BB454" s="81"/>
      <c r="BC454" s="81"/>
      <c r="BD454" s="81"/>
      <c r="BE454" s="81"/>
      <c r="BF454" s="81"/>
      <c r="BG454" s="81"/>
      <c r="BH454" s="81"/>
      <c r="BI454" s="81"/>
      <c r="BJ454" s="81"/>
      <c r="BK454" s="81"/>
      <c r="BL454" s="81"/>
      <c r="BM454" s="81"/>
      <c r="BN454" s="81"/>
      <c r="BO454" s="81"/>
      <c r="BP454" s="81"/>
      <c r="BQ454" s="81"/>
      <c r="BR454" s="81"/>
      <c r="BS454" s="81"/>
    </row>
    <row r="455" spans="1:71" ht="15" hidden="1" customHeight="1">
      <c r="A455" s="80"/>
      <c r="B455" s="80"/>
      <c r="C455" s="80"/>
      <c r="D455" s="83"/>
      <c r="E455" s="84"/>
      <c r="F455" s="84"/>
      <c r="G455" s="84"/>
      <c r="H455" s="84"/>
      <c r="I455" s="84"/>
      <c r="J455" s="84"/>
      <c r="K455" s="84"/>
      <c r="L455" s="84"/>
      <c r="M455" s="84"/>
      <c r="N455" s="84"/>
      <c r="O455" s="84"/>
      <c r="P455" s="84"/>
      <c r="Q455" s="84"/>
      <c r="R455" s="84"/>
      <c r="S455" s="84"/>
      <c r="T455" s="84"/>
      <c r="U455" s="84"/>
      <c r="V455" s="84"/>
      <c r="W455" s="84"/>
      <c r="X455" s="84"/>
      <c r="Y455" s="80"/>
      <c r="Z455" s="80"/>
      <c r="AA455" s="80"/>
      <c r="AB455" s="80"/>
      <c r="AC455" s="80"/>
      <c r="AD455" s="80"/>
      <c r="AE455" s="80"/>
      <c r="AF455" s="80"/>
      <c r="AG455" s="80"/>
      <c r="AH455" s="80"/>
      <c r="AI455" s="80"/>
      <c r="AJ455" s="80"/>
      <c r="AK455" s="80"/>
      <c r="AL455" s="80"/>
      <c r="AM455" s="80"/>
      <c r="AN455" s="80"/>
      <c r="AO455" s="80"/>
      <c r="AP455" s="80"/>
      <c r="AQ455" s="80"/>
      <c r="AR455" s="80"/>
      <c r="AS455" s="80"/>
      <c r="AT455" s="80"/>
      <c r="AU455" s="81"/>
      <c r="AV455" s="81"/>
      <c r="AW455" s="81"/>
      <c r="AX455" s="81"/>
      <c r="AY455" s="81"/>
      <c r="AZ455" s="81"/>
      <c r="BA455" s="81"/>
      <c r="BB455" s="81"/>
      <c r="BC455" s="81"/>
      <c r="BD455" s="81"/>
      <c r="BE455" s="81"/>
      <c r="BF455" s="81"/>
      <c r="BG455" s="81"/>
      <c r="BH455" s="81"/>
      <c r="BI455" s="81"/>
      <c r="BJ455" s="81"/>
      <c r="BK455" s="81"/>
      <c r="BL455" s="81"/>
      <c r="BM455" s="81"/>
      <c r="BN455" s="81"/>
      <c r="BO455" s="81"/>
      <c r="BP455" s="81"/>
      <c r="BQ455" s="81"/>
      <c r="BR455" s="81"/>
      <c r="BS455" s="81"/>
    </row>
    <row r="456" spans="1:71" ht="15" hidden="1" customHeight="1">
      <c r="A456" s="80"/>
      <c r="B456" s="80"/>
      <c r="C456" s="80"/>
      <c r="D456" s="83"/>
      <c r="E456" s="84"/>
      <c r="F456" s="84"/>
      <c r="G456" s="84"/>
      <c r="H456" s="84"/>
      <c r="I456" s="84"/>
      <c r="J456" s="84"/>
      <c r="K456" s="84"/>
      <c r="L456" s="84"/>
      <c r="M456" s="84"/>
      <c r="N456" s="84"/>
      <c r="O456" s="84"/>
      <c r="P456" s="84"/>
      <c r="Q456" s="84"/>
      <c r="R456" s="84"/>
      <c r="S456" s="84"/>
      <c r="T456" s="84"/>
      <c r="U456" s="84"/>
      <c r="V456" s="84"/>
      <c r="W456" s="84"/>
      <c r="X456" s="84"/>
      <c r="Y456" s="80"/>
      <c r="Z456" s="80"/>
      <c r="AA456" s="80"/>
      <c r="AB456" s="80"/>
      <c r="AC456" s="80"/>
      <c r="AD456" s="80"/>
      <c r="AE456" s="80"/>
      <c r="AF456" s="80"/>
      <c r="AG456" s="80"/>
      <c r="AH456" s="80"/>
      <c r="AI456" s="80"/>
      <c r="AJ456" s="80"/>
      <c r="AK456" s="80"/>
      <c r="AL456" s="80"/>
      <c r="AM456" s="80"/>
      <c r="AN456" s="80"/>
      <c r="AO456" s="80"/>
      <c r="AP456" s="80"/>
      <c r="AQ456" s="80"/>
      <c r="AR456" s="80"/>
      <c r="AS456" s="80"/>
      <c r="AT456" s="80"/>
      <c r="AU456" s="81"/>
      <c r="AV456" s="81"/>
      <c r="AW456" s="81"/>
      <c r="AX456" s="81"/>
      <c r="AY456" s="81"/>
      <c r="AZ456" s="81"/>
      <c r="BA456" s="81"/>
      <c r="BB456" s="81"/>
      <c r="BC456" s="81"/>
      <c r="BD456" s="81"/>
      <c r="BE456" s="81"/>
      <c r="BF456" s="81"/>
      <c r="BG456" s="81"/>
      <c r="BH456" s="81"/>
      <c r="BI456" s="81"/>
      <c r="BJ456" s="81"/>
      <c r="BK456" s="81"/>
      <c r="BL456" s="81"/>
      <c r="BM456" s="81"/>
      <c r="BN456" s="81"/>
      <c r="BO456" s="81"/>
      <c r="BP456" s="81"/>
      <c r="BQ456" s="81"/>
      <c r="BR456" s="81"/>
      <c r="BS456" s="81"/>
    </row>
    <row r="457" spans="1:71" ht="15" hidden="1" customHeight="1">
      <c r="A457" s="80"/>
      <c r="B457" s="80"/>
      <c r="C457" s="80"/>
      <c r="D457" s="83"/>
      <c r="E457" s="84"/>
      <c r="F457" s="84"/>
      <c r="G457" s="84"/>
      <c r="H457" s="84"/>
      <c r="I457" s="84"/>
      <c r="J457" s="84"/>
      <c r="K457" s="84"/>
      <c r="L457" s="84"/>
      <c r="M457" s="84"/>
      <c r="N457" s="84"/>
      <c r="O457" s="84"/>
      <c r="P457" s="84"/>
      <c r="Q457" s="84"/>
      <c r="R457" s="84"/>
      <c r="S457" s="84"/>
      <c r="T457" s="84"/>
      <c r="U457" s="84"/>
      <c r="V457" s="84"/>
      <c r="W457" s="84"/>
      <c r="X457" s="84"/>
      <c r="Y457" s="80"/>
      <c r="Z457" s="80"/>
      <c r="AA457" s="80"/>
      <c r="AB457" s="80"/>
      <c r="AC457" s="80"/>
      <c r="AD457" s="80"/>
      <c r="AE457" s="80"/>
      <c r="AF457" s="80"/>
      <c r="AG457" s="80"/>
      <c r="AH457" s="80"/>
      <c r="AI457" s="80"/>
      <c r="AJ457" s="80"/>
      <c r="AK457" s="80"/>
      <c r="AL457" s="80"/>
      <c r="AM457" s="80"/>
      <c r="AN457" s="80"/>
      <c r="AO457" s="80"/>
      <c r="AP457" s="80"/>
      <c r="AQ457" s="80"/>
      <c r="AR457" s="80"/>
      <c r="AS457" s="80"/>
      <c r="AT457" s="80"/>
      <c r="AU457" s="81"/>
      <c r="AV457" s="81"/>
      <c r="AW457" s="81"/>
      <c r="AX457" s="81"/>
      <c r="AY457" s="81"/>
      <c r="AZ457" s="81"/>
      <c r="BA457" s="81"/>
      <c r="BB457" s="81"/>
      <c r="BC457" s="81"/>
      <c r="BD457" s="81"/>
      <c r="BE457" s="81"/>
      <c r="BF457" s="81"/>
      <c r="BG457" s="81"/>
      <c r="BH457" s="81"/>
      <c r="BI457" s="81"/>
      <c r="BJ457" s="81"/>
      <c r="BK457" s="81"/>
      <c r="BL457" s="81"/>
      <c r="BM457" s="81"/>
      <c r="BN457" s="81"/>
      <c r="BO457" s="81"/>
      <c r="BP457" s="81"/>
      <c r="BQ457" s="81"/>
      <c r="BR457" s="81"/>
      <c r="BS457" s="81"/>
    </row>
    <row r="458" spans="1:71" ht="15" hidden="1" customHeight="1">
      <c r="A458" s="11"/>
      <c r="B458" s="11"/>
      <c r="C458" s="11"/>
      <c r="D458" s="85"/>
      <c r="E458" s="86"/>
      <c r="F458" s="86"/>
      <c r="G458" s="86"/>
      <c r="H458" s="86"/>
      <c r="I458" s="86"/>
      <c r="J458" s="86"/>
      <c r="K458" s="86"/>
      <c r="L458" s="86"/>
      <c r="M458" s="86"/>
      <c r="N458" s="86"/>
      <c r="O458" s="86"/>
      <c r="P458" s="86"/>
      <c r="Q458" s="86"/>
      <c r="R458" s="86"/>
      <c r="S458" s="86"/>
      <c r="T458" s="86"/>
      <c r="U458" s="86"/>
      <c r="V458" s="86"/>
      <c r="W458" s="86"/>
      <c r="X458" s="86"/>
    </row>
    <row r="459" spans="1:71" ht="15" hidden="1" customHeight="1">
      <c r="A459" s="11"/>
      <c r="B459" s="11"/>
      <c r="C459" s="11"/>
      <c r="D459" s="85"/>
      <c r="E459" s="86"/>
      <c r="F459" s="86"/>
      <c r="G459" s="86"/>
      <c r="H459" s="86"/>
      <c r="I459" s="86"/>
      <c r="J459" s="86"/>
      <c r="K459" s="86"/>
      <c r="L459" s="86"/>
      <c r="M459" s="86"/>
      <c r="N459" s="86"/>
      <c r="O459" s="86"/>
      <c r="P459" s="86"/>
      <c r="Q459" s="86"/>
      <c r="R459" s="86"/>
      <c r="S459" s="86"/>
      <c r="T459" s="86"/>
      <c r="U459" s="86"/>
      <c r="V459" s="86"/>
      <c r="W459" s="86"/>
      <c r="X459" s="86"/>
    </row>
    <row r="460" spans="1:71" ht="15" hidden="1" customHeight="1">
      <c r="A460" s="11"/>
      <c r="B460" s="11"/>
      <c r="C460" s="11"/>
      <c r="D460" s="85"/>
      <c r="E460" s="86"/>
      <c r="F460" s="86"/>
      <c r="G460" s="86"/>
      <c r="H460" s="86"/>
      <c r="I460" s="86"/>
      <c r="J460" s="86"/>
      <c r="K460" s="86"/>
      <c r="L460" s="86"/>
      <c r="M460" s="86"/>
      <c r="N460" s="86"/>
      <c r="O460" s="86"/>
      <c r="P460" s="86"/>
      <c r="Q460" s="86"/>
      <c r="R460" s="86"/>
      <c r="S460" s="86"/>
      <c r="T460" s="86"/>
      <c r="U460" s="86"/>
      <c r="V460" s="86"/>
      <c r="W460" s="86"/>
      <c r="X460" s="86"/>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row>
    <row r="461" spans="1:71" ht="15" hidden="1" customHeight="1">
      <c r="A461" s="11"/>
      <c r="B461" s="11"/>
      <c r="C461" s="11"/>
      <c r="D461" s="85"/>
      <c r="E461" s="86"/>
      <c r="F461" s="86"/>
      <c r="G461" s="86"/>
      <c r="H461" s="86"/>
      <c r="I461" s="86"/>
      <c r="J461" s="86"/>
      <c r="K461" s="86"/>
      <c r="L461" s="86"/>
      <c r="M461" s="86"/>
      <c r="N461" s="86"/>
      <c r="O461" s="86"/>
      <c r="P461" s="86"/>
      <c r="Q461" s="86"/>
      <c r="R461" s="86"/>
      <c r="S461" s="86"/>
      <c r="T461" s="86"/>
      <c r="U461" s="86"/>
      <c r="V461" s="86"/>
      <c r="W461" s="86"/>
      <c r="X461" s="86"/>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row>
    <row r="462" spans="1:71" ht="15" hidden="1" customHeight="1">
      <c r="A462" s="11"/>
      <c r="B462" s="11"/>
      <c r="C462" s="11"/>
      <c r="D462" s="85"/>
      <c r="E462" s="86"/>
      <c r="F462" s="86"/>
      <c r="G462" s="86"/>
      <c r="H462" s="86"/>
      <c r="I462" s="86"/>
      <c r="J462" s="86"/>
      <c r="K462" s="86"/>
      <c r="L462" s="86"/>
      <c r="M462" s="86"/>
      <c r="N462" s="86"/>
      <c r="O462" s="86"/>
      <c r="P462" s="86"/>
      <c r="Q462" s="86"/>
      <c r="R462" s="86"/>
      <c r="S462" s="86"/>
      <c r="T462" s="86"/>
      <c r="U462" s="86"/>
      <c r="V462" s="86"/>
      <c r="W462" s="86"/>
      <c r="X462" s="86"/>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row>
    <row r="463" spans="1:71" ht="15" hidden="1" customHeight="1">
      <c r="A463" s="11"/>
      <c r="B463" s="11"/>
      <c r="C463" s="11"/>
      <c r="D463" s="85"/>
      <c r="E463" s="86"/>
      <c r="F463" s="86"/>
      <c r="G463" s="86"/>
      <c r="H463" s="86"/>
      <c r="I463" s="86"/>
      <c r="J463" s="86"/>
      <c r="K463" s="86"/>
      <c r="L463" s="86"/>
      <c r="M463" s="86"/>
      <c r="N463" s="86"/>
      <c r="O463" s="86"/>
      <c r="P463" s="86"/>
      <c r="Q463" s="86"/>
      <c r="R463" s="86"/>
      <c r="S463" s="86"/>
      <c r="T463" s="86"/>
      <c r="U463" s="86"/>
      <c r="V463" s="86"/>
      <c r="W463" s="86"/>
      <c r="X463" s="86"/>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row>
    <row r="464" spans="1:71" ht="15" hidden="1" customHeight="1">
      <c r="A464" s="11"/>
      <c r="B464" s="11"/>
      <c r="C464" s="11"/>
      <c r="D464" s="85"/>
      <c r="E464" s="86"/>
      <c r="F464" s="86"/>
      <c r="G464" s="86"/>
      <c r="H464" s="86"/>
      <c r="I464" s="86"/>
      <c r="J464" s="86"/>
      <c r="K464" s="86"/>
      <c r="L464" s="86"/>
      <c r="M464" s="86"/>
      <c r="N464" s="86"/>
      <c r="O464" s="86"/>
      <c r="P464" s="86"/>
      <c r="Q464" s="86"/>
      <c r="R464" s="86"/>
      <c r="S464" s="86"/>
      <c r="T464" s="86"/>
      <c r="U464" s="86"/>
      <c r="V464" s="86"/>
      <c r="W464" s="86"/>
      <c r="X464" s="86"/>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row>
    <row r="465" spans="1:46" ht="15" hidden="1" customHeight="1">
      <c r="A465" s="11"/>
      <c r="B465" s="11"/>
      <c r="C465" s="11"/>
      <c r="D465" s="85"/>
      <c r="E465" s="86"/>
      <c r="F465" s="86"/>
      <c r="G465" s="86"/>
      <c r="H465" s="86"/>
      <c r="I465" s="86"/>
      <c r="J465" s="86"/>
      <c r="K465" s="86"/>
      <c r="L465" s="86"/>
      <c r="M465" s="86"/>
      <c r="N465" s="86"/>
      <c r="O465" s="86"/>
      <c r="P465" s="86"/>
      <c r="Q465" s="86"/>
      <c r="R465" s="86"/>
      <c r="S465" s="86"/>
      <c r="T465" s="86"/>
      <c r="U465" s="86"/>
      <c r="V465" s="86"/>
      <c r="W465" s="86"/>
      <c r="X465" s="86"/>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row>
    <row r="466" spans="1:46" ht="15" hidden="1" customHeight="1">
      <c r="A466" s="11"/>
      <c r="B466" s="11"/>
      <c r="C466" s="11"/>
      <c r="D466" s="85"/>
      <c r="E466" s="86"/>
      <c r="F466" s="86"/>
      <c r="G466" s="86"/>
      <c r="H466" s="86"/>
      <c r="I466" s="86"/>
      <c r="J466" s="86"/>
      <c r="K466" s="86"/>
      <c r="L466" s="86"/>
      <c r="M466" s="86"/>
      <c r="N466" s="86"/>
      <c r="O466" s="86"/>
      <c r="P466" s="86"/>
      <c r="Q466" s="86"/>
      <c r="R466" s="86"/>
      <c r="S466" s="86"/>
      <c r="T466" s="86"/>
      <c r="U466" s="86"/>
      <c r="V466" s="86"/>
      <c r="W466" s="86"/>
      <c r="X466" s="86"/>
      <c r="Y466" s="14"/>
      <c r="Z466" s="14"/>
      <c r="AA466" s="14"/>
      <c r="AB466" s="14"/>
      <c r="AC466" s="14"/>
      <c r="AD466" s="14"/>
      <c r="AE466" s="14"/>
      <c r="AF466" s="14"/>
      <c r="AG466" s="14"/>
      <c r="AH466" s="14"/>
      <c r="AI466" s="14"/>
      <c r="AJ466" s="14"/>
      <c r="AK466" s="14"/>
      <c r="AL466" s="14"/>
      <c r="AM466" s="14"/>
      <c r="AN466" s="14"/>
      <c r="AO466" s="14"/>
      <c r="AP466" s="14"/>
      <c r="AQ466" s="14"/>
      <c r="AR466" s="14"/>
      <c r="AS466" s="14"/>
      <c r="AT466" s="14"/>
    </row>
    <row r="467" spans="1:46" ht="15" hidden="1" customHeight="1">
      <c r="A467" s="11"/>
      <c r="B467" s="11"/>
      <c r="C467" s="11"/>
      <c r="D467" s="85"/>
      <c r="E467" s="86"/>
      <c r="F467" s="86"/>
      <c r="G467" s="86"/>
      <c r="H467" s="86"/>
      <c r="I467" s="86"/>
      <c r="J467" s="86"/>
      <c r="K467" s="86"/>
      <c r="L467" s="86"/>
      <c r="M467" s="86"/>
      <c r="N467" s="86"/>
      <c r="O467" s="86"/>
      <c r="P467" s="86"/>
      <c r="Q467" s="86"/>
      <c r="R467" s="86"/>
      <c r="S467" s="86"/>
      <c r="T467" s="86"/>
      <c r="U467" s="86"/>
      <c r="V467" s="86"/>
      <c r="W467" s="86"/>
      <c r="X467" s="86"/>
      <c r="Y467" s="14"/>
      <c r="Z467" s="14"/>
      <c r="AA467" s="14"/>
      <c r="AB467" s="14"/>
      <c r="AC467" s="14"/>
      <c r="AD467" s="14"/>
      <c r="AE467" s="14"/>
      <c r="AF467" s="14"/>
      <c r="AG467" s="14"/>
      <c r="AH467" s="14"/>
      <c r="AI467" s="14"/>
      <c r="AJ467" s="14"/>
      <c r="AK467" s="14"/>
      <c r="AL467" s="14"/>
      <c r="AM467" s="14"/>
      <c r="AN467" s="14"/>
      <c r="AO467" s="14"/>
      <c r="AP467" s="14"/>
      <c r="AQ467" s="14"/>
      <c r="AR467" s="14"/>
      <c r="AS467" s="14"/>
      <c r="AT467" s="14"/>
    </row>
    <row r="468" spans="1:46" ht="15" hidden="1" customHeight="1">
      <c r="A468" s="11"/>
      <c r="B468" s="11"/>
      <c r="C468" s="11"/>
      <c r="D468" s="85"/>
      <c r="E468" s="86"/>
      <c r="F468" s="86"/>
      <c r="G468" s="86"/>
      <c r="H468" s="86"/>
      <c r="I468" s="86"/>
      <c r="J468" s="86"/>
      <c r="K468" s="86"/>
      <c r="L468" s="86"/>
      <c r="M468" s="86"/>
      <c r="N468" s="86"/>
      <c r="O468" s="86"/>
      <c r="P468" s="86"/>
      <c r="Q468" s="86"/>
      <c r="R468" s="86"/>
      <c r="S468" s="86"/>
      <c r="T468" s="86"/>
      <c r="U468" s="86"/>
      <c r="V468" s="86"/>
      <c r="W468" s="86"/>
      <c r="X468" s="86"/>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row>
    <row r="469" spans="1:46" ht="15" hidden="1" customHeight="1">
      <c r="A469" s="11"/>
      <c r="B469" s="11"/>
      <c r="C469" s="11"/>
      <c r="D469" s="85"/>
      <c r="E469" s="86"/>
      <c r="F469" s="86"/>
      <c r="G469" s="86"/>
      <c r="H469" s="86"/>
      <c r="I469" s="86"/>
      <c r="J469" s="86"/>
      <c r="K469" s="86"/>
      <c r="L469" s="86"/>
      <c r="M469" s="86"/>
      <c r="N469" s="86"/>
      <c r="O469" s="86"/>
      <c r="P469" s="86"/>
      <c r="Q469" s="86"/>
      <c r="R469" s="86"/>
      <c r="S469" s="86"/>
      <c r="T469" s="86"/>
      <c r="U469" s="86"/>
      <c r="V469" s="86"/>
      <c r="W469" s="86"/>
      <c r="X469" s="86"/>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row>
    <row r="470" spans="1:46" ht="15" hidden="1" customHeight="1">
      <c r="A470" s="11"/>
      <c r="B470" s="11"/>
      <c r="C470" s="11"/>
      <c r="D470" s="85"/>
      <c r="E470" s="86"/>
      <c r="F470" s="86"/>
      <c r="G470" s="86"/>
      <c r="H470" s="86"/>
      <c r="I470" s="86"/>
      <c r="J470" s="86"/>
      <c r="K470" s="86"/>
      <c r="L470" s="86"/>
      <c r="M470" s="86"/>
      <c r="N470" s="86"/>
      <c r="O470" s="86"/>
      <c r="P470" s="86"/>
      <c r="Q470" s="86"/>
      <c r="R470" s="86"/>
      <c r="S470" s="86"/>
      <c r="T470" s="86"/>
      <c r="U470" s="86"/>
      <c r="V470" s="86"/>
      <c r="W470" s="86"/>
      <c r="X470" s="86"/>
      <c r="Y470" s="14"/>
      <c r="Z470" s="14"/>
      <c r="AA470" s="14"/>
      <c r="AB470" s="14"/>
      <c r="AC470" s="14"/>
      <c r="AD470" s="14"/>
      <c r="AE470" s="14"/>
      <c r="AF470" s="14"/>
      <c r="AG470" s="14"/>
      <c r="AH470" s="14"/>
      <c r="AI470" s="14"/>
      <c r="AJ470" s="14"/>
      <c r="AK470" s="14"/>
      <c r="AL470" s="14"/>
      <c r="AM470" s="14"/>
      <c r="AN470" s="14"/>
      <c r="AO470" s="14"/>
      <c r="AP470" s="14"/>
      <c r="AQ470" s="14"/>
      <c r="AR470" s="14"/>
      <c r="AS470" s="14"/>
      <c r="AT470" s="14"/>
    </row>
    <row r="471" spans="1:46" ht="15" hidden="1" customHeight="1">
      <c r="A471" s="11"/>
      <c r="B471" s="11"/>
      <c r="C471" s="11"/>
      <c r="D471" s="85"/>
      <c r="E471" s="86"/>
      <c r="F471" s="86"/>
      <c r="G471" s="86"/>
      <c r="H471" s="86"/>
      <c r="I471" s="86"/>
      <c r="J471" s="86"/>
      <c r="K471" s="86"/>
      <c r="L471" s="86"/>
      <c r="M471" s="86"/>
      <c r="N471" s="86"/>
      <c r="O471" s="86"/>
      <c r="P471" s="86"/>
      <c r="Q471" s="86"/>
      <c r="R471" s="86"/>
      <c r="S471" s="86"/>
      <c r="T471" s="86"/>
      <c r="U471" s="86"/>
      <c r="V471" s="86"/>
      <c r="W471" s="86"/>
      <c r="X471" s="86"/>
      <c r="Y471" s="14"/>
      <c r="Z471" s="14"/>
      <c r="AA471" s="14"/>
      <c r="AB471" s="14"/>
      <c r="AC471" s="14"/>
      <c r="AD471" s="14"/>
      <c r="AE471" s="14"/>
      <c r="AF471" s="14"/>
      <c r="AG471" s="14"/>
      <c r="AH471" s="14"/>
      <c r="AI471" s="14"/>
      <c r="AJ471" s="14"/>
      <c r="AK471" s="14"/>
      <c r="AL471" s="14"/>
      <c r="AM471" s="14"/>
      <c r="AN471" s="14"/>
      <c r="AO471" s="14"/>
      <c r="AP471" s="14"/>
      <c r="AQ471" s="14"/>
      <c r="AR471" s="14"/>
      <c r="AS471" s="14"/>
      <c r="AT471" s="14"/>
    </row>
    <row r="472" spans="1:46" ht="15" hidden="1" customHeight="1">
      <c r="A472" s="11"/>
      <c r="B472" s="11"/>
      <c r="C472" s="11"/>
      <c r="D472" s="85"/>
      <c r="E472" s="86"/>
      <c r="F472" s="86"/>
      <c r="G472" s="86"/>
      <c r="H472" s="86"/>
      <c r="I472" s="86"/>
      <c r="J472" s="86"/>
      <c r="K472" s="86"/>
      <c r="L472" s="86"/>
      <c r="M472" s="86"/>
      <c r="N472" s="86"/>
      <c r="O472" s="86"/>
      <c r="P472" s="86"/>
      <c r="Q472" s="86"/>
      <c r="R472" s="86"/>
      <c r="S472" s="86"/>
      <c r="T472" s="86"/>
      <c r="U472" s="86"/>
      <c r="V472" s="86"/>
      <c r="W472" s="86"/>
      <c r="X472" s="86"/>
      <c r="Y472" s="14"/>
      <c r="Z472" s="14"/>
      <c r="AA472" s="14"/>
      <c r="AB472" s="14"/>
      <c r="AC472" s="14"/>
      <c r="AD472" s="14"/>
      <c r="AE472" s="14"/>
      <c r="AF472" s="14"/>
      <c r="AG472" s="14"/>
      <c r="AH472" s="14"/>
      <c r="AI472" s="14"/>
      <c r="AJ472" s="14"/>
      <c r="AK472" s="14"/>
      <c r="AL472" s="14"/>
      <c r="AM472" s="14"/>
      <c r="AN472" s="14"/>
      <c r="AO472" s="14"/>
      <c r="AP472" s="14"/>
      <c r="AQ472" s="14"/>
      <c r="AR472" s="14"/>
      <c r="AS472" s="14"/>
      <c r="AT472" s="14"/>
    </row>
    <row r="473" spans="1:46" ht="15" hidden="1" customHeight="1">
      <c r="A473" s="11"/>
      <c r="B473" s="11"/>
      <c r="C473" s="11"/>
      <c r="D473" s="85"/>
      <c r="E473" s="86"/>
      <c r="F473" s="86"/>
      <c r="G473" s="86"/>
      <c r="H473" s="86"/>
      <c r="I473" s="86"/>
      <c r="J473" s="86"/>
      <c r="K473" s="86"/>
      <c r="L473" s="86"/>
      <c r="M473" s="86"/>
      <c r="N473" s="86"/>
      <c r="O473" s="86"/>
      <c r="P473" s="86"/>
      <c r="Q473" s="86"/>
      <c r="R473" s="86"/>
      <c r="S473" s="86"/>
      <c r="T473" s="86"/>
      <c r="U473" s="86"/>
      <c r="V473" s="86"/>
      <c r="W473" s="86"/>
      <c r="X473" s="86"/>
      <c r="Y473" s="14"/>
      <c r="Z473" s="14"/>
      <c r="AA473" s="14"/>
      <c r="AB473" s="14"/>
      <c r="AC473" s="14"/>
      <c r="AD473" s="14"/>
      <c r="AE473" s="14"/>
      <c r="AF473" s="14"/>
      <c r="AG473" s="14"/>
      <c r="AH473" s="14"/>
      <c r="AI473" s="14"/>
      <c r="AJ473" s="14"/>
      <c r="AK473" s="14"/>
      <c r="AL473" s="14"/>
      <c r="AM473" s="14"/>
      <c r="AN473" s="14"/>
      <c r="AO473" s="14"/>
      <c r="AP473" s="14"/>
      <c r="AQ473" s="14"/>
      <c r="AR473" s="14"/>
      <c r="AS473" s="14"/>
      <c r="AT473" s="14"/>
    </row>
    <row r="474" spans="1:46" ht="15" hidden="1" customHeight="1">
      <c r="A474" s="11"/>
      <c r="B474" s="11"/>
      <c r="C474" s="11"/>
      <c r="D474" s="85"/>
      <c r="E474" s="86"/>
      <c r="F474" s="86"/>
      <c r="G474" s="86"/>
      <c r="H474" s="86"/>
      <c r="I474" s="86"/>
      <c r="J474" s="86"/>
      <c r="K474" s="86"/>
      <c r="L474" s="86"/>
      <c r="M474" s="86"/>
      <c r="N474" s="86"/>
      <c r="O474" s="86"/>
      <c r="P474" s="86"/>
      <c r="Q474" s="86"/>
      <c r="R474" s="86"/>
      <c r="S474" s="86"/>
      <c r="T474" s="86"/>
      <c r="U474" s="86"/>
      <c r="V474" s="86"/>
      <c r="W474" s="86"/>
      <c r="X474" s="86"/>
      <c r="Y474" s="14"/>
      <c r="Z474" s="14"/>
      <c r="AA474" s="14"/>
      <c r="AB474" s="14"/>
      <c r="AC474" s="14"/>
      <c r="AD474" s="14"/>
      <c r="AE474" s="14"/>
      <c r="AF474" s="14"/>
      <c r="AG474" s="14"/>
      <c r="AH474" s="14"/>
      <c r="AI474" s="14"/>
      <c r="AJ474" s="14"/>
      <c r="AK474" s="14"/>
      <c r="AL474" s="14"/>
      <c r="AM474" s="14"/>
      <c r="AN474" s="14"/>
      <c r="AO474" s="14"/>
      <c r="AP474" s="14"/>
      <c r="AQ474" s="14"/>
      <c r="AR474" s="14"/>
      <c r="AS474" s="14"/>
      <c r="AT474" s="14"/>
    </row>
    <row r="475" spans="1:46" ht="15" hidden="1" customHeight="1">
      <c r="A475" s="11"/>
      <c r="B475" s="11"/>
      <c r="C475" s="11"/>
      <c r="D475" s="85"/>
      <c r="E475" s="86"/>
      <c r="F475" s="86"/>
      <c r="G475" s="86"/>
      <c r="H475" s="86"/>
      <c r="I475" s="86"/>
      <c r="J475" s="86"/>
      <c r="K475" s="86"/>
      <c r="L475" s="86"/>
      <c r="M475" s="86"/>
      <c r="N475" s="86"/>
      <c r="O475" s="86"/>
      <c r="P475" s="86"/>
      <c r="Q475" s="86"/>
      <c r="R475" s="86"/>
      <c r="S475" s="86"/>
      <c r="T475" s="86"/>
      <c r="U475" s="86"/>
      <c r="V475" s="86"/>
      <c r="W475" s="86"/>
      <c r="X475" s="86"/>
      <c r="Y475" s="14"/>
      <c r="Z475" s="14"/>
      <c r="AA475" s="14"/>
      <c r="AB475" s="14"/>
      <c r="AC475" s="14"/>
      <c r="AD475" s="14"/>
      <c r="AE475" s="14"/>
      <c r="AF475" s="14"/>
      <c r="AG475" s="14"/>
      <c r="AH475" s="14"/>
      <c r="AI475" s="14"/>
      <c r="AJ475" s="14"/>
      <c r="AK475" s="14"/>
      <c r="AL475" s="14"/>
      <c r="AM475" s="14"/>
      <c r="AN475" s="14"/>
      <c r="AO475" s="14"/>
      <c r="AP475" s="14"/>
      <c r="AQ475" s="14"/>
      <c r="AR475" s="14"/>
      <c r="AS475" s="14"/>
      <c r="AT475" s="14"/>
    </row>
    <row r="476" spans="1:46" ht="15" hidden="1" customHeight="1">
      <c r="A476" s="11"/>
      <c r="B476" s="11"/>
      <c r="C476" s="11"/>
      <c r="D476" s="85"/>
      <c r="E476" s="86"/>
      <c r="F476" s="86"/>
      <c r="G476" s="86"/>
      <c r="H476" s="86"/>
      <c r="I476" s="86"/>
      <c r="J476" s="86"/>
      <c r="K476" s="86"/>
      <c r="L476" s="86"/>
      <c r="M476" s="86"/>
      <c r="N476" s="86"/>
      <c r="O476" s="86"/>
      <c r="P476" s="86"/>
      <c r="Q476" s="86"/>
      <c r="R476" s="86"/>
      <c r="S476" s="86"/>
      <c r="T476" s="86"/>
      <c r="U476" s="86"/>
      <c r="V476" s="86"/>
      <c r="W476" s="86"/>
      <c r="X476" s="86"/>
      <c r="Y476" s="14"/>
      <c r="Z476" s="14"/>
      <c r="AA476" s="14"/>
      <c r="AB476" s="14"/>
      <c r="AC476" s="14"/>
      <c r="AD476" s="14"/>
      <c r="AE476" s="14"/>
      <c r="AF476" s="14"/>
      <c r="AG476" s="14"/>
      <c r="AH476" s="14"/>
      <c r="AI476" s="14"/>
      <c r="AJ476" s="14"/>
      <c r="AK476" s="14"/>
      <c r="AL476" s="14"/>
      <c r="AM476" s="14"/>
      <c r="AN476" s="14"/>
      <c r="AO476" s="14"/>
      <c r="AP476" s="14"/>
      <c r="AQ476" s="14"/>
      <c r="AR476" s="14"/>
      <c r="AS476" s="14"/>
      <c r="AT476" s="14"/>
    </row>
    <row r="477" spans="1:46" ht="15" hidden="1" customHeight="1">
      <c r="A477" s="11"/>
      <c r="B477" s="11"/>
      <c r="C477" s="11"/>
      <c r="D477" s="85"/>
      <c r="E477" s="86"/>
      <c r="F477" s="86"/>
      <c r="G477" s="86"/>
      <c r="H477" s="86"/>
      <c r="I477" s="86"/>
      <c r="J477" s="86"/>
      <c r="K477" s="86"/>
      <c r="L477" s="86"/>
      <c r="M477" s="86"/>
      <c r="N477" s="86"/>
      <c r="O477" s="86"/>
      <c r="P477" s="86"/>
      <c r="Q477" s="86"/>
      <c r="R477" s="86"/>
      <c r="S477" s="86"/>
      <c r="T477" s="86"/>
      <c r="U477" s="86"/>
      <c r="V477" s="86"/>
      <c r="W477" s="86"/>
      <c r="X477" s="86"/>
      <c r="Y477" s="14"/>
      <c r="Z477" s="14"/>
      <c r="AA477" s="14"/>
      <c r="AB477" s="14"/>
      <c r="AC477" s="14"/>
      <c r="AD477" s="14"/>
      <c r="AE477" s="14"/>
      <c r="AF477" s="14"/>
      <c r="AG477" s="14"/>
      <c r="AH477" s="14"/>
      <c r="AI477" s="14"/>
      <c r="AJ477" s="14"/>
      <c r="AK477" s="14"/>
      <c r="AL477" s="14"/>
      <c r="AM477" s="14"/>
      <c r="AN477" s="14"/>
      <c r="AO477" s="14"/>
      <c r="AP477" s="14"/>
      <c r="AQ477" s="14"/>
      <c r="AR477" s="14"/>
      <c r="AS477" s="14"/>
      <c r="AT477" s="14"/>
    </row>
    <row r="478" spans="1:46" ht="15" hidden="1" customHeight="1">
      <c r="A478" s="11"/>
      <c r="B478" s="11"/>
      <c r="C478" s="11"/>
      <c r="D478" s="85"/>
      <c r="E478" s="86"/>
      <c r="F478" s="86"/>
      <c r="G478" s="86"/>
      <c r="H478" s="86"/>
      <c r="I478" s="86"/>
      <c r="J478" s="86"/>
      <c r="K478" s="86"/>
      <c r="L478" s="86"/>
      <c r="M478" s="86"/>
      <c r="N478" s="86"/>
      <c r="O478" s="86"/>
      <c r="P478" s="86"/>
      <c r="Q478" s="86"/>
      <c r="R478" s="86"/>
      <c r="S478" s="86"/>
      <c r="T478" s="86"/>
      <c r="U478" s="86"/>
      <c r="V478" s="86"/>
      <c r="W478" s="86"/>
      <c r="X478" s="86"/>
      <c r="Y478" s="14"/>
      <c r="Z478" s="14"/>
      <c r="AA478" s="14"/>
      <c r="AB478" s="14"/>
      <c r="AC478" s="14"/>
      <c r="AD478" s="14"/>
      <c r="AE478" s="14"/>
      <c r="AF478" s="14"/>
      <c r="AG478" s="14"/>
      <c r="AH478" s="14"/>
      <c r="AI478" s="14"/>
      <c r="AJ478" s="14"/>
      <c r="AK478" s="14"/>
      <c r="AL478" s="14"/>
      <c r="AM478" s="14"/>
      <c r="AN478" s="14"/>
      <c r="AO478" s="14"/>
      <c r="AP478" s="14"/>
      <c r="AQ478" s="14"/>
      <c r="AR478" s="14"/>
      <c r="AS478" s="14"/>
      <c r="AT478" s="14"/>
    </row>
    <row r="479" spans="1:46" ht="15" hidden="1" customHeight="1">
      <c r="A479" s="11"/>
      <c r="B479" s="11"/>
      <c r="C479" s="11"/>
      <c r="D479" s="85"/>
      <c r="E479" s="86"/>
      <c r="F479" s="86"/>
      <c r="G479" s="86"/>
      <c r="H479" s="86"/>
      <c r="I479" s="86"/>
      <c r="J479" s="86"/>
      <c r="K479" s="86"/>
      <c r="L479" s="86"/>
      <c r="M479" s="86"/>
      <c r="N479" s="86"/>
      <c r="O479" s="86"/>
      <c r="P479" s="86"/>
      <c r="Q479" s="86"/>
      <c r="R479" s="86"/>
      <c r="S479" s="86"/>
      <c r="T479" s="86"/>
      <c r="U479" s="86"/>
      <c r="V479" s="86"/>
      <c r="W479" s="86"/>
      <c r="X479" s="86"/>
      <c r="Y479" s="14"/>
      <c r="Z479" s="14"/>
      <c r="AA479" s="14"/>
      <c r="AB479" s="14"/>
      <c r="AC479" s="14"/>
      <c r="AD479" s="14"/>
      <c r="AE479" s="14"/>
      <c r="AF479" s="14"/>
      <c r="AG479" s="14"/>
      <c r="AH479" s="14"/>
      <c r="AI479" s="14"/>
      <c r="AJ479" s="14"/>
      <c r="AK479" s="14"/>
      <c r="AL479" s="14"/>
      <c r="AM479" s="14"/>
      <c r="AN479" s="14"/>
      <c r="AO479" s="14"/>
      <c r="AP479" s="14"/>
      <c r="AQ479" s="14"/>
      <c r="AR479" s="14"/>
      <c r="AS479" s="14"/>
      <c r="AT479" s="14"/>
    </row>
    <row r="480" spans="1:46" ht="15" hidden="1" customHeight="1">
      <c r="A480" s="11"/>
      <c r="B480" s="11"/>
      <c r="C480" s="11"/>
      <c r="D480" s="85"/>
      <c r="E480" s="86"/>
      <c r="F480" s="86"/>
      <c r="G480" s="86"/>
      <c r="H480" s="86"/>
      <c r="I480" s="86"/>
      <c r="J480" s="86"/>
      <c r="K480" s="86"/>
      <c r="L480" s="86"/>
      <c r="M480" s="86"/>
      <c r="N480" s="86"/>
      <c r="O480" s="86"/>
      <c r="P480" s="86"/>
      <c r="Q480" s="86"/>
      <c r="R480" s="86"/>
      <c r="S480" s="86"/>
      <c r="T480" s="86"/>
      <c r="U480" s="86"/>
      <c r="V480" s="86"/>
      <c r="W480" s="86"/>
      <c r="X480" s="86"/>
      <c r="Y480" s="14"/>
      <c r="Z480" s="14"/>
      <c r="AA480" s="14"/>
      <c r="AB480" s="14"/>
      <c r="AC480" s="14"/>
      <c r="AD480" s="14"/>
      <c r="AE480" s="14"/>
      <c r="AF480" s="14"/>
      <c r="AG480" s="14"/>
      <c r="AH480" s="14"/>
      <c r="AI480" s="14"/>
      <c r="AJ480" s="14"/>
      <c r="AK480" s="14"/>
      <c r="AL480" s="14"/>
      <c r="AM480" s="14"/>
      <c r="AN480" s="14"/>
      <c r="AO480" s="14"/>
      <c r="AP480" s="14"/>
      <c r="AQ480" s="14"/>
      <c r="AR480" s="14"/>
      <c r="AS480" s="14"/>
      <c r="AT480" s="14"/>
    </row>
    <row r="481" spans="1:46" ht="15" hidden="1" customHeight="1">
      <c r="A481" s="11"/>
      <c r="B481" s="11"/>
      <c r="C481" s="11"/>
      <c r="D481" s="85"/>
      <c r="E481" s="86"/>
      <c r="F481" s="86"/>
      <c r="G481" s="86"/>
      <c r="H481" s="86"/>
      <c r="I481" s="86"/>
      <c r="J481" s="86"/>
      <c r="K481" s="86"/>
      <c r="L481" s="86"/>
      <c r="M481" s="86"/>
      <c r="N481" s="86"/>
      <c r="O481" s="86"/>
      <c r="P481" s="86"/>
      <c r="Q481" s="86"/>
      <c r="R481" s="86"/>
      <c r="S481" s="86"/>
      <c r="T481" s="86"/>
      <c r="U481" s="86"/>
      <c r="V481" s="86"/>
      <c r="W481" s="86"/>
      <c r="X481" s="86"/>
      <c r="Y481" s="14"/>
      <c r="Z481" s="14"/>
      <c r="AA481" s="14"/>
      <c r="AB481" s="14"/>
      <c r="AC481" s="14"/>
      <c r="AD481" s="14"/>
      <c r="AE481" s="14"/>
      <c r="AF481" s="14"/>
      <c r="AG481" s="14"/>
      <c r="AH481" s="14"/>
      <c r="AI481" s="14"/>
      <c r="AJ481" s="14"/>
      <c r="AK481" s="14"/>
      <c r="AL481" s="14"/>
      <c r="AM481" s="14"/>
      <c r="AN481" s="14"/>
      <c r="AO481" s="14"/>
      <c r="AP481" s="14"/>
      <c r="AQ481" s="14"/>
      <c r="AR481" s="14"/>
      <c r="AS481" s="14"/>
      <c r="AT481" s="14"/>
    </row>
    <row r="482" spans="1:46" ht="15" hidden="1" customHeight="1">
      <c r="A482" s="11"/>
      <c r="B482" s="11"/>
      <c r="C482" s="11"/>
      <c r="D482" s="85"/>
      <c r="E482" s="86"/>
      <c r="F482" s="86"/>
      <c r="G482" s="86"/>
      <c r="H482" s="86"/>
      <c r="I482" s="86"/>
      <c r="J482" s="86"/>
      <c r="K482" s="86"/>
      <c r="L482" s="86"/>
      <c r="M482" s="86"/>
      <c r="N482" s="86"/>
      <c r="O482" s="86"/>
      <c r="P482" s="86"/>
      <c r="Q482" s="86"/>
      <c r="R482" s="86"/>
      <c r="S482" s="86"/>
      <c r="T482" s="86"/>
      <c r="U482" s="86"/>
      <c r="V482" s="86"/>
      <c r="W482" s="86"/>
      <c r="X482" s="86"/>
      <c r="Y482" s="14"/>
      <c r="Z482" s="14"/>
      <c r="AA482" s="14"/>
      <c r="AB482" s="14"/>
      <c r="AC482" s="14"/>
      <c r="AD482" s="14"/>
      <c r="AE482" s="14"/>
      <c r="AF482" s="14"/>
      <c r="AG482" s="14"/>
      <c r="AH482" s="14"/>
      <c r="AI482" s="14"/>
      <c r="AJ482" s="14"/>
      <c r="AK482" s="14"/>
      <c r="AL482" s="14"/>
      <c r="AM482" s="14"/>
      <c r="AN482" s="14"/>
      <c r="AO482" s="14"/>
      <c r="AP482" s="14"/>
      <c r="AQ482" s="14"/>
      <c r="AR482" s="14"/>
      <c r="AS482" s="14"/>
      <c r="AT482" s="14"/>
    </row>
    <row r="483" spans="1:46" ht="15" hidden="1" customHeight="1">
      <c r="A483" s="11"/>
      <c r="B483" s="11"/>
      <c r="C483" s="11"/>
      <c r="D483" s="85"/>
      <c r="E483" s="86"/>
      <c r="F483" s="86"/>
      <c r="G483" s="86"/>
      <c r="H483" s="86"/>
      <c r="I483" s="86"/>
      <c r="J483" s="86"/>
      <c r="K483" s="86"/>
      <c r="L483" s="86"/>
      <c r="M483" s="86"/>
      <c r="N483" s="86"/>
      <c r="O483" s="86"/>
      <c r="P483" s="86"/>
      <c r="Q483" s="86"/>
      <c r="R483" s="86"/>
      <c r="S483" s="86"/>
      <c r="T483" s="86"/>
      <c r="U483" s="86"/>
      <c r="V483" s="86"/>
      <c r="W483" s="86"/>
      <c r="X483" s="86"/>
      <c r="Y483" s="14"/>
      <c r="Z483" s="14"/>
      <c r="AA483" s="14"/>
      <c r="AB483" s="14"/>
      <c r="AC483" s="14"/>
      <c r="AD483" s="14"/>
      <c r="AE483" s="14"/>
      <c r="AF483" s="14"/>
      <c r="AG483" s="14"/>
      <c r="AH483" s="14"/>
      <c r="AI483" s="14"/>
      <c r="AJ483" s="14"/>
      <c r="AK483" s="14"/>
      <c r="AL483" s="14"/>
      <c r="AM483" s="14"/>
      <c r="AN483" s="14"/>
      <c r="AO483" s="14"/>
      <c r="AP483" s="14"/>
      <c r="AQ483" s="14"/>
      <c r="AR483" s="14"/>
      <c r="AS483" s="14"/>
      <c r="AT483" s="14"/>
    </row>
    <row r="484" spans="1:46" ht="15" hidden="1" customHeight="1">
      <c r="A484" s="11"/>
      <c r="B484" s="11"/>
      <c r="C484" s="11"/>
      <c r="D484" s="85"/>
      <c r="E484" s="86"/>
      <c r="F484" s="86"/>
      <c r="G484" s="86"/>
      <c r="H484" s="86"/>
      <c r="I484" s="86"/>
      <c r="J484" s="86"/>
      <c r="K484" s="86"/>
      <c r="L484" s="86"/>
      <c r="M484" s="86"/>
      <c r="N484" s="86"/>
      <c r="O484" s="86"/>
      <c r="P484" s="86"/>
      <c r="Q484" s="86"/>
      <c r="R484" s="86"/>
      <c r="S484" s="86"/>
      <c r="T484" s="86"/>
      <c r="U484" s="86"/>
      <c r="V484" s="86"/>
      <c r="W484" s="86"/>
      <c r="X484" s="86"/>
      <c r="Y484" s="14"/>
      <c r="Z484" s="14"/>
      <c r="AA484" s="14"/>
      <c r="AB484" s="14"/>
      <c r="AC484" s="14"/>
      <c r="AD484" s="14"/>
      <c r="AE484" s="14"/>
      <c r="AF484" s="14"/>
      <c r="AG484" s="14"/>
      <c r="AH484" s="14"/>
      <c r="AI484" s="14"/>
      <c r="AJ484" s="14"/>
      <c r="AK484" s="14"/>
      <c r="AL484" s="14"/>
      <c r="AM484" s="14"/>
      <c r="AN484" s="14"/>
      <c r="AO484" s="14"/>
      <c r="AP484" s="14"/>
      <c r="AQ484" s="14"/>
      <c r="AR484" s="14"/>
      <c r="AS484" s="14"/>
      <c r="AT484" s="14"/>
    </row>
    <row r="485" spans="1:46" ht="15" hidden="1" customHeight="1">
      <c r="A485" s="11"/>
      <c r="B485" s="11"/>
      <c r="C485" s="11"/>
      <c r="D485" s="85"/>
      <c r="E485" s="86"/>
      <c r="F485" s="86"/>
      <c r="G485" s="86"/>
      <c r="H485" s="86"/>
      <c r="I485" s="86"/>
      <c r="J485" s="86"/>
      <c r="K485" s="86"/>
      <c r="L485" s="86"/>
      <c r="M485" s="86"/>
      <c r="N485" s="86"/>
      <c r="O485" s="86"/>
      <c r="P485" s="86"/>
      <c r="Q485" s="86"/>
      <c r="R485" s="86"/>
      <c r="S485" s="86"/>
      <c r="T485" s="86"/>
      <c r="U485" s="86"/>
      <c r="V485" s="86"/>
      <c r="W485" s="86"/>
      <c r="X485" s="86"/>
      <c r="Y485" s="14"/>
      <c r="Z485" s="14"/>
      <c r="AA485" s="14"/>
      <c r="AB485" s="14"/>
      <c r="AC485" s="14"/>
      <c r="AD485" s="14"/>
      <c r="AE485" s="14"/>
      <c r="AF485" s="14"/>
      <c r="AG485" s="14"/>
      <c r="AH485" s="14"/>
      <c r="AI485" s="14"/>
      <c r="AJ485" s="14"/>
      <c r="AK485" s="14"/>
      <c r="AL485" s="14"/>
      <c r="AM485" s="14"/>
      <c r="AN485" s="14"/>
      <c r="AO485" s="14"/>
      <c r="AP485" s="14"/>
      <c r="AQ485" s="14"/>
      <c r="AR485" s="14"/>
      <c r="AS485" s="14"/>
      <c r="AT485" s="14"/>
    </row>
    <row r="486" spans="1:46" ht="15" hidden="1" customHeight="1">
      <c r="A486" s="11"/>
      <c r="B486" s="11"/>
      <c r="C486" s="11"/>
      <c r="D486" s="85"/>
      <c r="E486" s="86"/>
      <c r="F486" s="86"/>
      <c r="G486" s="86"/>
      <c r="H486" s="86"/>
      <c r="I486" s="86"/>
      <c r="J486" s="86"/>
      <c r="K486" s="86"/>
      <c r="L486" s="86"/>
      <c r="M486" s="86"/>
      <c r="N486" s="86"/>
      <c r="O486" s="86"/>
      <c r="P486" s="86"/>
      <c r="Q486" s="86"/>
      <c r="R486" s="86"/>
      <c r="S486" s="86"/>
      <c r="T486" s="86"/>
      <c r="U486" s="86"/>
      <c r="V486" s="86"/>
      <c r="W486" s="86"/>
      <c r="X486" s="86"/>
      <c r="Y486" s="14"/>
      <c r="Z486" s="14"/>
      <c r="AA486" s="14"/>
      <c r="AB486" s="14"/>
      <c r="AC486" s="14"/>
      <c r="AD486" s="14"/>
      <c r="AE486" s="14"/>
      <c r="AF486" s="14"/>
      <c r="AG486" s="14"/>
      <c r="AH486" s="14"/>
      <c r="AI486" s="14"/>
      <c r="AJ486" s="14"/>
      <c r="AK486" s="14"/>
      <c r="AL486" s="14"/>
      <c r="AM486" s="14"/>
      <c r="AN486" s="14"/>
      <c r="AO486" s="14"/>
      <c r="AP486" s="14"/>
      <c r="AQ486" s="14"/>
      <c r="AR486" s="14"/>
      <c r="AS486" s="14"/>
      <c r="AT486" s="14"/>
    </row>
    <row r="487" spans="1:46" ht="15" hidden="1" customHeight="1">
      <c r="A487" s="11"/>
      <c r="B487" s="11"/>
      <c r="C487" s="11"/>
      <c r="D487" s="85"/>
      <c r="E487" s="86"/>
      <c r="F487" s="86"/>
      <c r="G487" s="86"/>
      <c r="H487" s="86"/>
      <c r="I487" s="86"/>
      <c r="J487" s="86"/>
      <c r="K487" s="86"/>
      <c r="L487" s="86"/>
      <c r="M487" s="86"/>
      <c r="N487" s="86"/>
      <c r="O487" s="86"/>
      <c r="P487" s="86"/>
      <c r="Q487" s="86"/>
      <c r="R487" s="86"/>
      <c r="S487" s="86"/>
      <c r="T487" s="86"/>
      <c r="U487" s="86"/>
      <c r="V487" s="86"/>
      <c r="W487" s="86"/>
      <c r="X487" s="86"/>
      <c r="Y487" s="14"/>
      <c r="Z487" s="14"/>
      <c r="AA487" s="14"/>
      <c r="AB487" s="14"/>
      <c r="AC487" s="14"/>
      <c r="AD487" s="14"/>
      <c r="AE487" s="14"/>
      <c r="AF487" s="14"/>
      <c r="AG487" s="14"/>
      <c r="AH487" s="14"/>
      <c r="AI487" s="14"/>
      <c r="AJ487" s="14"/>
      <c r="AK487" s="14"/>
      <c r="AL487" s="14"/>
      <c r="AM487" s="14"/>
      <c r="AN487" s="14"/>
      <c r="AO487" s="14"/>
      <c r="AP487" s="14"/>
      <c r="AQ487" s="14"/>
      <c r="AR487" s="14"/>
      <c r="AS487" s="14"/>
      <c r="AT487" s="14"/>
    </row>
    <row r="488" spans="1:46" ht="15" hidden="1" customHeight="1">
      <c r="A488" s="11"/>
      <c r="B488" s="11"/>
      <c r="C488" s="11"/>
      <c r="D488" s="85"/>
      <c r="E488" s="86"/>
      <c r="F488" s="86"/>
      <c r="G488" s="86"/>
      <c r="H488" s="86"/>
      <c r="I488" s="86"/>
      <c r="J488" s="86"/>
      <c r="K488" s="86"/>
      <c r="L488" s="86"/>
      <c r="M488" s="86"/>
      <c r="N488" s="86"/>
      <c r="O488" s="86"/>
      <c r="P488" s="86"/>
      <c r="Q488" s="86"/>
      <c r="R488" s="86"/>
      <c r="S488" s="86"/>
      <c r="T488" s="86"/>
      <c r="U488" s="86"/>
      <c r="V488" s="86"/>
      <c r="W488" s="86"/>
      <c r="X488" s="86"/>
      <c r="Y488" s="14"/>
      <c r="Z488" s="14"/>
      <c r="AA488" s="14"/>
      <c r="AB488" s="14"/>
      <c r="AC488" s="14"/>
      <c r="AD488" s="14"/>
      <c r="AE488" s="14"/>
      <c r="AF488" s="14"/>
      <c r="AG488" s="14"/>
      <c r="AH488" s="14"/>
      <c r="AI488" s="14"/>
      <c r="AJ488" s="14"/>
      <c r="AK488" s="14"/>
      <c r="AL488" s="14"/>
      <c r="AM488" s="14"/>
      <c r="AN488" s="14"/>
      <c r="AO488" s="14"/>
      <c r="AP488" s="14"/>
      <c r="AQ488" s="14"/>
      <c r="AR488" s="14"/>
      <c r="AS488" s="14"/>
      <c r="AT488" s="14"/>
    </row>
    <row r="489" spans="1:46" ht="15" hidden="1" customHeight="1">
      <c r="A489" s="11"/>
      <c r="B489" s="11"/>
      <c r="C489" s="11"/>
      <c r="D489" s="85"/>
      <c r="E489" s="86"/>
      <c r="F489" s="86"/>
      <c r="G489" s="86"/>
      <c r="H489" s="86"/>
      <c r="I489" s="86"/>
      <c r="J489" s="86"/>
      <c r="K489" s="86"/>
      <c r="L489" s="86"/>
      <c r="M489" s="86"/>
      <c r="N489" s="86"/>
      <c r="O489" s="86"/>
      <c r="P489" s="86"/>
      <c r="Q489" s="86"/>
      <c r="R489" s="86"/>
      <c r="S489" s="86"/>
      <c r="T489" s="86"/>
      <c r="U489" s="86"/>
      <c r="V489" s="86"/>
      <c r="W489" s="86"/>
      <c r="X489" s="86"/>
      <c r="Y489" s="14"/>
      <c r="Z489" s="14"/>
      <c r="AA489" s="14"/>
      <c r="AB489" s="14"/>
      <c r="AC489" s="14"/>
      <c r="AD489" s="14"/>
      <c r="AE489" s="14"/>
      <c r="AF489" s="14"/>
      <c r="AG489" s="14"/>
      <c r="AH489" s="14"/>
      <c r="AI489" s="14"/>
      <c r="AJ489" s="14"/>
      <c r="AK489" s="14"/>
      <c r="AL489" s="14"/>
      <c r="AM489" s="14"/>
      <c r="AN489" s="14"/>
      <c r="AO489" s="14"/>
      <c r="AP489" s="14"/>
      <c r="AQ489" s="14"/>
      <c r="AR489" s="14"/>
      <c r="AS489" s="14"/>
      <c r="AT489" s="14"/>
    </row>
    <row r="490" spans="1:46" ht="15" hidden="1" customHeight="1">
      <c r="A490" s="11"/>
      <c r="B490" s="11"/>
      <c r="C490" s="11"/>
      <c r="D490" s="85"/>
      <c r="E490" s="86"/>
      <c r="F490" s="86"/>
      <c r="G490" s="86"/>
      <c r="H490" s="86"/>
      <c r="I490" s="86"/>
      <c r="J490" s="86"/>
      <c r="K490" s="86"/>
      <c r="L490" s="86"/>
      <c r="M490" s="86"/>
      <c r="N490" s="86"/>
      <c r="O490" s="86"/>
      <c r="P490" s="86"/>
      <c r="Q490" s="86"/>
      <c r="R490" s="86"/>
      <c r="S490" s="86"/>
      <c r="T490" s="86"/>
      <c r="U490" s="86"/>
      <c r="V490" s="86"/>
      <c r="W490" s="86"/>
      <c r="X490" s="86"/>
      <c r="Y490" s="14"/>
      <c r="Z490" s="14"/>
      <c r="AA490" s="14"/>
      <c r="AB490" s="14"/>
      <c r="AC490" s="14"/>
      <c r="AD490" s="14"/>
      <c r="AE490" s="14"/>
      <c r="AF490" s="14"/>
      <c r="AG490" s="14"/>
      <c r="AH490" s="14"/>
      <c r="AI490" s="14"/>
      <c r="AJ490" s="14"/>
      <c r="AK490" s="14"/>
      <c r="AL490" s="14"/>
      <c r="AM490" s="14"/>
      <c r="AN490" s="14"/>
      <c r="AO490" s="14"/>
      <c r="AP490" s="14"/>
      <c r="AQ490" s="14"/>
      <c r="AR490" s="14"/>
      <c r="AS490" s="14"/>
      <c r="AT490" s="14"/>
    </row>
    <row r="491" spans="1:46" ht="15" hidden="1" customHeight="1">
      <c r="A491" s="11"/>
      <c r="B491" s="11"/>
      <c r="C491" s="11"/>
      <c r="D491" s="85"/>
      <c r="E491" s="86"/>
      <c r="F491" s="86"/>
      <c r="G491" s="86"/>
      <c r="H491" s="86"/>
      <c r="I491" s="86"/>
      <c r="J491" s="86"/>
      <c r="K491" s="86"/>
      <c r="L491" s="86"/>
      <c r="M491" s="86"/>
      <c r="N491" s="86"/>
      <c r="O491" s="86"/>
      <c r="P491" s="86"/>
      <c r="Q491" s="86"/>
      <c r="R491" s="86"/>
      <c r="S491" s="86"/>
      <c r="T491" s="86"/>
      <c r="U491" s="86"/>
      <c r="V491" s="86"/>
      <c r="W491" s="86"/>
      <c r="X491" s="86"/>
      <c r="Y491" s="14"/>
      <c r="Z491" s="14"/>
      <c r="AA491" s="14"/>
      <c r="AB491" s="14"/>
      <c r="AC491" s="14"/>
      <c r="AD491" s="14"/>
      <c r="AE491" s="14"/>
      <c r="AF491" s="14"/>
      <c r="AG491" s="14"/>
      <c r="AH491" s="14"/>
      <c r="AI491" s="14"/>
      <c r="AJ491" s="14"/>
      <c r="AK491" s="14"/>
      <c r="AL491" s="14"/>
      <c r="AM491" s="14"/>
      <c r="AN491" s="14"/>
      <c r="AO491" s="14"/>
      <c r="AP491" s="14"/>
      <c r="AQ491" s="14"/>
      <c r="AR491" s="14"/>
      <c r="AS491" s="14"/>
      <c r="AT491" s="14"/>
    </row>
    <row r="492" spans="1:46" ht="15" hidden="1" customHeight="1">
      <c r="A492" s="11"/>
      <c r="B492" s="11"/>
      <c r="C492" s="11"/>
      <c r="D492" s="85"/>
      <c r="E492" s="86"/>
      <c r="F492" s="86"/>
      <c r="G492" s="86"/>
      <c r="H492" s="86"/>
      <c r="I492" s="86"/>
      <c r="J492" s="86"/>
      <c r="K492" s="86"/>
      <c r="L492" s="86"/>
      <c r="M492" s="86"/>
      <c r="N492" s="86"/>
      <c r="O492" s="86"/>
      <c r="P492" s="86"/>
      <c r="Q492" s="86"/>
      <c r="R492" s="86"/>
      <c r="S492" s="86"/>
      <c r="T492" s="86"/>
      <c r="U492" s="86"/>
      <c r="V492" s="86"/>
      <c r="W492" s="86"/>
      <c r="X492" s="86"/>
      <c r="Y492" s="14"/>
      <c r="Z492" s="14"/>
      <c r="AA492" s="14"/>
      <c r="AB492" s="14"/>
      <c r="AC492" s="14"/>
      <c r="AD492" s="14"/>
      <c r="AE492" s="14"/>
      <c r="AF492" s="14"/>
      <c r="AG492" s="14"/>
      <c r="AH492" s="14"/>
      <c r="AI492" s="14"/>
      <c r="AJ492" s="14"/>
      <c r="AK492" s="14"/>
      <c r="AL492" s="14"/>
      <c r="AM492" s="14"/>
      <c r="AN492" s="14"/>
      <c r="AO492" s="14"/>
      <c r="AP492" s="14"/>
      <c r="AQ492" s="14"/>
      <c r="AR492" s="14"/>
      <c r="AS492" s="14"/>
      <c r="AT492" s="14"/>
    </row>
    <row r="493" spans="1:46" ht="15" hidden="1" customHeight="1">
      <c r="A493" s="11"/>
      <c r="B493" s="11"/>
      <c r="C493" s="11"/>
      <c r="D493" s="85"/>
      <c r="E493" s="86"/>
      <c r="F493" s="86"/>
      <c r="G493" s="86"/>
      <c r="H493" s="86"/>
      <c r="I493" s="86"/>
      <c r="J493" s="86"/>
      <c r="K493" s="86"/>
      <c r="L493" s="86"/>
      <c r="M493" s="86"/>
      <c r="N493" s="86"/>
      <c r="O493" s="86"/>
      <c r="P493" s="86"/>
      <c r="Q493" s="86"/>
      <c r="R493" s="86"/>
      <c r="S493" s="86"/>
      <c r="T493" s="86"/>
      <c r="U493" s="86"/>
      <c r="V493" s="86"/>
      <c r="W493" s="86"/>
      <c r="X493" s="86"/>
      <c r="Y493" s="14"/>
      <c r="Z493" s="14"/>
      <c r="AA493" s="14"/>
      <c r="AB493" s="14"/>
      <c r="AC493" s="14"/>
      <c r="AD493" s="14"/>
      <c r="AE493" s="14"/>
      <c r="AF493" s="14"/>
      <c r="AG493" s="14"/>
      <c r="AH493" s="14"/>
      <c r="AI493" s="14"/>
      <c r="AJ493" s="14"/>
      <c r="AK493" s="14"/>
      <c r="AL493" s="14"/>
      <c r="AM493" s="14"/>
      <c r="AN493" s="14"/>
      <c r="AO493" s="14"/>
      <c r="AP493" s="14"/>
      <c r="AQ493" s="14"/>
      <c r="AR493" s="14"/>
      <c r="AS493" s="14"/>
      <c r="AT493" s="14"/>
    </row>
    <row r="494" spans="1:46" ht="15" hidden="1" customHeight="1">
      <c r="A494" s="11"/>
      <c r="B494" s="11"/>
      <c r="C494" s="11"/>
      <c r="D494" s="85"/>
      <c r="E494" s="86"/>
      <c r="F494" s="86"/>
      <c r="G494" s="86"/>
      <c r="H494" s="86"/>
      <c r="I494" s="86"/>
      <c r="J494" s="86"/>
      <c r="K494" s="86"/>
      <c r="L494" s="86"/>
      <c r="M494" s="86"/>
      <c r="N494" s="86"/>
      <c r="O494" s="86"/>
      <c r="P494" s="86"/>
      <c r="Q494" s="86"/>
      <c r="R494" s="86"/>
      <c r="S494" s="86"/>
      <c r="T494" s="86"/>
      <c r="U494" s="86"/>
      <c r="V494" s="86"/>
      <c r="W494" s="86"/>
      <c r="X494" s="86"/>
      <c r="Y494" s="14"/>
      <c r="Z494" s="14"/>
      <c r="AA494" s="14"/>
      <c r="AB494" s="14"/>
      <c r="AC494" s="14"/>
      <c r="AD494" s="14"/>
      <c r="AE494" s="14"/>
      <c r="AF494" s="14"/>
      <c r="AG494" s="14"/>
      <c r="AH494" s="14"/>
      <c r="AI494" s="14"/>
      <c r="AJ494" s="14"/>
      <c r="AK494" s="14"/>
      <c r="AL494" s="14"/>
      <c r="AM494" s="14"/>
      <c r="AN494" s="14"/>
      <c r="AO494" s="14"/>
      <c r="AP494" s="14"/>
      <c r="AQ494" s="14"/>
      <c r="AR494" s="14"/>
      <c r="AS494" s="14"/>
      <c r="AT494" s="14"/>
    </row>
    <row r="495" spans="1:46" ht="15" hidden="1" customHeight="1">
      <c r="A495" s="11"/>
      <c r="B495" s="11"/>
      <c r="C495" s="11"/>
      <c r="D495" s="85"/>
      <c r="E495" s="86"/>
      <c r="F495" s="86"/>
      <c r="G495" s="86"/>
      <c r="H495" s="86"/>
      <c r="I495" s="86"/>
      <c r="J495" s="86"/>
      <c r="K495" s="86"/>
      <c r="L495" s="86"/>
      <c r="M495" s="86"/>
      <c r="N495" s="86"/>
      <c r="O495" s="86"/>
      <c r="P495" s="86"/>
      <c r="Q495" s="86"/>
      <c r="R495" s="86"/>
      <c r="S495" s="86"/>
      <c r="T495" s="86"/>
      <c r="U495" s="86"/>
      <c r="V495" s="86"/>
      <c r="W495" s="86"/>
      <c r="X495" s="86"/>
      <c r="Y495" s="14"/>
      <c r="Z495" s="14"/>
      <c r="AA495" s="14"/>
      <c r="AB495" s="14"/>
      <c r="AC495" s="14"/>
      <c r="AD495" s="14"/>
      <c r="AE495" s="14"/>
      <c r="AF495" s="14"/>
      <c r="AG495" s="14"/>
      <c r="AH495" s="14"/>
      <c r="AI495" s="14"/>
      <c r="AJ495" s="14"/>
      <c r="AK495" s="14"/>
      <c r="AL495" s="14"/>
      <c r="AM495" s="14"/>
      <c r="AN495" s="14"/>
      <c r="AO495" s="14"/>
      <c r="AP495" s="14"/>
      <c r="AQ495" s="14"/>
      <c r="AR495" s="14"/>
      <c r="AS495" s="14"/>
      <c r="AT495" s="14"/>
    </row>
    <row r="496" spans="1:46" ht="15" hidden="1" customHeight="1">
      <c r="A496" s="11"/>
      <c r="B496" s="11"/>
      <c r="C496" s="11"/>
      <c r="D496" s="85"/>
      <c r="E496" s="86"/>
      <c r="F496" s="86"/>
      <c r="G496" s="86"/>
      <c r="H496" s="86"/>
      <c r="I496" s="86"/>
      <c r="J496" s="86"/>
      <c r="K496" s="86"/>
      <c r="L496" s="86"/>
      <c r="M496" s="86"/>
      <c r="N496" s="86"/>
      <c r="O496" s="86"/>
      <c r="P496" s="86"/>
      <c r="Q496" s="86"/>
      <c r="R496" s="86"/>
      <c r="S496" s="86"/>
      <c r="T496" s="86"/>
      <c r="U496" s="86"/>
      <c r="V496" s="86"/>
      <c r="W496" s="86"/>
      <c r="X496" s="86"/>
      <c r="Y496" s="14"/>
      <c r="Z496" s="14"/>
      <c r="AA496" s="14"/>
      <c r="AB496" s="14"/>
      <c r="AC496" s="14"/>
      <c r="AD496" s="14"/>
      <c r="AE496" s="14"/>
      <c r="AF496" s="14"/>
      <c r="AG496" s="14"/>
      <c r="AH496" s="14"/>
      <c r="AI496" s="14"/>
      <c r="AJ496" s="14"/>
      <c r="AK496" s="14"/>
      <c r="AL496" s="14"/>
      <c r="AM496" s="14"/>
      <c r="AN496" s="14"/>
      <c r="AO496" s="14"/>
      <c r="AP496" s="14"/>
      <c r="AQ496" s="14"/>
      <c r="AR496" s="14"/>
      <c r="AS496" s="14"/>
      <c r="AT496" s="14"/>
    </row>
    <row r="497" spans="1:46" ht="15" hidden="1" customHeight="1">
      <c r="A497" s="11"/>
      <c r="B497" s="11"/>
      <c r="C497" s="11"/>
      <c r="D497" s="85"/>
      <c r="E497" s="86"/>
      <c r="F497" s="86"/>
      <c r="G497" s="86"/>
      <c r="H497" s="86"/>
      <c r="I497" s="86"/>
      <c r="J497" s="86"/>
      <c r="K497" s="86"/>
      <c r="L497" s="86"/>
      <c r="M497" s="86"/>
      <c r="N497" s="86"/>
      <c r="O497" s="86"/>
      <c r="P497" s="86"/>
      <c r="Q497" s="86"/>
      <c r="R497" s="86"/>
      <c r="S497" s="86"/>
      <c r="T497" s="86"/>
      <c r="U497" s="86"/>
      <c r="V497" s="86"/>
      <c r="W497" s="86"/>
      <c r="X497" s="86"/>
      <c r="Y497" s="14"/>
      <c r="Z497" s="14"/>
      <c r="AA497" s="14"/>
      <c r="AB497" s="14"/>
      <c r="AC497" s="14"/>
      <c r="AD497" s="14"/>
      <c r="AE497" s="14"/>
      <c r="AF497" s="14"/>
      <c r="AG497" s="14"/>
      <c r="AH497" s="14"/>
      <c r="AI497" s="14"/>
      <c r="AJ497" s="14"/>
      <c r="AK497" s="14"/>
      <c r="AL497" s="14"/>
      <c r="AM497" s="14"/>
      <c r="AN497" s="14"/>
      <c r="AO497" s="14"/>
      <c r="AP497" s="14"/>
      <c r="AQ497" s="14"/>
      <c r="AR497" s="14"/>
      <c r="AS497" s="14"/>
      <c r="AT497" s="14"/>
    </row>
    <row r="498" spans="1:46" ht="15" hidden="1" customHeight="1">
      <c r="A498" s="11"/>
      <c r="B498" s="11"/>
      <c r="C498" s="11"/>
      <c r="D498" s="85"/>
      <c r="E498" s="86"/>
      <c r="F498" s="86"/>
      <c r="G498" s="86"/>
      <c r="H498" s="86"/>
      <c r="I498" s="86"/>
      <c r="J498" s="86"/>
      <c r="K498" s="86"/>
      <c r="L498" s="86"/>
      <c r="M498" s="86"/>
      <c r="N498" s="86"/>
      <c r="O498" s="86"/>
      <c r="P498" s="86"/>
      <c r="Q498" s="86"/>
      <c r="R498" s="86"/>
      <c r="S498" s="86"/>
      <c r="T498" s="86"/>
      <c r="U498" s="86"/>
      <c r="V498" s="86"/>
      <c r="W498" s="86"/>
      <c r="X498" s="86"/>
      <c r="Y498" s="14"/>
      <c r="Z498" s="14"/>
      <c r="AA498" s="14"/>
      <c r="AB498" s="14"/>
      <c r="AC498" s="14"/>
      <c r="AD498" s="14"/>
      <c r="AE498" s="14"/>
      <c r="AF498" s="14"/>
      <c r="AG498" s="14"/>
      <c r="AH498" s="14"/>
      <c r="AI498" s="14"/>
      <c r="AJ498" s="14"/>
      <c r="AK498" s="14"/>
      <c r="AL498" s="14"/>
      <c r="AM498" s="14"/>
      <c r="AN498" s="14"/>
      <c r="AO498" s="14"/>
      <c r="AP498" s="14"/>
      <c r="AQ498" s="14"/>
      <c r="AR498" s="14"/>
      <c r="AS498" s="14"/>
      <c r="AT498" s="14"/>
    </row>
    <row r="499" spans="1:46" ht="15" hidden="1" customHeight="1">
      <c r="A499" s="11"/>
      <c r="B499" s="11"/>
      <c r="C499" s="11"/>
      <c r="D499" s="85"/>
      <c r="E499" s="86"/>
      <c r="F499" s="86"/>
      <c r="G499" s="86"/>
      <c r="H499" s="86"/>
      <c r="I499" s="86"/>
      <c r="J499" s="86"/>
      <c r="K499" s="86"/>
      <c r="L499" s="86"/>
      <c r="M499" s="86"/>
      <c r="N499" s="86"/>
      <c r="O499" s="86"/>
      <c r="P499" s="86"/>
      <c r="Q499" s="86"/>
      <c r="R499" s="86"/>
      <c r="S499" s="86"/>
      <c r="T499" s="86"/>
      <c r="U499" s="86"/>
      <c r="V499" s="86"/>
      <c r="W499" s="86"/>
      <c r="X499" s="86"/>
      <c r="Y499" s="14"/>
      <c r="Z499" s="14"/>
      <c r="AA499" s="14"/>
      <c r="AB499" s="14"/>
      <c r="AC499" s="14"/>
      <c r="AD499" s="14"/>
      <c r="AE499" s="14"/>
      <c r="AF499" s="14"/>
      <c r="AG499" s="14"/>
      <c r="AH499" s="14"/>
      <c r="AI499" s="14"/>
      <c r="AJ499" s="14"/>
      <c r="AK499" s="14"/>
      <c r="AL499" s="14"/>
      <c r="AM499" s="14"/>
      <c r="AN499" s="14"/>
      <c r="AO499" s="14"/>
      <c r="AP499" s="14"/>
      <c r="AQ499" s="14"/>
      <c r="AR499" s="14"/>
      <c r="AS499" s="14"/>
      <c r="AT499" s="14"/>
    </row>
    <row r="500" spans="1:46" ht="15" hidden="1" customHeight="1">
      <c r="A500" s="11"/>
      <c r="B500" s="11"/>
      <c r="C500" s="11"/>
      <c r="D500" s="85"/>
      <c r="E500" s="86"/>
      <c r="F500" s="86"/>
      <c r="G500" s="86"/>
      <c r="H500" s="86"/>
      <c r="I500" s="86"/>
      <c r="J500" s="86"/>
      <c r="K500" s="86"/>
      <c r="L500" s="86"/>
      <c r="M500" s="86"/>
      <c r="N500" s="86"/>
      <c r="O500" s="86"/>
      <c r="P500" s="86"/>
      <c r="Q500" s="86"/>
      <c r="R500" s="86"/>
      <c r="S500" s="86"/>
      <c r="T500" s="86"/>
      <c r="U500" s="86"/>
      <c r="V500" s="86"/>
      <c r="W500" s="86"/>
      <c r="X500" s="86"/>
      <c r="Y500" s="14"/>
      <c r="Z500" s="14"/>
      <c r="AA500" s="14"/>
      <c r="AB500" s="14"/>
      <c r="AC500" s="14"/>
      <c r="AD500" s="14"/>
      <c r="AE500" s="14"/>
      <c r="AF500" s="14"/>
      <c r="AG500" s="14"/>
      <c r="AH500" s="14"/>
      <c r="AI500" s="14"/>
      <c r="AJ500" s="14"/>
      <c r="AK500" s="14"/>
      <c r="AL500" s="14"/>
      <c r="AM500" s="14"/>
      <c r="AN500" s="14"/>
      <c r="AO500" s="14"/>
      <c r="AP500" s="14"/>
      <c r="AQ500" s="14"/>
      <c r="AR500" s="14"/>
      <c r="AS500" s="14"/>
      <c r="AT500" s="14"/>
    </row>
    <row r="501" spans="1:46" ht="15" hidden="1" customHeight="1">
      <c r="A501" s="11"/>
      <c r="B501" s="11"/>
      <c r="C501" s="11"/>
      <c r="D501" s="85"/>
      <c r="E501" s="86"/>
      <c r="F501" s="86"/>
      <c r="G501" s="86"/>
      <c r="H501" s="86"/>
      <c r="I501" s="86"/>
      <c r="J501" s="86"/>
      <c r="K501" s="86"/>
      <c r="L501" s="86"/>
      <c r="M501" s="86"/>
      <c r="N501" s="86"/>
      <c r="O501" s="86"/>
      <c r="P501" s="86"/>
      <c r="Q501" s="86"/>
      <c r="R501" s="86"/>
      <c r="S501" s="86"/>
      <c r="T501" s="86"/>
      <c r="U501" s="86"/>
      <c r="V501" s="86"/>
      <c r="W501" s="86"/>
      <c r="X501" s="86"/>
      <c r="Y501" s="14"/>
      <c r="Z501" s="14"/>
      <c r="AA501" s="14"/>
      <c r="AB501" s="14"/>
      <c r="AC501" s="14"/>
      <c r="AD501" s="14"/>
      <c r="AE501" s="14"/>
      <c r="AF501" s="14"/>
      <c r="AG501" s="14"/>
      <c r="AH501" s="14"/>
      <c r="AI501" s="14"/>
      <c r="AJ501" s="14"/>
      <c r="AK501" s="14"/>
      <c r="AL501" s="14"/>
      <c r="AM501" s="14"/>
      <c r="AN501" s="14"/>
      <c r="AO501" s="14"/>
      <c r="AP501" s="14"/>
      <c r="AQ501" s="14"/>
      <c r="AR501" s="14"/>
      <c r="AS501" s="14"/>
      <c r="AT501" s="14"/>
    </row>
    <row r="502" spans="1:46" ht="15" hidden="1" customHeight="1">
      <c r="A502" s="11"/>
      <c r="B502" s="11"/>
      <c r="C502" s="11"/>
      <c r="D502" s="85"/>
      <c r="E502" s="86"/>
      <c r="F502" s="86"/>
      <c r="G502" s="86"/>
      <c r="H502" s="86"/>
      <c r="I502" s="86"/>
      <c r="J502" s="86"/>
      <c r="K502" s="86"/>
      <c r="L502" s="86"/>
      <c r="M502" s="86"/>
      <c r="N502" s="86"/>
      <c r="O502" s="86"/>
      <c r="P502" s="86"/>
      <c r="Q502" s="86"/>
      <c r="R502" s="86"/>
      <c r="S502" s="86"/>
      <c r="T502" s="86"/>
      <c r="U502" s="86"/>
      <c r="V502" s="86"/>
      <c r="W502" s="86"/>
      <c r="X502" s="86"/>
      <c r="Y502" s="14"/>
      <c r="Z502" s="14"/>
      <c r="AA502" s="14"/>
      <c r="AB502" s="14"/>
      <c r="AC502" s="14"/>
      <c r="AD502" s="14"/>
      <c r="AE502" s="14"/>
      <c r="AF502" s="14"/>
      <c r="AG502" s="14"/>
      <c r="AH502" s="14"/>
      <c r="AI502" s="14"/>
      <c r="AJ502" s="14"/>
      <c r="AK502" s="14"/>
      <c r="AL502" s="14"/>
      <c r="AM502" s="14"/>
      <c r="AN502" s="14"/>
      <c r="AO502" s="14"/>
      <c r="AP502" s="14"/>
      <c r="AQ502" s="14"/>
      <c r="AR502" s="14"/>
      <c r="AS502" s="14"/>
      <c r="AT502" s="14"/>
    </row>
    <row r="503" spans="1:46" ht="15" hidden="1" customHeight="1">
      <c r="A503" s="11"/>
      <c r="B503" s="11"/>
      <c r="C503" s="11"/>
      <c r="D503" s="85"/>
      <c r="E503" s="86"/>
      <c r="F503" s="86"/>
      <c r="G503" s="86"/>
      <c r="H503" s="86"/>
      <c r="I503" s="86"/>
      <c r="J503" s="86"/>
      <c r="K503" s="86"/>
      <c r="L503" s="86"/>
      <c r="M503" s="86"/>
      <c r="N503" s="86"/>
      <c r="O503" s="86"/>
      <c r="P503" s="86"/>
      <c r="Q503" s="86"/>
      <c r="R503" s="86"/>
      <c r="S503" s="86"/>
      <c r="T503" s="86"/>
      <c r="U503" s="86"/>
      <c r="V503" s="86"/>
      <c r="W503" s="86"/>
      <c r="X503" s="86"/>
      <c r="Y503" s="14"/>
      <c r="Z503" s="14"/>
      <c r="AA503" s="14"/>
      <c r="AB503" s="14"/>
      <c r="AC503" s="14"/>
      <c r="AD503" s="14"/>
      <c r="AE503" s="14"/>
      <c r="AF503" s="14"/>
      <c r="AG503" s="14"/>
      <c r="AH503" s="14"/>
      <c r="AI503" s="14"/>
      <c r="AJ503" s="14"/>
      <c r="AK503" s="14"/>
      <c r="AL503" s="14"/>
      <c r="AM503" s="14"/>
      <c r="AN503" s="14"/>
      <c r="AO503" s="14"/>
      <c r="AP503" s="14"/>
      <c r="AQ503" s="14"/>
      <c r="AR503" s="14"/>
      <c r="AS503" s="14"/>
      <c r="AT503" s="14"/>
    </row>
    <row r="504" spans="1:46" ht="15" hidden="1" customHeight="1">
      <c r="A504" s="11"/>
      <c r="B504" s="11"/>
      <c r="C504" s="11"/>
      <c r="D504" s="85"/>
      <c r="E504" s="86"/>
      <c r="F504" s="86"/>
      <c r="G504" s="86"/>
      <c r="H504" s="86"/>
      <c r="I504" s="86"/>
      <c r="J504" s="86"/>
      <c r="K504" s="86"/>
      <c r="L504" s="86"/>
      <c r="M504" s="86"/>
      <c r="N504" s="86"/>
      <c r="O504" s="86"/>
      <c r="P504" s="86"/>
      <c r="Q504" s="86"/>
      <c r="R504" s="86"/>
      <c r="S504" s="86"/>
      <c r="T504" s="86"/>
      <c r="U504" s="86"/>
      <c r="V504" s="86"/>
      <c r="W504" s="86"/>
      <c r="X504" s="86"/>
      <c r="Y504" s="14"/>
      <c r="Z504" s="14"/>
      <c r="AA504" s="14"/>
      <c r="AB504" s="14"/>
      <c r="AC504" s="14"/>
      <c r="AD504" s="14"/>
      <c r="AE504" s="14"/>
      <c r="AF504" s="14"/>
      <c r="AG504" s="14"/>
      <c r="AH504" s="14"/>
      <c r="AI504" s="14"/>
      <c r="AJ504" s="14"/>
      <c r="AK504" s="14"/>
      <c r="AL504" s="14"/>
      <c r="AM504" s="14"/>
      <c r="AN504" s="14"/>
      <c r="AO504" s="14"/>
      <c r="AP504" s="14"/>
      <c r="AQ504" s="14"/>
      <c r="AR504" s="14"/>
      <c r="AS504" s="14"/>
      <c r="AT504" s="14"/>
    </row>
    <row r="505" spans="1:46" ht="15" hidden="1" customHeight="1">
      <c r="A505" s="11"/>
      <c r="B505" s="11"/>
      <c r="C505" s="11"/>
      <c r="D505" s="85"/>
      <c r="E505" s="86"/>
      <c r="F505" s="86"/>
      <c r="G505" s="86"/>
      <c r="H505" s="86"/>
      <c r="I505" s="86"/>
      <c r="J505" s="86"/>
      <c r="K505" s="86"/>
      <c r="L505" s="86"/>
      <c r="M505" s="86"/>
      <c r="N505" s="86"/>
      <c r="O505" s="86"/>
      <c r="P505" s="86"/>
      <c r="Q505" s="86"/>
      <c r="R505" s="86"/>
      <c r="S505" s="86"/>
      <c r="T505" s="86"/>
      <c r="U505" s="86"/>
      <c r="V505" s="86"/>
      <c r="W505" s="86"/>
      <c r="X505" s="86"/>
      <c r="Y505" s="14"/>
      <c r="Z505" s="14"/>
      <c r="AA505" s="14"/>
      <c r="AB505" s="14"/>
      <c r="AC505" s="14"/>
      <c r="AD505" s="14"/>
      <c r="AE505" s="14"/>
      <c r="AF505" s="14"/>
      <c r="AG505" s="14"/>
      <c r="AH505" s="14"/>
      <c r="AI505" s="14"/>
      <c r="AJ505" s="14"/>
      <c r="AK505" s="14"/>
      <c r="AL505" s="14"/>
      <c r="AM505" s="14"/>
      <c r="AN505" s="14"/>
      <c r="AO505" s="14"/>
      <c r="AP505" s="14"/>
      <c r="AQ505" s="14"/>
      <c r="AR505" s="14"/>
      <c r="AS505" s="14"/>
      <c r="AT505" s="14"/>
    </row>
    <row r="506" spans="1:46" ht="15" hidden="1" customHeight="1">
      <c r="A506" s="11"/>
      <c r="B506" s="11"/>
      <c r="C506" s="11"/>
      <c r="D506" s="85"/>
      <c r="E506" s="86"/>
      <c r="F506" s="86"/>
      <c r="G506" s="86"/>
      <c r="H506" s="86"/>
      <c r="I506" s="86"/>
      <c r="J506" s="86"/>
      <c r="K506" s="86"/>
      <c r="L506" s="86"/>
      <c r="M506" s="86"/>
      <c r="N506" s="86"/>
      <c r="O506" s="86"/>
      <c r="P506" s="86"/>
      <c r="Q506" s="86"/>
      <c r="R506" s="86"/>
      <c r="S506" s="86"/>
      <c r="T506" s="86"/>
      <c r="U506" s="86"/>
      <c r="V506" s="86"/>
      <c r="W506" s="86"/>
      <c r="X506" s="86"/>
      <c r="Y506" s="14"/>
      <c r="Z506" s="14"/>
      <c r="AA506" s="14"/>
      <c r="AB506" s="14"/>
      <c r="AC506" s="14"/>
      <c r="AD506" s="14"/>
      <c r="AE506" s="14"/>
      <c r="AF506" s="14"/>
      <c r="AG506" s="14"/>
      <c r="AH506" s="14"/>
      <c r="AI506" s="14"/>
      <c r="AJ506" s="14"/>
      <c r="AK506" s="14"/>
      <c r="AL506" s="14"/>
      <c r="AM506" s="14"/>
      <c r="AN506" s="14"/>
      <c r="AO506" s="14"/>
      <c r="AP506" s="14"/>
      <c r="AQ506" s="14"/>
      <c r="AR506" s="14"/>
      <c r="AS506" s="14"/>
      <c r="AT506" s="14"/>
    </row>
    <row r="507" spans="1:46" ht="15" hidden="1" customHeight="1">
      <c r="A507" s="11"/>
      <c r="B507" s="11"/>
      <c r="C507" s="11"/>
      <c r="D507" s="85"/>
      <c r="E507" s="86"/>
      <c r="F507" s="86"/>
      <c r="G507" s="86"/>
      <c r="H507" s="86"/>
      <c r="I507" s="86"/>
      <c r="J507" s="86"/>
      <c r="K507" s="86"/>
      <c r="L507" s="86"/>
      <c r="M507" s="86"/>
      <c r="N507" s="86"/>
      <c r="O507" s="86"/>
      <c r="P507" s="86"/>
      <c r="Q507" s="86"/>
      <c r="R507" s="86"/>
      <c r="S507" s="86"/>
      <c r="T507" s="86"/>
      <c r="U507" s="86"/>
      <c r="V507" s="86"/>
      <c r="W507" s="86"/>
      <c r="X507" s="86"/>
      <c r="Y507" s="14"/>
      <c r="Z507" s="14"/>
      <c r="AA507" s="14"/>
      <c r="AB507" s="14"/>
      <c r="AC507" s="14"/>
      <c r="AD507" s="14"/>
      <c r="AE507" s="14"/>
      <c r="AF507" s="14"/>
      <c r="AG507" s="14"/>
      <c r="AH507" s="14"/>
      <c r="AI507" s="14"/>
      <c r="AJ507" s="14"/>
      <c r="AK507" s="14"/>
      <c r="AL507" s="14"/>
      <c r="AM507" s="14"/>
      <c r="AN507" s="14"/>
      <c r="AO507" s="14"/>
      <c r="AP507" s="14"/>
      <c r="AQ507" s="14"/>
      <c r="AR507" s="14"/>
      <c r="AS507" s="14"/>
      <c r="AT507" s="14"/>
    </row>
    <row r="508" spans="1:46" ht="15" hidden="1" customHeight="1">
      <c r="A508" s="11"/>
      <c r="B508" s="11"/>
      <c r="C508" s="11"/>
      <c r="D508" s="85"/>
      <c r="E508" s="86"/>
      <c r="F508" s="86"/>
      <c r="G508" s="86"/>
      <c r="H508" s="86"/>
      <c r="I508" s="86"/>
      <c r="J508" s="86"/>
      <c r="K508" s="86"/>
      <c r="L508" s="86"/>
      <c r="M508" s="86"/>
      <c r="N508" s="86"/>
      <c r="O508" s="86"/>
      <c r="P508" s="86"/>
      <c r="Q508" s="86"/>
      <c r="R508" s="86"/>
      <c r="S508" s="86"/>
      <c r="T508" s="86"/>
      <c r="U508" s="86"/>
      <c r="V508" s="86"/>
      <c r="W508" s="86"/>
      <c r="X508" s="86"/>
      <c r="Y508" s="14"/>
      <c r="Z508" s="14"/>
      <c r="AA508" s="14"/>
      <c r="AB508" s="14"/>
      <c r="AC508" s="14"/>
      <c r="AD508" s="14"/>
      <c r="AE508" s="14"/>
      <c r="AF508" s="14"/>
      <c r="AG508" s="14"/>
      <c r="AH508" s="14"/>
      <c r="AI508" s="14"/>
      <c r="AJ508" s="14"/>
      <c r="AK508" s="14"/>
      <c r="AL508" s="14"/>
      <c r="AM508" s="14"/>
      <c r="AN508" s="14"/>
      <c r="AO508" s="14"/>
      <c r="AP508" s="14"/>
      <c r="AQ508" s="14"/>
      <c r="AR508" s="14"/>
      <c r="AS508" s="14"/>
      <c r="AT508" s="14"/>
    </row>
    <row r="509" spans="1:46" ht="15" hidden="1" customHeight="1">
      <c r="A509" s="11"/>
      <c r="B509" s="11"/>
      <c r="C509" s="11"/>
      <c r="D509" s="85"/>
      <c r="E509" s="86"/>
      <c r="F509" s="86"/>
      <c r="G509" s="86"/>
      <c r="H509" s="86"/>
      <c r="I509" s="86"/>
      <c r="J509" s="86"/>
      <c r="K509" s="86"/>
      <c r="L509" s="86"/>
      <c r="M509" s="86"/>
      <c r="N509" s="86"/>
      <c r="O509" s="86"/>
      <c r="P509" s="86"/>
      <c r="Q509" s="86"/>
      <c r="R509" s="86"/>
      <c r="S509" s="86"/>
      <c r="T509" s="86"/>
      <c r="U509" s="86"/>
      <c r="V509" s="86"/>
      <c r="W509" s="86"/>
      <c r="X509" s="86"/>
      <c r="Y509" s="14"/>
      <c r="Z509" s="14"/>
      <c r="AA509" s="14"/>
      <c r="AB509" s="14"/>
      <c r="AC509" s="14"/>
      <c r="AD509" s="14"/>
      <c r="AE509" s="14"/>
      <c r="AF509" s="14"/>
      <c r="AG509" s="14"/>
      <c r="AH509" s="14"/>
      <c r="AI509" s="14"/>
      <c r="AJ509" s="14"/>
      <c r="AK509" s="14"/>
      <c r="AL509" s="14"/>
      <c r="AM509" s="14"/>
      <c r="AN509" s="14"/>
      <c r="AO509" s="14"/>
      <c r="AP509" s="14"/>
      <c r="AQ509" s="14"/>
      <c r="AR509" s="14"/>
      <c r="AS509" s="14"/>
      <c r="AT509" s="14"/>
    </row>
    <row r="510" spans="1:46" ht="15" hidden="1" customHeight="1">
      <c r="A510" s="11"/>
      <c r="B510" s="11"/>
      <c r="C510" s="11"/>
      <c r="D510" s="85"/>
      <c r="E510" s="86"/>
      <c r="F510" s="86"/>
      <c r="G510" s="86"/>
      <c r="H510" s="86"/>
      <c r="I510" s="86"/>
      <c r="J510" s="86"/>
      <c r="K510" s="86"/>
      <c r="L510" s="86"/>
      <c r="M510" s="86"/>
      <c r="N510" s="86"/>
      <c r="O510" s="86"/>
      <c r="P510" s="86"/>
      <c r="Q510" s="86"/>
      <c r="R510" s="86"/>
      <c r="S510" s="86"/>
      <c r="T510" s="86"/>
      <c r="U510" s="86"/>
      <c r="V510" s="86"/>
      <c r="W510" s="86"/>
      <c r="X510" s="86"/>
      <c r="Y510" s="14"/>
      <c r="Z510" s="14"/>
      <c r="AA510" s="14"/>
      <c r="AB510" s="14"/>
      <c r="AC510" s="14"/>
      <c r="AD510" s="14"/>
      <c r="AE510" s="14"/>
      <c r="AF510" s="14"/>
      <c r="AG510" s="14"/>
      <c r="AH510" s="14"/>
      <c r="AI510" s="14"/>
      <c r="AJ510" s="14"/>
      <c r="AK510" s="14"/>
      <c r="AL510" s="14"/>
      <c r="AM510" s="14"/>
      <c r="AN510" s="14"/>
      <c r="AO510" s="14"/>
      <c r="AP510" s="14"/>
      <c r="AQ510" s="14"/>
      <c r="AR510" s="14"/>
      <c r="AS510" s="14"/>
      <c r="AT510" s="14"/>
    </row>
    <row r="511" spans="1:46" ht="15" hidden="1" customHeight="1">
      <c r="A511" s="11"/>
      <c r="B511" s="11"/>
      <c r="C511" s="11"/>
      <c r="D511" s="85"/>
      <c r="E511" s="86"/>
      <c r="F511" s="86"/>
      <c r="G511" s="86"/>
      <c r="H511" s="86"/>
      <c r="I511" s="86"/>
      <c r="J511" s="86"/>
      <c r="K511" s="86"/>
      <c r="L511" s="86"/>
      <c r="M511" s="86"/>
      <c r="N511" s="86"/>
      <c r="O511" s="86"/>
      <c r="P511" s="86"/>
      <c r="Q511" s="86"/>
      <c r="R511" s="86"/>
      <c r="S511" s="86"/>
      <c r="T511" s="86"/>
      <c r="U511" s="86"/>
      <c r="V511" s="86"/>
      <c r="W511" s="86"/>
      <c r="X511" s="86"/>
      <c r="Y511" s="14"/>
      <c r="Z511" s="14"/>
      <c r="AA511" s="14"/>
      <c r="AB511" s="14"/>
      <c r="AC511" s="14"/>
      <c r="AD511" s="14"/>
      <c r="AE511" s="14"/>
      <c r="AF511" s="14"/>
      <c r="AG511" s="14"/>
      <c r="AH511" s="14"/>
      <c r="AI511" s="14"/>
      <c r="AJ511" s="14"/>
      <c r="AK511" s="14"/>
      <c r="AL511" s="14"/>
      <c r="AM511" s="14"/>
      <c r="AN511" s="14"/>
      <c r="AO511" s="14"/>
      <c r="AP511" s="14"/>
      <c r="AQ511" s="14"/>
      <c r="AR511" s="14"/>
      <c r="AS511" s="14"/>
      <c r="AT511" s="14"/>
    </row>
    <row r="512" spans="1:46" ht="15" hidden="1" customHeight="1">
      <c r="A512" s="11"/>
      <c r="B512" s="11"/>
      <c r="C512" s="11"/>
      <c r="D512" s="85"/>
      <c r="E512" s="86"/>
      <c r="F512" s="86"/>
      <c r="G512" s="86"/>
      <c r="H512" s="86"/>
      <c r="I512" s="86"/>
      <c r="J512" s="86"/>
      <c r="K512" s="86"/>
      <c r="L512" s="86"/>
      <c r="M512" s="86"/>
      <c r="N512" s="86"/>
      <c r="O512" s="86"/>
      <c r="P512" s="86"/>
      <c r="Q512" s="86"/>
      <c r="R512" s="86"/>
      <c r="S512" s="86"/>
      <c r="T512" s="86"/>
      <c r="U512" s="86"/>
      <c r="V512" s="86"/>
      <c r="W512" s="86"/>
      <c r="X512" s="86"/>
      <c r="Y512" s="14"/>
      <c r="Z512" s="14"/>
      <c r="AA512" s="14"/>
      <c r="AB512" s="14"/>
      <c r="AC512" s="14"/>
      <c r="AD512" s="14"/>
      <c r="AE512" s="14"/>
      <c r="AF512" s="14"/>
      <c r="AG512" s="14"/>
      <c r="AH512" s="14"/>
      <c r="AI512" s="14"/>
      <c r="AJ512" s="14"/>
      <c r="AK512" s="14"/>
      <c r="AL512" s="14"/>
      <c r="AM512" s="14"/>
      <c r="AN512" s="14"/>
      <c r="AO512" s="14"/>
      <c r="AP512" s="14"/>
      <c r="AQ512" s="14"/>
      <c r="AR512" s="14"/>
      <c r="AS512" s="14"/>
      <c r="AT512" s="14"/>
    </row>
    <row r="513" spans="1:46" ht="15" hidden="1" customHeight="1">
      <c r="A513" s="11"/>
      <c r="B513" s="11"/>
      <c r="C513" s="11"/>
      <c r="D513" s="85"/>
      <c r="E513" s="86"/>
      <c r="F513" s="86"/>
      <c r="G513" s="86"/>
      <c r="H513" s="86"/>
      <c r="I513" s="86"/>
      <c r="J513" s="86"/>
      <c r="K513" s="86"/>
      <c r="L513" s="86"/>
      <c r="M513" s="86"/>
      <c r="N513" s="86"/>
      <c r="O513" s="86"/>
      <c r="P513" s="86"/>
      <c r="Q513" s="86"/>
      <c r="R513" s="86"/>
      <c r="S513" s="86"/>
      <c r="T513" s="86"/>
      <c r="U513" s="86"/>
      <c r="V513" s="86"/>
      <c r="W513" s="86"/>
      <c r="X513" s="86"/>
      <c r="Y513" s="14"/>
      <c r="Z513" s="14"/>
      <c r="AA513" s="14"/>
      <c r="AB513" s="14"/>
      <c r="AC513" s="14"/>
      <c r="AD513" s="14"/>
      <c r="AE513" s="14"/>
      <c r="AF513" s="14"/>
      <c r="AG513" s="14"/>
      <c r="AH513" s="14"/>
      <c r="AI513" s="14"/>
      <c r="AJ513" s="14"/>
      <c r="AK513" s="14"/>
      <c r="AL513" s="14"/>
      <c r="AM513" s="14"/>
      <c r="AN513" s="14"/>
      <c r="AO513" s="14"/>
      <c r="AP513" s="14"/>
      <c r="AQ513" s="14"/>
      <c r="AR513" s="14"/>
      <c r="AS513" s="14"/>
      <c r="AT513" s="14"/>
    </row>
    <row r="514" spans="1:46" ht="15" hidden="1" customHeight="1">
      <c r="A514" s="11"/>
      <c r="B514" s="11"/>
      <c r="C514" s="11"/>
      <c r="D514" s="85"/>
      <c r="E514" s="86"/>
      <c r="F514" s="86"/>
      <c r="G514" s="86"/>
      <c r="H514" s="86"/>
      <c r="I514" s="86"/>
      <c r="J514" s="86"/>
      <c r="K514" s="86"/>
      <c r="L514" s="86"/>
      <c r="M514" s="86"/>
      <c r="N514" s="86"/>
      <c r="O514" s="86"/>
      <c r="P514" s="86"/>
      <c r="Q514" s="86"/>
      <c r="R514" s="86"/>
      <c r="S514" s="86"/>
      <c r="T514" s="86"/>
      <c r="U514" s="86"/>
      <c r="V514" s="86"/>
      <c r="W514" s="86"/>
      <c r="X514" s="86"/>
      <c r="Y514" s="14"/>
      <c r="Z514" s="14"/>
      <c r="AA514" s="14"/>
      <c r="AB514" s="14"/>
      <c r="AC514" s="14"/>
      <c r="AD514" s="14"/>
      <c r="AE514" s="14"/>
      <c r="AF514" s="14"/>
      <c r="AG514" s="14"/>
      <c r="AH514" s="14"/>
      <c r="AI514" s="14"/>
      <c r="AJ514" s="14"/>
      <c r="AK514" s="14"/>
      <c r="AL514" s="14"/>
      <c r="AM514" s="14"/>
      <c r="AN514" s="14"/>
      <c r="AO514" s="14"/>
      <c r="AP514" s="14"/>
      <c r="AQ514" s="14"/>
      <c r="AR514" s="14"/>
      <c r="AS514" s="14"/>
      <c r="AT514" s="14"/>
    </row>
  </sheetData>
  <sheetProtection sheet="1" formatColumns="0"/>
  <protectedRanges>
    <protectedRange sqref="E55:W55" name="Evalueringsperiode"/>
    <protectedRange sqref="W86:W87 W79:W83 W73:W77 W67:W71 W65 W63 W59:W60 W54:W56 W48:W49 W41:W43 W35:W39 W31:W33 W29 W24 W18:W19 W15 W12 W8:W10 U86:U87 U79:U83 U73:U77 U67:U71 U65 U63 U59:U60" name="Input"/>
  </protectedRanges>
  <mergeCells count="14">
    <mergeCell ref="B91:D91"/>
    <mergeCell ref="G89:H89"/>
    <mergeCell ref="K89:L89"/>
    <mergeCell ref="M89:N89"/>
    <mergeCell ref="O89:P89"/>
    <mergeCell ref="Q89:R89"/>
    <mergeCell ref="S89:X89"/>
    <mergeCell ref="B3:C3"/>
    <mergeCell ref="B6:E6"/>
    <mergeCell ref="B46:D46"/>
    <mergeCell ref="B52:D52"/>
    <mergeCell ref="B53:D53"/>
    <mergeCell ref="C89:D89"/>
    <mergeCell ref="E89:F89"/>
  </mergeCells>
  <conditionalFormatting sqref="E70:E71">
    <cfRule type="expression" dxfId="158" priority="191">
      <formula>$E$67="ja"</formula>
    </cfRule>
  </conditionalFormatting>
  <conditionalFormatting sqref="E68:E69">
    <cfRule type="expression" dxfId="157" priority="190">
      <formula>$E$67="nej"</formula>
    </cfRule>
  </conditionalFormatting>
  <conditionalFormatting sqref="F29:S29 B29:D29 B27:X28 B44:X44 X29:X43 T29:T36 V40:V43 B30:S36 V29:V37 B37:T43 U38:U43 W38:W43">
    <cfRule type="expression" dxfId="156" priority="189">
      <formula>$E$29="nej"</formula>
    </cfRule>
  </conditionalFormatting>
  <conditionalFormatting sqref="E32">
    <cfRule type="expression" dxfId="155" priority="188">
      <formula>$E$31="nej"</formula>
    </cfRule>
  </conditionalFormatting>
  <conditionalFormatting sqref="E38:E39 W38:W39">
    <cfRule type="expression" dxfId="154" priority="187">
      <formula>$E$35="ja"</formula>
    </cfRule>
  </conditionalFormatting>
  <conditionalFormatting sqref="E42">
    <cfRule type="expression" dxfId="153" priority="186">
      <formula>$E$41="nej"</formula>
    </cfRule>
  </conditionalFormatting>
  <conditionalFormatting sqref="E43">
    <cfRule type="expression" dxfId="152" priority="185">
      <formula>$E$41="ja"</formula>
    </cfRule>
  </conditionalFormatting>
  <conditionalFormatting sqref="V40 V36:V37 E36:E37">
    <cfRule type="expression" dxfId="151" priority="184">
      <formula>$E$35="nej"</formula>
    </cfRule>
  </conditionalFormatting>
  <conditionalFormatting sqref="E33">
    <cfRule type="expression" dxfId="150" priority="183">
      <formula>$E$31="ja"</formula>
    </cfRule>
  </conditionalFormatting>
  <conditionalFormatting sqref="G38:G39">
    <cfRule type="expression" dxfId="149" priority="182">
      <formula>$E$35="ja"</formula>
    </cfRule>
  </conditionalFormatting>
  <conditionalFormatting sqref="G36:G37">
    <cfRule type="expression" dxfId="148" priority="181">
      <formula>$E$35="nej"</formula>
    </cfRule>
  </conditionalFormatting>
  <conditionalFormatting sqref="I38:I39">
    <cfRule type="expression" dxfId="147" priority="180">
      <formula>$E$35="ja"</formula>
    </cfRule>
  </conditionalFormatting>
  <conditionalFormatting sqref="I36:I37">
    <cfRule type="expression" dxfId="146" priority="179">
      <formula>$E$35="nej"</formula>
    </cfRule>
  </conditionalFormatting>
  <conditionalFormatting sqref="K38:K39">
    <cfRule type="expression" dxfId="145" priority="178">
      <formula>$E$35="ja"</formula>
    </cfRule>
  </conditionalFormatting>
  <conditionalFormatting sqref="K36:K37">
    <cfRule type="expression" dxfId="144" priority="177">
      <formula>$E$35="nej"</formula>
    </cfRule>
  </conditionalFormatting>
  <conditionalFormatting sqref="M38:M39">
    <cfRule type="expression" dxfId="143" priority="176">
      <formula>$E$35="ja"</formula>
    </cfRule>
  </conditionalFormatting>
  <conditionalFormatting sqref="M36:M37">
    <cfRule type="expression" dxfId="142" priority="175">
      <formula>$E$35="nej"</formula>
    </cfRule>
  </conditionalFormatting>
  <conditionalFormatting sqref="O38:O39">
    <cfRule type="expression" dxfId="141" priority="174">
      <formula>$E$35="ja"</formula>
    </cfRule>
  </conditionalFormatting>
  <conditionalFormatting sqref="O36:O37">
    <cfRule type="expression" dxfId="140" priority="173">
      <formula>$E$35="nej"</formula>
    </cfRule>
  </conditionalFormatting>
  <conditionalFormatting sqref="Q38:Q39">
    <cfRule type="expression" dxfId="139" priority="172">
      <formula>$E$35="ja"</formula>
    </cfRule>
  </conditionalFormatting>
  <conditionalFormatting sqref="Q36:Q37">
    <cfRule type="expression" dxfId="138" priority="171">
      <formula>$E$35="nej"</formula>
    </cfRule>
  </conditionalFormatting>
  <conditionalFormatting sqref="S38:S39">
    <cfRule type="expression" dxfId="137" priority="170">
      <formula>$E$35="ja"</formula>
    </cfRule>
  </conditionalFormatting>
  <conditionalFormatting sqref="S36:S37">
    <cfRule type="expression" dxfId="136" priority="169">
      <formula>$E$35="nej"</formula>
    </cfRule>
  </conditionalFormatting>
  <conditionalFormatting sqref="I36:I37">
    <cfRule type="expression" dxfId="135" priority="168">
      <formula>$E$35="nej"</formula>
    </cfRule>
  </conditionalFormatting>
  <conditionalFormatting sqref="I40">
    <cfRule type="expression" dxfId="134" priority="167">
      <formula>$E$35="nej"</formula>
    </cfRule>
  </conditionalFormatting>
  <conditionalFormatting sqref="I40">
    <cfRule type="expression" dxfId="133" priority="166">
      <formula>$E$35="nej"</formula>
    </cfRule>
  </conditionalFormatting>
  <conditionalFormatting sqref="I38:I39">
    <cfRule type="expression" dxfId="132" priority="165">
      <formula>$E$35="ja"</formula>
    </cfRule>
  </conditionalFormatting>
  <conditionalFormatting sqref="I36:I37">
    <cfRule type="expression" dxfId="131" priority="164">
      <formula>$E$35="nej"</formula>
    </cfRule>
  </conditionalFormatting>
  <conditionalFormatting sqref="I38:I39">
    <cfRule type="expression" dxfId="130" priority="163">
      <formula>$E$35="ja"</formula>
    </cfRule>
  </conditionalFormatting>
  <conditionalFormatting sqref="I36:I37">
    <cfRule type="expression" dxfId="129" priority="162">
      <formula>$E$35="nej"</formula>
    </cfRule>
  </conditionalFormatting>
  <conditionalFormatting sqref="K38:K39">
    <cfRule type="expression" dxfId="128" priority="161">
      <formula>$E$35="ja"</formula>
    </cfRule>
  </conditionalFormatting>
  <conditionalFormatting sqref="K36:K37">
    <cfRule type="expression" dxfId="127" priority="160">
      <formula>$E$35="nej"</formula>
    </cfRule>
  </conditionalFormatting>
  <conditionalFormatting sqref="M38:M39">
    <cfRule type="expression" dxfId="126" priority="159">
      <formula>$E$35="ja"</formula>
    </cfRule>
  </conditionalFormatting>
  <conditionalFormatting sqref="M36:M37">
    <cfRule type="expression" dxfId="125" priority="158">
      <formula>$E$35="nej"</formula>
    </cfRule>
  </conditionalFormatting>
  <conditionalFormatting sqref="O38:O39">
    <cfRule type="expression" dxfId="124" priority="157">
      <formula>$E$35="ja"</formula>
    </cfRule>
  </conditionalFormatting>
  <conditionalFormatting sqref="O36:O37">
    <cfRule type="expression" dxfId="123" priority="156">
      <formula>$E$35="nej"</formula>
    </cfRule>
  </conditionalFormatting>
  <conditionalFormatting sqref="Q38:Q39">
    <cfRule type="expression" dxfId="122" priority="155">
      <formula>$E$35="ja"</formula>
    </cfRule>
  </conditionalFormatting>
  <conditionalFormatting sqref="Q36:Q37">
    <cfRule type="expression" dxfId="121" priority="154">
      <formula>$E$35="nej"</formula>
    </cfRule>
  </conditionalFormatting>
  <conditionalFormatting sqref="S38:S39">
    <cfRule type="expression" dxfId="120" priority="153">
      <formula>$E$35="ja"</formula>
    </cfRule>
  </conditionalFormatting>
  <conditionalFormatting sqref="S36:S37">
    <cfRule type="expression" dxfId="119" priority="152">
      <formula>$E$35="nej"</formula>
    </cfRule>
  </conditionalFormatting>
  <conditionalFormatting sqref="U29:U36">
    <cfRule type="expression" dxfId="118" priority="151">
      <formula>$E$29="nej"</formula>
    </cfRule>
  </conditionalFormatting>
  <conditionalFormatting sqref="U38:U39">
    <cfRule type="expression" dxfId="117" priority="150">
      <formula>$E$35="ja"</formula>
    </cfRule>
  </conditionalFormatting>
  <conditionalFormatting sqref="U36">
    <cfRule type="expression" dxfId="116" priority="149">
      <formula>$E$35="nej"</formula>
    </cfRule>
  </conditionalFormatting>
  <conditionalFormatting sqref="U38:U39">
    <cfRule type="expression" dxfId="115" priority="148">
      <formula>$E$35="ja"</formula>
    </cfRule>
  </conditionalFormatting>
  <conditionalFormatting sqref="U36">
    <cfRule type="expression" dxfId="114" priority="147">
      <formula>$E$35="nej"</formula>
    </cfRule>
  </conditionalFormatting>
  <conditionalFormatting sqref="W29:W36">
    <cfRule type="expression" dxfId="113" priority="146">
      <formula>$E$29="nej"</formula>
    </cfRule>
  </conditionalFormatting>
  <conditionalFormatting sqref="W38:W39">
    <cfRule type="expression" dxfId="112" priority="145">
      <formula>$E$35="ja"</formula>
    </cfRule>
  </conditionalFormatting>
  <conditionalFormatting sqref="W36">
    <cfRule type="expression" dxfId="111" priority="144">
      <formula>$E$35="nej"</formula>
    </cfRule>
  </conditionalFormatting>
  <conditionalFormatting sqref="W38:W39">
    <cfRule type="expression" dxfId="110" priority="143">
      <formula>$E$35="ja"</formula>
    </cfRule>
  </conditionalFormatting>
  <conditionalFormatting sqref="W36">
    <cfRule type="expression" dxfId="109" priority="142">
      <formula>$E$35="nej"</formula>
    </cfRule>
  </conditionalFormatting>
  <conditionalFormatting sqref="E74:E75">
    <cfRule type="expression" dxfId="108" priority="141">
      <formula>$E$73="nej"</formula>
    </cfRule>
  </conditionalFormatting>
  <conditionalFormatting sqref="E76:E77">
    <cfRule type="expression" dxfId="107" priority="140">
      <formula>$E$73="ja"</formula>
    </cfRule>
  </conditionalFormatting>
  <conditionalFormatting sqref="E80:E81">
    <cfRule type="expression" dxfId="106" priority="139">
      <formula>$E$79="nej"</formula>
    </cfRule>
  </conditionalFormatting>
  <conditionalFormatting sqref="E82:E83">
    <cfRule type="expression" dxfId="105" priority="138">
      <formula>$E$79="ja"</formula>
    </cfRule>
  </conditionalFormatting>
  <conditionalFormatting sqref="M74:M75">
    <cfRule type="expression" dxfId="104" priority="117">
      <formula>$E$73="nej"</formula>
    </cfRule>
  </conditionalFormatting>
  <conditionalFormatting sqref="M76:M77">
    <cfRule type="expression" dxfId="103" priority="116">
      <formula>$E$73="ja"</formula>
    </cfRule>
  </conditionalFormatting>
  <conditionalFormatting sqref="M80:M81">
    <cfRule type="expression" dxfId="102" priority="115">
      <formula>$E$79="nej"</formula>
    </cfRule>
  </conditionalFormatting>
  <conditionalFormatting sqref="M82:M83">
    <cfRule type="expression" dxfId="101" priority="114">
      <formula>$E$79="ja"</formula>
    </cfRule>
  </conditionalFormatting>
  <conditionalFormatting sqref="O74:O75">
    <cfRule type="expression" dxfId="100" priority="111">
      <formula>$E$73="nej"</formula>
    </cfRule>
  </conditionalFormatting>
  <conditionalFormatting sqref="O76:O77">
    <cfRule type="expression" dxfId="99" priority="110">
      <formula>$E$73="ja"</formula>
    </cfRule>
  </conditionalFormatting>
  <conditionalFormatting sqref="O80:O81">
    <cfRule type="expression" dxfId="98" priority="109">
      <formula>$E$79="nej"</formula>
    </cfRule>
  </conditionalFormatting>
  <conditionalFormatting sqref="O82:O83">
    <cfRule type="expression" dxfId="97" priority="108">
      <formula>$E$79="ja"</formula>
    </cfRule>
  </conditionalFormatting>
  <conditionalFormatting sqref="K74:K75">
    <cfRule type="expression" dxfId="96" priority="123">
      <formula>$E$73="nej"</formula>
    </cfRule>
  </conditionalFormatting>
  <conditionalFormatting sqref="K76:K77">
    <cfRule type="expression" dxfId="95" priority="122">
      <formula>$E$73="ja"</formula>
    </cfRule>
  </conditionalFormatting>
  <conditionalFormatting sqref="K80:K81">
    <cfRule type="expression" dxfId="94" priority="121">
      <formula>$E$79="nej"</formula>
    </cfRule>
  </conditionalFormatting>
  <conditionalFormatting sqref="K82:K83">
    <cfRule type="expression" dxfId="93" priority="120">
      <formula>$E$79="ja"</formula>
    </cfRule>
  </conditionalFormatting>
  <conditionalFormatting sqref="E73:E77">
    <cfRule type="expression" dxfId="92" priority="137">
      <formula>E$65="Plugin hybrid diesel"</formula>
    </cfRule>
  </conditionalFormatting>
  <conditionalFormatting sqref="E79:E83">
    <cfRule type="expression" dxfId="91" priority="136">
      <formula>E$65="Plugin hybrid benzin"</formula>
    </cfRule>
  </conditionalFormatting>
  <conditionalFormatting sqref="G74:G75">
    <cfRule type="expression" dxfId="90" priority="135">
      <formula>$E$73="nej"</formula>
    </cfRule>
  </conditionalFormatting>
  <conditionalFormatting sqref="G76:G77">
    <cfRule type="expression" dxfId="89" priority="134">
      <formula>$E$73="ja"</formula>
    </cfRule>
  </conditionalFormatting>
  <conditionalFormatting sqref="G80:G81">
    <cfRule type="expression" dxfId="88" priority="133">
      <formula>$E$79="nej"</formula>
    </cfRule>
  </conditionalFormatting>
  <conditionalFormatting sqref="G82:G83">
    <cfRule type="expression" dxfId="87" priority="132">
      <formula>$E$79="ja"</formula>
    </cfRule>
  </conditionalFormatting>
  <conditionalFormatting sqref="G73:G77">
    <cfRule type="expression" dxfId="86" priority="131">
      <formula>G$65="Plugin hybrid diesel"</formula>
    </cfRule>
  </conditionalFormatting>
  <conditionalFormatting sqref="G79:G83">
    <cfRule type="expression" dxfId="85" priority="130">
      <formula>G$65="Plugin hybrid benzin"</formula>
    </cfRule>
  </conditionalFormatting>
  <conditionalFormatting sqref="I74:I75">
    <cfRule type="expression" dxfId="84" priority="129">
      <formula>$E$73="nej"</formula>
    </cfRule>
  </conditionalFormatting>
  <conditionalFormatting sqref="I76:I77">
    <cfRule type="expression" dxfId="83" priority="128">
      <formula>$E$73="ja"</formula>
    </cfRule>
  </conditionalFormatting>
  <conditionalFormatting sqref="I80:I81">
    <cfRule type="expression" dxfId="82" priority="127">
      <formula>$E$79="nej"</formula>
    </cfRule>
  </conditionalFormatting>
  <conditionalFormatting sqref="I82:I83">
    <cfRule type="expression" dxfId="81" priority="126">
      <formula>$E$79="ja"</formula>
    </cfRule>
  </conditionalFormatting>
  <conditionalFormatting sqref="I73:I77">
    <cfRule type="expression" dxfId="80" priority="125">
      <formula>I$65="Plugin hybrid diesel"</formula>
    </cfRule>
  </conditionalFormatting>
  <conditionalFormatting sqref="I79:I83">
    <cfRule type="expression" dxfId="79" priority="124">
      <formula>I$65="Plugin hybrid benzin"</formula>
    </cfRule>
  </conditionalFormatting>
  <conditionalFormatting sqref="K73:K77">
    <cfRule type="expression" dxfId="78" priority="119">
      <formula>K$65="Plugin hybrid diesel"</formula>
    </cfRule>
  </conditionalFormatting>
  <conditionalFormatting sqref="K79:K83">
    <cfRule type="expression" dxfId="77" priority="118">
      <formula>K$65="Plugin hybrid benzin"</formula>
    </cfRule>
  </conditionalFormatting>
  <conditionalFormatting sqref="M73:M77">
    <cfRule type="expression" dxfId="76" priority="113">
      <formula>M$65="Plugin hybrid diesel"</formula>
    </cfRule>
  </conditionalFormatting>
  <conditionalFormatting sqref="M79:M83">
    <cfRule type="expression" dxfId="75" priority="112">
      <formula>M$65="Plugin hybrid benzin"</formula>
    </cfRule>
  </conditionalFormatting>
  <conditionalFormatting sqref="O73:O77">
    <cfRule type="expression" dxfId="74" priority="107">
      <formula>O$65="Plugin hybrid diesel"</formula>
    </cfRule>
  </conditionalFormatting>
  <conditionalFormatting sqref="O79:O83">
    <cfRule type="expression" dxfId="73" priority="106">
      <formula>O$65="Plugin hybrid benzin"</formula>
    </cfRule>
  </conditionalFormatting>
  <conditionalFormatting sqref="Q74:Q75">
    <cfRule type="expression" dxfId="72" priority="105">
      <formula>$E$73="nej"</formula>
    </cfRule>
  </conditionalFormatting>
  <conditionalFormatting sqref="Q76:Q77">
    <cfRule type="expression" dxfId="71" priority="104">
      <formula>$E$73="ja"</formula>
    </cfRule>
  </conditionalFormatting>
  <conditionalFormatting sqref="Q80:Q81">
    <cfRule type="expression" dxfId="70" priority="103">
      <formula>$E$79="nej"</formula>
    </cfRule>
  </conditionalFormatting>
  <conditionalFormatting sqref="Q82:Q83">
    <cfRule type="expression" dxfId="69" priority="102">
      <formula>$E$79="ja"</formula>
    </cfRule>
  </conditionalFormatting>
  <conditionalFormatting sqref="Q73:Q77">
    <cfRule type="expression" dxfId="68" priority="101">
      <formula>Q$65="Plugin hybrid diesel"</formula>
    </cfRule>
  </conditionalFormatting>
  <conditionalFormatting sqref="Q79:Q83">
    <cfRule type="expression" dxfId="67" priority="100">
      <formula>Q$65="Plugin hybrid benzin"</formula>
    </cfRule>
  </conditionalFormatting>
  <conditionalFormatting sqref="S74:S75">
    <cfRule type="expression" dxfId="66" priority="99">
      <formula>$E$73="nej"</formula>
    </cfRule>
  </conditionalFormatting>
  <conditionalFormatting sqref="S76:S77">
    <cfRule type="expression" dxfId="65" priority="98">
      <formula>$E$73="ja"</formula>
    </cfRule>
  </conditionalFormatting>
  <conditionalFormatting sqref="S80:S81">
    <cfRule type="expression" dxfId="64" priority="97">
      <formula>$E$79="nej"</formula>
    </cfRule>
  </conditionalFormatting>
  <conditionalFormatting sqref="S82:S83">
    <cfRule type="expression" dxfId="63" priority="96">
      <formula>$E$79="ja"</formula>
    </cfRule>
  </conditionalFormatting>
  <conditionalFormatting sqref="S73:S77">
    <cfRule type="expression" dxfId="62" priority="95">
      <formula>S$65="Plugin hybrid diesel"</formula>
    </cfRule>
  </conditionalFormatting>
  <conditionalFormatting sqref="S79:S83">
    <cfRule type="expression" dxfId="61" priority="94">
      <formula>S$65="Plugin hybrid benzin"</formula>
    </cfRule>
  </conditionalFormatting>
  <conditionalFormatting sqref="U74:U75">
    <cfRule type="expression" dxfId="60" priority="93">
      <formula>$E$73="nej"</formula>
    </cfRule>
  </conditionalFormatting>
  <conditionalFormatting sqref="U76:U77">
    <cfRule type="expression" dxfId="59" priority="92">
      <formula>$E$73="ja"</formula>
    </cfRule>
  </conditionalFormatting>
  <conditionalFormatting sqref="U80:U81">
    <cfRule type="expression" dxfId="58" priority="91">
      <formula>$E$79="nej"</formula>
    </cfRule>
  </conditionalFormatting>
  <conditionalFormatting sqref="U82:U83">
    <cfRule type="expression" dxfId="57" priority="90">
      <formula>$E$79="ja"</formula>
    </cfRule>
  </conditionalFormatting>
  <conditionalFormatting sqref="U73:U77">
    <cfRule type="expression" dxfId="56" priority="89">
      <formula>U$65="Plugin hybrid diesel"</formula>
    </cfRule>
  </conditionalFormatting>
  <conditionalFormatting sqref="U79:U83">
    <cfRule type="expression" dxfId="55" priority="88">
      <formula>U$65="Plugin hybrid benzin"</formula>
    </cfRule>
  </conditionalFormatting>
  <conditionalFormatting sqref="I37">
    <cfRule type="expression" dxfId="54" priority="81">
      <formula>$E$35="nej"</formula>
    </cfRule>
  </conditionalFormatting>
  <conditionalFormatting sqref="K37">
    <cfRule type="expression" dxfId="53" priority="80">
      <formula>$E$35="nej"</formula>
    </cfRule>
  </conditionalFormatting>
  <conditionalFormatting sqref="M37">
    <cfRule type="expression" dxfId="52" priority="79">
      <formula>$E$35="nej"</formula>
    </cfRule>
  </conditionalFormatting>
  <conditionalFormatting sqref="O37">
    <cfRule type="expression" dxfId="51" priority="78">
      <formula>$E$35="nej"</formula>
    </cfRule>
  </conditionalFormatting>
  <conditionalFormatting sqref="Q37">
    <cfRule type="expression" dxfId="50" priority="77">
      <formula>$E$35="nej"</formula>
    </cfRule>
  </conditionalFormatting>
  <conditionalFormatting sqref="S37">
    <cfRule type="expression" dxfId="49" priority="76">
      <formula>$E$35="nej"</formula>
    </cfRule>
  </conditionalFormatting>
  <conditionalFormatting sqref="U37">
    <cfRule type="expression" dxfId="48" priority="75">
      <formula>$E$29="nej"</formula>
    </cfRule>
  </conditionalFormatting>
  <conditionalFormatting sqref="U37">
    <cfRule type="expression" dxfId="47" priority="74">
      <formula>$E$35="nej"</formula>
    </cfRule>
  </conditionalFormatting>
  <conditionalFormatting sqref="W37">
    <cfRule type="expression" dxfId="46" priority="73">
      <formula>$E$29="nej"</formula>
    </cfRule>
  </conditionalFormatting>
  <conditionalFormatting sqref="W37">
    <cfRule type="expression" dxfId="45" priority="72">
      <formula>$E$35="nej"</formula>
    </cfRule>
  </conditionalFormatting>
  <conditionalFormatting sqref="E73:E77 E79:E83">
    <cfRule type="expression" dxfId="44" priority="71">
      <formula>$E$65="el"</formula>
    </cfRule>
  </conditionalFormatting>
  <conditionalFormatting sqref="G73:G77 G79:G83">
    <cfRule type="expression" dxfId="43" priority="70">
      <formula>$G$65="el"</formula>
    </cfRule>
  </conditionalFormatting>
  <conditionalFormatting sqref="I73:I77 I79:I83">
    <cfRule type="expression" dxfId="42" priority="69">
      <formula>$I$65="el"</formula>
    </cfRule>
  </conditionalFormatting>
  <conditionalFormatting sqref="K73:K77 K79:K83">
    <cfRule type="expression" dxfId="41" priority="68">
      <formula>$K$65="el"</formula>
    </cfRule>
  </conditionalFormatting>
  <conditionalFormatting sqref="M73:M77 M79:M83">
    <cfRule type="expression" dxfId="40" priority="67">
      <formula>$M$65="el"</formula>
    </cfRule>
  </conditionalFormatting>
  <conditionalFormatting sqref="O73:O77 O79:O83">
    <cfRule type="expression" dxfId="39" priority="66">
      <formula>$O$65="el"</formula>
    </cfRule>
  </conditionalFormatting>
  <conditionalFormatting sqref="Q73:Q77 Q79:Q83">
    <cfRule type="expression" dxfId="38" priority="65">
      <formula>$Q$65="el"</formula>
    </cfRule>
  </conditionalFormatting>
  <conditionalFormatting sqref="S73:S77 S79:S83">
    <cfRule type="expression" dxfId="37" priority="64">
      <formula>$S$65="el"</formula>
    </cfRule>
  </conditionalFormatting>
  <conditionalFormatting sqref="U73:U77 U79:U83">
    <cfRule type="expression" dxfId="36" priority="63">
      <formula>$U$65="el"</formula>
    </cfRule>
  </conditionalFormatting>
  <conditionalFormatting sqref="W74:W75">
    <cfRule type="expression" dxfId="35" priority="62">
      <formula>$E$73="nej"</formula>
    </cfRule>
  </conditionalFormatting>
  <conditionalFormatting sqref="W76:W77">
    <cfRule type="expression" dxfId="34" priority="61">
      <formula>$E$73="ja"</formula>
    </cfRule>
  </conditionalFormatting>
  <conditionalFormatting sqref="W73:W77">
    <cfRule type="expression" dxfId="33" priority="60">
      <formula>W$65="Plugin hybrid diesel"</formula>
    </cfRule>
  </conditionalFormatting>
  <conditionalFormatting sqref="W73:W77">
    <cfRule type="expression" dxfId="32" priority="59">
      <formula>$W$65="el"</formula>
    </cfRule>
  </conditionalFormatting>
  <conditionalFormatting sqref="W80:W81">
    <cfRule type="expression" dxfId="31" priority="54">
      <formula>$E$79="nej"</formula>
    </cfRule>
  </conditionalFormatting>
  <conditionalFormatting sqref="W82:W83">
    <cfRule type="expression" dxfId="30" priority="53">
      <formula>$E$79="ja"</formula>
    </cfRule>
  </conditionalFormatting>
  <conditionalFormatting sqref="W79:W83">
    <cfRule type="expression" dxfId="29" priority="52">
      <formula>W$65="Plugin hybrid benzin"</formula>
    </cfRule>
  </conditionalFormatting>
  <conditionalFormatting sqref="W79:W83">
    <cfRule type="expression" dxfId="28" priority="51">
      <formula>$W$65="el"</formula>
    </cfRule>
  </conditionalFormatting>
  <conditionalFormatting sqref="E63">
    <cfRule type="expression" dxfId="27" priority="50">
      <formula>$E$67="nej"</formula>
    </cfRule>
  </conditionalFormatting>
  <conditionalFormatting sqref="E59:E60">
    <cfRule type="expression" dxfId="26" priority="49">
      <formula>$E$67="nej"</formula>
    </cfRule>
  </conditionalFormatting>
  <conditionalFormatting sqref="G59:G60">
    <cfRule type="expression" dxfId="25" priority="31">
      <formula>$E$67="nej"</formula>
    </cfRule>
  </conditionalFormatting>
  <conditionalFormatting sqref="I60">
    <cfRule type="expression" dxfId="24" priority="30">
      <formula>$E$67="nej"</formula>
    </cfRule>
  </conditionalFormatting>
  <conditionalFormatting sqref="K60">
    <cfRule type="expression" dxfId="23" priority="29">
      <formula>$E$67="nej"</formula>
    </cfRule>
  </conditionalFormatting>
  <conditionalFormatting sqref="M60">
    <cfRule type="expression" dxfId="22" priority="28">
      <formula>$E$67="nej"</formula>
    </cfRule>
  </conditionalFormatting>
  <conditionalFormatting sqref="O60">
    <cfRule type="expression" dxfId="21" priority="27">
      <formula>$E$67="nej"</formula>
    </cfRule>
  </conditionalFormatting>
  <conditionalFormatting sqref="Q60">
    <cfRule type="expression" dxfId="20" priority="26">
      <formula>$E$67="nej"</formula>
    </cfRule>
  </conditionalFormatting>
  <conditionalFormatting sqref="S60">
    <cfRule type="expression" dxfId="19" priority="25">
      <formula>$E$67="nej"</formula>
    </cfRule>
  </conditionalFormatting>
  <conditionalFormatting sqref="U60">
    <cfRule type="expression" dxfId="18" priority="24">
      <formula>$E$67="nej"</formula>
    </cfRule>
  </conditionalFormatting>
  <conditionalFormatting sqref="W60">
    <cfRule type="expression" dxfId="17" priority="23">
      <formula>$E$67="nej"</formula>
    </cfRule>
  </conditionalFormatting>
  <conditionalFormatting sqref="I59">
    <cfRule type="expression" dxfId="16" priority="22">
      <formula>$E$67="nej"</formula>
    </cfRule>
  </conditionalFormatting>
  <conditionalFormatting sqref="K59">
    <cfRule type="expression" dxfId="15" priority="21">
      <formula>$E$67="nej"</formula>
    </cfRule>
  </conditionalFormatting>
  <conditionalFormatting sqref="M59">
    <cfRule type="expression" dxfId="14" priority="20">
      <formula>$E$67="nej"</formula>
    </cfRule>
  </conditionalFormatting>
  <conditionalFormatting sqref="O59">
    <cfRule type="expression" dxfId="13" priority="19">
      <formula>$E$67="nej"</formula>
    </cfRule>
  </conditionalFormatting>
  <conditionalFormatting sqref="Q59">
    <cfRule type="expression" dxfId="12" priority="18">
      <formula>$E$67="nej"</formula>
    </cfRule>
  </conditionalFormatting>
  <conditionalFormatting sqref="S59">
    <cfRule type="expression" dxfId="11" priority="17">
      <formula>$E$67="nej"</formula>
    </cfRule>
  </conditionalFormatting>
  <conditionalFormatting sqref="U59">
    <cfRule type="expression" dxfId="10" priority="16">
      <formula>$E$67="nej"</formula>
    </cfRule>
  </conditionalFormatting>
  <conditionalFormatting sqref="W59">
    <cfRule type="expression" dxfId="9" priority="15">
      <formula>$E$67="nej"</formula>
    </cfRule>
  </conditionalFormatting>
  <conditionalFormatting sqref="O63">
    <cfRule type="expression" dxfId="8" priority="9">
      <formula>$E$67="nej"</formula>
    </cfRule>
  </conditionalFormatting>
  <conditionalFormatting sqref="Q63">
    <cfRule type="expression" dxfId="7" priority="8">
      <formula>$E$67="nej"</formula>
    </cfRule>
  </conditionalFormatting>
  <conditionalFormatting sqref="S63">
    <cfRule type="expression" dxfId="6" priority="7">
      <formula>$E$67="nej"</formula>
    </cfRule>
  </conditionalFormatting>
  <conditionalFormatting sqref="U63">
    <cfRule type="expression" dxfId="5" priority="6">
      <formula>$E$67="nej"</formula>
    </cfRule>
  </conditionalFormatting>
  <conditionalFormatting sqref="W63">
    <cfRule type="expression" dxfId="4" priority="5">
      <formula>$E$67="nej"</formula>
    </cfRule>
  </conditionalFormatting>
  <conditionalFormatting sqref="G63">
    <cfRule type="expression" dxfId="3" priority="4">
      <formula>$E$67="nej"</formula>
    </cfRule>
  </conditionalFormatting>
  <conditionalFormatting sqref="I63">
    <cfRule type="expression" dxfId="2" priority="3">
      <formula>$E$67="nej"</formula>
    </cfRule>
  </conditionalFormatting>
  <conditionalFormatting sqref="K63">
    <cfRule type="expression" dxfId="1" priority="2">
      <formula>$E$67="nej"</formula>
    </cfRule>
  </conditionalFormatting>
  <conditionalFormatting sqref="M63">
    <cfRule type="expression" dxfId="0" priority="1">
      <formula>$E$67="nej"</formula>
    </cfRule>
  </conditionalFormatting>
  <dataValidations count="6">
    <dataValidation operator="greaterThanOrEqual" allowBlank="1" showInputMessage="1" showErrorMessage="1" error="Indtast et positivt tal" sqref="H24 J24 L24 N24 P24 R24 T24 V24" xr:uid="{16C523C1-E6C6-415E-8DCA-102AE776EF4B}"/>
    <dataValidation allowBlank="1" showInputMessage="1" showErrorMessage="1" errorTitle="Elpris" error="Indtast et tal mellem 0 og 10" sqref="U68 W68 E68:S68 O74:O76 E74:E76 U74:U76 G74:G76 I74:I76 K74:K76 S74:S76 M74:M76 Q74:Q76 W74:W76 E63 S59:S60 W63 W59:W60 G63 I63 K63 O63 Q63 S63 U63 Q59:Q60 O59:O60 M59:M60 K59:K60 I59:I60 U59:U60 E59:E60 G59:G60 M63" xr:uid="{36D2371E-F046-4DA6-BF9A-A59ED73621B8}"/>
    <dataValidation type="decimal" allowBlank="1" showInputMessage="1" showErrorMessage="1" error="Indtast et tal mellem 0 og 25" sqref="E55" xr:uid="{AE8AA8BD-8022-4495-99EE-A9CC7641FD38}">
      <formula1>0</formula1>
      <formula2>25</formula2>
    </dataValidation>
    <dataValidation type="decimal" allowBlank="1" showInputMessage="1" showErrorMessage="1" error="Indtast et tal mellem 0 og 10" sqref="E69 E77 W77 U77 G77 I77 K77 M77 O77 Q77 S77 E56" xr:uid="{D4B0A95B-83B6-4B08-AD2F-F3DBD84625C5}">
      <formula1>0</formula1>
      <formula2>10</formula2>
    </dataValidation>
    <dataValidation type="decimal" operator="greaterThanOrEqual" allowBlank="1" showInputMessage="1" showErrorMessage="1" error="Indtast et positivt tal" sqref="E48:E49 G48:G49 K48:K49 I48:I49 O48:O49 M48:M49 Q48:Q49 W48:W49 S48:S49 U48:U49 E24 G24 I24 K24 M24 O24 Q24 S24 U24 W24 U15:U19 S15:S19 W15:W19 E15:E19 G15:G19 I15:I19 K15:K19 M15:M19 O15:O19 Q15:Q19 Q12:Q13 O12:O13 M12:M13 K12:K13 I12:I13 G12:G13 E12:E13 U12:U13 W12:W13 S12:S13" xr:uid="{5E31FB60-6B9E-4542-8864-B0EF0E51353C}">
      <formula1>0</formula1>
    </dataValidation>
    <dataValidation type="custom" allowBlank="1" showInputMessage="1" showErrorMessage="1" error="Sum af tid i alle tre tilstande må ikke overstige 100%" sqref="G85 U85 S85 W85 Q85 E85 I85 K85 M85 O85" xr:uid="{B71B0D6A-E9AE-409A-9F39-C9A782E0771D}">
      <formula1>SUM(E$93:E$98)&lt;=100</formula1>
    </dataValidation>
  </dataValidations>
  <pageMargins left="0.25" right="0.25" top="0.75" bottom="0.75" header="0.3" footer="0.3"/>
  <pageSetup paperSize="8" scale="95" orientation="portrait"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errorTitle="Tidsperiode" error="Indtast et tal mellem 0 og 40" xr:uid="{1A5614ED-E44E-45D7-95D3-389E62A5C5EB}">
          <x14:formula1>
            <xm:f>Fremskrivninger!$A$9:$A$38</xm:f>
          </x14:formula1>
          <xm:sqref>E54 G54 I54 K54 M54 O54 Q54 W54 S54 U54</xm:sqref>
        </x14:dataValidation>
        <x14:dataValidation type="list" operator="greaterThanOrEqual" allowBlank="1" showInputMessage="1" showErrorMessage="1" error="Indtast et positivt tal" xr:uid="{2409C07E-A192-4AC0-AFE9-D87670F88BDA}">
          <x14:formula1>
            <xm:f>Fremskrivninger!$P$2:$P$3</xm:f>
          </x14:formula1>
          <xm:sqref>U29 U31 W31 S31 S29 S35 S41 E67 G67 Q67 I67 K67 M67 O67 U41 Q29 O29 M29 K29 I29 G29 E29 Q31 O31 M31 K31 I31 G31 E31 E41 G41 Q41 I41 K41 M41 O41 W67 E35 E73 G35 Q35 I35 K35 M35 O35 S67 U67 W29 W35 W41 U35 E79 U73 U79 G73 G79 I73 I79 K73 K79 M73 M79 O73 O79 Q73 Q79 S73 S79 W73 W79</xm:sqref>
        </x14:dataValidation>
        <x14:dataValidation type="list" operator="greaterThanOrEqual" allowBlank="1" showInputMessage="1" showErrorMessage="1" error="Indtast et positivt tal" xr:uid="{6FEE51E1-908E-4A84-B490-644EC5ABEAA3}">
          <x14:formula1>
            <xm:f>'IB - E&amp;PH'!$AA$1:$AA$4</xm:f>
          </x14:formula1>
          <xm:sqref>E65 I65 O65 K65 M65 W65 Q65 S65 U65 G65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CE971-10C4-4381-9FCA-0E5091C282B6}">
  <sheetPr codeName="Sheet6">
    <tabColor theme="3"/>
  </sheetPr>
  <dimension ref="A1:AA206"/>
  <sheetViews>
    <sheetView topLeftCell="C184" zoomScaleNormal="100" workbookViewId="0">
      <selection activeCell="W187" sqref="W187:X206"/>
    </sheetView>
  </sheetViews>
  <sheetFormatPr defaultColWidth="9.140625" defaultRowHeight="15" outlineLevelRow="1"/>
  <cols>
    <col min="1" max="1" width="9.140625" style="2"/>
    <col min="2" max="2" width="14.140625" style="2" customWidth="1"/>
    <col min="3" max="3" width="17.42578125" style="2" customWidth="1"/>
    <col min="4" max="4" width="20" style="2" customWidth="1"/>
    <col min="5" max="5" width="22.7109375" style="2" customWidth="1"/>
    <col min="6" max="6" width="9.140625" style="2"/>
    <col min="7" max="7" width="9.42578125" style="2" bestFit="1" customWidth="1"/>
    <col min="8" max="8" width="9.140625" style="2"/>
    <col min="9" max="9" width="9.42578125" style="2" bestFit="1" customWidth="1"/>
    <col min="10" max="10" width="9.140625" style="2"/>
    <col min="11" max="11" width="11.7109375" style="2" customWidth="1"/>
    <col min="12" max="12" width="9.140625" style="2"/>
    <col min="13" max="13" width="9.42578125" style="2" bestFit="1" customWidth="1"/>
    <col min="14" max="14" width="9.140625" style="2"/>
    <col min="15" max="15" width="9.42578125" style="2" bestFit="1" customWidth="1"/>
    <col min="16" max="16" width="9.140625" style="2"/>
    <col min="17" max="17" width="9.42578125" style="2" bestFit="1" customWidth="1"/>
    <col min="18" max="18" width="9.140625" style="2"/>
    <col min="19" max="19" width="9.42578125" style="2" bestFit="1" customWidth="1"/>
    <col min="20" max="24" width="9.140625" style="2"/>
    <col min="25" max="25" width="13" style="2" customWidth="1"/>
    <col min="26" max="26" width="20.140625" style="2" customWidth="1"/>
    <col min="27" max="16384" width="9.140625" style="2"/>
  </cols>
  <sheetData>
    <row r="1" spans="1:27">
      <c r="AA1" s="444" t="s">
        <v>125</v>
      </c>
    </row>
    <row r="2" spans="1:27">
      <c r="A2" s="146" t="s">
        <v>26</v>
      </c>
      <c r="E2" s="498" t="str">
        <f>E25</f>
        <v>PRODUKT 1 EL</v>
      </c>
      <c r="F2" s="498"/>
      <c r="G2" s="498" t="str">
        <f t="shared" ref="G2:W2" si="0">G25</f>
        <v>PRODUKT 2 EL</v>
      </c>
      <c r="H2" s="498"/>
      <c r="I2" s="498" t="str">
        <f t="shared" si="0"/>
        <v>PRODUKT 3 EL</v>
      </c>
      <c r="J2" s="498"/>
      <c r="K2" s="498" t="str">
        <f t="shared" si="0"/>
        <v>PRODUKT 4 EL</v>
      </c>
      <c r="L2" s="498"/>
      <c r="M2" s="498" t="str">
        <f t="shared" si="0"/>
        <v>PRODUKT 5 EL</v>
      </c>
      <c r="N2" s="498"/>
      <c r="O2" s="498" t="str">
        <f t="shared" si="0"/>
        <v>PRODUKT 6 EL</v>
      </c>
      <c r="P2" s="498"/>
      <c r="Q2" s="498" t="str">
        <f t="shared" si="0"/>
        <v>PRODUKT 7 EL</v>
      </c>
      <c r="R2" s="498"/>
      <c r="S2" s="498" t="str">
        <f t="shared" si="0"/>
        <v>PRODUKT 8 EL</v>
      </c>
      <c r="T2" s="498"/>
      <c r="U2" s="498" t="str">
        <f t="shared" si="0"/>
        <v>PRODUKT 9 EL</v>
      </c>
      <c r="V2" s="498"/>
      <c r="W2" s="498" t="str">
        <f t="shared" si="0"/>
        <v>PRODUKT 10 EL</v>
      </c>
      <c r="AA2" s="445" t="s">
        <v>158</v>
      </c>
    </row>
    <row r="3" spans="1:27">
      <c r="A3" s="291" t="s">
        <v>20</v>
      </c>
      <c r="B3" s="292" t="s">
        <v>77</v>
      </c>
      <c r="C3" s="293" t="s">
        <v>186</v>
      </c>
      <c r="D3" s="293" t="s">
        <v>187</v>
      </c>
      <c r="E3" s="149"/>
      <c r="F3" s="149"/>
      <c r="G3" s="149"/>
      <c r="H3" s="149"/>
      <c r="I3" s="149"/>
      <c r="J3" s="149"/>
      <c r="K3" s="149"/>
      <c r="L3" s="149"/>
      <c r="M3" s="149"/>
      <c r="N3" s="149"/>
      <c r="O3" s="149"/>
      <c r="P3" s="149"/>
      <c r="Q3" s="149"/>
      <c r="R3" s="149"/>
      <c r="S3" s="149"/>
      <c r="U3" s="149"/>
      <c r="W3" s="149"/>
      <c r="AA3" s="445" t="s">
        <v>154</v>
      </c>
    </row>
    <row r="4" spans="1:27">
      <c r="A4" s="294">
        <v>1</v>
      </c>
      <c r="B4" s="273">
        <f>IF('El og plugin hybrid'!$E$67="ja",'El og plugin hybrid'!$E$68,'El og plugin hybrid'!$E$70)</f>
        <v>1.851</v>
      </c>
      <c r="C4" s="295">
        <f>IF('El og plugin hybrid'!$E$73="ja",'El og plugin hybrid'!$E$74,'El og plugin hybrid'!$E$76)</f>
        <v>8.7367999999999988</v>
      </c>
      <c r="D4" s="295">
        <f>IF('El og plugin hybrid'!$E$79="ja",'El og plugin hybrid'!$E$80,'El og plugin hybrid'!$E$82)</f>
        <v>7.6283999999999992</v>
      </c>
      <c r="E4" s="299">
        <f>'El og plugin hybrid'!E$48*(IF($A4&lt;='El og plugin hybrid'!E$55,(IF('El og plugin hybrid'!E$63=0,(('El og plugin hybrid'!E$49*'El og plugin hybrid'!E$15/1000)*$B4),('El og plugin hybrid'!E$63)))*(1+'El og plugin hybrid'!E$56)^-$A4,0)+IF('El og plugin hybrid'!E$24=0,0,(IF($A4&lt;='El og plugin hybrid'!E$55,'El og plugin hybrid'!E$49/'El og plugin hybrid'!E$24*IF('El og plugin hybrid'!E$65="plugin hybrid benzin",$C4,IF('El og plugin hybrid'!E$65="plugin hybrid diesel",$D4,0)),0))*(1+'El og plugin hybrid'!E$56)^-$A4))</f>
        <v>0</v>
      </c>
      <c r="F4" s="299"/>
      <c r="G4" s="299">
        <f>'El og plugin hybrid'!G$48*(IF($A4&lt;='El og plugin hybrid'!G$55,(IF('El og plugin hybrid'!G$63=0,(('El og plugin hybrid'!G$49*'El og plugin hybrid'!G$15/1000)*$B4),('El og plugin hybrid'!G$63)))*(1+'El og plugin hybrid'!G$56)^-$A4,0)+IF('El og plugin hybrid'!G$24=0,0,(IF($A4&lt;='El og plugin hybrid'!G$55,'El og plugin hybrid'!G$49/'El og plugin hybrid'!G$24*IF('El og plugin hybrid'!G$65="plugin hybrid benzin",$C4,IF('El og plugin hybrid'!G$65="plugin hybrid diesel",$D4,0)),0))*(1+'El og plugin hybrid'!G$56)^-$A4))</f>
        <v>0</v>
      </c>
      <c r="H4" s="299"/>
      <c r="I4" s="299">
        <f>'El og plugin hybrid'!I$48*(IF($A4&lt;='El og plugin hybrid'!I$55,(IF('El og plugin hybrid'!I$63=0,(('El og plugin hybrid'!I$49*'El og plugin hybrid'!I$15/1000)*$B4),('El og plugin hybrid'!I$63)))*(1+'El og plugin hybrid'!I$56)^-$A4,0)+IF('El og plugin hybrid'!I$24=0,0,(IF($A4&lt;='El og plugin hybrid'!I$55,'El og plugin hybrid'!I$49/'El og plugin hybrid'!I$24*IF('El og plugin hybrid'!I$65="plugin hybrid benzin",$C4,IF('El og plugin hybrid'!I$65="plugin hybrid diesel",$D4,0)),0))*(1+'El og plugin hybrid'!I$56)^-$A4))</f>
        <v>0</v>
      </c>
      <c r="J4" s="299"/>
      <c r="K4" s="299">
        <f>'El og plugin hybrid'!K$48*(IF($A4&lt;='El og plugin hybrid'!K$55,(IF('El og plugin hybrid'!K$63=0,(('El og plugin hybrid'!K$49*'El og plugin hybrid'!K$15/1000)*$B4),('El og plugin hybrid'!K$63)))*(1+'El og plugin hybrid'!K$56)^-$A4,0)+IF('El og plugin hybrid'!K$24=0,0,(IF($A4&lt;='El og plugin hybrid'!K$55,'El og plugin hybrid'!K$49/'El og plugin hybrid'!K$24*IF('El og plugin hybrid'!K$65="plugin hybrid benzin",$C4,IF('El og plugin hybrid'!K$65="plugin hybrid diesel",$D4,0)),0))*(1+'El og plugin hybrid'!K$56)^-$A4))</f>
        <v>0</v>
      </c>
      <c r="L4" s="299"/>
      <c r="M4" s="299">
        <f>'El og plugin hybrid'!M$48*(IF($A4&lt;='El og plugin hybrid'!M$55,(IF('El og plugin hybrid'!M$63=0,(('El og plugin hybrid'!M$49*'El og plugin hybrid'!M$15/1000)*$B4),('El og plugin hybrid'!M$63)))*(1+'El og plugin hybrid'!M$56)^-$A4,0)+IF('El og plugin hybrid'!M$24=0,0,(IF($A4&lt;='El og plugin hybrid'!M$55,'El og plugin hybrid'!M$49/'El og plugin hybrid'!M$24*IF('El og plugin hybrid'!M$65="plugin hybrid benzin",$C4,IF('El og plugin hybrid'!M$65="plugin hybrid diesel",$D4,0)),0))*(1+'El og plugin hybrid'!M$56)^-$A4))</f>
        <v>0</v>
      </c>
      <c r="N4" s="299"/>
      <c r="O4" s="299">
        <f>'El og plugin hybrid'!O$48*(IF($A4&lt;='El og plugin hybrid'!O$55,(IF('El og plugin hybrid'!O$63=0,(('El og plugin hybrid'!O$49*'El og plugin hybrid'!O$15/1000)*$B4),('El og plugin hybrid'!O$63)))*(1+'El og plugin hybrid'!O$56)^-$A4,0)+IF('El og plugin hybrid'!O$24=0,0,(IF($A4&lt;='El og plugin hybrid'!O$55,'El og plugin hybrid'!O$49/'El og plugin hybrid'!O$24*IF('El og plugin hybrid'!O$65="plugin hybrid benzin",$C4,IF('El og plugin hybrid'!O$65="plugin hybrid diesel",$D4,0)),0))*(1+'El og plugin hybrid'!O$56)^-$A4))</f>
        <v>0</v>
      </c>
      <c r="P4" s="299"/>
      <c r="Q4" s="299">
        <f>'El og plugin hybrid'!Q$48*(IF($A4&lt;='El og plugin hybrid'!Q$55,(IF('El og plugin hybrid'!Q$63=0,(('El og plugin hybrid'!Q$49*'El og plugin hybrid'!Q$15/1000)*$B4),('El og plugin hybrid'!Q$63)))*(1+'El og plugin hybrid'!Q$56)^-$A4,0)+IF('El og plugin hybrid'!Q$24=0,0,(IF($A4&lt;='El og plugin hybrid'!Q$55,'El og plugin hybrid'!Q$49/'El og plugin hybrid'!Q$24*IF('El og plugin hybrid'!Q$65="plugin hybrid benzin",$C4,IF('El og plugin hybrid'!Q$65="plugin hybrid diesel",$D4,0)),0))*(1+'El og plugin hybrid'!Q$56)^-$A4))</f>
        <v>0</v>
      </c>
      <c r="R4" s="299"/>
      <c r="S4" s="299">
        <f>'El og plugin hybrid'!S$48*(IF($A4&lt;='El og plugin hybrid'!S$55,(IF('El og plugin hybrid'!S$63=0,(('El og plugin hybrid'!S$49*'El og plugin hybrid'!S$15/1000)*$B4),('El og plugin hybrid'!S$63)))*(1+'El og plugin hybrid'!S$56)^-$A4,0)+IF('El og plugin hybrid'!S$24=0,0,(IF($A4&lt;='El og plugin hybrid'!S$55,'El og plugin hybrid'!S$49/'El og plugin hybrid'!S$24*IF('El og plugin hybrid'!S$65="plugin hybrid benzin",$C4,IF('El og plugin hybrid'!S$65="plugin hybrid diesel",$D4,0)),0))*(1+'El og plugin hybrid'!S$56)^-$A4))</f>
        <v>0</v>
      </c>
      <c r="U4" s="299">
        <f>'El og plugin hybrid'!U$48*(IF($A4&lt;='El og plugin hybrid'!U$55,(IF('El og plugin hybrid'!U$63=0,(('El og plugin hybrid'!U$49*'El og plugin hybrid'!U$15/1000)*$B4),('El og plugin hybrid'!U$63)))*(1+'El og plugin hybrid'!U$56)^-$A4,0)+IF('El og plugin hybrid'!U$24=0,0,(IF($A4&lt;='El og plugin hybrid'!U$55,'El og plugin hybrid'!U$49/'El og plugin hybrid'!U$24*IF('El og plugin hybrid'!U$65="plugin hybrid benzin",$C4,IF('El og plugin hybrid'!U$65="plugin hybrid diesel",$D4,0)),0))*(1+'El og plugin hybrid'!U$56)^-$A4))</f>
        <v>0</v>
      </c>
      <c r="W4" s="299">
        <f>'El og plugin hybrid'!W$48*(IF($A4&lt;='El og plugin hybrid'!W$55,(IF('El og plugin hybrid'!W$63=0,(('El og plugin hybrid'!W$49*'El og plugin hybrid'!W$15/1000)*$B4),('El og plugin hybrid'!W$63)))*(1+'El og plugin hybrid'!W$56)^-$A4,0)+IF('El og plugin hybrid'!W$24=0,0,(IF($A4&lt;='El og plugin hybrid'!W$55,'El og plugin hybrid'!W$49/'El og plugin hybrid'!W$24*IF('El og plugin hybrid'!W$65="plugin hybrid benzin",$C4,IF('El og plugin hybrid'!W$65="plugin hybrid diesel",$D4,0)),0))*(1+'El og plugin hybrid'!W$56)^-$A4))</f>
        <v>0</v>
      </c>
      <c r="AA4" s="2" t="s">
        <v>156</v>
      </c>
    </row>
    <row r="5" spans="1:27">
      <c r="A5" s="294">
        <f t="shared" ref="A5:A20" si="1">A4+1</f>
        <v>2</v>
      </c>
      <c r="B5" s="273">
        <f>((B4-Fremskrivninger!E9)*(1+IF('El og plugin hybrid'!$E$67="ja",'El og plugin hybrid'!$E$69,'El og plugin hybrid'!$E$71))+Fremskrivninger!E9)</f>
        <v>1.8593834</v>
      </c>
      <c r="C5" s="295">
        <f>((C4-Fremskrivninger!N48)*(1+IF('El og plugin hybrid'!$E$73="ja",'El og plugin hybrid'!$E$75,'El og plugin hybrid'!$E$77))+Fremskrivninger!N48)</f>
        <v>8.7934675200000001</v>
      </c>
      <c r="D5" s="295">
        <f>((D4-Fremskrivninger!N92)*(1+IF('El og plugin hybrid'!$E$79="ja",'El og plugin hybrid'!$E$81,'El og plugin hybrid'!$E$83))+Fremskrivninger!N92)</f>
        <v>7.6920317999999988</v>
      </c>
      <c r="E5" s="299">
        <f>'El og plugin hybrid'!E$48*(IF($A5&lt;='El og plugin hybrid'!E$55,(IF('El og plugin hybrid'!E$63=0,(('El og plugin hybrid'!E$49*'El og plugin hybrid'!E$15/1000)*$B5),('El og plugin hybrid'!E$63)))*(1+'El og plugin hybrid'!E$56)^-$A5,0)+IF('El og plugin hybrid'!E$24=0,0,(IF($A5&lt;='El og plugin hybrid'!E$55,'El og plugin hybrid'!E$49/'El og plugin hybrid'!E$24*IF('El og plugin hybrid'!E$65="plugin hybrid benzin",$C5,IF('El og plugin hybrid'!E$65="plugin hybrid diesel",$D5,0)),0))*(1+'El og plugin hybrid'!E$56)^-$A5))</f>
        <v>0</v>
      </c>
      <c r="F5" s="299"/>
      <c r="G5" s="299">
        <f>'El og plugin hybrid'!G$48*(IF($A5&lt;='El og plugin hybrid'!G$55,(IF('El og plugin hybrid'!G$63=0,(('El og plugin hybrid'!G$49*'El og plugin hybrid'!G$15/1000)*$B5),('El og plugin hybrid'!G$63)))*(1+'El og plugin hybrid'!G$56)^-$A5,0)+IF('El og plugin hybrid'!G$24=0,0,(IF($A5&lt;='El og plugin hybrid'!G$55,'El og plugin hybrid'!G$49/'El og plugin hybrid'!G$24*IF('El og plugin hybrid'!G$65="plugin hybrid benzin",$C5,IF('El og plugin hybrid'!G$65="plugin hybrid diesel",$D5,0)),0))*(1+'El og plugin hybrid'!G$56)^-$A5))</f>
        <v>0</v>
      </c>
      <c r="H5" s="299"/>
      <c r="I5" s="299">
        <f>'El og plugin hybrid'!I$48*(IF($A5&lt;='El og plugin hybrid'!I$55,(IF('El og plugin hybrid'!I$63=0,(('El og plugin hybrid'!I$49*'El og plugin hybrid'!I$15/1000)*$B5),('El og plugin hybrid'!I$63)))*(1+'El og plugin hybrid'!I$56)^-$A5,0)+IF('El og plugin hybrid'!I$24=0,0,(IF($A5&lt;='El og plugin hybrid'!I$55,'El og plugin hybrid'!I$49/'El og plugin hybrid'!I$24*IF('El og plugin hybrid'!I$65="plugin hybrid benzin",$C5,IF('El og plugin hybrid'!I$65="plugin hybrid diesel",$D5,0)),0))*(1+'El og plugin hybrid'!I$56)^-$A5))</f>
        <v>0</v>
      </c>
      <c r="J5" s="299"/>
      <c r="K5" s="299">
        <f>'El og plugin hybrid'!K$48*(IF($A5&lt;='El og plugin hybrid'!K$55,(IF('El og plugin hybrid'!K$63=0,(('El og plugin hybrid'!K$49*'El og plugin hybrid'!K$15/1000)*$B5),('El og plugin hybrid'!K$63)))*(1+'El og plugin hybrid'!K$56)^-$A5,0)+IF('El og plugin hybrid'!K$24=0,0,(IF($A5&lt;='El og plugin hybrid'!K$55,'El og plugin hybrid'!K$49/'El og plugin hybrid'!K$24*IF('El og plugin hybrid'!K$65="plugin hybrid benzin",$C5,IF('El og plugin hybrid'!K$65="plugin hybrid diesel",$D5,0)),0))*(1+'El og plugin hybrid'!K$56)^-$A5))</f>
        <v>0</v>
      </c>
      <c r="L5" s="299"/>
      <c r="M5" s="299">
        <f>'El og plugin hybrid'!M$48*(IF($A5&lt;='El og plugin hybrid'!M$55,(IF('El og plugin hybrid'!M$63=0,(('El og plugin hybrid'!M$49*'El og plugin hybrid'!M$15/1000)*$B5),('El og plugin hybrid'!M$63)))*(1+'El og plugin hybrid'!M$56)^-$A5,0)+IF('El og plugin hybrid'!M$24=0,0,(IF($A5&lt;='El og plugin hybrid'!M$55,'El og plugin hybrid'!M$49/'El og plugin hybrid'!M$24*IF('El og plugin hybrid'!M$65="plugin hybrid benzin",$C5,IF('El og plugin hybrid'!M$65="plugin hybrid diesel",$D5,0)),0))*(1+'El og plugin hybrid'!M$56)^-$A5))</f>
        <v>0</v>
      </c>
      <c r="N5" s="299"/>
      <c r="O5" s="299">
        <f>'El og plugin hybrid'!O$48*(IF($A5&lt;='El og plugin hybrid'!O$55,(IF('El og plugin hybrid'!O$63=0,(('El og plugin hybrid'!O$49*'El og plugin hybrid'!O$15/1000)*$B5),('El og plugin hybrid'!O$63)))*(1+'El og plugin hybrid'!O$56)^-$A5,0)+IF('El og plugin hybrid'!O$24=0,0,(IF($A5&lt;='El og plugin hybrid'!O$55,'El og plugin hybrid'!O$49/'El og plugin hybrid'!O$24*IF('El og plugin hybrid'!O$65="plugin hybrid benzin",$C5,IF('El og plugin hybrid'!O$65="plugin hybrid diesel",$D5,0)),0))*(1+'El og plugin hybrid'!O$56)^-$A5))</f>
        <v>0</v>
      </c>
      <c r="P5" s="299"/>
      <c r="Q5" s="299">
        <f>'El og plugin hybrid'!Q$48*(IF($A5&lt;='El og plugin hybrid'!Q$55,(IF('El og plugin hybrid'!Q$63=0,(('El og plugin hybrid'!Q$49*'El og plugin hybrid'!Q$15/1000)*$B5),('El og plugin hybrid'!Q$63)))*(1+'El og plugin hybrid'!Q$56)^-$A5,0)+IF('El og plugin hybrid'!Q$24=0,0,(IF($A5&lt;='El og plugin hybrid'!Q$55,'El og plugin hybrid'!Q$49/'El og plugin hybrid'!Q$24*IF('El og plugin hybrid'!Q$65="plugin hybrid benzin",$C5,IF('El og plugin hybrid'!Q$65="plugin hybrid diesel",$D5,0)),0))*(1+'El og plugin hybrid'!Q$56)^-$A5))</f>
        <v>0</v>
      </c>
      <c r="R5" s="299"/>
      <c r="S5" s="299">
        <f>'El og plugin hybrid'!S$48*(IF($A5&lt;='El og plugin hybrid'!S$55,(IF('El og plugin hybrid'!S$63=0,(('El og plugin hybrid'!S$49*'El og plugin hybrid'!S$15/1000)*$B5),('El og plugin hybrid'!S$63)))*(1+'El og plugin hybrid'!S$56)^-$A5,0)+IF('El og plugin hybrid'!S$24=0,0,(IF($A5&lt;='El og plugin hybrid'!S$55,'El og plugin hybrid'!S$49/'El og plugin hybrid'!S$24*IF('El og plugin hybrid'!S$65="plugin hybrid benzin",$C5,IF('El og plugin hybrid'!S$65="plugin hybrid diesel",$D5,0)),0))*(1+'El og plugin hybrid'!S$56)^-$A5))</f>
        <v>0</v>
      </c>
      <c r="U5" s="299">
        <f>'El og plugin hybrid'!U$48*(IF($A5&lt;='El og plugin hybrid'!U$55,(IF('El og plugin hybrid'!U$63=0,(('El og plugin hybrid'!U$49*'El og plugin hybrid'!U$15/1000)*$B5),('El og plugin hybrid'!U$63)))*(1+'El og plugin hybrid'!U$56)^-$A5,0)+IF('El og plugin hybrid'!U$24=0,0,(IF($A5&lt;='El og plugin hybrid'!U$55,'El og plugin hybrid'!U$49/'El og plugin hybrid'!U$24*IF('El og plugin hybrid'!U$65="plugin hybrid benzin",$C5,IF('El og plugin hybrid'!U$65="plugin hybrid diesel",$D5,0)),0))*(1+'El og plugin hybrid'!U$56)^-$A5))</f>
        <v>0</v>
      </c>
      <c r="W5" s="299">
        <f>'El og plugin hybrid'!W$48*(IF($A5&lt;='El og plugin hybrid'!W$55,(IF('El og plugin hybrid'!W$63=0,(('El og plugin hybrid'!W$49*'El og plugin hybrid'!W$15/1000)*$B5),('El og plugin hybrid'!W$63)))*(1+'El og plugin hybrid'!W$56)^-$A5,0)+IF('El og plugin hybrid'!W$24=0,0,(IF($A5&lt;='El og plugin hybrid'!W$55,'El og plugin hybrid'!W$49/'El og plugin hybrid'!W$24*IF('El og plugin hybrid'!W$65="plugin hybrid benzin",$C5,IF('El og plugin hybrid'!W$65="plugin hybrid diesel",$D5,0)),0))*(1+'El og plugin hybrid'!W$56)^-$A5))</f>
        <v>0</v>
      </c>
    </row>
    <row r="6" spans="1:27">
      <c r="A6" s="294">
        <f t="shared" si="1"/>
        <v>3</v>
      </c>
      <c r="B6" s="273">
        <f>((B5-Fremskrivninger!E10)*(1+IF('El og plugin hybrid'!$E$67="ja",'El og plugin hybrid'!$E$69,'El og plugin hybrid'!$E$71))+Fremskrivninger!E10)</f>
        <v>1.86894220278</v>
      </c>
      <c r="C6" s="295">
        <f>((C5-Fremskrivninger!N49)*(1+IF('El og plugin hybrid'!$E$73="ja",'El og plugin hybrid'!$E$75,'El og plugin hybrid'!$E$77))+Fremskrivninger!N49)</f>
        <v>8.8509227185280004</v>
      </c>
      <c r="D6" s="295">
        <f>((D5-Fremskrivninger!N93)*(1+IF('El og plugin hybrid'!$E$79="ja",'El og plugin hybrid'!$E$81,'El og plugin hybrid'!$E$83))+Fremskrivninger!N93)</f>
        <v>7.7565862610999989</v>
      </c>
      <c r="E6" s="299">
        <f>'El og plugin hybrid'!E$48*(IF($A6&lt;='El og plugin hybrid'!E$55,(IF('El og plugin hybrid'!E$63=0,(('El og plugin hybrid'!E$49*'El og plugin hybrid'!E$15/1000)*$B6),('El og plugin hybrid'!E$63)))*(1+'El og plugin hybrid'!E$56)^-$A6,0)+IF('El og plugin hybrid'!E$24=0,0,(IF($A6&lt;='El og plugin hybrid'!E$55,'El og plugin hybrid'!E$49/'El og plugin hybrid'!E$24*IF('El og plugin hybrid'!E$65="plugin hybrid benzin",$C6,IF('El og plugin hybrid'!E$65="plugin hybrid diesel",$D6,0)),0))*(1+'El og plugin hybrid'!E$56)^-$A6))</f>
        <v>0</v>
      </c>
      <c r="F6" s="299"/>
      <c r="G6" s="299">
        <f>'El og plugin hybrid'!G$48*(IF($A6&lt;='El og plugin hybrid'!G$55,(IF('El og plugin hybrid'!G$63=0,(('El og plugin hybrid'!G$49*'El og plugin hybrid'!G$15/1000)*$B6),('El og plugin hybrid'!G$63)))*(1+'El og plugin hybrid'!G$56)^-$A6,0)+IF('El og plugin hybrid'!G$24=0,0,(IF($A6&lt;='El og plugin hybrid'!G$55,'El og plugin hybrid'!G$49/'El og plugin hybrid'!G$24*IF('El og plugin hybrid'!G$65="plugin hybrid benzin",$C6,IF('El og plugin hybrid'!G$65="plugin hybrid diesel",$D6,0)),0))*(1+'El og plugin hybrid'!G$56)^-$A6))</f>
        <v>0</v>
      </c>
      <c r="H6" s="299"/>
      <c r="I6" s="299">
        <f>'El og plugin hybrid'!I$48*(IF($A6&lt;='El og plugin hybrid'!I$55,(IF('El og plugin hybrid'!I$63=0,(('El og plugin hybrid'!I$49*'El og plugin hybrid'!I$15/1000)*$B6),('El og plugin hybrid'!I$63)))*(1+'El og plugin hybrid'!I$56)^-$A6,0)+IF('El og plugin hybrid'!I$24=0,0,(IF($A6&lt;='El og plugin hybrid'!I$55,'El og plugin hybrid'!I$49/'El og plugin hybrid'!I$24*IF('El og plugin hybrid'!I$65="plugin hybrid benzin",$C6,IF('El og plugin hybrid'!I$65="plugin hybrid diesel",$D6,0)),0))*(1+'El og plugin hybrid'!I$56)^-$A6))</f>
        <v>0</v>
      </c>
      <c r="J6" s="299"/>
      <c r="K6" s="299">
        <f>'El og plugin hybrid'!K$48*(IF($A6&lt;='El og plugin hybrid'!K$55,(IF('El og plugin hybrid'!K$63=0,(('El og plugin hybrid'!K$49*'El og plugin hybrid'!K$15/1000)*$B6),('El og plugin hybrid'!K$63)))*(1+'El og plugin hybrid'!K$56)^-$A6,0)+IF('El og plugin hybrid'!K$24=0,0,(IF($A6&lt;='El og plugin hybrid'!K$55,'El og plugin hybrid'!K$49/'El og plugin hybrid'!K$24*IF('El og plugin hybrid'!K$65="plugin hybrid benzin",$C6,IF('El og plugin hybrid'!K$65="plugin hybrid diesel",$D6,0)),0))*(1+'El og plugin hybrid'!K$56)^-$A6))</f>
        <v>0</v>
      </c>
      <c r="L6" s="299"/>
      <c r="M6" s="299">
        <f>'El og plugin hybrid'!M$48*(IF($A6&lt;='El og plugin hybrid'!M$55,(IF('El og plugin hybrid'!M$63=0,(('El og plugin hybrid'!M$49*'El og plugin hybrid'!M$15/1000)*$B6),('El og plugin hybrid'!M$63)))*(1+'El og plugin hybrid'!M$56)^-$A6,0)+IF('El og plugin hybrid'!M$24=0,0,(IF($A6&lt;='El og plugin hybrid'!M$55,'El og plugin hybrid'!M$49/'El og plugin hybrid'!M$24*IF('El og plugin hybrid'!M$65="plugin hybrid benzin",$C6,IF('El og plugin hybrid'!M$65="plugin hybrid diesel",$D6,0)),0))*(1+'El og plugin hybrid'!M$56)^-$A6))</f>
        <v>0</v>
      </c>
      <c r="N6" s="299"/>
      <c r="O6" s="299">
        <f>'El og plugin hybrid'!O$48*(IF($A6&lt;='El og plugin hybrid'!O$55,(IF('El og plugin hybrid'!O$63=0,(('El og plugin hybrid'!O$49*'El og plugin hybrid'!O$15/1000)*$B6),('El og plugin hybrid'!O$63)))*(1+'El og plugin hybrid'!O$56)^-$A6,0)+IF('El og plugin hybrid'!O$24=0,0,(IF($A6&lt;='El og plugin hybrid'!O$55,'El og plugin hybrid'!O$49/'El og plugin hybrid'!O$24*IF('El og plugin hybrid'!O$65="plugin hybrid benzin",$C6,IF('El og plugin hybrid'!O$65="plugin hybrid diesel",$D6,0)),0))*(1+'El og plugin hybrid'!O$56)^-$A6))</f>
        <v>0</v>
      </c>
      <c r="P6" s="299"/>
      <c r="Q6" s="299">
        <f>'El og plugin hybrid'!Q$48*(IF($A6&lt;='El og plugin hybrid'!Q$55,(IF('El og plugin hybrid'!Q$63=0,(('El og plugin hybrid'!Q$49*'El og plugin hybrid'!Q$15/1000)*$B6),('El og plugin hybrid'!Q$63)))*(1+'El og plugin hybrid'!Q$56)^-$A6,0)+IF('El og plugin hybrid'!Q$24=0,0,(IF($A6&lt;='El og plugin hybrid'!Q$55,'El og plugin hybrid'!Q$49/'El og plugin hybrid'!Q$24*IF('El og plugin hybrid'!Q$65="plugin hybrid benzin",$C6,IF('El og plugin hybrid'!Q$65="plugin hybrid diesel",$D6,0)),0))*(1+'El og plugin hybrid'!Q$56)^-$A6))</f>
        <v>0</v>
      </c>
      <c r="R6" s="299"/>
      <c r="S6" s="299">
        <f>'El og plugin hybrid'!S$48*(IF($A6&lt;='El og plugin hybrid'!S$55,(IF('El og plugin hybrid'!S$63=0,(('El og plugin hybrid'!S$49*'El og plugin hybrid'!S$15/1000)*$B6),('El og plugin hybrid'!S$63)))*(1+'El og plugin hybrid'!S$56)^-$A6,0)+IF('El og plugin hybrid'!S$24=0,0,(IF($A6&lt;='El og plugin hybrid'!S$55,'El og plugin hybrid'!S$49/'El og plugin hybrid'!S$24*IF('El og plugin hybrid'!S$65="plugin hybrid benzin",$C6,IF('El og plugin hybrid'!S$65="plugin hybrid diesel",$D6,0)),0))*(1+'El og plugin hybrid'!S$56)^-$A6))</f>
        <v>0</v>
      </c>
      <c r="U6" s="299">
        <f>'El og plugin hybrid'!U$48*(IF($A6&lt;='El og plugin hybrid'!U$55,(IF('El og plugin hybrid'!U$63=0,(('El og plugin hybrid'!U$49*'El og plugin hybrid'!U$15/1000)*$B6),('El og plugin hybrid'!U$63)))*(1+'El og plugin hybrid'!U$56)^-$A6,0)+IF('El og plugin hybrid'!U$24=0,0,(IF($A6&lt;='El og plugin hybrid'!U$55,'El og plugin hybrid'!U$49/'El og plugin hybrid'!U$24*IF('El og plugin hybrid'!U$65="plugin hybrid benzin",$C6,IF('El og plugin hybrid'!U$65="plugin hybrid diesel",$D6,0)),0))*(1+'El og plugin hybrid'!U$56)^-$A6))</f>
        <v>0</v>
      </c>
      <c r="W6" s="299">
        <f>'El og plugin hybrid'!W$48*(IF($A6&lt;='El og plugin hybrid'!W$55,(IF('El og plugin hybrid'!W$63=0,(('El og plugin hybrid'!W$49*'El og plugin hybrid'!W$15/1000)*$B6),('El og plugin hybrid'!W$63)))*(1+'El og plugin hybrid'!W$56)^-$A6,0)+IF('El og plugin hybrid'!W$24=0,0,(IF($A6&lt;='El og plugin hybrid'!W$55,'El og plugin hybrid'!W$49/'El og plugin hybrid'!W$24*IF('El og plugin hybrid'!W$65="plugin hybrid benzin",$C6,IF('El og plugin hybrid'!W$65="plugin hybrid diesel",$D6,0)),0))*(1+'El og plugin hybrid'!W$56)^-$A6))</f>
        <v>0</v>
      </c>
    </row>
    <row r="7" spans="1:27">
      <c r="A7" s="294">
        <f t="shared" si="1"/>
        <v>4</v>
      </c>
      <c r="B7" s="273">
        <f>((B6-Fremskrivninger!E11)*(1+IF('El og plugin hybrid'!$E$67="ja",'El og plugin hybrid'!$E$69,'El og plugin hybrid'!$E$71))+Fremskrivninger!E11)</f>
        <v>1.8786606375664259</v>
      </c>
      <c r="C7" s="295">
        <f>((C6-Fremskrivninger!N50)*(1+IF('El og plugin hybrid'!$E$73="ja",'El og plugin hybrid'!$E$75,'El og plugin hybrid'!$E$77))+Fremskrivninger!N50)</f>
        <v>8.9091765443155388</v>
      </c>
      <c r="D7" s="295">
        <f>((D6-Fremskrivninger!N94)*(1+IF('El og plugin hybrid'!$E$79="ja",'El og plugin hybrid'!$E$81,'El og plugin hybrid'!$E$83))+Fremskrivninger!N94)</f>
        <v>7.822076761885949</v>
      </c>
      <c r="E7" s="299">
        <f>'El og plugin hybrid'!E$48*(IF($A7&lt;='El og plugin hybrid'!E$55,(IF('El og plugin hybrid'!E$63=0,(('El og plugin hybrid'!E$49*'El og plugin hybrid'!E$15/1000)*$B7),('El og plugin hybrid'!E$63)))*(1+'El og plugin hybrid'!E$56)^-$A7,0)+IF('El og plugin hybrid'!E$24=0,0,(IF($A7&lt;='El og plugin hybrid'!E$55,'El og plugin hybrid'!E$49/'El og plugin hybrid'!E$24*IF('El og plugin hybrid'!E$65="plugin hybrid benzin",$C7,IF('El og plugin hybrid'!E$65="plugin hybrid diesel",$D7,0)),0))*(1+'El og plugin hybrid'!E$56)^-$A7))</f>
        <v>0</v>
      </c>
      <c r="F7" s="299"/>
      <c r="G7" s="299">
        <f>'El og plugin hybrid'!G$48*(IF($A7&lt;='El og plugin hybrid'!G$55,(IF('El og plugin hybrid'!G$63=0,(('El og plugin hybrid'!G$49*'El og plugin hybrid'!G$15/1000)*$B7),('El og plugin hybrid'!G$63)))*(1+'El og plugin hybrid'!G$56)^-$A7,0)+IF('El og plugin hybrid'!G$24=0,0,(IF($A7&lt;='El og plugin hybrid'!G$55,'El og plugin hybrid'!G$49/'El og plugin hybrid'!G$24*IF('El og plugin hybrid'!G$65="plugin hybrid benzin",$C7,IF('El og plugin hybrid'!G$65="plugin hybrid diesel",$D7,0)),0))*(1+'El og plugin hybrid'!G$56)^-$A7))</f>
        <v>0</v>
      </c>
      <c r="H7" s="299"/>
      <c r="I7" s="299">
        <f>'El og plugin hybrid'!I$48*(IF($A7&lt;='El og plugin hybrid'!I$55,(IF('El og plugin hybrid'!I$63=0,(('El og plugin hybrid'!I$49*'El og plugin hybrid'!I$15/1000)*$B7),('El og plugin hybrid'!I$63)))*(1+'El og plugin hybrid'!I$56)^-$A7,0)+IF('El og plugin hybrid'!I$24=0,0,(IF($A7&lt;='El og plugin hybrid'!I$55,'El og plugin hybrid'!I$49/'El og plugin hybrid'!I$24*IF('El og plugin hybrid'!I$65="plugin hybrid benzin",$C7,IF('El og plugin hybrid'!I$65="plugin hybrid diesel",$D7,0)),0))*(1+'El og plugin hybrid'!I$56)^-$A7))</f>
        <v>0</v>
      </c>
      <c r="J7" s="299"/>
      <c r="K7" s="299">
        <f>'El og plugin hybrid'!K$48*(IF($A7&lt;='El og plugin hybrid'!K$55,(IF('El og plugin hybrid'!K$63=0,(('El og plugin hybrid'!K$49*'El og plugin hybrid'!K$15/1000)*$B7),('El og plugin hybrid'!K$63)))*(1+'El og plugin hybrid'!K$56)^-$A7,0)+IF('El og plugin hybrid'!K$24=0,0,(IF($A7&lt;='El og plugin hybrid'!K$55,'El og plugin hybrid'!K$49/'El og plugin hybrid'!K$24*IF('El og plugin hybrid'!K$65="plugin hybrid benzin",$C7,IF('El og plugin hybrid'!K$65="plugin hybrid diesel",$D7,0)),0))*(1+'El og plugin hybrid'!K$56)^-$A7))</f>
        <v>0</v>
      </c>
      <c r="L7" s="299"/>
      <c r="M7" s="299">
        <f>'El og plugin hybrid'!M$48*(IF($A7&lt;='El og plugin hybrid'!M$55,(IF('El og plugin hybrid'!M$63=0,(('El og plugin hybrid'!M$49*'El og plugin hybrid'!M$15/1000)*$B7),('El og plugin hybrid'!M$63)))*(1+'El og plugin hybrid'!M$56)^-$A7,0)+IF('El og plugin hybrid'!M$24=0,0,(IF($A7&lt;='El og plugin hybrid'!M$55,'El og plugin hybrid'!M$49/'El og plugin hybrid'!M$24*IF('El og plugin hybrid'!M$65="plugin hybrid benzin",$C7,IF('El og plugin hybrid'!M$65="plugin hybrid diesel",$D7,0)),0))*(1+'El og plugin hybrid'!M$56)^-$A7))</f>
        <v>0</v>
      </c>
      <c r="N7" s="299"/>
      <c r="O7" s="299">
        <f>'El og plugin hybrid'!O$48*(IF($A7&lt;='El og plugin hybrid'!O$55,(IF('El og plugin hybrid'!O$63=0,(('El og plugin hybrid'!O$49*'El og plugin hybrid'!O$15/1000)*$B7),('El og plugin hybrid'!O$63)))*(1+'El og plugin hybrid'!O$56)^-$A7,0)+IF('El og plugin hybrid'!O$24=0,0,(IF($A7&lt;='El og plugin hybrid'!O$55,'El og plugin hybrid'!O$49/'El og plugin hybrid'!O$24*IF('El og plugin hybrid'!O$65="plugin hybrid benzin",$C7,IF('El og plugin hybrid'!O$65="plugin hybrid diesel",$D7,0)),0))*(1+'El og plugin hybrid'!O$56)^-$A7))</f>
        <v>0</v>
      </c>
      <c r="P7" s="299"/>
      <c r="Q7" s="299">
        <f>'El og plugin hybrid'!Q$48*(IF($A7&lt;='El og plugin hybrid'!Q$55,(IF('El og plugin hybrid'!Q$63=0,(('El og plugin hybrid'!Q$49*'El og plugin hybrid'!Q$15/1000)*$B7),('El og plugin hybrid'!Q$63)))*(1+'El og plugin hybrid'!Q$56)^-$A7,0)+IF('El og plugin hybrid'!Q$24=0,0,(IF($A7&lt;='El og plugin hybrid'!Q$55,'El og plugin hybrid'!Q$49/'El og plugin hybrid'!Q$24*IF('El og plugin hybrid'!Q$65="plugin hybrid benzin",$C7,IF('El og plugin hybrid'!Q$65="plugin hybrid diesel",$D7,0)),0))*(1+'El og plugin hybrid'!Q$56)^-$A7))</f>
        <v>0</v>
      </c>
      <c r="R7" s="299"/>
      <c r="S7" s="299">
        <f>'El og plugin hybrid'!S$48*(IF($A7&lt;='El og plugin hybrid'!S$55,(IF('El og plugin hybrid'!S$63=0,(('El og plugin hybrid'!S$49*'El og plugin hybrid'!S$15/1000)*$B7),('El og plugin hybrid'!S$63)))*(1+'El og plugin hybrid'!S$56)^-$A7,0)+IF('El og plugin hybrid'!S$24=0,0,(IF($A7&lt;='El og plugin hybrid'!S$55,'El og plugin hybrid'!S$49/'El og plugin hybrid'!S$24*IF('El og plugin hybrid'!S$65="plugin hybrid benzin",$C7,IF('El og plugin hybrid'!S$65="plugin hybrid diesel",$D7,0)),0))*(1+'El og plugin hybrid'!S$56)^-$A7))</f>
        <v>0</v>
      </c>
      <c r="U7" s="299">
        <f>'El og plugin hybrid'!U$48*(IF($A7&lt;='El og plugin hybrid'!U$55,(IF('El og plugin hybrid'!U$63=0,(('El og plugin hybrid'!U$49*'El og plugin hybrid'!U$15/1000)*$B7),('El og plugin hybrid'!U$63)))*(1+'El og plugin hybrid'!U$56)^-$A7,0)+IF('El og plugin hybrid'!U$24=0,0,(IF($A7&lt;='El og plugin hybrid'!U$55,'El og plugin hybrid'!U$49/'El og plugin hybrid'!U$24*IF('El og plugin hybrid'!U$65="plugin hybrid benzin",$C7,IF('El og plugin hybrid'!U$65="plugin hybrid diesel",$D7,0)),0))*(1+'El og plugin hybrid'!U$56)^-$A7))</f>
        <v>0</v>
      </c>
      <c r="W7" s="299">
        <f>'El og plugin hybrid'!W$48*(IF($A7&lt;='El og plugin hybrid'!W$55,(IF('El og plugin hybrid'!W$63=0,(('El og plugin hybrid'!W$49*'El og plugin hybrid'!W$15/1000)*$B7),('El og plugin hybrid'!W$63)))*(1+'El og plugin hybrid'!W$56)^-$A7,0)+IF('El og plugin hybrid'!W$24=0,0,(IF($A7&lt;='El og plugin hybrid'!W$55,'El og plugin hybrid'!W$49/'El og plugin hybrid'!W$24*IF('El og plugin hybrid'!W$65="plugin hybrid benzin",$C7,IF('El og plugin hybrid'!W$65="plugin hybrid diesel",$D7,0)),0))*(1+'El og plugin hybrid'!W$56)^-$A7))</f>
        <v>0</v>
      </c>
    </row>
    <row r="8" spans="1:27">
      <c r="A8" s="294">
        <f t="shared" si="1"/>
        <v>5</v>
      </c>
      <c r="B8" s="273">
        <f>((B7-Fremskrivninger!E12)*(1+IF('El og plugin hybrid'!$E$67="ja",'El og plugin hybrid'!$E$69,'El og plugin hybrid'!$E$71))+Fremskrivninger!E12)</f>
        <v>1.888541370213785</v>
      </c>
      <c r="C8" s="295">
        <f>((C7-Fremskrivninger!N51)*(1+IF('El og plugin hybrid'!$E$73="ja",'El og plugin hybrid'!$E$75,'El og plugin hybrid'!$E$77))+Fremskrivninger!N51)</f>
        <v>8.9682400982815249</v>
      </c>
      <c r="D8" s="295">
        <f>((D7-Fremskrivninger!N95)*(1+IF('El og plugin hybrid'!$E$79="ja",'El og plugin hybrid'!$E$81,'El og plugin hybrid'!$E$83))+Fremskrivninger!N95)</f>
        <v>7.8885168749332948</v>
      </c>
      <c r="E8" s="299">
        <f>'El og plugin hybrid'!E$48*(IF($A8&lt;='El og plugin hybrid'!E$55,(IF('El og plugin hybrid'!E$63=0,(('El og plugin hybrid'!E$49*'El og plugin hybrid'!E$15/1000)*$B8),('El og plugin hybrid'!E$63)))*(1+'El og plugin hybrid'!E$56)^-$A8,0)+IF('El og plugin hybrid'!E$24=0,0,(IF($A8&lt;='El og plugin hybrid'!E$55,'El og plugin hybrid'!E$49/'El og plugin hybrid'!E$24*IF('El og plugin hybrid'!E$65="plugin hybrid benzin",$C8,IF('El og plugin hybrid'!E$65="plugin hybrid diesel",$D8,0)),0))*(1+'El og plugin hybrid'!E$56)^-$A8))</f>
        <v>0</v>
      </c>
      <c r="F8" s="299"/>
      <c r="G8" s="299">
        <f>'El og plugin hybrid'!G$48*(IF($A8&lt;='El og plugin hybrid'!G$55,(IF('El og plugin hybrid'!G$63=0,(('El og plugin hybrid'!G$49*'El og plugin hybrid'!G$15/1000)*$B8),('El og plugin hybrid'!G$63)))*(1+'El og plugin hybrid'!G$56)^-$A8,0)+IF('El og plugin hybrid'!G$24=0,0,(IF($A8&lt;='El og plugin hybrid'!G$55,'El og plugin hybrid'!G$49/'El og plugin hybrid'!G$24*IF('El og plugin hybrid'!G$65="plugin hybrid benzin",$C8,IF('El og plugin hybrid'!G$65="plugin hybrid diesel",$D8,0)),0))*(1+'El og plugin hybrid'!G$56)^-$A8))</f>
        <v>0</v>
      </c>
      <c r="H8" s="299"/>
      <c r="I8" s="299">
        <f>'El og plugin hybrid'!I$48*(IF($A8&lt;='El og plugin hybrid'!I$55,(IF('El og plugin hybrid'!I$63=0,(('El og plugin hybrid'!I$49*'El og plugin hybrid'!I$15/1000)*$B8),('El og plugin hybrid'!I$63)))*(1+'El og plugin hybrid'!I$56)^-$A8,0)+IF('El og plugin hybrid'!I$24=0,0,(IF($A8&lt;='El og plugin hybrid'!I$55,'El og plugin hybrid'!I$49/'El og plugin hybrid'!I$24*IF('El og plugin hybrid'!I$65="plugin hybrid benzin",$C8,IF('El og plugin hybrid'!I$65="plugin hybrid diesel",$D8,0)),0))*(1+'El og plugin hybrid'!I$56)^-$A8))</f>
        <v>0</v>
      </c>
      <c r="J8" s="299"/>
      <c r="K8" s="299">
        <f>'El og plugin hybrid'!K$48*(IF($A8&lt;='El og plugin hybrid'!K$55,(IF('El og plugin hybrid'!K$63=0,(('El og plugin hybrid'!K$49*'El og plugin hybrid'!K$15/1000)*$B8),('El og plugin hybrid'!K$63)))*(1+'El og plugin hybrid'!K$56)^-$A8,0)+IF('El og plugin hybrid'!K$24=0,0,(IF($A8&lt;='El og plugin hybrid'!K$55,'El og plugin hybrid'!K$49/'El og plugin hybrid'!K$24*IF('El og plugin hybrid'!K$65="plugin hybrid benzin",$C8,IF('El og plugin hybrid'!K$65="plugin hybrid diesel",$D8,0)),0))*(1+'El og plugin hybrid'!K$56)^-$A8))</f>
        <v>0</v>
      </c>
      <c r="L8" s="299"/>
      <c r="M8" s="299">
        <f>'El og plugin hybrid'!M$48*(IF($A8&lt;='El og plugin hybrid'!M$55,(IF('El og plugin hybrid'!M$63=0,(('El og plugin hybrid'!M$49*'El og plugin hybrid'!M$15/1000)*$B8),('El og plugin hybrid'!M$63)))*(1+'El og plugin hybrid'!M$56)^-$A8,0)+IF('El og plugin hybrid'!M$24=0,0,(IF($A8&lt;='El og plugin hybrid'!M$55,'El og plugin hybrid'!M$49/'El og plugin hybrid'!M$24*IF('El og plugin hybrid'!M$65="plugin hybrid benzin",$C8,IF('El og plugin hybrid'!M$65="plugin hybrid diesel",$D8,0)),0))*(1+'El og plugin hybrid'!M$56)^-$A8))</f>
        <v>0</v>
      </c>
      <c r="N8" s="299"/>
      <c r="O8" s="299">
        <f>'El og plugin hybrid'!O$48*(IF($A8&lt;='El og plugin hybrid'!O$55,(IF('El og plugin hybrid'!O$63=0,(('El og plugin hybrid'!O$49*'El og plugin hybrid'!O$15/1000)*$B8),('El og plugin hybrid'!O$63)))*(1+'El og plugin hybrid'!O$56)^-$A8,0)+IF('El og plugin hybrid'!O$24=0,0,(IF($A8&lt;='El og plugin hybrid'!O$55,'El og plugin hybrid'!O$49/'El og plugin hybrid'!O$24*IF('El og plugin hybrid'!O$65="plugin hybrid benzin",$C8,IF('El og plugin hybrid'!O$65="plugin hybrid diesel",$D8,0)),0))*(1+'El og plugin hybrid'!O$56)^-$A8))</f>
        <v>0</v>
      </c>
      <c r="P8" s="299"/>
      <c r="Q8" s="299">
        <f>'El og plugin hybrid'!Q$48*(IF($A8&lt;='El og plugin hybrid'!Q$55,(IF('El og plugin hybrid'!Q$63=0,(('El og plugin hybrid'!Q$49*'El og plugin hybrid'!Q$15/1000)*$B8),('El og plugin hybrid'!Q$63)))*(1+'El og plugin hybrid'!Q$56)^-$A8,0)+IF('El og plugin hybrid'!Q$24=0,0,(IF($A8&lt;='El og plugin hybrid'!Q$55,'El og plugin hybrid'!Q$49/'El og plugin hybrid'!Q$24*IF('El og plugin hybrid'!Q$65="plugin hybrid benzin",$C8,IF('El og plugin hybrid'!Q$65="plugin hybrid diesel",$D8,0)),0))*(1+'El og plugin hybrid'!Q$56)^-$A8))</f>
        <v>0</v>
      </c>
      <c r="R8" s="299"/>
      <c r="S8" s="299">
        <f>'El og plugin hybrid'!S$48*(IF($A8&lt;='El og plugin hybrid'!S$55,(IF('El og plugin hybrid'!S$63=0,(('El og plugin hybrid'!S$49*'El og plugin hybrid'!S$15/1000)*$B8),('El og plugin hybrid'!S$63)))*(1+'El og plugin hybrid'!S$56)^-$A8,0)+IF('El og plugin hybrid'!S$24=0,0,(IF($A8&lt;='El og plugin hybrid'!S$55,'El og plugin hybrid'!S$49/'El og plugin hybrid'!S$24*IF('El og plugin hybrid'!S$65="plugin hybrid benzin",$C8,IF('El og plugin hybrid'!S$65="plugin hybrid diesel",$D8,0)),0))*(1+'El og plugin hybrid'!S$56)^-$A8))</f>
        <v>0</v>
      </c>
      <c r="U8" s="299">
        <f>'El og plugin hybrid'!U$48*(IF($A8&lt;='El og plugin hybrid'!U$55,(IF('El og plugin hybrid'!U$63=0,(('El og plugin hybrid'!U$49*'El og plugin hybrid'!U$15/1000)*$B8),('El og plugin hybrid'!U$63)))*(1+'El og plugin hybrid'!U$56)^-$A8,0)+IF('El og plugin hybrid'!U$24=0,0,(IF($A8&lt;='El og plugin hybrid'!U$55,'El og plugin hybrid'!U$49/'El og plugin hybrid'!U$24*IF('El og plugin hybrid'!U$65="plugin hybrid benzin",$C8,IF('El og plugin hybrid'!U$65="plugin hybrid diesel",$D8,0)),0))*(1+'El og plugin hybrid'!U$56)^-$A8))</f>
        <v>0</v>
      </c>
      <c r="W8" s="299">
        <f>'El og plugin hybrid'!W$48*(IF($A8&lt;='El og plugin hybrid'!W$55,(IF('El og plugin hybrid'!W$63=0,(('El og plugin hybrid'!W$49*'El og plugin hybrid'!W$15/1000)*$B8),('El og plugin hybrid'!W$63)))*(1+'El og plugin hybrid'!W$56)^-$A8,0)+IF('El og plugin hybrid'!W$24=0,0,(IF($A8&lt;='El og plugin hybrid'!W$55,'El og plugin hybrid'!W$49/'El og plugin hybrid'!W$24*IF('El og plugin hybrid'!W$65="plugin hybrid benzin",$C8,IF('El og plugin hybrid'!W$65="plugin hybrid diesel",$D8,0)),0))*(1+'El og plugin hybrid'!W$56)^-$A8))</f>
        <v>0</v>
      </c>
    </row>
    <row r="9" spans="1:27">
      <c r="A9" s="294">
        <f t="shared" si="1"/>
        <v>6</v>
      </c>
      <c r="B9" s="273">
        <f>((B8-Fremskrivninger!E13)*(1+IF('El og plugin hybrid'!$E$67="ja",'El og plugin hybrid'!$E$69,'El og plugin hybrid'!$E$71))+Fremskrivninger!E13)</f>
        <v>1.8985871110963553</v>
      </c>
      <c r="C9" s="295">
        <f>((C8-Fremskrivninger!N52)*(1+IF('El og plugin hybrid'!$E$73="ja",'El og plugin hybrid'!$E$75,'El og plugin hybrid'!$E$77))+Fremskrivninger!N52)</f>
        <v>9.0281246356476395</v>
      </c>
      <c r="D9" s="295">
        <f>((D8-Fremskrivninger!N96)*(1+IF('El og plugin hybrid'!$E$79="ja",'El og plugin hybrid'!$E$81,'El og plugin hybrid'!$E$83))+Fremskrivninger!N96)</f>
        <v>7.9559203696198271</v>
      </c>
      <c r="E9" s="299">
        <f>'El og plugin hybrid'!E$48*(IF($A9&lt;='El og plugin hybrid'!E$55,(IF('El og plugin hybrid'!E$63=0,(('El og plugin hybrid'!E$49*'El og plugin hybrid'!E$15/1000)*$B9),('El og plugin hybrid'!E$63)))*(1+'El og plugin hybrid'!E$56)^-$A9,0)+IF('El og plugin hybrid'!E$24=0,0,(IF($A9&lt;='El og plugin hybrid'!E$55,'El og plugin hybrid'!E$49/'El og plugin hybrid'!E$24*IF('El og plugin hybrid'!E$65="plugin hybrid benzin",$C9,IF('El og plugin hybrid'!E$65="plugin hybrid diesel",$D9,0)),0))*(1+'El og plugin hybrid'!E$56)^-$A9))</f>
        <v>0</v>
      </c>
      <c r="F9" s="299"/>
      <c r="G9" s="299">
        <f>'El og plugin hybrid'!G$48*(IF($A9&lt;='El og plugin hybrid'!G$55,(IF('El og plugin hybrid'!G$63=0,(('El og plugin hybrid'!G$49*'El og plugin hybrid'!G$15/1000)*$B9),('El og plugin hybrid'!G$63)))*(1+'El og plugin hybrid'!G$56)^-$A9,0)+IF('El og plugin hybrid'!G$24=0,0,(IF($A9&lt;='El og plugin hybrid'!G$55,'El og plugin hybrid'!G$49/'El og plugin hybrid'!G$24*IF('El og plugin hybrid'!G$65="plugin hybrid benzin",$C9,IF('El og plugin hybrid'!G$65="plugin hybrid diesel",$D9,0)),0))*(1+'El og plugin hybrid'!G$56)^-$A9))</f>
        <v>0</v>
      </c>
      <c r="H9" s="299"/>
      <c r="I9" s="299">
        <f>'El og plugin hybrid'!I$48*(IF($A9&lt;='El og plugin hybrid'!I$55,(IF('El og plugin hybrid'!I$63=0,(('El og plugin hybrid'!I$49*'El og plugin hybrid'!I$15/1000)*$B9),('El og plugin hybrid'!I$63)))*(1+'El og plugin hybrid'!I$56)^-$A9,0)+IF('El og plugin hybrid'!I$24=0,0,(IF($A9&lt;='El og plugin hybrid'!I$55,'El og plugin hybrid'!I$49/'El og plugin hybrid'!I$24*IF('El og plugin hybrid'!I$65="plugin hybrid benzin",$C9,IF('El og plugin hybrid'!I$65="plugin hybrid diesel",$D9,0)),0))*(1+'El og plugin hybrid'!I$56)^-$A9))</f>
        <v>0</v>
      </c>
      <c r="J9" s="299"/>
      <c r="K9" s="299">
        <f>'El og plugin hybrid'!K$48*(IF($A9&lt;='El og plugin hybrid'!K$55,(IF('El og plugin hybrid'!K$63=0,(('El og plugin hybrid'!K$49*'El og plugin hybrid'!K$15/1000)*$B9),('El og plugin hybrid'!K$63)))*(1+'El og plugin hybrid'!K$56)^-$A9,0)+IF('El og plugin hybrid'!K$24=0,0,(IF($A9&lt;='El og plugin hybrid'!K$55,'El og plugin hybrid'!K$49/'El og plugin hybrid'!K$24*IF('El og plugin hybrid'!K$65="plugin hybrid benzin",$C9,IF('El og plugin hybrid'!K$65="plugin hybrid diesel",$D9,0)),0))*(1+'El og plugin hybrid'!K$56)^-$A9))</f>
        <v>0</v>
      </c>
      <c r="L9" s="299"/>
      <c r="M9" s="299">
        <f>'El og plugin hybrid'!M$48*(IF($A9&lt;='El og plugin hybrid'!M$55,(IF('El og plugin hybrid'!M$63=0,(('El og plugin hybrid'!M$49*'El og plugin hybrid'!M$15/1000)*$B9),('El og plugin hybrid'!M$63)))*(1+'El og plugin hybrid'!M$56)^-$A9,0)+IF('El og plugin hybrid'!M$24=0,0,(IF($A9&lt;='El og plugin hybrid'!M$55,'El og plugin hybrid'!M$49/'El og plugin hybrid'!M$24*IF('El og plugin hybrid'!M$65="plugin hybrid benzin",$C9,IF('El og plugin hybrid'!M$65="plugin hybrid diesel",$D9,0)),0))*(1+'El og plugin hybrid'!M$56)^-$A9))</f>
        <v>0</v>
      </c>
      <c r="N9" s="299"/>
      <c r="O9" s="299">
        <f>'El og plugin hybrid'!O$48*(IF($A9&lt;='El og plugin hybrid'!O$55,(IF('El og plugin hybrid'!O$63=0,(('El og plugin hybrid'!O$49*'El og plugin hybrid'!O$15/1000)*$B9),('El og plugin hybrid'!O$63)))*(1+'El og plugin hybrid'!O$56)^-$A9,0)+IF('El og plugin hybrid'!O$24=0,0,(IF($A9&lt;='El og plugin hybrid'!O$55,'El og plugin hybrid'!O$49/'El og plugin hybrid'!O$24*IF('El og plugin hybrid'!O$65="plugin hybrid benzin",$C9,IF('El og plugin hybrid'!O$65="plugin hybrid diesel",$D9,0)),0))*(1+'El og plugin hybrid'!O$56)^-$A9))</f>
        <v>0</v>
      </c>
      <c r="P9" s="299"/>
      <c r="Q9" s="299">
        <f>'El og plugin hybrid'!Q$48*(IF($A9&lt;='El og plugin hybrid'!Q$55,(IF('El og plugin hybrid'!Q$63=0,(('El og plugin hybrid'!Q$49*'El og plugin hybrid'!Q$15/1000)*$B9),('El og plugin hybrid'!Q$63)))*(1+'El og plugin hybrid'!Q$56)^-$A9,0)+IF('El og plugin hybrid'!Q$24=0,0,(IF($A9&lt;='El og plugin hybrid'!Q$55,'El og plugin hybrid'!Q$49/'El og plugin hybrid'!Q$24*IF('El og plugin hybrid'!Q$65="plugin hybrid benzin",$C9,IF('El og plugin hybrid'!Q$65="plugin hybrid diesel",$D9,0)),0))*(1+'El og plugin hybrid'!Q$56)^-$A9))</f>
        <v>0</v>
      </c>
      <c r="R9" s="299"/>
      <c r="S9" s="299">
        <f>'El og plugin hybrid'!S$48*(IF($A9&lt;='El og plugin hybrid'!S$55,(IF('El og plugin hybrid'!S$63=0,(('El og plugin hybrid'!S$49*'El og plugin hybrid'!S$15/1000)*$B9),('El og plugin hybrid'!S$63)))*(1+'El og plugin hybrid'!S$56)^-$A9,0)+IF('El og plugin hybrid'!S$24=0,0,(IF($A9&lt;='El og plugin hybrid'!S$55,'El og plugin hybrid'!S$49/'El og plugin hybrid'!S$24*IF('El og plugin hybrid'!S$65="plugin hybrid benzin",$C9,IF('El og plugin hybrid'!S$65="plugin hybrid diesel",$D9,0)),0))*(1+'El og plugin hybrid'!S$56)^-$A9))</f>
        <v>0</v>
      </c>
      <c r="U9" s="299">
        <f>'El og plugin hybrid'!U$48*(IF($A9&lt;='El og plugin hybrid'!U$55,(IF('El og plugin hybrid'!U$63=0,(('El og plugin hybrid'!U$49*'El og plugin hybrid'!U$15/1000)*$B9),('El og plugin hybrid'!U$63)))*(1+'El og plugin hybrid'!U$56)^-$A9,0)+IF('El og plugin hybrid'!U$24=0,0,(IF($A9&lt;='El og plugin hybrid'!U$55,'El og plugin hybrid'!U$49/'El og plugin hybrid'!U$24*IF('El og plugin hybrid'!U$65="plugin hybrid benzin",$C9,IF('El og plugin hybrid'!U$65="plugin hybrid diesel",$D9,0)),0))*(1+'El og plugin hybrid'!U$56)^-$A9))</f>
        <v>0</v>
      </c>
      <c r="W9" s="299">
        <f>'El og plugin hybrid'!W$48*(IF($A9&lt;='El og plugin hybrid'!W$55,(IF('El og plugin hybrid'!W$63=0,(('El og plugin hybrid'!W$49*'El og plugin hybrid'!W$15/1000)*$B9),('El og plugin hybrid'!W$63)))*(1+'El og plugin hybrid'!W$56)^-$A9,0)+IF('El og plugin hybrid'!W$24=0,0,(IF($A9&lt;='El og plugin hybrid'!W$55,'El og plugin hybrid'!W$49/'El og plugin hybrid'!W$24*IF('El og plugin hybrid'!W$65="plugin hybrid benzin",$C9,IF('El og plugin hybrid'!W$65="plugin hybrid diesel",$D9,0)),0))*(1+'El og plugin hybrid'!W$56)^-$A9))</f>
        <v>0</v>
      </c>
    </row>
    <row r="10" spans="1:27">
      <c r="A10" s="294">
        <f t="shared" si="1"/>
        <v>7</v>
      </c>
      <c r="B10" s="273">
        <f>((B9-Fremskrivninger!E14)*(1+IF('El og plugin hybrid'!$E$67="ja",'El og plugin hybrid'!$E$69,'El og plugin hybrid'!$E$71))+Fremskrivninger!E14)</f>
        <v>1.9088006158516644</v>
      </c>
      <c r="C10" s="295">
        <f>((C9-Fremskrivninger!N53)*(1+IF('El og plugin hybrid'!$E$73="ja",'El og plugin hybrid'!$E$75,'El og plugin hybrid'!$E$77))+Fremskrivninger!N53)</f>
        <v>9.0888415680831418</v>
      </c>
      <c r="D10" s="295">
        <f>((D9-Fremskrivninger!N97)*(1+IF('El og plugin hybrid'!$E$79="ja",'El og plugin hybrid'!$E$81,'El og plugin hybrid'!$E$83))+Fremskrivninger!N97)</f>
        <v>8.0243012149793138</v>
      </c>
      <c r="E10" s="299">
        <f>'El og plugin hybrid'!E$48*(IF($A10&lt;='El og plugin hybrid'!E$55,(IF('El og plugin hybrid'!E$63=0,(('El og plugin hybrid'!E$49*'El og plugin hybrid'!E$15/1000)*$B10),('El og plugin hybrid'!E$63)))*(1+'El og plugin hybrid'!E$56)^-$A10,0)+IF('El og plugin hybrid'!E$24=0,0,(IF($A10&lt;='El og plugin hybrid'!E$55,'El og plugin hybrid'!E$49/'El og plugin hybrid'!E$24*IF('El og plugin hybrid'!E$65="plugin hybrid benzin",$C10,IF('El og plugin hybrid'!E$65="plugin hybrid diesel",$D10,0)),0))*(1+'El og plugin hybrid'!E$56)^-$A10))</f>
        <v>0</v>
      </c>
      <c r="F10" s="299"/>
      <c r="G10" s="299">
        <f>'El og plugin hybrid'!G$48*(IF($A10&lt;='El og plugin hybrid'!G$55,(IF('El og plugin hybrid'!G$63=0,(('El og plugin hybrid'!G$49*'El og plugin hybrid'!G$15/1000)*$B10),('El og plugin hybrid'!G$63)))*(1+'El og plugin hybrid'!G$56)^-$A10,0)+IF('El og plugin hybrid'!G$24=0,0,(IF($A10&lt;='El og plugin hybrid'!G$55,'El og plugin hybrid'!G$49/'El og plugin hybrid'!G$24*IF('El og plugin hybrid'!G$65="plugin hybrid benzin",$C10,IF('El og plugin hybrid'!G$65="plugin hybrid diesel",$D10,0)),0))*(1+'El og plugin hybrid'!G$56)^-$A10))</f>
        <v>0</v>
      </c>
      <c r="H10" s="299"/>
      <c r="I10" s="299">
        <f>'El og plugin hybrid'!I$48*(IF($A10&lt;='El og plugin hybrid'!I$55,(IF('El og plugin hybrid'!I$63=0,(('El og plugin hybrid'!I$49*'El og plugin hybrid'!I$15/1000)*$B10),('El og plugin hybrid'!I$63)))*(1+'El og plugin hybrid'!I$56)^-$A10,0)+IF('El og plugin hybrid'!I$24=0,0,(IF($A10&lt;='El og plugin hybrid'!I$55,'El og plugin hybrid'!I$49/'El og plugin hybrid'!I$24*IF('El og plugin hybrid'!I$65="plugin hybrid benzin",$C10,IF('El og plugin hybrid'!I$65="plugin hybrid diesel",$D10,0)),0))*(1+'El og plugin hybrid'!I$56)^-$A10))</f>
        <v>0</v>
      </c>
      <c r="J10" s="299"/>
      <c r="K10" s="299">
        <f>'El og plugin hybrid'!K$48*(IF($A10&lt;='El og plugin hybrid'!K$55,(IF('El og plugin hybrid'!K$63=0,(('El og plugin hybrid'!K$49*'El og plugin hybrid'!K$15/1000)*$B10),('El og plugin hybrid'!K$63)))*(1+'El og plugin hybrid'!K$56)^-$A10,0)+IF('El og plugin hybrid'!K$24=0,0,(IF($A10&lt;='El og plugin hybrid'!K$55,'El og plugin hybrid'!K$49/'El og plugin hybrid'!K$24*IF('El og plugin hybrid'!K$65="plugin hybrid benzin",$C10,IF('El og plugin hybrid'!K$65="plugin hybrid diesel",$D10,0)),0))*(1+'El og plugin hybrid'!K$56)^-$A10))</f>
        <v>0</v>
      </c>
      <c r="L10" s="299"/>
      <c r="M10" s="299">
        <f>'El og plugin hybrid'!M$48*(IF($A10&lt;='El og plugin hybrid'!M$55,(IF('El og plugin hybrid'!M$63=0,(('El og plugin hybrid'!M$49*'El og plugin hybrid'!M$15/1000)*$B10),('El og plugin hybrid'!M$63)))*(1+'El og plugin hybrid'!M$56)^-$A10,0)+IF('El og plugin hybrid'!M$24=0,0,(IF($A10&lt;='El og plugin hybrid'!M$55,'El og plugin hybrid'!M$49/'El og plugin hybrid'!M$24*IF('El og plugin hybrid'!M$65="plugin hybrid benzin",$C10,IF('El og plugin hybrid'!M$65="plugin hybrid diesel",$D10,0)),0))*(1+'El og plugin hybrid'!M$56)^-$A10))</f>
        <v>0</v>
      </c>
      <c r="N10" s="299"/>
      <c r="O10" s="299">
        <f>'El og plugin hybrid'!O$48*(IF($A10&lt;='El og plugin hybrid'!O$55,(IF('El og plugin hybrid'!O$63=0,(('El og plugin hybrid'!O$49*'El og plugin hybrid'!O$15/1000)*$B10),('El og plugin hybrid'!O$63)))*(1+'El og plugin hybrid'!O$56)^-$A10,0)+IF('El og plugin hybrid'!O$24=0,0,(IF($A10&lt;='El og plugin hybrid'!O$55,'El og plugin hybrid'!O$49/'El og plugin hybrid'!O$24*IF('El og plugin hybrid'!O$65="plugin hybrid benzin",$C10,IF('El og plugin hybrid'!O$65="plugin hybrid diesel",$D10,0)),0))*(1+'El og plugin hybrid'!O$56)^-$A10))</f>
        <v>0</v>
      </c>
      <c r="P10" s="299"/>
      <c r="Q10" s="299">
        <f>'El og plugin hybrid'!Q$48*(IF($A10&lt;='El og plugin hybrid'!Q$55,(IF('El og plugin hybrid'!Q$63=0,(('El og plugin hybrid'!Q$49*'El og plugin hybrid'!Q$15/1000)*$B10),('El og plugin hybrid'!Q$63)))*(1+'El og plugin hybrid'!Q$56)^-$A10,0)+IF('El og plugin hybrid'!Q$24=0,0,(IF($A10&lt;='El og plugin hybrid'!Q$55,'El og plugin hybrid'!Q$49/'El og plugin hybrid'!Q$24*IF('El og plugin hybrid'!Q$65="plugin hybrid benzin",$C10,IF('El og plugin hybrid'!Q$65="plugin hybrid diesel",$D10,0)),0))*(1+'El og plugin hybrid'!Q$56)^-$A10))</f>
        <v>0</v>
      </c>
      <c r="R10" s="299"/>
      <c r="S10" s="299">
        <f>'El og plugin hybrid'!S$48*(IF($A10&lt;='El og plugin hybrid'!S$55,(IF('El og plugin hybrid'!S$63=0,(('El og plugin hybrid'!S$49*'El og plugin hybrid'!S$15/1000)*$B10),('El og plugin hybrid'!S$63)))*(1+'El og plugin hybrid'!S$56)^-$A10,0)+IF('El og plugin hybrid'!S$24=0,0,(IF($A10&lt;='El og plugin hybrid'!S$55,'El og plugin hybrid'!S$49/'El og plugin hybrid'!S$24*IF('El og plugin hybrid'!S$65="plugin hybrid benzin",$C10,IF('El og plugin hybrid'!S$65="plugin hybrid diesel",$D10,0)),0))*(1+'El og plugin hybrid'!S$56)^-$A10))</f>
        <v>0</v>
      </c>
      <c r="U10" s="299">
        <f>'El og plugin hybrid'!U$48*(IF($A10&lt;='El og plugin hybrid'!U$55,(IF('El og plugin hybrid'!U$63=0,(('El og plugin hybrid'!U$49*'El og plugin hybrid'!U$15/1000)*$B10),('El og plugin hybrid'!U$63)))*(1+'El og plugin hybrid'!U$56)^-$A10,0)+IF('El og plugin hybrid'!U$24=0,0,(IF($A10&lt;='El og plugin hybrid'!U$55,'El og plugin hybrid'!U$49/'El og plugin hybrid'!U$24*IF('El og plugin hybrid'!U$65="plugin hybrid benzin",$C10,IF('El og plugin hybrid'!U$65="plugin hybrid diesel",$D10,0)),0))*(1+'El og plugin hybrid'!U$56)^-$A10))</f>
        <v>0</v>
      </c>
      <c r="W10" s="299">
        <f>'El og plugin hybrid'!W$48*(IF($A10&lt;='El og plugin hybrid'!W$55,(IF('El og plugin hybrid'!W$63=0,(('El og plugin hybrid'!W$49*'El og plugin hybrid'!W$15/1000)*$B10),('El og plugin hybrid'!W$63)))*(1+'El og plugin hybrid'!W$56)^-$A10,0)+IF('El og plugin hybrid'!W$24=0,0,(IF($A10&lt;='El og plugin hybrid'!W$55,'El og plugin hybrid'!W$49/'El og plugin hybrid'!W$24*IF('El og plugin hybrid'!W$65="plugin hybrid benzin",$C10,IF('El og plugin hybrid'!W$65="plugin hybrid diesel",$D10,0)),0))*(1+'El og plugin hybrid'!W$56)^-$A10))</f>
        <v>0</v>
      </c>
    </row>
    <row r="11" spans="1:27">
      <c r="A11" s="294">
        <f t="shared" si="1"/>
        <v>8</v>
      </c>
      <c r="B11" s="273">
        <f>((B10-Fremskrivninger!E15)*(1+IF('El og plugin hybrid'!$E$67="ja",'El og plugin hybrid'!$E$69,'El og plugin hybrid'!$E$71))+Fremskrivninger!E15)</f>
        <v>1.9191846861363873</v>
      </c>
      <c r="C11" s="295">
        <f>((C10-Fremskrivninger!N54)*(1+IF('El og plugin hybrid'!$E$73="ja",'El og plugin hybrid'!$E$75,'El og plugin hybrid'!$E$77))+Fremskrivninger!N54)</f>
        <v>9.1504024658794982</v>
      </c>
      <c r="D11" s="295">
        <f>((D10-Fremskrivninger!N98)*(1+IF('El og plugin hybrid'!$E$79="ja",'El og plugin hybrid'!$E$81,'El og plugin hybrid'!$E$83))+Fremskrivninger!N98)</f>
        <v>8.093673582596514</v>
      </c>
      <c r="E11" s="299">
        <f>'El og plugin hybrid'!E$48*(IF($A11&lt;='El og plugin hybrid'!E$55,(IF('El og plugin hybrid'!E$63=0,(('El og plugin hybrid'!E$49*'El og plugin hybrid'!E$15/1000)*$B11),('El og plugin hybrid'!E$63)))*(1+'El og plugin hybrid'!E$56)^-$A11,0)+IF('El og plugin hybrid'!E$24=0,0,(IF($A11&lt;='El og plugin hybrid'!E$55,'El og plugin hybrid'!E$49/'El og plugin hybrid'!E$24*IF('El og plugin hybrid'!E$65="plugin hybrid benzin",$C11,IF('El og plugin hybrid'!E$65="plugin hybrid diesel",$D11,0)),0))*(1+'El og plugin hybrid'!E$56)^-$A11))</f>
        <v>0</v>
      </c>
      <c r="F11" s="299"/>
      <c r="G11" s="299">
        <f>'El og plugin hybrid'!G$48*(IF($A11&lt;='El og plugin hybrid'!G$55,(IF('El og plugin hybrid'!G$63=0,(('El og plugin hybrid'!G$49*'El og plugin hybrid'!G$15/1000)*$B11),('El og plugin hybrid'!G$63)))*(1+'El og plugin hybrid'!G$56)^-$A11,0)+IF('El og plugin hybrid'!G$24=0,0,(IF($A11&lt;='El og plugin hybrid'!G$55,'El og plugin hybrid'!G$49/'El og plugin hybrid'!G$24*IF('El og plugin hybrid'!G$65="plugin hybrid benzin",$C11,IF('El og plugin hybrid'!G$65="plugin hybrid diesel",$D11,0)),0))*(1+'El og plugin hybrid'!G$56)^-$A11))</f>
        <v>0</v>
      </c>
      <c r="H11" s="299"/>
      <c r="I11" s="299">
        <f>'El og plugin hybrid'!I$48*(IF($A11&lt;='El og plugin hybrid'!I$55,(IF('El og plugin hybrid'!I$63=0,(('El og plugin hybrid'!I$49*'El og plugin hybrid'!I$15/1000)*$B11),('El og plugin hybrid'!I$63)))*(1+'El og plugin hybrid'!I$56)^-$A11,0)+IF('El og plugin hybrid'!I$24=0,0,(IF($A11&lt;='El og plugin hybrid'!I$55,'El og plugin hybrid'!I$49/'El og plugin hybrid'!I$24*IF('El og plugin hybrid'!I$65="plugin hybrid benzin",$C11,IF('El og plugin hybrid'!I$65="plugin hybrid diesel",$D11,0)),0))*(1+'El og plugin hybrid'!I$56)^-$A11))</f>
        <v>0</v>
      </c>
      <c r="J11" s="299"/>
      <c r="K11" s="299">
        <f>'El og plugin hybrid'!K$48*(IF($A11&lt;='El og plugin hybrid'!K$55,(IF('El og plugin hybrid'!K$63=0,(('El og plugin hybrid'!K$49*'El og plugin hybrid'!K$15/1000)*$B11),('El og plugin hybrid'!K$63)))*(1+'El og plugin hybrid'!K$56)^-$A11,0)+IF('El og plugin hybrid'!K$24=0,0,(IF($A11&lt;='El og plugin hybrid'!K$55,'El og plugin hybrid'!K$49/'El og plugin hybrid'!K$24*IF('El og plugin hybrid'!K$65="plugin hybrid benzin",$C11,IF('El og plugin hybrid'!K$65="plugin hybrid diesel",$D11,0)),0))*(1+'El og plugin hybrid'!K$56)^-$A11))</f>
        <v>0</v>
      </c>
      <c r="L11" s="299"/>
      <c r="M11" s="299">
        <f>'El og plugin hybrid'!M$48*(IF($A11&lt;='El og plugin hybrid'!M$55,(IF('El og plugin hybrid'!M$63=0,(('El og plugin hybrid'!M$49*'El og plugin hybrid'!M$15/1000)*$B11),('El og plugin hybrid'!M$63)))*(1+'El og plugin hybrid'!M$56)^-$A11,0)+IF('El og plugin hybrid'!M$24=0,0,(IF($A11&lt;='El og plugin hybrid'!M$55,'El og plugin hybrid'!M$49/'El og plugin hybrid'!M$24*IF('El og plugin hybrid'!M$65="plugin hybrid benzin",$C11,IF('El og plugin hybrid'!M$65="plugin hybrid diesel",$D11,0)),0))*(1+'El og plugin hybrid'!M$56)^-$A11))</f>
        <v>0</v>
      </c>
      <c r="N11" s="299"/>
      <c r="O11" s="299">
        <f>'El og plugin hybrid'!O$48*(IF($A11&lt;='El og plugin hybrid'!O$55,(IF('El og plugin hybrid'!O$63=0,(('El og plugin hybrid'!O$49*'El og plugin hybrid'!O$15/1000)*$B11),('El og plugin hybrid'!O$63)))*(1+'El og plugin hybrid'!O$56)^-$A11,0)+IF('El og plugin hybrid'!O$24=0,0,(IF($A11&lt;='El og plugin hybrid'!O$55,'El og plugin hybrid'!O$49/'El og plugin hybrid'!O$24*IF('El og plugin hybrid'!O$65="plugin hybrid benzin",$C11,IF('El og plugin hybrid'!O$65="plugin hybrid diesel",$D11,0)),0))*(1+'El og plugin hybrid'!O$56)^-$A11))</f>
        <v>0</v>
      </c>
      <c r="P11" s="299"/>
      <c r="Q11" s="299">
        <f>'El og plugin hybrid'!Q$48*(IF($A11&lt;='El og plugin hybrid'!Q$55,(IF('El og plugin hybrid'!Q$63=0,(('El og plugin hybrid'!Q$49*'El og plugin hybrid'!Q$15/1000)*$B11),('El og plugin hybrid'!Q$63)))*(1+'El og plugin hybrid'!Q$56)^-$A11,0)+IF('El og plugin hybrid'!Q$24=0,0,(IF($A11&lt;='El og plugin hybrid'!Q$55,'El og plugin hybrid'!Q$49/'El og plugin hybrid'!Q$24*IF('El og plugin hybrid'!Q$65="plugin hybrid benzin",$C11,IF('El og plugin hybrid'!Q$65="plugin hybrid diesel",$D11,0)),0))*(1+'El og plugin hybrid'!Q$56)^-$A11))</f>
        <v>0</v>
      </c>
      <c r="R11" s="299"/>
      <c r="S11" s="299">
        <f>'El og plugin hybrid'!S$48*(IF($A11&lt;='El og plugin hybrid'!S$55,(IF('El og plugin hybrid'!S$63=0,(('El og plugin hybrid'!S$49*'El og plugin hybrid'!S$15/1000)*$B11),('El og plugin hybrid'!S$63)))*(1+'El og plugin hybrid'!S$56)^-$A11,0)+IF('El og plugin hybrid'!S$24=0,0,(IF($A11&lt;='El og plugin hybrid'!S$55,'El og plugin hybrid'!S$49/'El og plugin hybrid'!S$24*IF('El og plugin hybrid'!S$65="plugin hybrid benzin",$C11,IF('El og plugin hybrid'!S$65="plugin hybrid diesel",$D11,0)),0))*(1+'El og plugin hybrid'!S$56)^-$A11))</f>
        <v>0</v>
      </c>
      <c r="U11" s="299">
        <f>'El og plugin hybrid'!U$48*(IF($A11&lt;='El og plugin hybrid'!U$55,(IF('El og plugin hybrid'!U$63=0,(('El og plugin hybrid'!U$49*'El og plugin hybrid'!U$15/1000)*$B11),('El og plugin hybrid'!U$63)))*(1+'El og plugin hybrid'!U$56)^-$A11,0)+IF('El og plugin hybrid'!U$24=0,0,(IF($A11&lt;='El og plugin hybrid'!U$55,'El og plugin hybrid'!U$49/'El og plugin hybrid'!U$24*IF('El og plugin hybrid'!U$65="plugin hybrid benzin",$C11,IF('El og plugin hybrid'!U$65="plugin hybrid diesel",$D11,0)),0))*(1+'El og plugin hybrid'!U$56)^-$A11))</f>
        <v>0</v>
      </c>
      <c r="W11" s="299">
        <f>'El og plugin hybrid'!W$48*(IF($A11&lt;='El og plugin hybrid'!W$55,(IF('El og plugin hybrid'!W$63=0,(('El og plugin hybrid'!W$49*'El og plugin hybrid'!W$15/1000)*$B11),('El og plugin hybrid'!W$63)))*(1+'El og plugin hybrid'!W$56)^-$A11,0)+IF('El og plugin hybrid'!W$24=0,0,(IF($A11&lt;='El og plugin hybrid'!W$55,'El og plugin hybrid'!W$49/'El og plugin hybrid'!W$24*IF('El og plugin hybrid'!W$65="plugin hybrid benzin",$C11,IF('El og plugin hybrid'!W$65="plugin hybrid diesel",$D11,0)),0))*(1+'El og plugin hybrid'!W$56)^-$A11))</f>
        <v>0</v>
      </c>
    </row>
    <row r="12" spans="1:27">
      <c r="A12" s="294">
        <f t="shared" si="1"/>
        <v>9</v>
      </c>
      <c r="B12" s="273">
        <f>((B11-Fremskrivninger!E16)*(1+IF('El og plugin hybrid'!$E$67="ja",'El og plugin hybrid'!$E$69,'El og plugin hybrid'!$E$71))+Fremskrivninger!E16)</f>
        <v>1.929742170394865</v>
      </c>
      <c r="C12" s="295">
        <f>((C11-Fremskrivninger!N55)*(1+IF('El og plugin hybrid'!$E$73="ja",'El og plugin hybrid'!$E$75,'El og plugin hybrid'!$E$77))+Fremskrivninger!N55)</f>
        <v>9.2128190601552227</v>
      </c>
      <c r="D12" s="295">
        <f>((D11-Fremskrivninger!N99)*(1+IF('El og plugin hybrid'!$E$79="ja",'El og plugin hybrid'!$E$81,'El og plugin hybrid'!$E$83))+Fremskrivninger!N99)</f>
        <v>8.1640518495441636</v>
      </c>
      <c r="E12" s="299">
        <f>'El og plugin hybrid'!E$48*(IF($A12&lt;='El og plugin hybrid'!E$55,(IF('El og plugin hybrid'!E$63=0,(('El og plugin hybrid'!E$49*'El og plugin hybrid'!E$15/1000)*$B12),('El og plugin hybrid'!E$63)))*(1+'El og plugin hybrid'!E$56)^-$A12,0)+IF('El og plugin hybrid'!E$24=0,0,(IF($A12&lt;='El og plugin hybrid'!E$55,'El og plugin hybrid'!E$49/'El og plugin hybrid'!E$24*IF('El og plugin hybrid'!E$65="plugin hybrid benzin",$C12,IF('El og plugin hybrid'!E$65="plugin hybrid diesel",$D12,0)),0))*(1+'El og plugin hybrid'!E$56)^-$A12))</f>
        <v>0</v>
      </c>
      <c r="F12" s="299"/>
      <c r="G12" s="299">
        <f>'El og plugin hybrid'!G$48*(IF($A12&lt;='El og plugin hybrid'!G$55,(IF('El og plugin hybrid'!G$63=0,(('El og plugin hybrid'!G$49*'El og plugin hybrid'!G$15/1000)*$B12),('El og plugin hybrid'!G$63)))*(1+'El og plugin hybrid'!G$56)^-$A12,0)+IF('El og plugin hybrid'!G$24=0,0,(IF($A12&lt;='El og plugin hybrid'!G$55,'El og plugin hybrid'!G$49/'El og plugin hybrid'!G$24*IF('El og plugin hybrid'!G$65="plugin hybrid benzin",$C12,IF('El og plugin hybrid'!G$65="plugin hybrid diesel",$D12,0)),0))*(1+'El og plugin hybrid'!G$56)^-$A12))</f>
        <v>0</v>
      </c>
      <c r="H12" s="299"/>
      <c r="I12" s="299">
        <f>'El og plugin hybrid'!I$48*(IF($A12&lt;='El og plugin hybrid'!I$55,(IF('El og plugin hybrid'!I$63=0,(('El og plugin hybrid'!I$49*'El og plugin hybrid'!I$15/1000)*$B12),('El og plugin hybrid'!I$63)))*(1+'El og plugin hybrid'!I$56)^-$A12,0)+IF('El og plugin hybrid'!I$24=0,0,(IF($A12&lt;='El og plugin hybrid'!I$55,'El og plugin hybrid'!I$49/'El og plugin hybrid'!I$24*IF('El og plugin hybrid'!I$65="plugin hybrid benzin",$C12,IF('El og plugin hybrid'!I$65="plugin hybrid diesel",$D12,0)),0))*(1+'El og plugin hybrid'!I$56)^-$A12))</f>
        <v>0</v>
      </c>
      <c r="J12" s="299"/>
      <c r="K12" s="299">
        <f>'El og plugin hybrid'!K$48*(IF($A12&lt;='El og plugin hybrid'!K$55,(IF('El og plugin hybrid'!K$63=0,(('El og plugin hybrid'!K$49*'El og plugin hybrid'!K$15/1000)*$B12),('El og plugin hybrid'!K$63)))*(1+'El og plugin hybrid'!K$56)^-$A12,0)+IF('El og plugin hybrid'!K$24=0,0,(IF($A12&lt;='El og plugin hybrid'!K$55,'El og plugin hybrid'!K$49/'El og plugin hybrid'!K$24*IF('El og plugin hybrid'!K$65="plugin hybrid benzin",$C12,IF('El og plugin hybrid'!K$65="plugin hybrid diesel",$D12,0)),0))*(1+'El og plugin hybrid'!K$56)^-$A12))</f>
        <v>0</v>
      </c>
      <c r="L12" s="299"/>
      <c r="M12" s="299">
        <f>'El og plugin hybrid'!M$48*(IF($A12&lt;='El og plugin hybrid'!M$55,(IF('El og plugin hybrid'!M$63=0,(('El og plugin hybrid'!M$49*'El og plugin hybrid'!M$15/1000)*$B12),('El og plugin hybrid'!M$63)))*(1+'El og plugin hybrid'!M$56)^-$A12,0)+IF('El og plugin hybrid'!M$24=0,0,(IF($A12&lt;='El og plugin hybrid'!M$55,'El og plugin hybrid'!M$49/'El og plugin hybrid'!M$24*IF('El og plugin hybrid'!M$65="plugin hybrid benzin",$C12,IF('El og plugin hybrid'!M$65="plugin hybrid diesel",$D12,0)),0))*(1+'El og plugin hybrid'!M$56)^-$A12))</f>
        <v>0</v>
      </c>
      <c r="N12" s="299"/>
      <c r="O12" s="299">
        <f>'El og plugin hybrid'!O$48*(IF($A12&lt;='El og plugin hybrid'!O$55,(IF('El og plugin hybrid'!O$63=0,(('El og plugin hybrid'!O$49*'El og plugin hybrid'!O$15/1000)*$B12),('El og plugin hybrid'!O$63)))*(1+'El og plugin hybrid'!O$56)^-$A12,0)+IF('El og plugin hybrid'!O$24=0,0,(IF($A12&lt;='El og plugin hybrid'!O$55,'El og plugin hybrid'!O$49/'El og plugin hybrid'!O$24*IF('El og plugin hybrid'!O$65="plugin hybrid benzin",$C12,IF('El og plugin hybrid'!O$65="plugin hybrid diesel",$D12,0)),0))*(1+'El og plugin hybrid'!O$56)^-$A12))</f>
        <v>0</v>
      </c>
      <c r="P12" s="299"/>
      <c r="Q12" s="299">
        <f>'El og plugin hybrid'!Q$48*(IF($A12&lt;='El og plugin hybrid'!Q$55,(IF('El og plugin hybrid'!Q$63=0,(('El og plugin hybrid'!Q$49*'El og plugin hybrid'!Q$15/1000)*$B12),('El og plugin hybrid'!Q$63)))*(1+'El og plugin hybrid'!Q$56)^-$A12,0)+IF('El og plugin hybrid'!Q$24=0,0,(IF($A12&lt;='El og plugin hybrid'!Q$55,'El og plugin hybrid'!Q$49/'El og plugin hybrid'!Q$24*IF('El og plugin hybrid'!Q$65="plugin hybrid benzin",$C12,IF('El og plugin hybrid'!Q$65="plugin hybrid diesel",$D12,0)),0))*(1+'El og plugin hybrid'!Q$56)^-$A12))</f>
        <v>0</v>
      </c>
      <c r="R12" s="299"/>
      <c r="S12" s="299">
        <f>'El og plugin hybrid'!S$48*(IF($A12&lt;='El og plugin hybrid'!S$55,(IF('El og plugin hybrid'!S$63=0,(('El og plugin hybrid'!S$49*'El og plugin hybrid'!S$15/1000)*$B12),('El og plugin hybrid'!S$63)))*(1+'El og plugin hybrid'!S$56)^-$A12,0)+IF('El og plugin hybrid'!S$24=0,0,(IF($A12&lt;='El og plugin hybrid'!S$55,'El og plugin hybrid'!S$49/'El og plugin hybrid'!S$24*IF('El og plugin hybrid'!S$65="plugin hybrid benzin",$C12,IF('El og plugin hybrid'!S$65="plugin hybrid diesel",$D12,0)),0))*(1+'El og plugin hybrid'!S$56)^-$A12))</f>
        <v>0</v>
      </c>
      <c r="U12" s="299">
        <f>'El og plugin hybrid'!U$48*(IF($A12&lt;='El og plugin hybrid'!U$55,(IF('El og plugin hybrid'!U$63=0,(('El og plugin hybrid'!U$49*'El og plugin hybrid'!U$15/1000)*$B12),('El og plugin hybrid'!U$63)))*(1+'El og plugin hybrid'!U$56)^-$A12,0)+IF('El og plugin hybrid'!U$24=0,0,(IF($A12&lt;='El og plugin hybrid'!U$55,'El og plugin hybrid'!U$49/'El og plugin hybrid'!U$24*IF('El og plugin hybrid'!U$65="plugin hybrid benzin",$C12,IF('El og plugin hybrid'!U$65="plugin hybrid diesel",$D12,0)),0))*(1+'El og plugin hybrid'!U$56)^-$A12))</f>
        <v>0</v>
      </c>
      <c r="W12" s="299">
        <f>'El og plugin hybrid'!W$48*(IF($A12&lt;='El og plugin hybrid'!W$55,(IF('El og plugin hybrid'!W$63=0,(('El og plugin hybrid'!W$49*'El og plugin hybrid'!W$15/1000)*$B12),('El og plugin hybrid'!W$63)))*(1+'El og plugin hybrid'!W$56)^-$A12,0)+IF('El og plugin hybrid'!W$24=0,0,(IF($A12&lt;='El og plugin hybrid'!W$55,'El og plugin hybrid'!W$49/'El og plugin hybrid'!W$24*IF('El og plugin hybrid'!W$65="plugin hybrid benzin",$C12,IF('El og plugin hybrid'!W$65="plugin hybrid diesel",$D12,0)),0))*(1+'El og plugin hybrid'!W$56)^-$A12))</f>
        <v>0</v>
      </c>
    </row>
    <row r="13" spans="1:27">
      <c r="A13" s="294">
        <f t="shared" si="1"/>
        <v>10</v>
      </c>
      <c r="B13" s="273">
        <f>((B12-Fremskrivninger!E17)*(1+IF('El og plugin hybrid'!$E$67="ja",'El og plugin hybrid'!$E$69,'El og plugin hybrid'!$E$71))+Fremskrivninger!E17)</f>
        <v>1.9404759646404592</v>
      </c>
      <c r="C13" s="295">
        <f>((C12-Fremskrivninger!N56)*(1+IF('El og plugin hybrid'!$E$73="ja",'El og plugin hybrid'!$E$75,'El og plugin hybrid'!$E$77))+Fremskrivninger!N56)</f>
        <v>9.276103245091381</v>
      </c>
      <c r="D13" s="295">
        <f>((D12-Fremskrivninger!N100)*(1+IF('El og plugin hybrid'!$E$79="ja",'El og plugin hybrid'!$E$81,'El og plugin hybrid'!$E$83))+Fremskrivninger!N100)</f>
        <v>8.2354506013625528</v>
      </c>
      <c r="E13" s="299">
        <f>'El og plugin hybrid'!E$48*(IF($A13&lt;='El og plugin hybrid'!E$55,(IF('El og plugin hybrid'!E$63=0,(('El og plugin hybrid'!E$49*'El og plugin hybrid'!E$15/1000)*$B13),('El og plugin hybrid'!E$63)))*(1+'El og plugin hybrid'!E$56)^-$A13,0)+IF('El og plugin hybrid'!E$24=0,0,(IF($A13&lt;='El og plugin hybrid'!E$55,'El og plugin hybrid'!E$49/'El og plugin hybrid'!E$24*IF('El og plugin hybrid'!E$65="plugin hybrid benzin",$C13,IF('El og plugin hybrid'!E$65="plugin hybrid diesel",$D13,0)),0))*(1+'El og plugin hybrid'!E$56)^-$A13))</f>
        <v>0</v>
      </c>
      <c r="F13" s="299"/>
      <c r="G13" s="299">
        <f>'El og plugin hybrid'!G$48*(IF($A13&lt;='El og plugin hybrid'!G$55,(IF('El og plugin hybrid'!G$63=0,(('El og plugin hybrid'!G$49*'El og plugin hybrid'!G$15/1000)*$B13),('El og plugin hybrid'!G$63)))*(1+'El og plugin hybrid'!G$56)^-$A13,0)+IF('El og plugin hybrid'!G$24=0,0,(IF($A13&lt;='El og plugin hybrid'!G$55,'El og plugin hybrid'!G$49/'El og plugin hybrid'!G$24*IF('El og plugin hybrid'!G$65="plugin hybrid benzin",$C13,IF('El og plugin hybrid'!G$65="plugin hybrid diesel",$D13,0)),0))*(1+'El og plugin hybrid'!G$56)^-$A13))</f>
        <v>0</v>
      </c>
      <c r="H13" s="299"/>
      <c r="I13" s="299">
        <f>'El og plugin hybrid'!I$48*(IF($A13&lt;='El og plugin hybrid'!I$55,(IF('El og plugin hybrid'!I$63=0,(('El og plugin hybrid'!I$49*'El og plugin hybrid'!I$15/1000)*$B13),('El og plugin hybrid'!I$63)))*(1+'El og plugin hybrid'!I$56)^-$A13,0)+IF('El og plugin hybrid'!I$24=0,0,(IF($A13&lt;='El og plugin hybrid'!I$55,'El og plugin hybrid'!I$49/'El og plugin hybrid'!I$24*IF('El og plugin hybrid'!I$65="plugin hybrid benzin",$C13,IF('El og plugin hybrid'!I$65="plugin hybrid diesel",$D13,0)),0))*(1+'El og plugin hybrid'!I$56)^-$A13))</f>
        <v>0</v>
      </c>
      <c r="J13" s="299"/>
      <c r="K13" s="299">
        <f>'El og plugin hybrid'!K$48*(IF($A13&lt;='El og plugin hybrid'!K$55,(IF('El og plugin hybrid'!K$63=0,(('El og plugin hybrid'!K$49*'El og plugin hybrid'!K$15/1000)*$B13),('El og plugin hybrid'!K$63)))*(1+'El og plugin hybrid'!K$56)^-$A13,0)+IF('El og plugin hybrid'!K$24=0,0,(IF($A13&lt;='El og plugin hybrid'!K$55,'El og plugin hybrid'!K$49/'El og plugin hybrid'!K$24*IF('El og plugin hybrid'!K$65="plugin hybrid benzin",$C13,IF('El og plugin hybrid'!K$65="plugin hybrid diesel",$D13,0)),0))*(1+'El og plugin hybrid'!K$56)^-$A13))</f>
        <v>0</v>
      </c>
      <c r="L13" s="299"/>
      <c r="M13" s="299">
        <f>'El og plugin hybrid'!M$48*(IF($A13&lt;='El og plugin hybrid'!M$55,(IF('El og plugin hybrid'!M$63=0,(('El og plugin hybrid'!M$49*'El og plugin hybrid'!M$15/1000)*$B13),('El og plugin hybrid'!M$63)))*(1+'El og plugin hybrid'!M$56)^-$A13,0)+IF('El og plugin hybrid'!M$24=0,0,(IF($A13&lt;='El og plugin hybrid'!M$55,'El og plugin hybrid'!M$49/'El og plugin hybrid'!M$24*IF('El og plugin hybrid'!M$65="plugin hybrid benzin",$C13,IF('El og plugin hybrid'!M$65="plugin hybrid diesel",$D13,0)),0))*(1+'El og plugin hybrid'!M$56)^-$A13))</f>
        <v>0</v>
      </c>
      <c r="N13" s="299"/>
      <c r="O13" s="299">
        <f>'El og plugin hybrid'!O$48*(IF($A13&lt;='El og plugin hybrid'!O$55,(IF('El og plugin hybrid'!O$63=0,(('El og plugin hybrid'!O$49*'El og plugin hybrid'!O$15/1000)*$B13),('El og plugin hybrid'!O$63)))*(1+'El og plugin hybrid'!O$56)^-$A13,0)+IF('El og plugin hybrid'!O$24=0,0,(IF($A13&lt;='El og plugin hybrid'!O$55,'El og plugin hybrid'!O$49/'El og plugin hybrid'!O$24*IF('El og plugin hybrid'!O$65="plugin hybrid benzin",$C13,IF('El og plugin hybrid'!O$65="plugin hybrid diesel",$D13,0)),0))*(1+'El og plugin hybrid'!O$56)^-$A13))</f>
        <v>0</v>
      </c>
      <c r="P13" s="299"/>
      <c r="Q13" s="299">
        <f>'El og plugin hybrid'!Q$48*(IF($A13&lt;='El og plugin hybrid'!Q$55,(IF('El og plugin hybrid'!Q$63=0,(('El og plugin hybrid'!Q$49*'El og plugin hybrid'!Q$15/1000)*$B13),('El og plugin hybrid'!Q$63)))*(1+'El og plugin hybrid'!Q$56)^-$A13,0)+IF('El og plugin hybrid'!Q$24=0,0,(IF($A13&lt;='El og plugin hybrid'!Q$55,'El og plugin hybrid'!Q$49/'El og plugin hybrid'!Q$24*IF('El og plugin hybrid'!Q$65="plugin hybrid benzin",$C13,IF('El og plugin hybrid'!Q$65="plugin hybrid diesel",$D13,0)),0))*(1+'El og plugin hybrid'!Q$56)^-$A13))</f>
        <v>0</v>
      </c>
      <c r="R13" s="299"/>
      <c r="S13" s="299">
        <f>'El og plugin hybrid'!S$48*(IF($A13&lt;='El og plugin hybrid'!S$55,(IF('El og plugin hybrid'!S$63=0,(('El og plugin hybrid'!S$49*'El og plugin hybrid'!S$15/1000)*$B13),('El og plugin hybrid'!S$63)))*(1+'El og plugin hybrid'!S$56)^-$A13,0)+IF('El og plugin hybrid'!S$24=0,0,(IF($A13&lt;='El og plugin hybrid'!S$55,'El og plugin hybrid'!S$49/'El og plugin hybrid'!S$24*IF('El og plugin hybrid'!S$65="plugin hybrid benzin",$C13,IF('El og plugin hybrid'!S$65="plugin hybrid diesel",$D13,0)),0))*(1+'El og plugin hybrid'!S$56)^-$A13))</f>
        <v>0</v>
      </c>
      <c r="U13" s="299">
        <f>'El og plugin hybrid'!U$48*(IF($A13&lt;='El og plugin hybrid'!U$55,(IF('El og plugin hybrid'!U$63=0,(('El og plugin hybrid'!U$49*'El og plugin hybrid'!U$15/1000)*$B13),('El og plugin hybrid'!U$63)))*(1+'El og plugin hybrid'!U$56)^-$A13,0)+IF('El og plugin hybrid'!U$24=0,0,(IF($A13&lt;='El og plugin hybrid'!U$55,'El og plugin hybrid'!U$49/'El og plugin hybrid'!U$24*IF('El og plugin hybrid'!U$65="plugin hybrid benzin",$C13,IF('El og plugin hybrid'!U$65="plugin hybrid diesel",$D13,0)),0))*(1+'El og plugin hybrid'!U$56)^-$A13))</f>
        <v>0</v>
      </c>
      <c r="W13" s="299">
        <f>'El og plugin hybrid'!W$48*(IF($A13&lt;='El og plugin hybrid'!W$55,(IF('El og plugin hybrid'!W$63=0,(('El og plugin hybrid'!W$49*'El og plugin hybrid'!W$15/1000)*$B13),('El og plugin hybrid'!W$63)))*(1+'El og plugin hybrid'!W$56)^-$A13,0)+IF('El og plugin hybrid'!W$24=0,0,(IF($A13&lt;='El og plugin hybrid'!W$55,'El og plugin hybrid'!W$49/'El og plugin hybrid'!W$24*IF('El og plugin hybrid'!W$65="plugin hybrid benzin",$C13,IF('El og plugin hybrid'!W$65="plugin hybrid diesel",$D13,0)),0))*(1+'El og plugin hybrid'!W$56)^-$A13))</f>
        <v>0</v>
      </c>
    </row>
    <row r="14" spans="1:27">
      <c r="A14" s="294">
        <f t="shared" si="1"/>
        <v>11</v>
      </c>
      <c r="B14" s="273">
        <f>((B13-Fremskrivninger!E18)*(1+IF('El og plugin hybrid'!$E$67="ja",'El og plugin hybrid'!$E$69,'El og plugin hybrid'!$E$71))+Fremskrivninger!E18)</f>
        <v>1.9513890132499547</v>
      </c>
      <c r="C14" s="295">
        <f>((C13-Fremskrivninger!N57)*(1+IF('El og plugin hybrid'!$E$73="ja",'El og plugin hybrid'!$E$75,'El og plugin hybrid'!$E$77))+Fremskrivninger!N57)</f>
        <v>9.3402670801981511</v>
      </c>
      <c r="D14" s="295">
        <f>((D13-Fremskrivninger!N101)*(1+IF('El og plugin hybrid'!$E$79="ja",'El og plugin hybrid'!$E$81,'El og plugin hybrid'!$E$83))+Fremskrivninger!N101)</f>
        <v>8.3078846350823099</v>
      </c>
      <c r="E14" s="299">
        <f>'El og plugin hybrid'!E$48*(IF($A14&lt;='El og plugin hybrid'!E$55,(IF('El og plugin hybrid'!E$63=0,(('El og plugin hybrid'!E$49*'El og plugin hybrid'!E$15/1000)*$B14),('El og plugin hybrid'!E$63)))*(1+'El og plugin hybrid'!E$56)^-$A14,0)+IF('El og plugin hybrid'!E$24=0,0,(IF($A14&lt;='El og plugin hybrid'!E$55,'El og plugin hybrid'!E$49/'El og plugin hybrid'!E$24*IF('El og plugin hybrid'!E$65="plugin hybrid benzin",$C14,IF('El og plugin hybrid'!E$65="plugin hybrid diesel",$D14,0)),0))*(1+'El og plugin hybrid'!E$56)^-$A14))</f>
        <v>0</v>
      </c>
      <c r="F14" s="299"/>
      <c r="G14" s="299">
        <f>'El og plugin hybrid'!G$48*(IF($A14&lt;='El og plugin hybrid'!G$55,(IF('El og plugin hybrid'!G$63=0,(('El og plugin hybrid'!G$49*'El og plugin hybrid'!G$15/1000)*$B14),('El og plugin hybrid'!G$63)))*(1+'El og plugin hybrid'!G$56)^-$A14,0)+IF('El og plugin hybrid'!G$24=0,0,(IF($A14&lt;='El og plugin hybrid'!G$55,'El og plugin hybrid'!G$49/'El og plugin hybrid'!G$24*IF('El og plugin hybrid'!G$65="plugin hybrid benzin",$C14,IF('El og plugin hybrid'!G$65="plugin hybrid diesel",$D14,0)),0))*(1+'El og plugin hybrid'!G$56)^-$A14))</f>
        <v>0</v>
      </c>
      <c r="H14" s="299"/>
      <c r="I14" s="299">
        <f>'El og plugin hybrid'!I$48*(IF($A14&lt;='El og plugin hybrid'!I$55,(IF('El og plugin hybrid'!I$63=0,(('El og plugin hybrid'!I$49*'El og plugin hybrid'!I$15/1000)*$B14),('El og plugin hybrid'!I$63)))*(1+'El og plugin hybrid'!I$56)^-$A14,0)+IF('El og plugin hybrid'!I$24=0,0,(IF($A14&lt;='El og plugin hybrid'!I$55,'El og plugin hybrid'!I$49/'El og plugin hybrid'!I$24*IF('El og plugin hybrid'!I$65="plugin hybrid benzin",$C14,IF('El og plugin hybrid'!I$65="plugin hybrid diesel",$D14,0)),0))*(1+'El og plugin hybrid'!I$56)^-$A14))</f>
        <v>0</v>
      </c>
      <c r="J14" s="299"/>
      <c r="K14" s="299">
        <f>'El og plugin hybrid'!K$48*(IF($A14&lt;='El og plugin hybrid'!K$55,(IF('El og plugin hybrid'!K$63=0,(('El og plugin hybrid'!K$49*'El og plugin hybrid'!K$15/1000)*$B14),('El og plugin hybrid'!K$63)))*(1+'El og plugin hybrid'!K$56)^-$A14,0)+IF('El og plugin hybrid'!K$24=0,0,(IF($A14&lt;='El og plugin hybrid'!K$55,'El og plugin hybrid'!K$49/'El og plugin hybrid'!K$24*IF('El og plugin hybrid'!K$65="plugin hybrid benzin",$C14,IF('El og plugin hybrid'!K$65="plugin hybrid diesel",$D14,0)),0))*(1+'El og plugin hybrid'!K$56)^-$A14))</f>
        <v>0</v>
      </c>
      <c r="L14" s="299"/>
      <c r="M14" s="299">
        <f>'El og plugin hybrid'!M$48*(IF($A14&lt;='El og plugin hybrid'!M$55,(IF('El og plugin hybrid'!M$63=0,(('El og plugin hybrid'!M$49*'El og plugin hybrid'!M$15/1000)*$B14),('El og plugin hybrid'!M$63)))*(1+'El og plugin hybrid'!M$56)^-$A14,0)+IF('El og plugin hybrid'!M$24=0,0,(IF($A14&lt;='El og plugin hybrid'!M$55,'El og plugin hybrid'!M$49/'El og plugin hybrid'!M$24*IF('El og plugin hybrid'!M$65="plugin hybrid benzin",$C14,IF('El og plugin hybrid'!M$65="plugin hybrid diesel",$D14,0)),0))*(1+'El og plugin hybrid'!M$56)^-$A14))</f>
        <v>0</v>
      </c>
      <c r="N14" s="299"/>
      <c r="O14" s="299">
        <f>'El og plugin hybrid'!O$48*(IF($A14&lt;='El og plugin hybrid'!O$55,(IF('El og plugin hybrid'!O$63=0,(('El og plugin hybrid'!O$49*'El og plugin hybrid'!O$15/1000)*$B14),('El og plugin hybrid'!O$63)))*(1+'El og plugin hybrid'!O$56)^-$A14,0)+IF('El og plugin hybrid'!O$24=0,0,(IF($A14&lt;='El og plugin hybrid'!O$55,'El og plugin hybrid'!O$49/'El og plugin hybrid'!O$24*IF('El og plugin hybrid'!O$65="plugin hybrid benzin",$C14,IF('El og plugin hybrid'!O$65="plugin hybrid diesel",$D14,0)),0))*(1+'El og plugin hybrid'!O$56)^-$A14))</f>
        <v>0</v>
      </c>
      <c r="P14" s="299"/>
      <c r="Q14" s="299">
        <f>'El og plugin hybrid'!Q$48*(IF($A14&lt;='El og plugin hybrid'!Q$55,(IF('El og plugin hybrid'!Q$63=0,(('El og plugin hybrid'!Q$49*'El og plugin hybrid'!Q$15/1000)*$B14),('El og plugin hybrid'!Q$63)))*(1+'El og plugin hybrid'!Q$56)^-$A14,0)+IF('El og plugin hybrid'!Q$24=0,0,(IF($A14&lt;='El og plugin hybrid'!Q$55,'El og plugin hybrid'!Q$49/'El og plugin hybrid'!Q$24*IF('El og plugin hybrid'!Q$65="plugin hybrid benzin",$C14,IF('El og plugin hybrid'!Q$65="plugin hybrid diesel",$D14,0)),0))*(1+'El og plugin hybrid'!Q$56)^-$A14))</f>
        <v>0</v>
      </c>
      <c r="R14" s="299"/>
      <c r="S14" s="299">
        <f>'El og plugin hybrid'!S$48*(IF($A14&lt;='El og plugin hybrid'!S$55,(IF('El og plugin hybrid'!S$63=0,(('El og plugin hybrid'!S$49*'El og plugin hybrid'!S$15/1000)*$B14),('El og plugin hybrid'!S$63)))*(1+'El og plugin hybrid'!S$56)^-$A14,0)+IF('El og plugin hybrid'!S$24=0,0,(IF($A14&lt;='El og plugin hybrid'!S$55,'El og plugin hybrid'!S$49/'El og plugin hybrid'!S$24*IF('El og plugin hybrid'!S$65="plugin hybrid benzin",$C14,IF('El og plugin hybrid'!S$65="plugin hybrid diesel",$D14,0)),0))*(1+'El og plugin hybrid'!S$56)^-$A14))</f>
        <v>0</v>
      </c>
      <c r="U14" s="299">
        <f>'El og plugin hybrid'!U$48*(IF($A14&lt;='El og plugin hybrid'!U$55,(IF('El og plugin hybrid'!U$63=0,(('El og plugin hybrid'!U$49*'El og plugin hybrid'!U$15/1000)*$B14),('El og plugin hybrid'!U$63)))*(1+'El og plugin hybrid'!U$56)^-$A14,0)+IF('El og plugin hybrid'!U$24=0,0,(IF($A14&lt;='El og plugin hybrid'!U$55,'El og plugin hybrid'!U$49/'El og plugin hybrid'!U$24*IF('El og plugin hybrid'!U$65="plugin hybrid benzin",$C14,IF('El og plugin hybrid'!U$65="plugin hybrid diesel",$D14,0)),0))*(1+'El og plugin hybrid'!U$56)^-$A14))</f>
        <v>0</v>
      </c>
      <c r="W14" s="299">
        <f>'El og plugin hybrid'!W$48*(IF($A14&lt;='El og plugin hybrid'!W$55,(IF('El og plugin hybrid'!W$63=0,(('El og plugin hybrid'!W$49*'El og plugin hybrid'!W$15/1000)*$B14),('El og plugin hybrid'!W$63)))*(1+'El og plugin hybrid'!W$56)^-$A14,0)+IF('El og plugin hybrid'!W$24=0,0,(IF($A14&lt;='El og plugin hybrid'!W$55,'El og plugin hybrid'!W$49/'El og plugin hybrid'!W$24*IF('El og plugin hybrid'!W$65="plugin hybrid benzin",$C14,IF('El og plugin hybrid'!W$65="plugin hybrid diesel",$D14,0)),0))*(1+'El og plugin hybrid'!W$56)^-$A14))</f>
        <v>0</v>
      </c>
    </row>
    <row r="15" spans="1:27">
      <c r="A15" s="294">
        <f t="shared" si="1"/>
        <v>12</v>
      </c>
      <c r="B15" s="273">
        <f>((B14-Fremskrivninger!E19)*(1+IF('El og plugin hybrid'!$E$67="ja",'El og plugin hybrid'!$E$69,'El og plugin hybrid'!$E$71))+Fremskrivninger!E19)</f>
        <v>1.962484309771229</v>
      </c>
      <c r="C15" s="295">
        <f>((C14-Fremskrivninger!N58)*(1+IF('El og plugin hybrid'!$E$73="ja",'El og plugin hybrid'!$E$75,'El og plugin hybrid'!$E$77))+Fremskrivninger!N58)</f>
        <v>9.4053227926129068</v>
      </c>
      <c r="D15" s="295">
        <f>((D14-Fremskrivninger!N102)*(1+IF('El og plugin hybrid'!$E$79="ja",'El og plugin hybrid'!$E$81,'El og plugin hybrid'!$E$83))+Fremskrivninger!N102)</f>
        <v>8.3813689622910026</v>
      </c>
      <c r="E15" s="299">
        <f>'El og plugin hybrid'!E$48*(IF($A15&lt;='El og plugin hybrid'!E$55,(IF('El og plugin hybrid'!E$63=0,(('El og plugin hybrid'!E$49*'El og plugin hybrid'!E$15/1000)*$B15),('El og plugin hybrid'!E$63)))*(1+'El og plugin hybrid'!E$56)^-$A15,0)+IF('El og plugin hybrid'!E$24=0,0,(IF($A15&lt;='El og plugin hybrid'!E$55,'El og plugin hybrid'!E$49/'El og plugin hybrid'!E$24*IF('El og plugin hybrid'!E$65="plugin hybrid benzin",$C15,IF('El og plugin hybrid'!E$65="plugin hybrid diesel",$D15,0)),0))*(1+'El og plugin hybrid'!E$56)^-$A15))</f>
        <v>0</v>
      </c>
      <c r="F15" s="299"/>
      <c r="G15" s="299">
        <f>'El og plugin hybrid'!G$48*(IF($A15&lt;='El og plugin hybrid'!G$55,(IF('El og plugin hybrid'!G$63=0,(('El og plugin hybrid'!G$49*'El og plugin hybrid'!G$15/1000)*$B15),('El og plugin hybrid'!G$63)))*(1+'El og plugin hybrid'!G$56)^-$A15,0)+IF('El og plugin hybrid'!G$24=0,0,(IF($A15&lt;='El og plugin hybrid'!G$55,'El og plugin hybrid'!G$49/'El og plugin hybrid'!G$24*IF('El og plugin hybrid'!G$65="plugin hybrid benzin",$C15,IF('El og plugin hybrid'!G$65="plugin hybrid diesel",$D15,0)),0))*(1+'El og plugin hybrid'!G$56)^-$A15))</f>
        <v>0</v>
      </c>
      <c r="H15" s="299"/>
      <c r="I15" s="299">
        <f>'El og plugin hybrid'!I$48*(IF($A15&lt;='El og plugin hybrid'!I$55,(IF('El og plugin hybrid'!I$63=0,(('El og plugin hybrid'!I$49*'El og plugin hybrid'!I$15/1000)*$B15),('El og plugin hybrid'!I$63)))*(1+'El og plugin hybrid'!I$56)^-$A15,0)+IF('El og plugin hybrid'!I$24=0,0,(IF($A15&lt;='El og plugin hybrid'!I$55,'El og plugin hybrid'!I$49/'El og plugin hybrid'!I$24*IF('El og plugin hybrid'!I$65="plugin hybrid benzin",$C15,IF('El og plugin hybrid'!I$65="plugin hybrid diesel",$D15,0)),0))*(1+'El og plugin hybrid'!I$56)^-$A15))</f>
        <v>0</v>
      </c>
      <c r="J15" s="299"/>
      <c r="K15" s="299">
        <f>'El og plugin hybrid'!K$48*(IF($A15&lt;='El og plugin hybrid'!K$55,(IF('El og plugin hybrid'!K$63=0,(('El og plugin hybrid'!K$49*'El og plugin hybrid'!K$15/1000)*$B15),('El og plugin hybrid'!K$63)))*(1+'El og plugin hybrid'!K$56)^-$A15,0)+IF('El og plugin hybrid'!K$24=0,0,(IF($A15&lt;='El og plugin hybrid'!K$55,'El og plugin hybrid'!K$49/'El og plugin hybrid'!K$24*IF('El og plugin hybrid'!K$65="plugin hybrid benzin",$C15,IF('El og plugin hybrid'!K$65="plugin hybrid diesel",$D15,0)),0))*(1+'El og plugin hybrid'!K$56)^-$A15))</f>
        <v>0</v>
      </c>
      <c r="L15" s="299"/>
      <c r="M15" s="299">
        <f>'El og plugin hybrid'!M$48*(IF($A15&lt;='El og plugin hybrid'!M$55,(IF('El og plugin hybrid'!M$63=0,(('El og plugin hybrid'!M$49*'El og plugin hybrid'!M$15/1000)*$B15),('El og plugin hybrid'!M$63)))*(1+'El og plugin hybrid'!M$56)^-$A15,0)+IF('El og plugin hybrid'!M$24=0,0,(IF($A15&lt;='El og plugin hybrid'!M$55,'El og plugin hybrid'!M$49/'El og plugin hybrid'!M$24*IF('El og plugin hybrid'!M$65="plugin hybrid benzin",$C15,IF('El og plugin hybrid'!M$65="plugin hybrid diesel",$D15,0)),0))*(1+'El og plugin hybrid'!M$56)^-$A15))</f>
        <v>0</v>
      </c>
      <c r="N15" s="299"/>
      <c r="O15" s="299">
        <f>'El og plugin hybrid'!O$48*(IF($A15&lt;='El og plugin hybrid'!O$55,(IF('El og plugin hybrid'!O$63=0,(('El og plugin hybrid'!O$49*'El og plugin hybrid'!O$15/1000)*$B15),('El og plugin hybrid'!O$63)))*(1+'El og plugin hybrid'!O$56)^-$A15,0)+IF('El og plugin hybrid'!O$24=0,0,(IF($A15&lt;='El og plugin hybrid'!O$55,'El og plugin hybrid'!O$49/'El og plugin hybrid'!O$24*IF('El og plugin hybrid'!O$65="plugin hybrid benzin",$C15,IF('El og plugin hybrid'!O$65="plugin hybrid diesel",$D15,0)),0))*(1+'El og plugin hybrid'!O$56)^-$A15))</f>
        <v>0</v>
      </c>
      <c r="P15" s="299"/>
      <c r="Q15" s="299">
        <f>'El og plugin hybrid'!Q$48*(IF($A15&lt;='El og plugin hybrid'!Q$55,(IF('El og plugin hybrid'!Q$63=0,(('El og plugin hybrid'!Q$49*'El og plugin hybrid'!Q$15/1000)*$B15),('El og plugin hybrid'!Q$63)))*(1+'El og plugin hybrid'!Q$56)^-$A15,0)+IF('El og plugin hybrid'!Q$24=0,0,(IF($A15&lt;='El og plugin hybrid'!Q$55,'El og plugin hybrid'!Q$49/'El og plugin hybrid'!Q$24*IF('El og plugin hybrid'!Q$65="plugin hybrid benzin",$C15,IF('El og plugin hybrid'!Q$65="plugin hybrid diesel",$D15,0)),0))*(1+'El og plugin hybrid'!Q$56)^-$A15))</f>
        <v>0</v>
      </c>
      <c r="R15" s="299"/>
      <c r="S15" s="299">
        <f>'El og plugin hybrid'!S$48*(IF($A15&lt;='El og plugin hybrid'!S$55,(IF('El og plugin hybrid'!S$63=0,(('El og plugin hybrid'!S$49*'El og plugin hybrid'!S$15/1000)*$B15),('El og plugin hybrid'!S$63)))*(1+'El og plugin hybrid'!S$56)^-$A15,0)+IF('El og plugin hybrid'!S$24=0,0,(IF($A15&lt;='El og plugin hybrid'!S$55,'El og plugin hybrid'!S$49/'El og plugin hybrid'!S$24*IF('El og plugin hybrid'!S$65="plugin hybrid benzin",$C15,IF('El og plugin hybrid'!S$65="plugin hybrid diesel",$D15,0)),0))*(1+'El og plugin hybrid'!S$56)^-$A15))</f>
        <v>0</v>
      </c>
      <c r="U15" s="299">
        <f>'El og plugin hybrid'!U$48*(IF($A15&lt;='El og plugin hybrid'!U$55,(IF('El og plugin hybrid'!U$63=0,(('El og plugin hybrid'!U$49*'El og plugin hybrid'!U$15/1000)*$B15),('El og plugin hybrid'!U$63)))*(1+'El og plugin hybrid'!U$56)^-$A15,0)+IF('El og plugin hybrid'!U$24=0,0,(IF($A15&lt;='El og plugin hybrid'!U$55,'El og plugin hybrid'!U$49/'El og plugin hybrid'!U$24*IF('El og plugin hybrid'!U$65="plugin hybrid benzin",$C15,IF('El og plugin hybrid'!U$65="plugin hybrid diesel",$D15,0)),0))*(1+'El og plugin hybrid'!U$56)^-$A15))</f>
        <v>0</v>
      </c>
      <c r="W15" s="299">
        <f>'El og plugin hybrid'!W$48*(IF($A15&lt;='El og plugin hybrid'!W$55,(IF('El og plugin hybrid'!W$63=0,(('El og plugin hybrid'!W$49*'El og plugin hybrid'!W$15/1000)*$B15),('El og plugin hybrid'!W$63)))*(1+'El og plugin hybrid'!W$56)^-$A15,0)+IF('El og plugin hybrid'!W$24=0,0,(IF($A15&lt;='El og plugin hybrid'!W$55,'El og plugin hybrid'!W$49/'El og plugin hybrid'!W$24*IF('El og plugin hybrid'!W$65="plugin hybrid benzin",$C15,IF('El og plugin hybrid'!W$65="plugin hybrid diesel",$D15,0)),0))*(1+'El og plugin hybrid'!W$56)^-$A15))</f>
        <v>0</v>
      </c>
    </row>
    <row r="16" spans="1:27">
      <c r="A16" s="294">
        <f t="shared" si="1"/>
        <v>13</v>
      </c>
      <c r="B16" s="273">
        <f>((B15-Fremskrivninger!E20)*(1+IF('El og plugin hybrid'!$E$67="ja",'El og plugin hybrid'!$E$69,'El og plugin hybrid'!$E$71))+Fremskrivninger!E20)</f>
        <v>1.9737648977444084</v>
      </c>
      <c r="C16" s="295">
        <f>((C15-Fremskrivninger!N59)*(1+IF('El og plugin hybrid'!$E$73="ja",'El og plugin hybrid'!$E$75,'El og plugin hybrid'!$E$77))+Fremskrivninger!N59)</f>
        <v>9.4712827794302257</v>
      </c>
      <c r="D16" s="295">
        <f>((D15-Fremskrivninger!N103)*(1+IF('El og plugin hybrid'!$E$79="ja",'El og plugin hybrid'!$E$81,'El og plugin hybrid'!$E$83))+Fremskrivninger!N103)</f>
        <v>8.4559188122442208</v>
      </c>
      <c r="E16" s="299">
        <f>'El og plugin hybrid'!E$48*(IF($A16&lt;='El og plugin hybrid'!E$55,(IF('El og plugin hybrid'!E$63=0,(('El og plugin hybrid'!E$49*'El og plugin hybrid'!E$15/1000)*$B16),('El og plugin hybrid'!E$63)))*(1+'El og plugin hybrid'!E$56)^-$A16,0)+IF('El og plugin hybrid'!E$24=0,0,(IF($A16&lt;='El og plugin hybrid'!E$55,'El og plugin hybrid'!E$49/'El og plugin hybrid'!E$24*IF('El og plugin hybrid'!E$65="plugin hybrid benzin",$C16,IF('El og plugin hybrid'!E$65="plugin hybrid diesel",$D16,0)),0))*(1+'El og plugin hybrid'!E$56)^-$A16))</f>
        <v>0</v>
      </c>
      <c r="F16" s="299"/>
      <c r="G16" s="299">
        <f>'El og plugin hybrid'!G$48*(IF($A16&lt;='El og plugin hybrid'!G$55,(IF('El og plugin hybrid'!G$63=0,(('El og plugin hybrid'!G$49*'El og plugin hybrid'!G$15/1000)*$B16),('El og plugin hybrid'!G$63)))*(1+'El og plugin hybrid'!G$56)^-$A16,0)+IF('El og plugin hybrid'!G$24=0,0,(IF($A16&lt;='El og plugin hybrid'!G$55,'El og plugin hybrid'!G$49/'El og plugin hybrid'!G$24*IF('El og plugin hybrid'!G$65="plugin hybrid benzin",$C16,IF('El og plugin hybrid'!G$65="plugin hybrid diesel",$D16,0)),0))*(1+'El og plugin hybrid'!G$56)^-$A16))</f>
        <v>0</v>
      </c>
      <c r="H16" s="299"/>
      <c r="I16" s="299">
        <f>'El og plugin hybrid'!I$48*(IF($A16&lt;='El og plugin hybrid'!I$55,(IF('El og plugin hybrid'!I$63=0,(('El og plugin hybrid'!I$49*'El og plugin hybrid'!I$15/1000)*$B16),('El og plugin hybrid'!I$63)))*(1+'El og plugin hybrid'!I$56)^-$A16,0)+IF('El og plugin hybrid'!I$24=0,0,(IF($A16&lt;='El og plugin hybrid'!I$55,'El og plugin hybrid'!I$49/'El og plugin hybrid'!I$24*IF('El og plugin hybrid'!I$65="plugin hybrid benzin",$C16,IF('El og plugin hybrid'!I$65="plugin hybrid diesel",$D16,0)),0))*(1+'El og plugin hybrid'!I$56)^-$A16))</f>
        <v>0</v>
      </c>
      <c r="J16" s="299"/>
      <c r="K16" s="299">
        <f>'El og plugin hybrid'!K$48*(IF($A16&lt;='El og plugin hybrid'!K$55,(IF('El og plugin hybrid'!K$63=0,(('El og plugin hybrid'!K$49*'El og plugin hybrid'!K$15/1000)*$B16),('El og plugin hybrid'!K$63)))*(1+'El og plugin hybrid'!K$56)^-$A16,0)+IF('El og plugin hybrid'!K$24=0,0,(IF($A16&lt;='El og plugin hybrid'!K$55,'El og plugin hybrid'!K$49/'El og plugin hybrid'!K$24*IF('El og plugin hybrid'!K$65="plugin hybrid benzin",$C16,IF('El og plugin hybrid'!K$65="plugin hybrid diesel",$D16,0)),0))*(1+'El og plugin hybrid'!K$56)^-$A16))</f>
        <v>0</v>
      </c>
      <c r="L16" s="299"/>
      <c r="M16" s="299">
        <f>'El og plugin hybrid'!M$48*(IF($A16&lt;='El og plugin hybrid'!M$55,(IF('El og plugin hybrid'!M$63=0,(('El og plugin hybrid'!M$49*'El og plugin hybrid'!M$15/1000)*$B16),('El og plugin hybrid'!M$63)))*(1+'El og plugin hybrid'!M$56)^-$A16,0)+IF('El og plugin hybrid'!M$24=0,0,(IF($A16&lt;='El og plugin hybrid'!M$55,'El og plugin hybrid'!M$49/'El og plugin hybrid'!M$24*IF('El og plugin hybrid'!M$65="plugin hybrid benzin",$C16,IF('El og plugin hybrid'!M$65="plugin hybrid diesel",$D16,0)),0))*(1+'El og plugin hybrid'!M$56)^-$A16))</f>
        <v>0</v>
      </c>
      <c r="N16" s="299"/>
      <c r="O16" s="299">
        <f>'El og plugin hybrid'!O$48*(IF($A16&lt;='El og plugin hybrid'!O$55,(IF('El og plugin hybrid'!O$63=0,(('El og plugin hybrid'!O$49*'El og plugin hybrid'!O$15/1000)*$B16),('El og plugin hybrid'!O$63)))*(1+'El og plugin hybrid'!O$56)^-$A16,0)+IF('El og plugin hybrid'!O$24=0,0,(IF($A16&lt;='El og plugin hybrid'!O$55,'El og plugin hybrid'!O$49/'El og plugin hybrid'!O$24*IF('El og plugin hybrid'!O$65="plugin hybrid benzin",$C16,IF('El og plugin hybrid'!O$65="plugin hybrid diesel",$D16,0)),0))*(1+'El og plugin hybrid'!O$56)^-$A16))</f>
        <v>0</v>
      </c>
      <c r="P16" s="299"/>
      <c r="Q16" s="299">
        <f>'El og plugin hybrid'!Q$48*(IF($A16&lt;='El og plugin hybrid'!Q$55,(IF('El og plugin hybrid'!Q$63=0,(('El og plugin hybrid'!Q$49*'El og plugin hybrid'!Q$15/1000)*$B16),('El og plugin hybrid'!Q$63)))*(1+'El og plugin hybrid'!Q$56)^-$A16,0)+IF('El og plugin hybrid'!Q$24=0,0,(IF($A16&lt;='El og plugin hybrid'!Q$55,'El og plugin hybrid'!Q$49/'El og plugin hybrid'!Q$24*IF('El og plugin hybrid'!Q$65="plugin hybrid benzin",$C16,IF('El og plugin hybrid'!Q$65="plugin hybrid diesel",$D16,0)),0))*(1+'El og plugin hybrid'!Q$56)^-$A16))</f>
        <v>0</v>
      </c>
      <c r="R16" s="299"/>
      <c r="S16" s="299">
        <f>'El og plugin hybrid'!S$48*(IF($A16&lt;='El og plugin hybrid'!S$55,(IF('El og plugin hybrid'!S$63=0,(('El og plugin hybrid'!S$49*'El og plugin hybrid'!S$15/1000)*$B16),('El og plugin hybrid'!S$63)))*(1+'El og plugin hybrid'!S$56)^-$A16,0)+IF('El og plugin hybrid'!S$24=0,0,(IF($A16&lt;='El og plugin hybrid'!S$55,'El og plugin hybrid'!S$49/'El og plugin hybrid'!S$24*IF('El og plugin hybrid'!S$65="plugin hybrid benzin",$C16,IF('El og plugin hybrid'!S$65="plugin hybrid diesel",$D16,0)),0))*(1+'El og plugin hybrid'!S$56)^-$A16))</f>
        <v>0</v>
      </c>
      <c r="U16" s="299">
        <f>'El og plugin hybrid'!U$48*(IF($A16&lt;='El og plugin hybrid'!U$55,(IF('El og plugin hybrid'!U$63=0,(('El og plugin hybrid'!U$49*'El og plugin hybrid'!U$15/1000)*$B16),('El og plugin hybrid'!U$63)))*(1+'El og plugin hybrid'!U$56)^-$A16,0)+IF('El og plugin hybrid'!U$24=0,0,(IF($A16&lt;='El og plugin hybrid'!U$55,'El og plugin hybrid'!U$49/'El og plugin hybrid'!U$24*IF('El og plugin hybrid'!U$65="plugin hybrid benzin",$C16,IF('El og plugin hybrid'!U$65="plugin hybrid diesel",$D16,0)),0))*(1+'El og plugin hybrid'!U$56)^-$A16))</f>
        <v>0</v>
      </c>
      <c r="W16" s="299">
        <f>'El og plugin hybrid'!W$48*(IF($A16&lt;='El og plugin hybrid'!W$55,(IF('El og plugin hybrid'!W$63=0,(('El og plugin hybrid'!W$49*'El og plugin hybrid'!W$15/1000)*$B16),('El og plugin hybrid'!W$63)))*(1+'El og plugin hybrid'!W$56)^-$A16,0)+IF('El og plugin hybrid'!W$24=0,0,(IF($A16&lt;='El og plugin hybrid'!W$55,'El og plugin hybrid'!W$49/'El og plugin hybrid'!W$24*IF('El og plugin hybrid'!W$65="plugin hybrid benzin",$C16,IF('El og plugin hybrid'!W$65="plugin hybrid diesel",$D16,0)),0))*(1+'El og plugin hybrid'!W$56)^-$A16))</f>
        <v>0</v>
      </c>
    </row>
    <row r="17" spans="1:26">
      <c r="A17" s="294">
        <f t="shared" si="1"/>
        <v>14</v>
      </c>
      <c r="B17" s="273">
        <f>((B16-Fremskrivninger!E21)*(1+IF('El og plugin hybrid'!$E$67="ja",'El og plugin hybrid'!$E$69,'El og plugin hybrid'!$E$71))+Fremskrivninger!E21)</f>
        <v>1.9852338715367401</v>
      </c>
      <c r="C17" s="295">
        <f>((C16-Fremskrivninger!N60)*(1+IF('El og plugin hybrid'!$E$73="ja",'El og plugin hybrid'!$E$75,'El og plugin hybrid'!$E$77))+Fremskrivninger!N60)</f>
        <v>9.5381596100643051</v>
      </c>
      <c r="D17" s="295">
        <f>((D16-Fremskrivninger!N104)*(1+IF('El og plugin hybrid'!$E$79="ja",'El og plugin hybrid'!$E$81,'El og plugin hybrid'!$E$83))+Fremskrivninger!N104)</f>
        <v>8.5315496350217614</v>
      </c>
      <c r="E17" s="299">
        <f>'El og plugin hybrid'!E$48*(IF($A17&lt;='El og plugin hybrid'!E$55,(IF('El og plugin hybrid'!E$63=0,(('El og plugin hybrid'!E$49*'El og plugin hybrid'!E$15/1000)*$B17),('El og plugin hybrid'!E$63)))*(1+'El og plugin hybrid'!E$56)^-$A17,0)+IF('El og plugin hybrid'!E$24=0,0,(IF($A17&lt;='El og plugin hybrid'!E$55,'El og plugin hybrid'!E$49/'El og plugin hybrid'!E$24*IF('El og plugin hybrid'!E$65="plugin hybrid benzin",$C17,IF('El og plugin hybrid'!E$65="plugin hybrid diesel",$D17,0)),0))*(1+'El og plugin hybrid'!E$56)^-$A17))</f>
        <v>0</v>
      </c>
      <c r="F17" s="299"/>
      <c r="G17" s="299">
        <f>'El og plugin hybrid'!G$48*(IF($A17&lt;='El og plugin hybrid'!G$55,(IF('El og plugin hybrid'!G$63=0,(('El og plugin hybrid'!G$49*'El og plugin hybrid'!G$15/1000)*$B17),('El og plugin hybrid'!G$63)))*(1+'El og plugin hybrid'!G$56)^-$A17,0)+IF('El og plugin hybrid'!G$24=0,0,(IF($A17&lt;='El og plugin hybrid'!G$55,'El og plugin hybrid'!G$49/'El og plugin hybrid'!G$24*IF('El og plugin hybrid'!G$65="plugin hybrid benzin",$C17,IF('El og plugin hybrid'!G$65="plugin hybrid diesel",$D17,0)),0))*(1+'El og plugin hybrid'!G$56)^-$A17))</f>
        <v>0</v>
      </c>
      <c r="H17" s="299"/>
      <c r="I17" s="299">
        <f>'El og plugin hybrid'!I$48*(IF($A17&lt;='El og plugin hybrid'!I$55,(IF('El og plugin hybrid'!I$63=0,(('El og plugin hybrid'!I$49*'El og plugin hybrid'!I$15/1000)*$B17),('El og plugin hybrid'!I$63)))*(1+'El og plugin hybrid'!I$56)^-$A17,0)+IF('El og plugin hybrid'!I$24=0,0,(IF($A17&lt;='El og plugin hybrid'!I$55,'El og plugin hybrid'!I$49/'El og plugin hybrid'!I$24*IF('El og plugin hybrid'!I$65="plugin hybrid benzin",$C17,IF('El og plugin hybrid'!I$65="plugin hybrid diesel",$D17,0)),0))*(1+'El og plugin hybrid'!I$56)^-$A17))</f>
        <v>0</v>
      </c>
      <c r="J17" s="299"/>
      <c r="K17" s="299">
        <f>'El og plugin hybrid'!K$48*(IF($A17&lt;='El og plugin hybrid'!K$55,(IF('El og plugin hybrid'!K$63=0,(('El og plugin hybrid'!K$49*'El og plugin hybrid'!K$15/1000)*$B17),('El og plugin hybrid'!K$63)))*(1+'El og plugin hybrid'!K$56)^-$A17,0)+IF('El og plugin hybrid'!K$24=0,0,(IF($A17&lt;='El og plugin hybrid'!K$55,'El og plugin hybrid'!K$49/'El og plugin hybrid'!K$24*IF('El og plugin hybrid'!K$65="plugin hybrid benzin",$C17,IF('El og plugin hybrid'!K$65="plugin hybrid diesel",$D17,0)),0))*(1+'El og plugin hybrid'!K$56)^-$A17))</f>
        <v>0</v>
      </c>
      <c r="L17" s="299"/>
      <c r="M17" s="299">
        <f>'El og plugin hybrid'!M$48*(IF($A17&lt;='El og plugin hybrid'!M$55,(IF('El og plugin hybrid'!M$63=0,(('El og plugin hybrid'!M$49*'El og plugin hybrid'!M$15/1000)*$B17),('El og plugin hybrid'!M$63)))*(1+'El og plugin hybrid'!M$56)^-$A17,0)+IF('El og plugin hybrid'!M$24=0,0,(IF($A17&lt;='El og plugin hybrid'!M$55,'El og plugin hybrid'!M$49/'El og plugin hybrid'!M$24*IF('El og plugin hybrid'!M$65="plugin hybrid benzin",$C17,IF('El og plugin hybrid'!M$65="plugin hybrid diesel",$D17,0)),0))*(1+'El og plugin hybrid'!M$56)^-$A17))</f>
        <v>0</v>
      </c>
      <c r="N17" s="299"/>
      <c r="O17" s="299">
        <f>'El og plugin hybrid'!O$48*(IF($A17&lt;='El og plugin hybrid'!O$55,(IF('El og plugin hybrid'!O$63=0,(('El og plugin hybrid'!O$49*'El og plugin hybrid'!O$15/1000)*$B17),('El og plugin hybrid'!O$63)))*(1+'El og plugin hybrid'!O$56)^-$A17,0)+IF('El og plugin hybrid'!O$24=0,0,(IF($A17&lt;='El og plugin hybrid'!O$55,'El og plugin hybrid'!O$49/'El og plugin hybrid'!O$24*IF('El og plugin hybrid'!O$65="plugin hybrid benzin",$C17,IF('El og plugin hybrid'!O$65="plugin hybrid diesel",$D17,0)),0))*(1+'El og plugin hybrid'!O$56)^-$A17))</f>
        <v>0</v>
      </c>
      <c r="P17" s="299"/>
      <c r="Q17" s="299">
        <f>'El og plugin hybrid'!Q$48*(IF($A17&lt;='El og plugin hybrid'!Q$55,(IF('El og plugin hybrid'!Q$63=0,(('El og plugin hybrid'!Q$49*'El og plugin hybrid'!Q$15/1000)*$B17),('El og plugin hybrid'!Q$63)))*(1+'El og plugin hybrid'!Q$56)^-$A17,0)+IF('El og plugin hybrid'!Q$24=0,0,(IF($A17&lt;='El og plugin hybrid'!Q$55,'El og plugin hybrid'!Q$49/'El og plugin hybrid'!Q$24*IF('El og plugin hybrid'!Q$65="plugin hybrid benzin",$C17,IF('El og plugin hybrid'!Q$65="plugin hybrid diesel",$D17,0)),0))*(1+'El og plugin hybrid'!Q$56)^-$A17))</f>
        <v>0</v>
      </c>
      <c r="R17" s="299"/>
      <c r="S17" s="299">
        <f>'El og plugin hybrid'!S$48*(IF($A17&lt;='El og plugin hybrid'!S$55,(IF('El og plugin hybrid'!S$63=0,(('El og plugin hybrid'!S$49*'El og plugin hybrid'!S$15/1000)*$B17),('El og plugin hybrid'!S$63)))*(1+'El og plugin hybrid'!S$56)^-$A17,0)+IF('El og plugin hybrid'!S$24=0,0,(IF($A17&lt;='El og plugin hybrid'!S$55,'El og plugin hybrid'!S$49/'El og plugin hybrid'!S$24*IF('El og plugin hybrid'!S$65="plugin hybrid benzin",$C17,IF('El og plugin hybrid'!S$65="plugin hybrid diesel",$D17,0)),0))*(1+'El og plugin hybrid'!S$56)^-$A17))</f>
        <v>0</v>
      </c>
      <c r="U17" s="299">
        <f>'El og plugin hybrid'!U$48*(IF($A17&lt;='El og plugin hybrid'!U$55,(IF('El og plugin hybrid'!U$63=0,(('El og plugin hybrid'!U$49*'El og plugin hybrid'!U$15/1000)*$B17),('El og plugin hybrid'!U$63)))*(1+'El og plugin hybrid'!U$56)^-$A17,0)+IF('El og plugin hybrid'!U$24=0,0,(IF($A17&lt;='El og plugin hybrid'!U$55,'El og plugin hybrid'!U$49/'El og plugin hybrid'!U$24*IF('El og plugin hybrid'!U$65="plugin hybrid benzin",$C17,IF('El og plugin hybrid'!U$65="plugin hybrid diesel",$D17,0)),0))*(1+'El og plugin hybrid'!U$56)^-$A17))</f>
        <v>0</v>
      </c>
      <c r="W17" s="299">
        <f>'El og plugin hybrid'!W$48*(IF($A17&lt;='El og plugin hybrid'!W$55,(IF('El og plugin hybrid'!W$63=0,(('El og plugin hybrid'!W$49*'El og plugin hybrid'!W$15/1000)*$B17),('El og plugin hybrid'!W$63)))*(1+'El og plugin hybrid'!W$56)^-$A17,0)+IF('El og plugin hybrid'!W$24=0,0,(IF($A17&lt;='El og plugin hybrid'!W$55,'El og plugin hybrid'!W$49/'El og plugin hybrid'!W$24*IF('El og plugin hybrid'!W$65="plugin hybrid benzin",$C17,IF('El og plugin hybrid'!W$65="plugin hybrid diesel",$D17,0)),0))*(1+'El og plugin hybrid'!W$56)^-$A17))</f>
        <v>0</v>
      </c>
    </row>
    <row r="18" spans="1:26">
      <c r="A18" s="294">
        <f t="shared" si="1"/>
        <v>15</v>
      </c>
      <c r="B18" s="273">
        <f>((B17-Fremskrivninger!E22)*(1+IF('El og plugin hybrid'!$E$67="ja",'El og plugin hybrid'!$E$69,'El og plugin hybrid'!$E$71))+Fremskrivninger!E22)</f>
        <v>1.9968943771914036</v>
      </c>
      <c r="C18" s="295">
        <f>((C17-Fremskrivninger!N61)*(1+IF('El og plugin hybrid'!$E$73="ja",'El og plugin hybrid'!$E$75,'El og plugin hybrid'!$E$77))+Fremskrivninger!N61)</f>
        <v>9.6059660286442003</v>
      </c>
      <c r="D18" s="295">
        <f>((D17-Fremskrivninger!N105)*(1+IF('El og plugin hybrid'!$E$79="ja",'El og plugin hybrid'!$E$81,'El og plugin hybrid'!$E$83))+Fremskrivninger!N105)</f>
        <v>8.6082771047295772</v>
      </c>
      <c r="E18" s="299">
        <f>'El og plugin hybrid'!E$48*(IF($A18&lt;='El og plugin hybrid'!E$55,(IF('El og plugin hybrid'!E$63=0,(('El og plugin hybrid'!E$49*'El og plugin hybrid'!E$15/1000)*$B18),('El og plugin hybrid'!E$63)))*(1+'El og plugin hybrid'!E$56)^-$A18,0)+IF('El og plugin hybrid'!E$24=0,0,(IF($A18&lt;='El og plugin hybrid'!E$55,'El og plugin hybrid'!E$49/'El og plugin hybrid'!E$24*IF('El og plugin hybrid'!E$65="plugin hybrid benzin",$C18,IF('El og plugin hybrid'!E$65="plugin hybrid diesel",$D18,0)),0))*(1+'El og plugin hybrid'!E$56)^-$A18))</f>
        <v>0</v>
      </c>
      <c r="F18" s="299"/>
      <c r="G18" s="299">
        <f>'El og plugin hybrid'!G$48*(IF($A18&lt;='El og plugin hybrid'!G$55,(IF('El og plugin hybrid'!G$63=0,(('El og plugin hybrid'!G$49*'El og plugin hybrid'!G$15/1000)*$B18),('El og plugin hybrid'!G$63)))*(1+'El og plugin hybrid'!G$56)^-$A18,0)+IF('El og plugin hybrid'!G$24=0,0,(IF($A18&lt;='El og plugin hybrid'!G$55,'El og plugin hybrid'!G$49/'El og plugin hybrid'!G$24*IF('El og plugin hybrid'!G$65="plugin hybrid benzin",$C18,IF('El og plugin hybrid'!G$65="plugin hybrid diesel",$D18,0)),0))*(1+'El og plugin hybrid'!G$56)^-$A18))</f>
        <v>0</v>
      </c>
      <c r="H18" s="299"/>
      <c r="I18" s="299">
        <f>'El og plugin hybrid'!I$48*(IF($A18&lt;='El og plugin hybrid'!I$55,(IF('El og plugin hybrid'!I$63=0,(('El og plugin hybrid'!I$49*'El og plugin hybrid'!I$15/1000)*$B18),('El og plugin hybrid'!I$63)))*(1+'El og plugin hybrid'!I$56)^-$A18,0)+IF('El og plugin hybrid'!I$24=0,0,(IF($A18&lt;='El og plugin hybrid'!I$55,'El og plugin hybrid'!I$49/'El og plugin hybrid'!I$24*IF('El og plugin hybrid'!I$65="plugin hybrid benzin",$C18,IF('El og plugin hybrid'!I$65="plugin hybrid diesel",$D18,0)),0))*(1+'El og plugin hybrid'!I$56)^-$A18))</f>
        <v>0</v>
      </c>
      <c r="J18" s="299"/>
      <c r="K18" s="299">
        <f>'El og plugin hybrid'!K$48*(IF($A18&lt;='El og plugin hybrid'!K$55,(IF('El og plugin hybrid'!K$63=0,(('El og plugin hybrid'!K$49*'El og plugin hybrid'!K$15/1000)*$B18),('El og plugin hybrid'!K$63)))*(1+'El og plugin hybrid'!K$56)^-$A18,0)+IF('El og plugin hybrid'!K$24=0,0,(IF($A18&lt;='El og plugin hybrid'!K$55,'El og plugin hybrid'!K$49/'El og plugin hybrid'!K$24*IF('El og plugin hybrid'!K$65="plugin hybrid benzin",$C18,IF('El og plugin hybrid'!K$65="plugin hybrid diesel",$D18,0)),0))*(1+'El og plugin hybrid'!K$56)^-$A18))</f>
        <v>0</v>
      </c>
      <c r="L18" s="299"/>
      <c r="M18" s="299">
        <f>'El og plugin hybrid'!M$48*(IF($A18&lt;='El og plugin hybrid'!M$55,(IF('El og plugin hybrid'!M$63=0,(('El og plugin hybrid'!M$49*'El og plugin hybrid'!M$15/1000)*$B18),('El og plugin hybrid'!M$63)))*(1+'El og plugin hybrid'!M$56)^-$A18,0)+IF('El og plugin hybrid'!M$24=0,0,(IF($A18&lt;='El og plugin hybrid'!M$55,'El og plugin hybrid'!M$49/'El og plugin hybrid'!M$24*IF('El og plugin hybrid'!M$65="plugin hybrid benzin",$C18,IF('El og plugin hybrid'!M$65="plugin hybrid diesel",$D18,0)),0))*(1+'El og plugin hybrid'!M$56)^-$A18))</f>
        <v>0</v>
      </c>
      <c r="N18" s="299"/>
      <c r="O18" s="299">
        <f>'El og plugin hybrid'!O$48*(IF($A18&lt;='El og plugin hybrid'!O$55,(IF('El og plugin hybrid'!O$63=0,(('El og plugin hybrid'!O$49*'El og plugin hybrid'!O$15/1000)*$B18),('El og plugin hybrid'!O$63)))*(1+'El og plugin hybrid'!O$56)^-$A18,0)+IF('El og plugin hybrid'!O$24=0,0,(IF($A18&lt;='El og plugin hybrid'!O$55,'El og plugin hybrid'!O$49/'El og plugin hybrid'!O$24*IF('El og plugin hybrid'!O$65="plugin hybrid benzin",$C18,IF('El og plugin hybrid'!O$65="plugin hybrid diesel",$D18,0)),0))*(1+'El og plugin hybrid'!O$56)^-$A18))</f>
        <v>0</v>
      </c>
      <c r="P18" s="299"/>
      <c r="Q18" s="299">
        <f>'El og plugin hybrid'!Q$48*(IF($A18&lt;='El og plugin hybrid'!Q$55,(IF('El og plugin hybrid'!Q$63=0,(('El og plugin hybrid'!Q$49*'El og plugin hybrid'!Q$15/1000)*$B18),('El og plugin hybrid'!Q$63)))*(1+'El og plugin hybrid'!Q$56)^-$A18,0)+IF('El og plugin hybrid'!Q$24=0,0,(IF($A18&lt;='El og plugin hybrid'!Q$55,'El og plugin hybrid'!Q$49/'El og plugin hybrid'!Q$24*IF('El og plugin hybrid'!Q$65="plugin hybrid benzin",$C18,IF('El og plugin hybrid'!Q$65="plugin hybrid diesel",$D18,0)),0))*(1+'El og plugin hybrid'!Q$56)^-$A18))</f>
        <v>0</v>
      </c>
      <c r="R18" s="299"/>
      <c r="S18" s="299">
        <f>'El og plugin hybrid'!S$48*(IF($A18&lt;='El og plugin hybrid'!S$55,(IF('El og plugin hybrid'!S$63=0,(('El og plugin hybrid'!S$49*'El og plugin hybrid'!S$15/1000)*$B18),('El og plugin hybrid'!S$63)))*(1+'El og plugin hybrid'!S$56)^-$A18,0)+IF('El og plugin hybrid'!S$24=0,0,(IF($A18&lt;='El og plugin hybrid'!S$55,'El og plugin hybrid'!S$49/'El og plugin hybrid'!S$24*IF('El og plugin hybrid'!S$65="plugin hybrid benzin",$C18,IF('El og plugin hybrid'!S$65="plugin hybrid diesel",$D18,0)),0))*(1+'El og plugin hybrid'!S$56)^-$A18))</f>
        <v>0</v>
      </c>
      <c r="U18" s="299">
        <f>'El og plugin hybrid'!U$48*(IF($A18&lt;='El og plugin hybrid'!U$55,(IF('El og plugin hybrid'!U$63=0,(('El og plugin hybrid'!U$49*'El og plugin hybrid'!U$15/1000)*$B18),('El og plugin hybrid'!U$63)))*(1+'El og plugin hybrid'!U$56)^-$A18,0)+IF('El og plugin hybrid'!U$24=0,0,(IF($A18&lt;='El og plugin hybrid'!U$55,'El og plugin hybrid'!U$49/'El og plugin hybrid'!U$24*IF('El og plugin hybrid'!U$65="plugin hybrid benzin",$C18,IF('El og plugin hybrid'!U$65="plugin hybrid diesel",$D18,0)),0))*(1+'El og plugin hybrid'!U$56)^-$A18))</f>
        <v>0</v>
      </c>
      <c r="W18" s="299">
        <f>'El og plugin hybrid'!W$48*(IF($A18&lt;='El og plugin hybrid'!W$55,(IF('El og plugin hybrid'!W$63=0,(('El og plugin hybrid'!W$49*'El og plugin hybrid'!W$15/1000)*$B18),('El og plugin hybrid'!W$63)))*(1+'El og plugin hybrid'!W$56)^-$A18,0)+IF('El og plugin hybrid'!W$24=0,0,(IF($A18&lt;='El og plugin hybrid'!W$55,'El og plugin hybrid'!W$49/'El og plugin hybrid'!W$24*IF('El og plugin hybrid'!W$65="plugin hybrid benzin",$C18,IF('El og plugin hybrid'!W$65="plugin hybrid diesel",$D18,0)),0))*(1+'El og plugin hybrid'!W$56)^-$A18))</f>
        <v>0</v>
      </c>
    </row>
    <row r="19" spans="1:26">
      <c r="A19" s="294">
        <f t="shared" si="1"/>
        <v>16</v>
      </c>
      <c r="B19" s="273">
        <f>((B18-Fremskrivninger!E23)*(1+IF('El og plugin hybrid'!$E$67="ja",'El og plugin hybrid'!$E$69,'El og plugin hybrid'!$E$71))+Fremskrivninger!E23)</f>
        <v>2.0087496132905001</v>
      </c>
      <c r="C19" s="295">
        <f>((C18-Fremskrivninger!N62)*(1+IF('El og plugin hybrid'!$E$73="ja",'El og plugin hybrid'!$E$75,'El og plugin hybrid'!$E$77))+Fremskrivninger!N62)</f>
        <v>9.6747149564423545</v>
      </c>
      <c r="D19" s="295">
        <f>((D18-Fremskrivninger!N106)*(1+IF('El og plugin hybrid'!$E$79="ja",'El og plugin hybrid'!$E$81,'El og plugin hybrid'!$E$83))+Fremskrivninger!N106)</f>
        <v>8.6861171227481559</v>
      </c>
      <c r="E19" s="299">
        <f>'El og plugin hybrid'!E$48*(IF($A19&lt;='El og plugin hybrid'!E$55,(IF('El og plugin hybrid'!E$63=0,(('El og plugin hybrid'!E$49*'El og plugin hybrid'!E$15/1000)*$B19),('El og plugin hybrid'!E$63)))*(1+'El og plugin hybrid'!E$56)^-$A19,0)+IF('El og plugin hybrid'!E$24=0,0,(IF($A19&lt;='El og plugin hybrid'!E$55,'El og plugin hybrid'!E$49/'El og plugin hybrid'!E$24*IF('El og plugin hybrid'!E$65="plugin hybrid benzin",$C19,IF('El og plugin hybrid'!E$65="plugin hybrid diesel",$D19,0)),0))*(1+'El og plugin hybrid'!E$56)^-$A19))</f>
        <v>0</v>
      </c>
      <c r="F19" s="299"/>
      <c r="G19" s="299">
        <f>'El og plugin hybrid'!G$48*(IF($A19&lt;='El og plugin hybrid'!G$55,(IF('El og plugin hybrid'!G$63=0,(('El og plugin hybrid'!G$49*'El og plugin hybrid'!G$15/1000)*$B19),('El og plugin hybrid'!G$63)))*(1+'El og plugin hybrid'!G$56)^-$A19,0)+IF('El og plugin hybrid'!G$24=0,0,(IF($A19&lt;='El og plugin hybrid'!G$55,'El og plugin hybrid'!G$49/'El og plugin hybrid'!G$24*IF('El og plugin hybrid'!G$65="plugin hybrid benzin",$C19,IF('El og plugin hybrid'!G$65="plugin hybrid diesel",$D19,0)),0))*(1+'El og plugin hybrid'!G$56)^-$A19))</f>
        <v>0</v>
      </c>
      <c r="H19" s="299"/>
      <c r="I19" s="299">
        <f>'El og plugin hybrid'!I$48*(IF($A19&lt;='El og plugin hybrid'!I$55,(IF('El og plugin hybrid'!I$63=0,(('El og plugin hybrid'!I$49*'El og plugin hybrid'!I$15/1000)*$B19),('El og plugin hybrid'!I$63)))*(1+'El og plugin hybrid'!I$56)^-$A19,0)+IF('El og plugin hybrid'!I$24=0,0,(IF($A19&lt;='El og plugin hybrid'!I$55,'El og plugin hybrid'!I$49/'El og plugin hybrid'!I$24*IF('El og plugin hybrid'!I$65="plugin hybrid benzin",$C19,IF('El og plugin hybrid'!I$65="plugin hybrid diesel",$D19,0)),0))*(1+'El og plugin hybrid'!I$56)^-$A19))</f>
        <v>0</v>
      </c>
      <c r="J19" s="299"/>
      <c r="K19" s="299">
        <f>'El og plugin hybrid'!K$48*(IF($A19&lt;='El og plugin hybrid'!K$55,(IF('El og plugin hybrid'!K$63=0,(('El og plugin hybrid'!K$49*'El og plugin hybrid'!K$15/1000)*$B19),('El og plugin hybrid'!K$63)))*(1+'El og plugin hybrid'!K$56)^-$A19,0)+IF('El og plugin hybrid'!K$24=0,0,(IF($A19&lt;='El og plugin hybrid'!K$55,'El og plugin hybrid'!K$49/'El og plugin hybrid'!K$24*IF('El og plugin hybrid'!K$65="plugin hybrid benzin",$C19,IF('El og plugin hybrid'!K$65="plugin hybrid diesel",$D19,0)),0))*(1+'El og plugin hybrid'!K$56)^-$A19))</f>
        <v>0</v>
      </c>
      <c r="L19" s="299"/>
      <c r="M19" s="299">
        <f>'El og plugin hybrid'!M$48*(IF($A19&lt;='El og plugin hybrid'!M$55,(IF('El og plugin hybrid'!M$63=0,(('El og plugin hybrid'!M$49*'El og plugin hybrid'!M$15/1000)*$B19),('El og plugin hybrid'!M$63)))*(1+'El og plugin hybrid'!M$56)^-$A19,0)+IF('El og plugin hybrid'!M$24=0,0,(IF($A19&lt;='El og plugin hybrid'!M$55,'El og plugin hybrid'!M$49/'El og plugin hybrid'!M$24*IF('El og plugin hybrid'!M$65="plugin hybrid benzin",$C19,IF('El og plugin hybrid'!M$65="plugin hybrid diesel",$D19,0)),0))*(1+'El og plugin hybrid'!M$56)^-$A19))</f>
        <v>0</v>
      </c>
      <c r="N19" s="299"/>
      <c r="O19" s="299">
        <f>'El og plugin hybrid'!O$48*(IF($A19&lt;='El og plugin hybrid'!O$55,(IF('El og plugin hybrid'!O$63=0,(('El og plugin hybrid'!O$49*'El og plugin hybrid'!O$15/1000)*$B19),('El og plugin hybrid'!O$63)))*(1+'El og plugin hybrid'!O$56)^-$A19,0)+IF('El og plugin hybrid'!O$24=0,0,(IF($A19&lt;='El og plugin hybrid'!O$55,'El og plugin hybrid'!O$49/'El og plugin hybrid'!O$24*IF('El og plugin hybrid'!O$65="plugin hybrid benzin",$C19,IF('El og plugin hybrid'!O$65="plugin hybrid diesel",$D19,0)),0))*(1+'El og plugin hybrid'!O$56)^-$A19))</f>
        <v>0</v>
      </c>
      <c r="P19" s="299"/>
      <c r="Q19" s="299">
        <f>'El og plugin hybrid'!Q$48*(IF($A19&lt;='El og plugin hybrid'!Q$55,(IF('El og plugin hybrid'!Q$63=0,(('El og plugin hybrid'!Q$49*'El og plugin hybrid'!Q$15/1000)*$B19),('El og plugin hybrid'!Q$63)))*(1+'El og plugin hybrid'!Q$56)^-$A19,0)+IF('El og plugin hybrid'!Q$24=0,0,(IF($A19&lt;='El og plugin hybrid'!Q$55,'El og plugin hybrid'!Q$49/'El og plugin hybrid'!Q$24*IF('El og plugin hybrid'!Q$65="plugin hybrid benzin",$C19,IF('El og plugin hybrid'!Q$65="plugin hybrid diesel",$D19,0)),0))*(1+'El og plugin hybrid'!Q$56)^-$A19))</f>
        <v>0</v>
      </c>
      <c r="R19" s="299"/>
      <c r="S19" s="299">
        <f>'El og plugin hybrid'!S$48*(IF($A19&lt;='El og plugin hybrid'!S$55,(IF('El og plugin hybrid'!S$63=0,(('El og plugin hybrid'!S$49*'El og plugin hybrid'!S$15/1000)*$B19),('El og plugin hybrid'!S$63)))*(1+'El og plugin hybrid'!S$56)^-$A19,0)+IF('El og plugin hybrid'!S$24=0,0,(IF($A19&lt;='El og plugin hybrid'!S$55,'El og plugin hybrid'!S$49/'El og plugin hybrid'!S$24*IF('El og plugin hybrid'!S$65="plugin hybrid benzin",$C19,IF('El og plugin hybrid'!S$65="plugin hybrid diesel",$D19,0)),0))*(1+'El og plugin hybrid'!S$56)^-$A19))</f>
        <v>0</v>
      </c>
      <c r="U19" s="299">
        <f>'El og plugin hybrid'!U$48*(IF($A19&lt;='El og plugin hybrid'!U$55,(IF('El og plugin hybrid'!U$63=0,(('El og plugin hybrid'!U$49*'El og plugin hybrid'!U$15/1000)*$B19),('El og plugin hybrid'!U$63)))*(1+'El og plugin hybrid'!U$56)^-$A19,0)+IF('El og plugin hybrid'!U$24=0,0,(IF($A19&lt;='El og plugin hybrid'!U$55,'El og plugin hybrid'!U$49/'El og plugin hybrid'!U$24*IF('El og plugin hybrid'!U$65="plugin hybrid benzin",$C19,IF('El og plugin hybrid'!U$65="plugin hybrid diesel",$D19,0)),0))*(1+'El og plugin hybrid'!U$56)^-$A19))</f>
        <v>0</v>
      </c>
      <c r="W19" s="299">
        <f>'El og plugin hybrid'!W$48*(IF($A19&lt;='El og plugin hybrid'!W$55,(IF('El og plugin hybrid'!W$63=0,(('El og plugin hybrid'!W$49*'El og plugin hybrid'!W$15/1000)*$B19),('El og plugin hybrid'!W$63)))*(1+'El og plugin hybrid'!W$56)^-$A19,0)+IF('El og plugin hybrid'!W$24=0,0,(IF($A19&lt;='El og plugin hybrid'!W$55,'El og plugin hybrid'!W$49/'El og plugin hybrid'!W$24*IF('El og plugin hybrid'!W$65="plugin hybrid benzin",$C19,IF('El og plugin hybrid'!W$65="plugin hybrid diesel",$D19,0)),0))*(1+'El og plugin hybrid'!W$56)^-$A19))</f>
        <v>0</v>
      </c>
    </row>
    <row r="20" spans="1:26">
      <c r="A20" s="294">
        <f t="shared" si="1"/>
        <v>17</v>
      </c>
      <c r="B20" s="273">
        <f>((B19-Fremskrivninger!E24)*(1+IF('El og plugin hybrid'!$E$67="ja",'El og plugin hybrid'!$E$69,'El og plugin hybrid'!$E$71))+Fremskrivninger!E24)</f>
        <v>2.0208028318324516</v>
      </c>
      <c r="C20" s="295">
        <f>((C19-Fremskrivninger!N63)*(1+IF('El og plugin hybrid'!$E$73="ja",'El og plugin hybrid'!$E$75,'El og plugin hybrid'!$E$77))+Fremskrivninger!N63)</f>
        <v>9.7444194943369027</v>
      </c>
      <c r="D20" s="295">
        <f>((D19-Fremskrivninger!N107)*(1+IF('El og plugin hybrid'!$E$79="ja",'El og plugin hybrid'!$E$81,'El og plugin hybrid'!$E$83))+Fremskrivninger!N107)</f>
        <v>8.7650858210280038</v>
      </c>
      <c r="E20" s="299">
        <f>'El og plugin hybrid'!E$48*(IF($A20&lt;='El og plugin hybrid'!E$55,(IF('El og plugin hybrid'!E$63=0,(('El og plugin hybrid'!E$49*'El og plugin hybrid'!E$15/1000)*$B20),('El og plugin hybrid'!E$63)))*(1+'El og plugin hybrid'!E$56)^-$A20,0)+IF('El og plugin hybrid'!E$24=0,0,(IF($A20&lt;='El og plugin hybrid'!E$55,'El og plugin hybrid'!E$49/'El og plugin hybrid'!E$24*IF('El og plugin hybrid'!E$65="plugin hybrid benzin",$C20,IF('El og plugin hybrid'!E$65="plugin hybrid diesel",$D20,0)),0))*(1+'El og plugin hybrid'!E$56)^-$A20))</f>
        <v>0</v>
      </c>
      <c r="F20" s="299"/>
      <c r="G20" s="299">
        <f>'El og plugin hybrid'!G$48*(IF($A20&lt;='El og plugin hybrid'!G$55,(IF('El og plugin hybrid'!G$63=0,(('El og plugin hybrid'!G$49*'El og plugin hybrid'!G$15/1000)*$B20),('El og plugin hybrid'!G$63)))*(1+'El og plugin hybrid'!G$56)^-$A20,0)+IF('El og plugin hybrid'!G$24=0,0,(IF($A20&lt;='El og plugin hybrid'!G$55,'El og plugin hybrid'!G$49/'El og plugin hybrid'!G$24*IF('El og plugin hybrid'!G$65="plugin hybrid benzin",$C20,IF('El og plugin hybrid'!G$65="plugin hybrid diesel",$D20,0)),0))*(1+'El og plugin hybrid'!G$56)^-$A20))</f>
        <v>0</v>
      </c>
      <c r="H20" s="299"/>
      <c r="I20" s="299">
        <f>'El og plugin hybrid'!I$48*(IF($A20&lt;='El og plugin hybrid'!I$55,(IF('El og plugin hybrid'!I$63=0,(('El og plugin hybrid'!I$49*'El og plugin hybrid'!I$15/1000)*$B20),('El og plugin hybrid'!I$63)))*(1+'El og plugin hybrid'!I$56)^-$A20,0)+IF('El og plugin hybrid'!I$24=0,0,(IF($A20&lt;='El og plugin hybrid'!I$55,'El og plugin hybrid'!I$49/'El og plugin hybrid'!I$24*IF('El og plugin hybrid'!I$65="plugin hybrid benzin",$C20,IF('El og plugin hybrid'!I$65="plugin hybrid diesel",$D20,0)),0))*(1+'El og plugin hybrid'!I$56)^-$A20))</f>
        <v>0</v>
      </c>
      <c r="J20" s="299"/>
      <c r="K20" s="299">
        <f>'El og plugin hybrid'!K$48*(IF($A20&lt;='El og plugin hybrid'!K$55,(IF('El og plugin hybrid'!K$63=0,(('El og plugin hybrid'!K$49*'El og plugin hybrid'!K$15/1000)*$B20),('El og plugin hybrid'!K$63)))*(1+'El og plugin hybrid'!K$56)^-$A20,0)+IF('El og plugin hybrid'!K$24=0,0,(IF($A20&lt;='El og plugin hybrid'!K$55,'El og plugin hybrid'!K$49/'El og plugin hybrid'!K$24*IF('El og plugin hybrid'!K$65="plugin hybrid benzin",$C20,IF('El og plugin hybrid'!K$65="plugin hybrid diesel",$D20,0)),0))*(1+'El og plugin hybrid'!K$56)^-$A20))</f>
        <v>0</v>
      </c>
      <c r="L20" s="299"/>
      <c r="M20" s="299">
        <f>'El og plugin hybrid'!M$48*(IF($A20&lt;='El og plugin hybrid'!M$55,(IF('El og plugin hybrid'!M$63=0,(('El og plugin hybrid'!M$49*'El og plugin hybrid'!M$15/1000)*$B20),('El og plugin hybrid'!M$63)))*(1+'El og plugin hybrid'!M$56)^-$A20,0)+IF('El og plugin hybrid'!M$24=0,0,(IF($A20&lt;='El og plugin hybrid'!M$55,'El og plugin hybrid'!M$49/'El og plugin hybrid'!M$24*IF('El og plugin hybrid'!M$65="plugin hybrid benzin",$C20,IF('El og plugin hybrid'!M$65="plugin hybrid diesel",$D20,0)),0))*(1+'El og plugin hybrid'!M$56)^-$A20))</f>
        <v>0</v>
      </c>
      <c r="N20" s="299"/>
      <c r="O20" s="299">
        <f>'El og plugin hybrid'!O$48*(IF($A20&lt;='El og plugin hybrid'!O$55,(IF('El og plugin hybrid'!O$63=0,(('El og plugin hybrid'!O$49*'El og plugin hybrid'!O$15/1000)*$B20),('El og plugin hybrid'!O$63)))*(1+'El og plugin hybrid'!O$56)^-$A20,0)+IF('El og plugin hybrid'!O$24=0,0,(IF($A20&lt;='El og plugin hybrid'!O$55,'El og plugin hybrid'!O$49/'El og plugin hybrid'!O$24*IF('El og plugin hybrid'!O$65="plugin hybrid benzin",$C20,IF('El og plugin hybrid'!O$65="plugin hybrid diesel",$D20,0)),0))*(1+'El og plugin hybrid'!O$56)^-$A20))</f>
        <v>0</v>
      </c>
      <c r="P20" s="299"/>
      <c r="Q20" s="299">
        <f>'El og plugin hybrid'!Q$48*(IF($A20&lt;='El og plugin hybrid'!Q$55,(IF('El og plugin hybrid'!Q$63=0,(('El og plugin hybrid'!Q$49*'El og plugin hybrid'!Q$15/1000)*$B20),('El og plugin hybrid'!Q$63)))*(1+'El og plugin hybrid'!Q$56)^-$A20,0)+IF('El og plugin hybrid'!Q$24=0,0,(IF($A20&lt;='El og plugin hybrid'!Q$55,'El og plugin hybrid'!Q$49/'El og plugin hybrid'!Q$24*IF('El og plugin hybrid'!Q$65="plugin hybrid benzin",$C20,IF('El og plugin hybrid'!Q$65="plugin hybrid diesel",$D20,0)),0))*(1+'El og plugin hybrid'!Q$56)^-$A20))</f>
        <v>0</v>
      </c>
      <c r="R20" s="299"/>
      <c r="S20" s="299">
        <f>'El og plugin hybrid'!S$48*(IF($A20&lt;='El og plugin hybrid'!S$55,(IF('El og plugin hybrid'!S$63=0,(('El og plugin hybrid'!S$49*'El og plugin hybrid'!S$15/1000)*$B20),('El og plugin hybrid'!S$63)))*(1+'El og plugin hybrid'!S$56)^-$A20,0)+IF('El og plugin hybrid'!S$24=0,0,(IF($A20&lt;='El og plugin hybrid'!S$55,'El og plugin hybrid'!S$49/'El og plugin hybrid'!S$24*IF('El og plugin hybrid'!S$65="plugin hybrid benzin",$C20,IF('El og plugin hybrid'!S$65="plugin hybrid diesel",$D20,0)),0))*(1+'El og plugin hybrid'!S$56)^-$A20))</f>
        <v>0</v>
      </c>
      <c r="U20" s="299">
        <f>'El og plugin hybrid'!U$48*(IF($A20&lt;='El og plugin hybrid'!U$55,(IF('El og plugin hybrid'!U$63=0,(('El og plugin hybrid'!U$49*'El og plugin hybrid'!U$15/1000)*$B20),('El og plugin hybrid'!U$63)))*(1+'El og plugin hybrid'!U$56)^-$A20,0)+IF('El og plugin hybrid'!U$24=0,0,(IF($A20&lt;='El og plugin hybrid'!U$55,'El og plugin hybrid'!U$49/'El og plugin hybrid'!U$24*IF('El og plugin hybrid'!U$65="plugin hybrid benzin",$C20,IF('El og plugin hybrid'!U$65="plugin hybrid diesel",$D20,0)),0))*(1+'El og plugin hybrid'!U$56)^-$A20))</f>
        <v>0</v>
      </c>
      <c r="W20" s="299">
        <f>'El og plugin hybrid'!W$48*(IF($A20&lt;='El og plugin hybrid'!W$55,(IF('El og plugin hybrid'!W$63=0,(('El og plugin hybrid'!W$49*'El og plugin hybrid'!W$15/1000)*$B20),('El og plugin hybrid'!W$63)))*(1+'El og plugin hybrid'!W$56)^-$A20,0)+IF('El og plugin hybrid'!W$24=0,0,(IF($A20&lt;='El og plugin hybrid'!W$55,'El og plugin hybrid'!W$49/'El og plugin hybrid'!W$24*IF('El og plugin hybrid'!W$65="plugin hybrid benzin",$C20,IF('El og plugin hybrid'!W$65="plugin hybrid diesel",$D20,0)),0))*(1+'El og plugin hybrid'!W$56)^-$A20))</f>
        <v>0</v>
      </c>
    </row>
    <row r="21" spans="1:26">
      <c r="A21" s="294">
        <f t="shared" ref="A21:A23" si="2">A20+1</f>
        <v>18</v>
      </c>
      <c r="B21" s="273">
        <f>((B20-Fremskrivninger!E25)*(1+IF('El og plugin hybrid'!$E$67="ja",'El og plugin hybrid'!$E$69,'El og plugin hybrid'!$E$71))+Fremskrivninger!E25)</f>
        <v>2.0330573391240536</v>
      </c>
      <c r="C21" s="295">
        <f>((C20-Fremskrivninger!N64)*(1+IF('El og plugin hybrid'!$E$73="ja",'El og plugin hybrid'!$E$75,'El og plugin hybrid'!$E$77))+Fremskrivninger!N64)</f>
        <v>9.8150929253081856</v>
      </c>
      <c r="D21" s="295">
        <f>((D20-Fremskrivninger!N108)*(1+IF('El og plugin hybrid'!$E$79="ja",'El og plugin hybrid'!$E$81,'El og plugin hybrid'!$E$83))+Fremskrivninger!N108)</f>
        <v>8.8451995654329085</v>
      </c>
      <c r="E21" s="299">
        <f>'El og plugin hybrid'!E$48*(IF($A21&lt;='El og plugin hybrid'!E$55,(IF('El og plugin hybrid'!E$63=0,(('El og plugin hybrid'!E$49*'El og plugin hybrid'!E$15/1000)*$B21),('El og plugin hybrid'!E$63)))*(1+'El og plugin hybrid'!E$56)^-$A21,0)+IF('El og plugin hybrid'!E$24=0,0,(IF($A21&lt;='El og plugin hybrid'!E$55,'El og plugin hybrid'!E$49/'El og plugin hybrid'!E$24*IF('El og plugin hybrid'!E$65="plugin hybrid benzin",$C21,IF('El og plugin hybrid'!E$65="plugin hybrid diesel",$D21,0)),0))*(1+'El og plugin hybrid'!E$56)^-$A21))</f>
        <v>0</v>
      </c>
      <c r="F21" s="299"/>
      <c r="G21" s="299">
        <f>'El og plugin hybrid'!G$48*(IF($A21&lt;='El og plugin hybrid'!G$55,(IF('El og plugin hybrid'!G$63=0,(('El og plugin hybrid'!G$49*'El og plugin hybrid'!G$15/1000)*$B21),('El og plugin hybrid'!G$63)))*(1+'El og plugin hybrid'!G$56)^-$A21,0)+IF('El og plugin hybrid'!G$24=0,0,(IF($A21&lt;='El og plugin hybrid'!G$55,'El og plugin hybrid'!G$49/'El og plugin hybrid'!G$24*IF('El og plugin hybrid'!G$65="plugin hybrid benzin",$C21,IF('El og plugin hybrid'!G$65="plugin hybrid diesel",$D21,0)),0))*(1+'El og plugin hybrid'!G$56)^-$A21))</f>
        <v>0</v>
      </c>
      <c r="H21" s="299"/>
      <c r="I21" s="299">
        <f>'El og plugin hybrid'!I$48*(IF($A21&lt;='El og plugin hybrid'!I$55,(IF('El og plugin hybrid'!I$63=0,(('El og plugin hybrid'!I$49*'El og plugin hybrid'!I$15/1000)*$B21),('El og plugin hybrid'!I$63)))*(1+'El og plugin hybrid'!I$56)^-$A21,0)+IF('El og plugin hybrid'!I$24=0,0,(IF($A21&lt;='El og plugin hybrid'!I$55,'El og plugin hybrid'!I$49/'El og plugin hybrid'!I$24*IF('El og plugin hybrid'!I$65="plugin hybrid benzin",$C21,IF('El og plugin hybrid'!I$65="plugin hybrid diesel",$D21,0)),0))*(1+'El og plugin hybrid'!I$56)^-$A21))</f>
        <v>0</v>
      </c>
      <c r="J21" s="299"/>
      <c r="K21" s="299">
        <f>'El og plugin hybrid'!K$48*(IF($A21&lt;='El og plugin hybrid'!K$55,(IF('El og plugin hybrid'!K$63=0,(('El og plugin hybrid'!K$49*'El og plugin hybrid'!K$15/1000)*$B21),('El og plugin hybrid'!K$63)))*(1+'El og plugin hybrid'!K$56)^-$A21,0)+IF('El og plugin hybrid'!K$24=0,0,(IF($A21&lt;='El og plugin hybrid'!K$55,'El og plugin hybrid'!K$49/'El og plugin hybrid'!K$24*IF('El og plugin hybrid'!K$65="plugin hybrid benzin",$C21,IF('El og plugin hybrid'!K$65="plugin hybrid diesel",$D21,0)),0))*(1+'El og plugin hybrid'!K$56)^-$A21))</f>
        <v>0</v>
      </c>
      <c r="L21" s="299"/>
      <c r="M21" s="299">
        <f>'El og plugin hybrid'!M$48*(IF($A21&lt;='El og plugin hybrid'!M$55,(IF('El og plugin hybrid'!M$63=0,(('El og plugin hybrid'!M$49*'El og plugin hybrid'!M$15/1000)*$B21),('El og plugin hybrid'!M$63)))*(1+'El og plugin hybrid'!M$56)^-$A21,0)+IF('El og plugin hybrid'!M$24=0,0,(IF($A21&lt;='El og plugin hybrid'!M$55,'El og plugin hybrid'!M$49/'El og plugin hybrid'!M$24*IF('El og plugin hybrid'!M$65="plugin hybrid benzin",$C21,IF('El og plugin hybrid'!M$65="plugin hybrid diesel",$D21,0)),0))*(1+'El og plugin hybrid'!M$56)^-$A21))</f>
        <v>0</v>
      </c>
      <c r="N21" s="299"/>
      <c r="O21" s="299">
        <f>'El og plugin hybrid'!O$48*(IF($A21&lt;='El og plugin hybrid'!O$55,(IF('El og plugin hybrid'!O$63=0,(('El og plugin hybrid'!O$49*'El og plugin hybrid'!O$15/1000)*$B21),('El og plugin hybrid'!O$63)))*(1+'El og plugin hybrid'!O$56)^-$A21,0)+IF('El og plugin hybrid'!O$24=0,0,(IF($A21&lt;='El og plugin hybrid'!O$55,'El og plugin hybrid'!O$49/'El og plugin hybrid'!O$24*IF('El og plugin hybrid'!O$65="plugin hybrid benzin",$C21,IF('El og plugin hybrid'!O$65="plugin hybrid diesel",$D21,0)),0))*(1+'El og plugin hybrid'!O$56)^-$A21))</f>
        <v>0</v>
      </c>
      <c r="P21" s="299"/>
      <c r="Q21" s="299">
        <f>'El og plugin hybrid'!Q$48*(IF($A21&lt;='El og plugin hybrid'!Q$55,(IF('El og plugin hybrid'!Q$63=0,(('El og plugin hybrid'!Q$49*'El og plugin hybrid'!Q$15/1000)*$B21),('El og plugin hybrid'!Q$63)))*(1+'El og plugin hybrid'!Q$56)^-$A21,0)+IF('El og plugin hybrid'!Q$24=0,0,(IF($A21&lt;='El og plugin hybrid'!Q$55,'El og plugin hybrid'!Q$49/'El og plugin hybrid'!Q$24*IF('El og plugin hybrid'!Q$65="plugin hybrid benzin",$C21,IF('El og plugin hybrid'!Q$65="plugin hybrid diesel",$D21,0)),0))*(1+'El og plugin hybrid'!Q$56)^-$A21))</f>
        <v>0</v>
      </c>
      <c r="R21" s="299"/>
      <c r="S21" s="299">
        <f>'El og plugin hybrid'!S$48*(IF($A21&lt;='El og plugin hybrid'!S$55,(IF('El og plugin hybrid'!S$63=0,(('El og plugin hybrid'!S$49*'El og plugin hybrid'!S$15/1000)*$B21),('El og plugin hybrid'!S$63)))*(1+'El og plugin hybrid'!S$56)^-$A21,0)+IF('El og plugin hybrid'!S$24=0,0,(IF($A21&lt;='El og plugin hybrid'!S$55,'El og plugin hybrid'!S$49/'El og plugin hybrid'!S$24*IF('El og plugin hybrid'!S$65="plugin hybrid benzin",$C21,IF('El og plugin hybrid'!S$65="plugin hybrid diesel",$D21,0)),0))*(1+'El og plugin hybrid'!S$56)^-$A21))</f>
        <v>0</v>
      </c>
      <c r="U21" s="299">
        <f>'El og plugin hybrid'!U$48*(IF($A21&lt;='El og plugin hybrid'!U$55,(IF('El og plugin hybrid'!U$63=0,(('El og plugin hybrid'!U$49*'El og plugin hybrid'!U$15/1000)*$B21),('El og plugin hybrid'!U$63)))*(1+'El og plugin hybrid'!U$56)^-$A21,0)+IF('El og plugin hybrid'!U$24=0,0,(IF($A21&lt;='El og plugin hybrid'!U$55,'El og plugin hybrid'!U$49/'El og plugin hybrid'!U$24*IF('El og plugin hybrid'!U$65="plugin hybrid benzin",$C21,IF('El og plugin hybrid'!U$65="plugin hybrid diesel",$D21,0)),0))*(1+'El og plugin hybrid'!U$56)^-$A21))</f>
        <v>0</v>
      </c>
      <c r="W21" s="299">
        <f>'El og plugin hybrid'!W$48*(IF($A21&lt;='El og plugin hybrid'!W$55,(IF('El og plugin hybrid'!W$63=0,(('El og plugin hybrid'!W$49*'El og plugin hybrid'!W$15/1000)*$B21),('El og plugin hybrid'!W$63)))*(1+'El og plugin hybrid'!W$56)^-$A21,0)+IF('El og plugin hybrid'!W$24=0,0,(IF($A21&lt;='El og plugin hybrid'!W$55,'El og plugin hybrid'!W$49/'El og plugin hybrid'!W$24*IF('El og plugin hybrid'!W$65="plugin hybrid benzin",$C21,IF('El og plugin hybrid'!W$65="plugin hybrid diesel",$D21,0)),0))*(1+'El og plugin hybrid'!W$56)^-$A21))</f>
        <v>0</v>
      </c>
    </row>
    <row r="22" spans="1:26">
      <c r="A22" s="294">
        <f t="shared" si="2"/>
        <v>19</v>
      </c>
      <c r="B22" s="273">
        <f>((B21-Fremskrivninger!E26)*(1+IF('El og plugin hybrid'!$E$67="ja",'El og plugin hybrid'!$E$69,'El og plugin hybrid'!$E$71))+Fremskrivninger!E26)</f>
        <v>2.0455164966874255</v>
      </c>
      <c r="C22" s="295">
        <f>((C21-Fremskrivninger!N65)*(1+IF('El og plugin hybrid'!$E$73="ja",'El og plugin hybrid'!$E$75,'El og plugin hybrid'!$E$77))+Fremskrivninger!N65)</f>
        <v>9.8867487169699686</v>
      </c>
      <c r="D22" s="295">
        <f>((D21-Fremskrivninger!N109)*(1+IF('El og plugin hybrid'!$E$79="ja",'El og plugin hybrid'!$E$81,'El og plugin hybrid'!$E$83))+Fremskrivninger!N109)</f>
        <v>8.926474959131685</v>
      </c>
      <c r="E22" s="299">
        <f>'El og plugin hybrid'!E$48*(IF($A22&lt;='El og plugin hybrid'!E$55,(IF('El og plugin hybrid'!E$63=0,(('El og plugin hybrid'!E$49*'El og plugin hybrid'!E$15/1000)*$B22),('El og plugin hybrid'!E$63)))*(1+'El og plugin hybrid'!E$56)^-$A22,0)+IF('El og plugin hybrid'!E$24=0,0,(IF($A22&lt;='El og plugin hybrid'!E$55,'El og plugin hybrid'!E$49/'El og plugin hybrid'!E$24*IF('El og plugin hybrid'!E$65="plugin hybrid benzin",$C22,IF('El og plugin hybrid'!E$65="plugin hybrid diesel",$D22,0)),0))*(1+'El og plugin hybrid'!E$56)^-$A22))</f>
        <v>0</v>
      </c>
      <c r="F22" s="299"/>
      <c r="G22" s="299">
        <f>'El og plugin hybrid'!G$48*(IF($A22&lt;='El og plugin hybrid'!G$55,(IF('El og plugin hybrid'!G$63=0,(('El og plugin hybrid'!G$49*'El og plugin hybrid'!G$15/1000)*$B22),('El og plugin hybrid'!G$63)))*(1+'El og plugin hybrid'!G$56)^-$A22,0)+IF('El og plugin hybrid'!G$24=0,0,(IF($A22&lt;='El og plugin hybrid'!G$55,'El og plugin hybrid'!G$49/'El og plugin hybrid'!G$24*IF('El og plugin hybrid'!G$65="plugin hybrid benzin",$C22,IF('El og plugin hybrid'!G$65="plugin hybrid diesel",$D22,0)),0))*(1+'El og plugin hybrid'!G$56)^-$A22))</f>
        <v>0</v>
      </c>
      <c r="H22" s="299"/>
      <c r="I22" s="299">
        <f>'El og plugin hybrid'!I$48*(IF($A22&lt;='El og plugin hybrid'!I$55,(IF('El og plugin hybrid'!I$63=0,(('El og plugin hybrid'!I$49*'El og plugin hybrid'!I$15/1000)*$B22),('El og plugin hybrid'!I$63)))*(1+'El og plugin hybrid'!I$56)^-$A22,0)+IF('El og plugin hybrid'!I$24=0,0,(IF($A22&lt;='El og plugin hybrid'!I$55,'El og plugin hybrid'!I$49/'El og plugin hybrid'!I$24*IF('El og plugin hybrid'!I$65="plugin hybrid benzin",$C22,IF('El og plugin hybrid'!I$65="plugin hybrid diesel",$D22,0)),0))*(1+'El og plugin hybrid'!I$56)^-$A22))</f>
        <v>0</v>
      </c>
      <c r="J22" s="299"/>
      <c r="K22" s="299">
        <f>'El og plugin hybrid'!K$48*(IF($A22&lt;='El og plugin hybrid'!K$55,(IF('El og plugin hybrid'!K$63=0,(('El og plugin hybrid'!K$49*'El og plugin hybrid'!K$15/1000)*$B22),('El og plugin hybrid'!K$63)))*(1+'El og plugin hybrid'!K$56)^-$A22,0)+IF('El og plugin hybrid'!K$24=0,0,(IF($A22&lt;='El og plugin hybrid'!K$55,'El og plugin hybrid'!K$49/'El og plugin hybrid'!K$24*IF('El og plugin hybrid'!K$65="plugin hybrid benzin",$C22,IF('El og plugin hybrid'!K$65="plugin hybrid diesel",$D22,0)),0))*(1+'El og plugin hybrid'!K$56)^-$A22))</f>
        <v>0</v>
      </c>
      <c r="L22" s="299"/>
      <c r="M22" s="299">
        <f>'El og plugin hybrid'!M$48*(IF($A22&lt;='El og plugin hybrid'!M$55,(IF('El og plugin hybrid'!M$63=0,(('El og plugin hybrid'!M$49*'El og plugin hybrid'!M$15/1000)*$B22),('El og plugin hybrid'!M$63)))*(1+'El og plugin hybrid'!M$56)^-$A22,0)+IF('El og plugin hybrid'!M$24=0,0,(IF($A22&lt;='El og plugin hybrid'!M$55,'El og plugin hybrid'!M$49/'El og plugin hybrid'!M$24*IF('El og plugin hybrid'!M$65="plugin hybrid benzin",$C22,IF('El og plugin hybrid'!M$65="plugin hybrid diesel",$D22,0)),0))*(1+'El og plugin hybrid'!M$56)^-$A22))</f>
        <v>0</v>
      </c>
      <c r="N22" s="299"/>
      <c r="O22" s="299">
        <f>'El og plugin hybrid'!O$48*(IF($A22&lt;='El og plugin hybrid'!O$55,(IF('El og plugin hybrid'!O$63=0,(('El og plugin hybrid'!O$49*'El og plugin hybrid'!O$15/1000)*$B22),('El og plugin hybrid'!O$63)))*(1+'El og plugin hybrid'!O$56)^-$A22,0)+IF('El og plugin hybrid'!O$24=0,0,(IF($A22&lt;='El og plugin hybrid'!O$55,'El og plugin hybrid'!O$49/'El og plugin hybrid'!O$24*IF('El og plugin hybrid'!O$65="plugin hybrid benzin",$C22,IF('El og plugin hybrid'!O$65="plugin hybrid diesel",$D22,0)),0))*(1+'El og plugin hybrid'!O$56)^-$A22))</f>
        <v>0</v>
      </c>
      <c r="P22" s="299"/>
      <c r="Q22" s="299">
        <f>'El og plugin hybrid'!Q$48*(IF($A22&lt;='El og plugin hybrid'!Q$55,(IF('El og plugin hybrid'!Q$63=0,(('El og plugin hybrid'!Q$49*'El og plugin hybrid'!Q$15/1000)*$B22),('El og plugin hybrid'!Q$63)))*(1+'El og plugin hybrid'!Q$56)^-$A22,0)+IF('El og plugin hybrid'!Q$24=0,0,(IF($A22&lt;='El og plugin hybrid'!Q$55,'El og plugin hybrid'!Q$49/'El og plugin hybrid'!Q$24*IF('El og plugin hybrid'!Q$65="plugin hybrid benzin",$C22,IF('El og plugin hybrid'!Q$65="plugin hybrid diesel",$D22,0)),0))*(1+'El og plugin hybrid'!Q$56)^-$A22))</f>
        <v>0</v>
      </c>
      <c r="R22" s="299"/>
      <c r="S22" s="299">
        <f>'El og plugin hybrid'!S$48*(IF($A22&lt;='El og plugin hybrid'!S$55,(IF('El og plugin hybrid'!S$63=0,(('El og plugin hybrid'!S$49*'El og plugin hybrid'!S$15/1000)*$B22),('El og plugin hybrid'!S$63)))*(1+'El og plugin hybrid'!S$56)^-$A22,0)+IF('El og plugin hybrid'!S$24=0,0,(IF($A22&lt;='El og plugin hybrid'!S$55,'El og plugin hybrid'!S$49/'El og plugin hybrid'!S$24*IF('El og plugin hybrid'!S$65="plugin hybrid benzin",$C22,IF('El og plugin hybrid'!S$65="plugin hybrid diesel",$D22,0)),0))*(1+'El og plugin hybrid'!S$56)^-$A22))</f>
        <v>0</v>
      </c>
      <c r="U22" s="299">
        <f>'El og plugin hybrid'!U$48*(IF($A22&lt;='El og plugin hybrid'!U$55,(IF('El og plugin hybrid'!U$63=0,(('El og plugin hybrid'!U$49*'El og plugin hybrid'!U$15/1000)*$B22),('El og plugin hybrid'!U$63)))*(1+'El og plugin hybrid'!U$56)^-$A22,0)+IF('El og plugin hybrid'!U$24=0,0,(IF($A22&lt;='El og plugin hybrid'!U$55,'El og plugin hybrid'!U$49/'El og plugin hybrid'!U$24*IF('El og plugin hybrid'!U$65="plugin hybrid benzin",$C22,IF('El og plugin hybrid'!U$65="plugin hybrid diesel",$D22,0)),0))*(1+'El og plugin hybrid'!U$56)^-$A22))</f>
        <v>0</v>
      </c>
      <c r="W22" s="299">
        <f>'El og plugin hybrid'!W$48*(IF($A22&lt;='El og plugin hybrid'!W$55,(IF('El og plugin hybrid'!W$63=0,(('El og plugin hybrid'!W$49*'El og plugin hybrid'!W$15/1000)*$B22),('El og plugin hybrid'!W$63)))*(1+'El og plugin hybrid'!W$56)^-$A22,0)+IF('El og plugin hybrid'!W$24=0,0,(IF($A22&lt;='El og plugin hybrid'!W$55,'El og plugin hybrid'!W$49/'El og plugin hybrid'!W$24*IF('El og plugin hybrid'!W$65="plugin hybrid benzin",$C22,IF('El og plugin hybrid'!W$65="plugin hybrid diesel",$D22,0)),0))*(1+'El og plugin hybrid'!W$56)^-$A22))</f>
        <v>0</v>
      </c>
    </row>
    <row r="23" spans="1:26">
      <c r="A23" s="296">
        <f t="shared" si="2"/>
        <v>20</v>
      </c>
      <c r="B23" s="297">
        <f>((B22-Fremskrivninger!E27)*(1+IF('El og plugin hybrid'!$E$67="ja",'El og plugin hybrid'!$E$69,'El og plugin hybrid'!$E$71))+Fremskrivninger!E27)</f>
        <v>2.0581837221821053</v>
      </c>
      <c r="C23" s="295">
        <f>((C22-Fremskrivninger!N66)*(1+IF('El og plugin hybrid'!$E$73="ja",'El og plugin hybrid'!$E$75,'El og plugin hybrid'!$E$77))+Fremskrivninger!N66)</f>
        <v>9.9594005241358516</v>
      </c>
      <c r="D23" s="295">
        <f>((D22-Fremskrivninger!N110)*(1+IF('El og plugin hybrid'!$E$79="ja",'El og plugin hybrid'!$E$81,'El og plugin hybrid'!$E$83))+Fremskrivninger!N110)</f>
        <v>9.0089288460390939</v>
      </c>
      <c r="E23" s="299">
        <f>'El og plugin hybrid'!E$48*(IF($A23&lt;='El og plugin hybrid'!E$55,(IF('El og plugin hybrid'!E$63=0,(('El og plugin hybrid'!E$49*'El og plugin hybrid'!E$15/1000)*$B23),('El og plugin hybrid'!E$63)))*(1+'El og plugin hybrid'!E$56)^-$A23,0)+IF('El og plugin hybrid'!E$24=0,0,(IF($A23&lt;='El og plugin hybrid'!E$55,'El og plugin hybrid'!E$49/'El og plugin hybrid'!E$24*IF('El og plugin hybrid'!E$65="plugin hybrid benzin",$C23,IF('El og plugin hybrid'!E$65="plugin hybrid diesel",$D23,0)),0))*(1+'El og plugin hybrid'!E$56)^-$A23))</f>
        <v>0</v>
      </c>
      <c r="F23" s="299"/>
      <c r="G23" s="299">
        <f>'El og plugin hybrid'!G$48*(IF($A23&lt;='El og plugin hybrid'!G$55,(IF('El og plugin hybrid'!G$63=0,(('El og plugin hybrid'!G$49*'El og plugin hybrid'!G$15/1000)*$B23),('El og plugin hybrid'!G$63)))*(1+'El og plugin hybrid'!G$56)^-$A23,0)+IF('El og plugin hybrid'!G$24=0,0,(IF($A23&lt;='El og plugin hybrid'!G$55,'El og plugin hybrid'!G$49/'El og plugin hybrid'!G$24*IF('El og plugin hybrid'!G$65="plugin hybrid benzin",$C23,IF('El og plugin hybrid'!G$65="plugin hybrid diesel",$D23,0)),0))*(1+'El og plugin hybrid'!G$56)^-$A23))</f>
        <v>0</v>
      </c>
      <c r="H23" s="299"/>
      <c r="I23" s="299">
        <f>'El og plugin hybrid'!I$48*(IF($A23&lt;='El og plugin hybrid'!I$55,(IF('El og plugin hybrid'!I$63=0,(('El og plugin hybrid'!I$49*'El og plugin hybrid'!I$15/1000)*$B23),('El og plugin hybrid'!I$63)))*(1+'El og plugin hybrid'!I$56)^-$A23,0)+IF('El og plugin hybrid'!I$24=0,0,(IF($A23&lt;='El og plugin hybrid'!I$55,'El og plugin hybrid'!I$49/'El og plugin hybrid'!I$24*IF('El og plugin hybrid'!I$65="plugin hybrid benzin",$C23,IF('El og plugin hybrid'!I$65="plugin hybrid diesel",$D23,0)),0))*(1+'El og plugin hybrid'!I$56)^-$A23))</f>
        <v>0</v>
      </c>
      <c r="J23" s="299"/>
      <c r="K23" s="299">
        <f>'El og plugin hybrid'!K$48*(IF($A23&lt;='El og plugin hybrid'!K$55,(IF('El og plugin hybrid'!K$63=0,(('El og plugin hybrid'!K$49*'El og plugin hybrid'!K$15/1000)*$B23),('El og plugin hybrid'!K$63)))*(1+'El og plugin hybrid'!K$56)^-$A23,0)+IF('El og plugin hybrid'!K$24=0,0,(IF($A23&lt;='El og plugin hybrid'!K$55,'El og plugin hybrid'!K$49/'El og plugin hybrid'!K$24*IF('El og plugin hybrid'!K$65="plugin hybrid benzin",$C23,IF('El og plugin hybrid'!K$65="plugin hybrid diesel",$D23,0)),0))*(1+'El og plugin hybrid'!K$56)^-$A23))</f>
        <v>0</v>
      </c>
      <c r="L23" s="299"/>
      <c r="M23" s="299">
        <f>'El og plugin hybrid'!M$48*(IF($A23&lt;='El og plugin hybrid'!M$55,(IF('El og plugin hybrid'!M$63=0,(('El og plugin hybrid'!M$49*'El og plugin hybrid'!M$15/1000)*$B23),('El og plugin hybrid'!M$63)))*(1+'El og plugin hybrid'!M$56)^-$A23,0)+IF('El og plugin hybrid'!M$24=0,0,(IF($A23&lt;='El og plugin hybrid'!M$55,'El og plugin hybrid'!M$49/'El og plugin hybrid'!M$24*IF('El og plugin hybrid'!M$65="plugin hybrid benzin",$C23,IF('El og plugin hybrid'!M$65="plugin hybrid diesel",$D23,0)),0))*(1+'El og plugin hybrid'!M$56)^-$A23))</f>
        <v>0</v>
      </c>
      <c r="N23" s="299"/>
      <c r="O23" s="299">
        <f>'El og plugin hybrid'!O$48*(IF($A23&lt;='El og plugin hybrid'!O$55,(IF('El og plugin hybrid'!O$63=0,(('El og plugin hybrid'!O$49*'El og plugin hybrid'!O$15/1000)*$B23),('El og plugin hybrid'!O$63)))*(1+'El og plugin hybrid'!O$56)^-$A23,0)+IF('El og plugin hybrid'!O$24=0,0,(IF($A23&lt;='El og plugin hybrid'!O$55,'El og plugin hybrid'!O$49/'El og plugin hybrid'!O$24*IF('El og plugin hybrid'!O$65="plugin hybrid benzin",$C23,IF('El og plugin hybrid'!O$65="plugin hybrid diesel",$D23,0)),0))*(1+'El og plugin hybrid'!O$56)^-$A23))</f>
        <v>0</v>
      </c>
      <c r="P23" s="299"/>
      <c r="Q23" s="299">
        <f>'El og plugin hybrid'!Q$48*(IF($A23&lt;='El og plugin hybrid'!Q$55,(IF('El og plugin hybrid'!Q$63=0,(('El og plugin hybrid'!Q$49*'El og plugin hybrid'!Q$15/1000)*$B23),('El og plugin hybrid'!Q$63)))*(1+'El og plugin hybrid'!Q$56)^-$A23,0)+IF('El og plugin hybrid'!Q$24=0,0,(IF($A23&lt;='El og plugin hybrid'!Q$55,'El og plugin hybrid'!Q$49/'El og plugin hybrid'!Q$24*IF('El og plugin hybrid'!Q$65="plugin hybrid benzin",$C23,IF('El og plugin hybrid'!Q$65="plugin hybrid diesel",$D23,0)),0))*(1+'El og plugin hybrid'!Q$56)^-$A23))</f>
        <v>0</v>
      </c>
      <c r="R23" s="299"/>
      <c r="S23" s="299">
        <f>'El og plugin hybrid'!S$48*(IF($A23&lt;='El og plugin hybrid'!S$55,(IF('El og plugin hybrid'!S$63=0,(('El og plugin hybrid'!S$49*'El og plugin hybrid'!S$15/1000)*$B23),('El og plugin hybrid'!S$63)))*(1+'El og plugin hybrid'!S$56)^-$A23,0)+IF('El og plugin hybrid'!S$24=0,0,(IF($A23&lt;='El og plugin hybrid'!S$55,'El og plugin hybrid'!S$49/'El og plugin hybrid'!S$24*IF('El og plugin hybrid'!S$65="plugin hybrid benzin",$C23,IF('El og plugin hybrid'!S$65="plugin hybrid diesel",$D23,0)),0))*(1+'El og plugin hybrid'!S$56)^-$A23))</f>
        <v>0</v>
      </c>
      <c r="U23" s="299">
        <f>'El og plugin hybrid'!U$48*(IF($A23&lt;='El og plugin hybrid'!U$55,(IF('El og plugin hybrid'!U$63=0,(('El og plugin hybrid'!U$49*'El og plugin hybrid'!U$15/1000)*$B23),('El og plugin hybrid'!U$63)))*(1+'El og plugin hybrid'!U$56)^-$A23,0)+IF('El og plugin hybrid'!U$24=0,0,(IF($A23&lt;='El og plugin hybrid'!U$55,'El og plugin hybrid'!U$49/'El og plugin hybrid'!U$24*IF('El og plugin hybrid'!U$65="plugin hybrid benzin",$C23,IF('El og plugin hybrid'!U$65="plugin hybrid diesel",$D23,0)),0))*(1+'El og plugin hybrid'!U$56)^-$A23))</f>
        <v>0</v>
      </c>
      <c r="W23" s="299">
        <f>'El og plugin hybrid'!W$48*(IF($A23&lt;='El og plugin hybrid'!W$55,(IF('El og plugin hybrid'!W$63=0,(('El og plugin hybrid'!W$49*'El og plugin hybrid'!W$15/1000)*$B23),('El og plugin hybrid'!W$63)))*(1+'El og plugin hybrid'!W$56)^-$A23,0)+IF('El og plugin hybrid'!W$24=0,0,(IF($A23&lt;='El og plugin hybrid'!W$55,'El og plugin hybrid'!W$49/'El og plugin hybrid'!W$24*IF('El og plugin hybrid'!W$65="plugin hybrid benzin",$C23,IF('El og plugin hybrid'!W$65="plugin hybrid diesel",$D23,0)),0))*(1+'El og plugin hybrid'!W$56)^-$A23))</f>
        <v>0</v>
      </c>
    </row>
    <row r="24" spans="1:26">
      <c r="A24" s="3"/>
      <c r="B24" s="3"/>
      <c r="C24" s="3"/>
      <c r="D24" s="4"/>
      <c r="E24" s="4"/>
      <c r="F24" s="4"/>
      <c r="G24" s="4"/>
      <c r="H24" s="4"/>
      <c r="I24" s="4"/>
      <c r="J24" s="4"/>
      <c r="K24" s="4"/>
      <c r="L24" s="4"/>
      <c r="M24" s="4"/>
      <c r="N24" s="4"/>
      <c r="O24" s="4"/>
      <c r="P24" s="4"/>
      <c r="Q24" s="4"/>
      <c r="R24" s="4"/>
      <c r="S24" s="4"/>
      <c r="U24" s="4"/>
      <c r="W24" s="4"/>
    </row>
    <row r="25" spans="1:26" ht="39">
      <c r="A25" s="134"/>
      <c r="B25" s="135" t="s">
        <v>30</v>
      </c>
      <c r="C25" s="5"/>
      <c r="D25" s="5"/>
      <c r="E25" s="6" t="str">
        <f>'El og plugin hybrid'!E8</f>
        <v>PRODUKT 1 EL</v>
      </c>
      <c r="F25" s="6"/>
      <c r="G25" s="6" t="str">
        <f>'El og plugin hybrid'!G8</f>
        <v>PRODUKT 2 EL</v>
      </c>
      <c r="H25" s="6"/>
      <c r="I25" s="6" t="str">
        <f>'El og plugin hybrid'!I8</f>
        <v>PRODUKT 3 EL</v>
      </c>
      <c r="J25" s="6"/>
      <c r="K25" s="6" t="str">
        <f>'El og plugin hybrid'!K8</f>
        <v>PRODUKT 4 EL</v>
      </c>
      <c r="L25" s="6"/>
      <c r="M25" s="6" t="str">
        <f>'El og plugin hybrid'!M8</f>
        <v>PRODUKT 5 EL</v>
      </c>
      <c r="N25" s="6"/>
      <c r="O25" s="6" t="str">
        <f>'El og plugin hybrid'!O8</f>
        <v>PRODUKT 6 EL</v>
      </c>
      <c r="P25" s="6"/>
      <c r="Q25" s="6" t="str">
        <f>'El og plugin hybrid'!Q8</f>
        <v>PRODUKT 7 EL</v>
      </c>
      <c r="R25" s="6"/>
      <c r="S25" s="6" t="str">
        <f>'El og plugin hybrid'!S8</f>
        <v>PRODUKT 8 EL</v>
      </c>
      <c r="T25" s="6"/>
      <c r="U25" s="6" t="str">
        <f>'El og plugin hybrid'!U8</f>
        <v>PRODUKT 9 EL</v>
      </c>
      <c r="V25" s="6"/>
      <c r="W25" s="6" t="str">
        <f>'El og plugin hybrid'!W8</f>
        <v>PRODUKT 10 EL</v>
      </c>
    </row>
    <row r="26" spans="1:26" ht="30" customHeight="1">
      <c r="A26" s="5"/>
      <c r="B26" s="5">
        <v>1</v>
      </c>
      <c r="C26" s="5"/>
      <c r="D26" s="5"/>
      <c r="E26" s="147">
        <f>'El og plugin hybrid'!E$93+'El og plugin hybrid'!E$94+E4+E49+IF($B26='El og plugin hybrid'!E$55,'El og plugin hybrid'!#REF!,0)+IF('El og plugin hybrid'!E29="ja",E187,0)</f>
        <v>0</v>
      </c>
      <c r="F26" s="147"/>
      <c r="G26" s="147">
        <f>'El og plugin hybrid'!G$93+'El og plugin hybrid'!G$94+G4+G49+IF($B26='El og plugin hybrid'!G$55,'El og plugin hybrid'!#REF!,0)+IF('El og plugin hybrid'!G29="ja",G187,0)</f>
        <v>0</v>
      </c>
      <c r="H26" s="147"/>
      <c r="I26" s="147">
        <f>'El og plugin hybrid'!I$93+'El og plugin hybrid'!I$94+I4+I49+IF($B26='El og plugin hybrid'!I$55,'El og plugin hybrid'!#REF!,0)+IF('El og plugin hybrid'!I29="ja",I187,0)</f>
        <v>0</v>
      </c>
      <c r="J26" s="147"/>
      <c r="K26" s="147">
        <f>'El og plugin hybrid'!K$93+'El og plugin hybrid'!K$94+K4+K49+IF($B26='El og plugin hybrid'!K$55,'El og plugin hybrid'!#REF!,0)+IF('El og plugin hybrid'!K29="ja",K187,0)</f>
        <v>0</v>
      </c>
      <c r="L26" s="147"/>
      <c r="M26" s="147">
        <f>'El og plugin hybrid'!M$93+'El og plugin hybrid'!M$94+M4+M49+IF($B26='El og plugin hybrid'!M$55,'El og plugin hybrid'!#REF!,0)+IF('El og plugin hybrid'!M29="ja",M187,0)</f>
        <v>0</v>
      </c>
      <c r="N26" s="147"/>
      <c r="O26" s="147">
        <f>'El og plugin hybrid'!O$93+'El og plugin hybrid'!O$94+O4+O49+IF($B26='El og plugin hybrid'!O$55,'El og plugin hybrid'!#REF!,0)+IF('El og plugin hybrid'!O29="ja",O187,0)</f>
        <v>0</v>
      </c>
      <c r="P26" s="147"/>
      <c r="Q26" s="147">
        <f>'El og plugin hybrid'!Q$93+'El og plugin hybrid'!Q$94+Q4+Q49+IF($B26='El og plugin hybrid'!Q$55,'El og plugin hybrid'!#REF!,0)+IF('El og plugin hybrid'!Q29="ja",Q187,0)</f>
        <v>0</v>
      </c>
      <c r="R26" s="147"/>
      <c r="S26" s="147">
        <f>'El og plugin hybrid'!S$93+'El og plugin hybrid'!S$94+S4+S49+IF($B26='El og plugin hybrid'!S$55,'El og plugin hybrid'!#REF!,0)+IF('El og plugin hybrid'!S29="ja",S187,0)</f>
        <v>0</v>
      </c>
      <c r="U26" s="147">
        <f>'El og plugin hybrid'!U$93+'El og plugin hybrid'!U$94+U4+U49+IF($B26='El og plugin hybrid'!U$55,'El og plugin hybrid'!#REF!,0)+IF('El og plugin hybrid'!U29="ja",U187,0)</f>
        <v>0</v>
      </c>
      <c r="W26" s="147">
        <f>'El og plugin hybrid'!W$93+'El og plugin hybrid'!W$94+W4+W49+IF($B26='El og plugin hybrid'!W$55,'El og plugin hybrid'!#REF!,0)+IF('El og plugin hybrid'!W29="ja",W187,0)</f>
        <v>0</v>
      </c>
      <c r="Z26" s="245" t="s">
        <v>52</v>
      </c>
    </row>
    <row r="27" spans="1:26">
      <c r="A27" s="5"/>
      <c r="B27" s="5">
        <v>2</v>
      </c>
      <c r="C27" s="5"/>
      <c r="D27" s="5"/>
      <c r="E27" s="147">
        <f>E26+E5+E50+IF($B27='El og plugin hybrid'!$E55,'El og plugin hybrid'!#REF!,0)+IF('El og plugin hybrid'!E$29="ja",E188,0)</f>
        <v>0</v>
      </c>
      <c r="F27" s="147"/>
      <c r="G27" s="147">
        <f>G26+G5+G50+IF($B27='El og plugin hybrid'!$E55,'El og plugin hybrid'!#REF!,0)+IF('El og plugin hybrid'!G$29="ja",G188,0)</f>
        <v>0</v>
      </c>
      <c r="H27" s="147"/>
      <c r="I27" s="147">
        <f>I26+I5+I50+IF($B27='El og plugin hybrid'!$E55,'El og plugin hybrid'!#REF!,0)+IF('El og plugin hybrid'!I$29="ja",I188,0)</f>
        <v>0</v>
      </c>
      <c r="J27" s="147"/>
      <c r="K27" s="147">
        <f>K26+K5+K50+IF($B27='El og plugin hybrid'!$E55,'El og plugin hybrid'!#REF!,0)+IF('El og plugin hybrid'!K$29="ja",K188,0)</f>
        <v>0</v>
      </c>
      <c r="L27" s="147"/>
      <c r="M27" s="147">
        <f>M26+M5+M50+IF($B27='El og plugin hybrid'!$E55,'El og plugin hybrid'!#REF!,0)+IF('El og plugin hybrid'!M$29="ja",M188,0)</f>
        <v>0</v>
      </c>
      <c r="N27" s="147"/>
      <c r="O27" s="147">
        <f>O26+O5+O50+IF($B27='El og plugin hybrid'!$E55,'El og plugin hybrid'!#REF!,0)+IF('El og plugin hybrid'!O$29="ja",O188,0)</f>
        <v>0</v>
      </c>
      <c r="P27" s="147"/>
      <c r="Q27" s="147">
        <f>Q26+Q5+Q50+IF($B27='El og plugin hybrid'!$E55,'El og plugin hybrid'!#REF!,0)+IF('El og plugin hybrid'!Q$29="ja",Q188,0)</f>
        <v>0</v>
      </c>
      <c r="R27" s="147"/>
      <c r="S27" s="147">
        <f>S26+S5+S50+IF($B27='El og plugin hybrid'!$E55,'El og plugin hybrid'!#REF!,0)+IF('El og plugin hybrid'!S$29="ja",S188,0)</f>
        <v>0</v>
      </c>
      <c r="U27" s="147">
        <f>U26+U5+U50+IF($B27='El og plugin hybrid'!$E55,'El og plugin hybrid'!#REF!,0)+IF('El og plugin hybrid'!U$29="ja",U188,0)</f>
        <v>0</v>
      </c>
      <c r="W27" s="147">
        <f>W26+W5+W50+IF($B27='El og plugin hybrid'!$E55,'El og plugin hybrid'!#REF!,0)+IF('El og plugin hybrid'!W$29="ja",W188,0)</f>
        <v>0</v>
      </c>
      <c r="Z27" s="246">
        <v>1</v>
      </c>
    </row>
    <row r="28" spans="1:26">
      <c r="A28" s="5"/>
      <c r="B28" s="5">
        <v>3</v>
      </c>
      <c r="C28" s="5"/>
      <c r="D28" s="5"/>
      <c r="E28" s="147">
        <f>E27+E6+E51+IF($B28='El og plugin hybrid'!$E56,'El og plugin hybrid'!#REF!,0)+IF('El og plugin hybrid'!E$29="ja",E189,0)</f>
        <v>0</v>
      </c>
      <c r="F28" s="147"/>
      <c r="G28" s="147">
        <f>G27+G6+G51+IF($B28='El og plugin hybrid'!$E56,'El og plugin hybrid'!#REF!,0)+IF('El og plugin hybrid'!G$29="ja",G189,0)</f>
        <v>0</v>
      </c>
      <c r="H28" s="147"/>
      <c r="I28" s="147">
        <f>I27+I6+I51+IF($B28='El og plugin hybrid'!$E56,'El og plugin hybrid'!#REF!,0)+IF('El og plugin hybrid'!I$29="ja",I189,0)</f>
        <v>0</v>
      </c>
      <c r="J28" s="147"/>
      <c r="K28" s="147">
        <f>K27+K6+K51+IF($B28='El og plugin hybrid'!$E56,'El og plugin hybrid'!#REF!,0)+IF('El og plugin hybrid'!K$29="ja",K189,0)</f>
        <v>0</v>
      </c>
      <c r="L28" s="147"/>
      <c r="M28" s="147">
        <f>M27+M6+M51+IF($B28='El og plugin hybrid'!$E56,'El og plugin hybrid'!#REF!,0)+IF('El og plugin hybrid'!M$29="ja",M189,0)</f>
        <v>0</v>
      </c>
      <c r="N28" s="147"/>
      <c r="O28" s="147">
        <f>O27+O6+O51+IF($B28='El og plugin hybrid'!$E56,'El og plugin hybrid'!#REF!,0)+IF('El og plugin hybrid'!O$29="ja",O189,0)</f>
        <v>0</v>
      </c>
      <c r="P28" s="147"/>
      <c r="Q28" s="147">
        <f>Q27+Q6+Q51+IF($B28='El og plugin hybrid'!$E56,'El og plugin hybrid'!#REF!,0)+IF('El og plugin hybrid'!Q$29="ja",Q189,0)</f>
        <v>0</v>
      </c>
      <c r="R28" s="147"/>
      <c r="S28" s="147">
        <f>S27+S6+S51+IF($B28='El og plugin hybrid'!$E56,'El og plugin hybrid'!#REF!,0)+IF('El og plugin hybrid'!S$29="ja",S189,0)</f>
        <v>0</v>
      </c>
      <c r="U28" s="147">
        <f>U27+U6+U51+IF($B28='El og plugin hybrid'!$E56,'El og plugin hybrid'!#REF!,0)+IF('El og plugin hybrid'!U$29="ja",U189,0)</f>
        <v>0</v>
      </c>
      <c r="W28" s="147">
        <f>W27+W6+W51+IF($B28='El og plugin hybrid'!$E56,'El og plugin hybrid'!#REF!,0)+IF('El og plugin hybrid'!W$29="ja",W189,0)</f>
        <v>0</v>
      </c>
      <c r="Z28" s="246">
        <f>IF('El og plugin hybrid'!$E$55&gt;=B27,B27,"")</f>
        <v>2</v>
      </c>
    </row>
    <row r="29" spans="1:26">
      <c r="A29" s="5"/>
      <c r="B29" s="5">
        <v>4</v>
      </c>
      <c r="C29" s="5"/>
      <c r="D29" s="5"/>
      <c r="E29" s="147">
        <f>E28+E7+E52+IF($B29='El og plugin hybrid'!$E57,'El og plugin hybrid'!#REF!,0)+IF('El og plugin hybrid'!E$29="ja",E190,0)</f>
        <v>0</v>
      </c>
      <c r="F29" s="147"/>
      <c r="G29" s="147">
        <f>G28+G7+G52+IF($B29='El og plugin hybrid'!$E57,'El og plugin hybrid'!#REF!,0)+IF('El og plugin hybrid'!G$29="ja",G190,0)</f>
        <v>0</v>
      </c>
      <c r="H29" s="147"/>
      <c r="I29" s="147">
        <f>I28+I7+I52+IF($B29='El og plugin hybrid'!$E57,'El og plugin hybrid'!#REF!,0)+IF('El og plugin hybrid'!I$29="ja",I190,0)</f>
        <v>0</v>
      </c>
      <c r="J29" s="147"/>
      <c r="K29" s="147">
        <f>K28+K7+K52+IF($B29='El og plugin hybrid'!$E57,'El og plugin hybrid'!#REF!,0)+IF('El og plugin hybrid'!K$29="ja",K190,0)</f>
        <v>0</v>
      </c>
      <c r="L29" s="147"/>
      <c r="M29" s="147">
        <f>M28+M7+M52+IF($B29='El og plugin hybrid'!$E57,'El og plugin hybrid'!#REF!,0)+IF('El og plugin hybrid'!M$29="ja",M190,0)</f>
        <v>0</v>
      </c>
      <c r="N29" s="147"/>
      <c r="O29" s="147">
        <f>O28+O7+O52+IF($B29='El og plugin hybrid'!$E57,'El og plugin hybrid'!#REF!,0)+IF('El og plugin hybrid'!O$29="ja",O190,0)</f>
        <v>0</v>
      </c>
      <c r="P29" s="147"/>
      <c r="Q29" s="147">
        <f>Q28+Q7+Q52+IF($B29='El og plugin hybrid'!$E57,'El og plugin hybrid'!#REF!,0)+IF('El og plugin hybrid'!Q$29="ja",Q190,0)</f>
        <v>0</v>
      </c>
      <c r="R29" s="147"/>
      <c r="S29" s="147">
        <f>S28+S7+S52+IF($B29='El og plugin hybrid'!$E57,'El og plugin hybrid'!#REF!,0)+IF('El og plugin hybrid'!S$29="ja",S190,0)</f>
        <v>0</v>
      </c>
      <c r="U29" s="147">
        <f>U28+U7+U52+IF($B29='El og plugin hybrid'!$E57,'El og plugin hybrid'!#REF!,0)+IF('El og plugin hybrid'!U$29="ja",U190,0)</f>
        <v>0</v>
      </c>
      <c r="W29" s="147">
        <f>W28+W7+W52+IF($B29='El og plugin hybrid'!$E57,'El og plugin hybrid'!#REF!,0)+IF('El og plugin hybrid'!W$29="ja",W190,0)</f>
        <v>0</v>
      </c>
      <c r="Z29" s="246">
        <f>IF('El og plugin hybrid'!$E$55&gt;=B28,B28,"")</f>
        <v>3</v>
      </c>
    </row>
    <row r="30" spans="1:26">
      <c r="A30" s="5"/>
      <c r="B30" s="5">
        <v>5</v>
      </c>
      <c r="C30" s="5"/>
      <c r="D30" s="5"/>
      <c r="E30" s="147">
        <f>E29+E8+E53+IF($B30='El og plugin hybrid'!$E58,'El og plugin hybrid'!#REF!,0)+IF('El og plugin hybrid'!E$29="ja",E191,0)</f>
        <v>0</v>
      </c>
      <c r="F30" s="147"/>
      <c r="G30" s="147">
        <f>G29+G8+G53+IF($B30='El og plugin hybrid'!$E58,'El og plugin hybrid'!#REF!,0)+IF('El og plugin hybrid'!G$29="ja",G191,0)</f>
        <v>0</v>
      </c>
      <c r="H30" s="147"/>
      <c r="I30" s="147">
        <f>I29+I8+I53+IF($B30='El og plugin hybrid'!$E58,'El og plugin hybrid'!#REF!,0)+IF('El og plugin hybrid'!I$29="ja",I191,0)</f>
        <v>0</v>
      </c>
      <c r="J30" s="147"/>
      <c r="K30" s="147">
        <f>K29+K8+K53+IF($B30='El og plugin hybrid'!$E58,'El og plugin hybrid'!#REF!,0)+IF('El og plugin hybrid'!K$29="ja",K191,0)</f>
        <v>0</v>
      </c>
      <c r="L30" s="147"/>
      <c r="M30" s="147">
        <f>M29+M8+M53+IF($B30='El og plugin hybrid'!$E58,'El og plugin hybrid'!#REF!,0)+IF('El og plugin hybrid'!M$29="ja",M191,0)</f>
        <v>0</v>
      </c>
      <c r="N30" s="147"/>
      <c r="O30" s="147">
        <f>O29+O8+O53+IF($B30='El og plugin hybrid'!$E58,'El og plugin hybrid'!#REF!,0)+IF('El og plugin hybrid'!O$29="ja",O191,0)</f>
        <v>0</v>
      </c>
      <c r="P30" s="147"/>
      <c r="Q30" s="147">
        <f>Q29+Q8+Q53+IF($B30='El og plugin hybrid'!$E58,'El og plugin hybrid'!#REF!,0)+IF('El og plugin hybrid'!Q$29="ja",Q191,0)</f>
        <v>0</v>
      </c>
      <c r="R30" s="147"/>
      <c r="S30" s="147">
        <f>S29+S8+S53+IF($B30='El og plugin hybrid'!$E58,'El og plugin hybrid'!#REF!,0)+IF('El og plugin hybrid'!S$29="ja",S191,0)</f>
        <v>0</v>
      </c>
      <c r="U30" s="147">
        <f>U29+U8+U53+IF($B30='El og plugin hybrid'!$E58,'El og plugin hybrid'!#REF!,0)+IF('El og plugin hybrid'!U$29="ja",U191,0)</f>
        <v>0</v>
      </c>
      <c r="W30" s="147">
        <f>W29+W8+W53+IF($B30='El og plugin hybrid'!$E58,'El og plugin hybrid'!#REF!,0)+IF('El og plugin hybrid'!W$29="ja",W191,0)</f>
        <v>0</v>
      </c>
      <c r="Z30" s="246">
        <f>IF('El og plugin hybrid'!$E$55&gt;=B29,B29,"")</f>
        <v>4</v>
      </c>
    </row>
    <row r="31" spans="1:26">
      <c r="A31" s="5"/>
      <c r="B31" s="5">
        <v>6</v>
      </c>
      <c r="C31" s="5"/>
      <c r="D31" s="5"/>
      <c r="E31" s="147">
        <f>E30+E9+E54+IF($B31='El og plugin hybrid'!$E59,'El og plugin hybrid'!#REF!,0)+IF('El og plugin hybrid'!E$29="ja",E192,0)</f>
        <v>0</v>
      </c>
      <c r="F31" s="147"/>
      <c r="G31" s="147">
        <f>G30+G9+G54+IF($B31='El og plugin hybrid'!$E59,'El og plugin hybrid'!#REF!,0)+IF('El og plugin hybrid'!G$29="ja",G192,0)</f>
        <v>0</v>
      </c>
      <c r="H31" s="147"/>
      <c r="I31" s="147">
        <f>I30+I9+I54+IF($B31='El og plugin hybrid'!$E59,'El og plugin hybrid'!#REF!,0)+IF('El og plugin hybrid'!I$29="ja",I192,0)</f>
        <v>0</v>
      </c>
      <c r="J31" s="147"/>
      <c r="K31" s="147">
        <f>K30+K9+K54+IF($B31='El og plugin hybrid'!$E59,'El og plugin hybrid'!#REF!,0)+IF('El og plugin hybrid'!K$29="ja",K192,0)</f>
        <v>0</v>
      </c>
      <c r="L31" s="147"/>
      <c r="M31" s="147">
        <f>M30+M9+M54+IF($B31='El og plugin hybrid'!$E59,'El og plugin hybrid'!#REF!,0)+IF('El og plugin hybrid'!M$29="ja",M192,0)</f>
        <v>0</v>
      </c>
      <c r="N31" s="147"/>
      <c r="O31" s="147">
        <f>O30+O9+O54+IF($B31='El og plugin hybrid'!$E59,'El og plugin hybrid'!#REF!,0)+IF('El og plugin hybrid'!O$29="ja",O192,0)</f>
        <v>0</v>
      </c>
      <c r="P31" s="147"/>
      <c r="Q31" s="147">
        <f>Q30+Q9+Q54+IF($B31='El og plugin hybrid'!$E59,'El og plugin hybrid'!#REF!,0)+IF('El og plugin hybrid'!Q$29="ja",Q192,0)</f>
        <v>0</v>
      </c>
      <c r="R31" s="147"/>
      <c r="S31" s="147">
        <f>S30+S9+S54+IF($B31='El og plugin hybrid'!$E59,'El og plugin hybrid'!#REF!,0)+IF('El og plugin hybrid'!S$29="ja",S192,0)</f>
        <v>0</v>
      </c>
      <c r="U31" s="147">
        <f>U30+U9+U54+IF($B31='El og plugin hybrid'!$E59,'El og plugin hybrid'!#REF!,0)+IF('El og plugin hybrid'!U$29="ja",U192,0)</f>
        <v>0</v>
      </c>
      <c r="W31" s="147">
        <f>W30+W9+W54+IF($B31='El og plugin hybrid'!$E59,'El og plugin hybrid'!#REF!,0)+IF('El og plugin hybrid'!W$29="ja",W192,0)</f>
        <v>0</v>
      </c>
      <c r="Z31" s="246" t="str">
        <f>IF('El og plugin hybrid'!$E$55&gt;=B30,B30,"")</f>
        <v/>
      </c>
    </row>
    <row r="32" spans="1:26">
      <c r="A32" s="5"/>
      <c r="B32" s="5">
        <v>7</v>
      </c>
      <c r="C32" s="5"/>
      <c r="D32" s="5"/>
      <c r="E32" s="147">
        <f>E31+E10+E55+IF($B32='El og plugin hybrid'!$E60,'El og plugin hybrid'!#REF!,0)+IF('El og plugin hybrid'!E$29="ja",E193,0)</f>
        <v>0</v>
      </c>
      <c r="F32" s="147"/>
      <c r="G32" s="147">
        <f>G31+G10+G55+IF($B32='El og plugin hybrid'!$E60,'El og plugin hybrid'!#REF!,0)+IF('El og plugin hybrid'!G$29="ja",G193,0)</f>
        <v>0</v>
      </c>
      <c r="H32" s="147"/>
      <c r="I32" s="147">
        <f>I31+I10+I55+IF($B32='El og plugin hybrid'!$E60,'El og plugin hybrid'!#REF!,0)+IF('El og plugin hybrid'!I$29="ja",I193,0)</f>
        <v>0</v>
      </c>
      <c r="J32" s="147"/>
      <c r="K32" s="147">
        <f>K31+K10+K55+IF($B32='El og plugin hybrid'!$E60,'El og plugin hybrid'!#REF!,0)+IF('El og plugin hybrid'!K$29="ja",K193,0)</f>
        <v>0</v>
      </c>
      <c r="L32" s="147"/>
      <c r="M32" s="147">
        <f>M31+M10+M55+IF($B32='El og plugin hybrid'!$E60,'El og plugin hybrid'!#REF!,0)+IF('El og plugin hybrid'!M$29="ja",M193,0)</f>
        <v>0</v>
      </c>
      <c r="N32" s="147"/>
      <c r="O32" s="147">
        <f>O31+O10+O55+IF($B32='El og plugin hybrid'!$E60,'El og plugin hybrid'!#REF!,0)+IF('El og plugin hybrid'!O$29="ja",O193,0)</f>
        <v>0</v>
      </c>
      <c r="P32" s="147"/>
      <c r="Q32" s="147">
        <f>Q31+Q10+Q55+IF($B32='El og plugin hybrid'!$E60,'El og plugin hybrid'!#REF!,0)+IF('El og plugin hybrid'!Q$29="ja",Q193,0)</f>
        <v>0</v>
      </c>
      <c r="R32" s="147"/>
      <c r="S32" s="147">
        <f>S31+S10+S55+IF($B32='El og plugin hybrid'!$E60,'El og plugin hybrid'!#REF!,0)+IF('El og plugin hybrid'!S$29="ja",S193,0)</f>
        <v>0</v>
      </c>
      <c r="U32" s="147">
        <f>U31+U10+U55+IF($B32='El og plugin hybrid'!$E60,'El og plugin hybrid'!#REF!,0)+IF('El og plugin hybrid'!U$29="ja",U193,0)</f>
        <v>0</v>
      </c>
      <c r="W32" s="147">
        <f>W31+W10+W55+IF($B32='El og plugin hybrid'!$E60,'El og plugin hybrid'!#REF!,0)+IF('El og plugin hybrid'!W$29="ja",W193,0)</f>
        <v>0</v>
      </c>
      <c r="Z32" s="246" t="str">
        <f>IF('El og plugin hybrid'!$E$55&gt;=B31,B31,"")</f>
        <v/>
      </c>
    </row>
    <row r="33" spans="1:26">
      <c r="A33" s="5"/>
      <c r="B33" s="5">
        <v>8</v>
      </c>
      <c r="C33" s="5"/>
      <c r="D33" s="5"/>
      <c r="E33" s="147">
        <f>E32+E11+E56+IF($B33='El og plugin hybrid'!$E61,'El og plugin hybrid'!#REF!,0)+IF('El og plugin hybrid'!E$29="ja",E194,0)</f>
        <v>0</v>
      </c>
      <c r="F33" s="147"/>
      <c r="G33" s="147">
        <f>G32+G11+G56+IF($B33='El og plugin hybrid'!$E61,'El og plugin hybrid'!#REF!,0)+IF('El og plugin hybrid'!G$29="ja",G194,0)</f>
        <v>0</v>
      </c>
      <c r="H33" s="147"/>
      <c r="I33" s="147">
        <f>I32+I11+I56+IF($B33='El og plugin hybrid'!$E61,'El og plugin hybrid'!#REF!,0)+IF('El og plugin hybrid'!I$29="ja",I194,0)</f>
        <v>0</v>
      </c>
      <c r="J33" s="147"/>
      <c r="K33" s="147">
        <f>K32+K11+K56+IF($B33='El og plugin hybrid'!$E61,'El og plugin hybrid'!#REF!,0)+IF('El og plugin hybrid'!K$29="ja",K194,0)</f>
        <v>0</v>
      </c>
      <c r="L33" s="147"/>
      <c r="M33" s="147">
        <f>M32+M11+M56+IF($B33='El og plugin hybrid'!$E61,'El og plugin hybrid'!#REF!,0)+IF('El og plugin hybrid'!M$29="ja",M194,0)</f>
        <v>0</v>
      </c>
      <c r="N33" s="147"/>
      <c r="O33" s="147">
        <f>O32+O11+O56+IF($B33='El og plugin hybrid'!$E61,'El og plugin hybrid'!#REF!,0)+IF('El og plugin hybrid'!O$29="ja",O194,0)</f>
        <v>0</v>
      </c>
      <c r="P33" s="147"/>
      <c r="Q33" s="147">
        <f>Q32+Q11+Q56+IF($B33='El og plugin hybrid'!$E61,'El og plugin hybrid'!#REF!,0)+IF('El og plugin hybrid'!Q$29="ja",Q194,0)</f>
        <v>0</v>
      </c>
      <c r="R33" s="147"/>
      <c r="S33" s="147">
        <f>S32+S11+S56+IF($B33='El og plugin hybrid'!$E61,'El og plugin hybrid'!#REF!,0)+IF('El og plugin hybrid'!S$29="ja",S194,0)</f>
        <v>0</v>
      </c>
      <c r="U33" s="147">
        <f>U32+U11+U56+IF($B33='El og plugin hybrid'!$E61,'El og plugin hybrid'!#REF!,0)+IF('El og plugin hybrid'!U$29="ja",U194,0)</f>
        <v>0</v>
      </c>
      <c r="W33" s="147">
        <f>W32+W11+W56+IF($B33='El og plugin hybrid'!$E61,'El og plugin hybrid'!#REF!,0)+IF('El og plugin hybrid'!W$29="ja",W194,0)</f>
        <v>0</v>
      </c>
      <c r="Z33" s="246" t="str">
        <f>IF('El og plugin hybrid'!$E$55&gt;=B32,B32,"")</f>
        <v/>
      </c>
    </row>
    <row r="34" spans="1:26">
      <c r="A34" s="5"/>
      <c r="B34" s="5">
        <v>9</v>
      </c>
      <c r="C34" s="5"/>
      <c r="D34" s="5"/>
      <c r="E34" s="147">
        <f>E33+E12+E57+IF($B34='El og plugin hybrid'!$E62,'El og plugin hybrid'!#REF!,0)+IF('El og plugin hybrid'!E$29="ja",E195,0)</f>
        <v>0</v>
      </c>
      <c r="F34" s="147"/>
      <c r="G34" s="147">
        <f>G33+G12+G57+IF($B34='El og plugin hybrid'!$E62,'El og plugin hybrid'!#REF!,0)+IF('El og plugin hybrid'!G$29="ja",G195,0)</f>
        <v>0</v>
      </c>
      <c r="H34" s="147"/>
      <c r="I34" s="147">
        <f>I33+I12+I57+IF($B34='El og plugin hybrid'!$E62,'El og plugin hybrid'!#REF!,0)+IF('El og plugin hybrid'!I$29="ja",I195,0)</f>
        <v>0</v>
      </c>
      <c r="J34" s="147"/>
      <c r="K34" s="147">
        <f>K33+K12+K57+IF($B34='El og plugin hybrid'!$E62,'El og plugin hybrid'!#REF!,0)+IF('El og plugin hybrid'!K$29="ja",K195,0)</f>
        <v>0</v>
      </c>
      <c r="L34" s="147"/>
      <c r="M34" s="147">
        <f>M33+M12+M57+IF($B34='El og plugin hybrid'!$E62,'El og plugin hybrid'!#REF!,0)+IF('El og plugin hybrid'!M$29="ja",M195,0)</f>
        <v>0</v>
      </c>
      <c r="N34" s="147"/>
      <c r="O34" s="147">
        <f>O33+O12+O57+IF($B34='El og plugin hybrid'!$E62,'El og plugin hybrid'!#REF!,0)+IF('El og plugin hybrid'!O$29="ja",O195,0)</f>
        <v>0</v>
      </c>
      <c r="P34" s="147"/>
      <c r="Q34" s="147">
        <f>Q33+Q12+Q57+IF($B34='El og plugin hybrid'!$E62,'El og plugin hybrid'!#REF!,0)+IF('El og plugin hybrid'!Q$29="ja",Q195,0)</f>
        <v>0</v>
      </c>
      <c r="R34" s="147"/>
      <c r="S34" s="147">
        <f>S33+S12+S57+IF($B34='El og plugin hybrid'!$E62,'El og plugin hybrid'!#REF!,0)+IF('El og plugin hybrid'!S$29="ja",S195,0)</f>
        <v>0</v>
      </c>
      <c r="U34" s="147">
        <f>U33+U12+U57+IF($B34='El og plugin hybrid'!$E62,'El og plugin hybrid'!#REF!,0)+IF('El og plugin hybrid'!U$29="ja",U195,0)</f>
        <v>0</v>
      </c>
      <c r="W34" s="147">
        <f>W33+W12+W57+IF($B34='El og plugin hybrid'!$E62,'El og plugin hybrid'!#REF!,0)+IF('El og plugin hybrid'!W$29="ja",W195,0)</f>
        <v>0</v>
      </c>
      <c r="Z34" s="246" t="str">
        <f>IF('El og plugin hybrid'!$E$55&gt;=B33,B33,"")</f>
        <v/>
      </c>
    </row>
    <row r="35" spans="1:26">
      <c r="A35" s="5"/>
      <c r="B35" s="5">
        <v>10</v>
      </c>
      <c r="C35" s="5"/>
      <c r="D35" s="5"/>
      <c r="E35" s="147">
        <f>E34+E13+E58+IF($B35='El og plugin hybrid'!$E63,'El og plugin hybrid'!#REF!,0)+IF('El og plugin hybrid'!E$29="ja",E196,0)</f>
        <v>0</v>
      </c>
      <c r="F35" s="147"/>
      <c r="G35" s="147">
        <f>G34+G13+G58+IF($B35='El og plugin hybrid'!$E63,'El og plugin hybrid'!#REF!,0)+IF('El og plugin hybrid'!G$29="ja",G196,0)</f>
        <v>0</v>
      </c>
      <c r="H35" s="147"/>
      <c r="I35" s="147">
        <f>I34+I13+I58+IF($B35='El og plugin hybrid'!$E63,'El og plugin hybrid'!#REF!,0)+IF('El og plugin hybrid'!I$29="ja",I196,0)</f>
        <v>0</v>
      </c>
      <c r="J35" s="147"/>
      <c r="K35" s="147">
        <f>K34+K13+K58+IF($B35='El og plugin hybrid'!$E63,'El og plugin hybrid'!#REF!,0)+IF('El og plugin hybrid'!K$29="ja",K196,0)</f>
        <v>0</v>
      </c>
      <c r="L35" s="147"/>
      <c r="M35" s="147">
        <f>M34+M13+M58+IF($B35='El og plugin hybrid'!$E63,'El og plugin hybrid'!#REF!,0)+IF('El og plugin hybrid'!M$29="ja",M196,0)</f>
        <v>0</v>
      </c>
      <c r="N35" s="147"/>
      <c r="O35" s="147">
        <f>O34+O13+O58+IF($B35='El og plugin hybrid'!$E63,'El og plugin hybrid'!#REF!,0)+IF('El og plugin hybrid'!O$29="ja",O196,0)</f>
        <v>0</v>
      </c>
      <c r="P35" s="147"/>
      <c r="Q35" s="147">
        <f>Q34+Q13+Q58+IF($B35='El og plugin hybrid'!$E63,'El og plugin hybrid'!#REF!,0)+IF('El og plugin hybrid'!Q$29="ja",Q196,0)</f>
        <v>0</v>
      </c>
      <c r="R35" s="147"/>
      <c r="S35" s="147">
        <f>S34+S13+S58+IF($B35='El og plugin hybrid'!$E63,'El og plugin hybrid'!#REF!,0)+IF('El og plugin hybrid'!S$29="ja",S196,0)</f>
        <v>0</v>
      </c>
      <c r="U35" s="147">
        <f>U34+U13+U58+IF($B35='El og plugin hybrid'!$E63,'El og plugin hybrid'!#REF!,0)+IF('El og plugin hybrid'!U$29="ja",U196,0)</f>
        <v>0</v>
      </c>
      <c r="W35" s="147">
        <f>W34+W13+W58+IF($B35='El og plugin hybrid'!$E63,'El og plugin hybrid'!#REF!,0)+IF('El og plugin hybrid'!W$29="ja",W196,0)</f>
        <v>0</v>
      </c>
      <c r="Z35" s="246" t="str">
        <f>IF('El og plugin hybrid'!$E$55&gt;=B34,B34,"")</f>
        <v/>
      </c>
    </row>
    <row r="36" spans="1:26">
      <c r="A36" s="5"/>
      <c r="B36" s="5">
        <v>11</v>
      </c>
      <c r="C36" s="5"/>
      <c r="D36" s="5"/>
      <c r="E36" s="147">
        <f>E35+E14+E59+IF($B36='El og plugin hybrid'!$E64,'El og plugin hybrid'!#REF!,0)+IF('El og plugin hybrid'!E$29="ja",E197,0)</f>
        <v>0</v>
      </c>
      <c r="F36" s="147"/>
      <c r="G36" s="147">
        <f>G35+G14+G59+IF($B36='El og plugin hybrid'!$E64,'El og plugin hybrid'!#REF!,0)+IF('El og plugin hybrid'!G$29="ja",G197,0)</f>
        <v>0</v>
      </c>
      <c r="H36" s="147"/>
      <c r="I36" s="147">
        <f>I35+I14+I59+IF($B36='El og plugin hybrid'!$E64,'El og plugin hybrid'!#REF!,0)+IF('El og plugin hybrid'!I$29="ja",I197,0)</f>
        <v>0</v>
      </c>
      <c r="J36" s="147"/>
      <c r="K36" s="147">
        <f>K35+K14+K59+IF($B36='El og plugin hybrid'!$E64,'El og plugin hybrid'!#REF!,0)+IF('El og plugin hybrid'!K$29="ja",K197,0)</f>
        <v>0</v>
      </c>
      <c r="L36" s="147"/>
      <c r="M36" s="147">
        <f>M35+M14+M59+IF($B36='El og plugin hybrid'!$E64,'El og plugin hybrid'!#REF!,0)+IF('El og plugin hybrid'!M$29="ja",M197,0)</f>
        <v>0</v>
      </c>
      <c r="N36" s="147"/>
      <c r="O36" s="147">
        <f>O35+O14+O59+IF($B36='El og plugin hybrid'!$E64,'El og plugin hybrid'!#REF!,0)+IF('El og plugin hybrid'!O$29="ja",O197,0)</f>
        <v>0</v>
      </c>
      <c r="P36" s="147"/>
      <c r="Q36" s="147">
        <f>Q35+Q14+Q59+IF($B36='El og plugin hybrid'!$E64,'El og plugin hybrid'!#REF!,0)+IF('El og plugin hybrid'!Q$29="ja",Q197,0)</f>
        <v>0</v>
      </c>
      <c r="R36" s="147"/>
      <c r="S36" s="147">
        <f>S35+S14+S59+IF($B36='El og plugin hybrid'!$E64,'El og plugin hybrid'!#REF!,0)+IF('El og plugin hybrid'!S$29="ja",S197,0)</f>
        <v>0</v>
      </c>
      <c r="U36" s="147">
        <f>U35+U14+U59+IF($B36='El og plugin hybrid'!$E64,'El og plugin hybrid'!#REF!,0)+IF('El og plugin hybrid'!U$29="ja",U197,0)</f>
        <v>0</v>
      </c>
      <c r="W36" s="147">
        <f>W35+W14+W59+IF($B36='El og plugin hybrid'!$E64,'El og plugin hybrid'!#REF!,0)+IF('El og plugin hybrid'!W$29="ja",W197,0)</f>
        <v>0</v>
      </c>
      <c r="Z36" s="246" t="str">
        <f>IF('El og plugin hybrid'!$E$55&gt;=B35,B35,"")</f>
        <v/>
      </c>
    </row>
    <row r="37" spans="1:26">
      <c r="A37" s="3"/>
      <c r="B37" s="5">
        <v>12</v>
      </c>
      <c r="C37" s="3"/>
      <c r="D37" s="3"/>
      <c r="E37" s="147">
        <f>E36+E15+E60+IF($B37='El og plugin hybrid'!$E65,'El og plugin hybrid'!#REF!,0)+IF('El og plugin hybrid'!E$29="ja",E198,0)</f>
        <v>0</v>
      </c>
      <c r="F37" s="147"/>
      <c r="G37" s="147">
        <f>G36+G15+G60+IF($B37='El og plugin hybrid'!$E65,'El og plugin hybrid'!#REF!,0)+IF('El og plugin hybrid'!G$29="ja",G198,0)</f>
        <v>0</v>
      </c>
      <c r="H37" s="147"/>
      <c r="I37" s="147">
        <f>I36+I15+I60+IF($B37='El og plugin hybrid'!$E65,'El og plugin hybrid'!#REF!,0)+IF('El og plugin hybrid'!I$29="ja",I198,0)</f>
        <v>0</v>
      </c>
      <c r="J37" s="147"/>
      <c r="K37" s="147">
        <f>K36+K15+K60+IF($B37='El og plugin hybrid'!$E65,'El og plugin hybrid'!#REF!,0)+IF('El og plugin hybrid'!K$29="ja",K198,0)</f>
        <v>0</v>
      </c>
      <c r="L37" s="147"/>
      <c r="M37" s="147">
        <f>M36+M15+M60+IF($B37='El og plugin hybrid'!$E65,'El og plugin hybrid'!#REF!,0)+IF('El og plugin hybrid'!M$29="ja",M198,0)</f>
        <v>0</v>
      </c>
      <c r="N37" s="147"/>
      <c r="O37" s="147">
        <f>O36+O15+O60+IF($B37='El og plugin hybrid'!$E65,'El og plugin hybrid'!#REF!,0)+IF('El og plugin hybrid'!O$29="ja",O198,0)</f>
        <v>0</v>
      </c>
      <c r="P37" s="147"/>
      <c r="Q37" s="147">
        <f>Q36+Q15+Q60+IF($B37='El og plugin hybrid'!$E65,'El og plugin hybrid'!#REF!,0)+IF('El og plugin hybrid'!Q$29="ja",Q198,0)</f>
        <v>0</v>
      </c>
      <c r="R37" s="147"/>
      <c r="S37" s="147">
        <f>S36+S15+S60+IF($B37='El og plugin hybrid'!$E65,'El og plugin hybrid'!#REF!,0)+IF('El og plugin hybrid'!S$29="ja",S198,0)</f>
        <v>0</v>
      </c>
      <c r="U37" s="147">
        <f>U36+U15+U60+IF($B37='El og plugin hybrid'!$E65,'El og plugin hybrid'!#REF!,0)+IF('El og plugin hybrid'!U$29="ja",U198,0)</f>
        <v>0</v>
      </c>
      <c r="W37" s="147">
        <f>W36+W15+W60+IF($B37='El og plugin hybrid'!$E65,'El og plugin hybrid'!#REF!,0)+IF('El og plugin hybrid'!W$29="ja",W198,0)</f>
        <v>0</v>
      </c>
      <c r="Z37" s="246" t="str">
        <f>IF('El og plugin hybrid'!$E$55&gt;=B36,B36,"")</f>
        <v/>
      </c>
    </row>
    <row r="38" spans="1:26">
      <c r="A38" s="3"/>
      <c r="B38" s="5">
        <v>13</v>
      </c>
      <c r="C38" s="3"/>
      <c r="D38" s="3"/>
      <c r="E38" s="147">
        <f>E37+E16+E61+IF($B38='El og plugin hybrid'!$E66,'El og plugin hybrid'!#REF!,0)+IF('El og plugin hybrid'!E$29="ja",E199,0)</f>
        <v>0</v>
      </c>
      <c r="F38" s="147"/>
      <c r="G38" s="147">
        <f>G37+G16+G61+IF($B38='El og plugin hybrid'!$E66,'El og plugin hybrid'!#REF!,0)+IF('El og plugin hybrid'!G$29="ja",G199,0)</f>
        <v>0</v>
      </c>
      <c r="H38" s="147"/>
      <c r="I38" s="147">
        <f>I37+I16+I61+IF($B38='El og plugin hybrid'!$E66,'El og plugin hybrid'!#REF!,0)+IF('El og plugin hybrid'!I$29="ja",I199,0)</f>
        <v>0</v>
      </c>
      <c r="J38" s="147"/>
      <c r="K38" s="147">
        <f>K37+K16+K61+IF($B38='El og plugin hybrid'!$E66,'El og plugin hybrid'!#REF!,0)+IF('El og plugin hybrid'!K$29="ja",K199,0)</f>
        <v>0</v>
      </c>
      <c r="L38" s="147"/>
      <c r="M38" s="147">
        <f>M37+M16+M61+IF($B38='El og plugin hybrid'!$E66,'El og plugin hybrid'!#REF!,0)+IF('El og plugin hybrid'!M$29="ja",M199,0)</f>
        <v>0</v>
      </c>
      <c r="N38" s="147"/>
      <c r="O38" s="147">
        <f>O37+O16+O61+IF($B38='El og plugin hybrid'!$E66,'El og plugin hybrid'!#REF!,0)+IF('El og plugin hybrid'!O$29="ja",O199,0)</f>
        <v>0</v>
      </c>
      <c r="P38" s="147"/>
      <c r="Q38" s="147">
        <f>Q37+Q16+Q61+IF($B38='El og plugin hybrid'!$E66,'El og plugin hybrid'!#REF!,0)+IF('El og plugin hybrid'!Q$29="ja",Q199,0)</f>
        <v>0</v>
      </c>
      <c r="R38" s="147"/>
      <c r="S38" s="147">
        <f>S37+S16+S61+IF($B38='El og plugin hybrid'!$E66,'El og plugin hybrid'!#REF!,0)+IF('El og plugin hybrid'!S$29="ja",S199,0)</f>
        <v>0</v>
      </c>
      <c r="U38" s="147">
        <f>U37+U16+U61+IF($B38='El og plugin hybrid'!$E66,'El og plugin hybrid'!#REF!,0)+IF('El og plugin hybrid'!U$29="ja",U199,0)</f>
        <v>0</v>
      </c>
      <c r="W38" s="147">
        <f>W37+W16+W61+IF($B38='El og plugin hybrid'!$E66,'El og plugin hybrid'!#REF!,0)+IF('El og plugin hybrid'!W$29="ja",W199,0)</f>
        <v>0</v>
      </c>
      <c r="Z38" s="246" t="str">
        <f>IF('El og plugin hybrid'!$E$55&gt;=B37,B37,"")</f>
        <v/>
      </c>
    </row>
    <row r="39" spans="1:26">
      <c r="A39" s="3"/>
      <c r="B39" s="5">
        <v>14</v>
      </c>
      <c r="C39" s="3"/>
      <c r="D39" s="3"/>
      <c r="E39" s="147">
        <f>E38+E17+E62+IF($B39='El og plugin hybrid'!$E67,'El og plugin hybrid'!#REF!,0)+IF('El og plugin hybrid'!E$29="ja",E200,0)</f>
        <v>0</v>
      </c>
      <c r="F39" s="147"/>
      <c r="G39" s="147">
        <f>G38+G17+G62+IF($B39='El og plugin hybrid'!$E67,'El og plugin hybrid'!#REF!,0)+IF('El og plugin hybrid'!G$29="ja",G200,0)</f>
        <v>0</v>
      </c>
      <c r="H39" s="147"/>
      <c r="I39" s="147">
        <f>I38+I17+I62+IF($B39='El og plugin hybrid'!$E67,'El og plugin hybrid'!#REF!,0)+IF('El og plugin hybrid'!I$29="ja",I200,0)</f>
        <v>0</v>
      </c>
      <c r="J39" s="147"/>
      <c r="K39" s="147">
        <f>K38+K17+K62+IF($B39='El og plugin hybrid'!$E67,'El og plugin hybrid'!#REF!,0)+IF('El og plugin hybrid'!K$29="ja",K200,0)</f>
        <v>0</v>
      </c>
      <c r="L39" s="147"/>
      <c r="M39" s="147">
        <f>M38+M17+M62+IF($B39='El og plugin hybrid'!$E67,'El og plugin hybrid'!#REF!,0)+IF('El og plugin hybrid'!M$29="ja",M200,0)</f>
        <v>0</v>
      </c>
      <c r="N39" s="147"/>
      <c r="O39" s="147">
        <f>O38+O17+O62+IF($B39='El og plugin hybrid'!$E67,'El og plugin hybrid'!#REF!,0)+IF('El og plugin hybrid'!O$29="ja",O200,0)</f>
        <v>0</v>
      </c>
      <c r="P39" s="147"/>
      <c r="Q39" s="147">
        <f>Q38+Q17+Q62+IF($B39='El og plugin hybrid'!$E67,'El og plugin hybrid'!#REF!,0)+IF('El og plugin hybrid'!Q$29="ja",Q200,0)</f>
        <v>0</v>
      </c>
      <c r="R39" s="147"/>
      <c r="S39" s="147">
        <f>S38+S17+S62+IF($B39='El og plugin hybrid'!$E67,'El og plugin hybrid'!#REF!,0)+IF('El og plugin hybrid'!S$29="ja",S200,0)</f>
        <v>0</v>
      </c>
      <c r="U39" s="147">
        <f>U38+U17+U62+IF($B39='El og plugin hybrid'!$E67,'El og plugin hybrid'!#REF!,0)+IF('El og plugin hybrid'!U$29="ja",U200,0)</f>
        <v>0</v>
      </c>
      <c r="W39" s="147">
        <f>W38+W17+W62+IF($B39='El og plugin hybrid'!$E67,'El og plugin hybrid'!#REF!,0)+IF('El og plugin hybrid'!W$29="ja",W200,0)</f>
        <v>0</v>
      </c>
      <c r="Z39" s="246" t="str">
        <f>IF('El og plugin hybrid'!$E$55&gt;=B38,B38,"")</f>
        <v/>
      </c>
    </row>
    <row r="40" spans="1:26">
      <c r="A40" s="3"/>
      <c r="B40" s="5">
        <v>15</v>
      </c>
      <c r="C40" s="3"/>
      <c r="D40" s="3"/>
      <c r="E40" s="147">
        <f>E39+E18+E63+IF($B40='El og plugin hybrid'!$E68,'El og plugin hybrid'!#REF!,0)+IF('El og plugin hybrid'!E$29="ja",E201,0)</f>
        <v>0</v>
      </c>
      <c r="F40" s="147"/>
      <c r="G40" s="147">
        <f>G39+G18+G63+IF($B40='El og plugin hybrid'!$E68,'El og plugin hybrid'!#REF!,0)+IF('El og plugin hybrid'!G$29="ja",G201,0)</f>
        <v>0</v>
      </c>
      <c r="H40" s="147"/>
      <c r="I40" s="147">
        <f>I39+I18+I63+IF($B40='El og plugin hybrid'!$E68,'El og plugin hybrid'!#REF!,0)+IF('El og plugin hybrid'!I$29="ja",I201,0)</f>
        <v>0</v>
      </c>
      <c r="J40" s="147"/>
      <c r="K40" s="147">
        <f>K39+K18+K63+IF($B40='El og plugin hybrid'!$E68,'El og plugin hybrid'!#REF!,0)+IF('El og plugin hybrid'!K$29="ja",K201,0)</f>
        <v>0</v>
      </c>
      <c r="L40" s="147"/>
      <c r="M40" s="147">
        <f>M39+M18+M63+IF($B40='El og plugin hybrid'!$E68,'El og plugin hybrid'!#REF!,0)+IF('El og plugin hybrid'!M$29="ja",M201,0)</f>
        <v>0</v>
      </c>
      <c r="N40" s="147"/>
      <c r="O40" s="147">
        <f>O39+O18+O63+IF($B40='El og plugin hybrid'!$E68,'El og plugin hybrid'!#REF!,0)+IF('El og plugin hybrid'!O$29="ja",O201,0)</f>
        <v>0</v>
      </c>
      <c r="P40" s="147"/>
      <c r="Q40" s="147">
        <f>Q39+Q18+Q63+IF($B40='El og plugin hybrid'!$E68,'El og plugin hybrid'!#REF!,0)+IF('El og plugin hybrid'!Q$29="ja",Q201,0)</f>
        <v>0</v>
      </c>
      <c r="R40" s="147"/>
      <c r="S40" s="147">
        <f>S39+S18+S63+IF($B40='El og plugin hybrid'!$E68,'El og plugin hybrid'!#REF!,0)+IF('El og plugin hybrid'!S$29="ja",S201,0)</f>
        <v>0</v>
      </c>
      <c r="U40" s="147">
        <f>U39+U18+U63+IF($B40='El og plugin hybrid'!$E68,'El og plugin hybrid'!#REF!,0)+IF('El og plugin hybrid'!U$29="ja",U201,0)</f>
        <v>0</v>
      </c>
      <c r="W40" s="147">
        <f>W39+W18+W63+IF($B40='El og plugin hybrid'!$E68,'El og plugin hybrid'!#REF!,0)+IF('El og plugin hybrid'!W$29="ja",W201,0)</f>
        <v>0</v>
      </c>
      <c r="Z40" s="246" t="str">
        <f>IF('El og plugin hybrid'!$E$55&gt;=B39,B39,"")</f>
        <v/>
      </c>
    </row>
    <row r="41" spans="1:26">
      <c r="A41" s="3"/>
      <c r="B41" s="5">
        <v>16</v>
      </c>
      <c r="C41" s="3"/>
      <c r="D41" s="3"/>
      <c r="E41" s="147">
        <f>E40+E19+E64+IF($B41='El og plugin hybrid'!$E69,'El og plugin hybrid'!#REF!,0)+IF('El og plugin hybrid'!E$29="ja",E202,0)</f>
        <v>0</v>
      </c>
      <c r="F41" s="147"/>
      <c r="G41" s="147">
        <f>G40+G19+G64+IF($B41='El og plugin hybrid'!$E69,'El og plugin hybrid'!#REF!,0)+IF('El og plugin hybrid'!G$29="ja",G202,0)</f>
        <v>0</v>
      </c>
      <c r="H41" s="147"/>
      <c r="I41" s="147">
        <f>I40+I19+I64+IF($B41='El og plugin hybrid'!$E69,'El og plugin hybrid'!#REF!,0)+IF('El og plugin hybrid'!I$29="ja",I202,0)</f>
        <v>0</v>
      </c>
      <c r="J41" s="147"/>
      <c r="K41" s="147">
        <f>K40+K19+K64+IF($B41='El og plugin hybrid'!$E69,'El og plugin hybrid'!#REF!,0)+IF('El og plugin hybrid'!K$29="ja",K202,0)</f>
        <v>0</v>
      </c>
      <c r="L41" s="147"/>
      <c r="M41" s="147">
        <f>M40+M19+M64+IF($B41='El og plugin hybrid'!$E69,'El og plugin hybrid'!#REF!,0)+IF('El og plugin hybrid'!M$29="ja",M202,0)</f>
        <v>0</v>
      </c>
      <c r="N41" s="147"/>
      <c r="O41" s="147">
        <f>O40+O19+O64+IF($B41='El og plugin hybrid'!$E69,'El og plugin hybrid'!#REF!,0)+IF('El og plugin hybrid'!O$29="ja",O202,0)</f>
        <v>0</v>
      </c>
      <c r="P41" s="147"/>
      <c r="Q41" s="147">
        <f>Q40+Q19+Q64+IF($B41='El og plugin hybrid'!$E69,'El og plugin hybrid'!#REF!,0)+IF('El og plugin hybrid'!Q$29="ja",Q202,0)</f>
        <v>0</v>
      </c>
      <c r="R41" s="147"/>
      <c r="S41" s="147">
        <f>S40+S19+S64+IF($B41='El og plugin hybrid'!$E69,'El og plugin hybrid'!#REF!,0)+IF('El og plugin hybrid'!S$29="ja",S202,0)</f>
        <v>0</v>
      </c>
      <c r="U41" s="147">
        <f>U40+U19+U64+IF($B41='El og plugin hybrid'!$E69,'El og plugin hybrid'!#REF!,0)+IF('El og plugin hybrid'!U$29="ja",U202,0)</f>
        <v>0</v>
      </c>
      <c r="W41" s="147">
        <f>W40+W19+W64+IF($B41='El og plugin hybrid'!$E69,'El og plugin hybrid'!#REF!,0)+IF('El og plugin hybrid'!W$29="ja",W202,0)</f>
        <v>0</v>
      </c>
      <c r="Z41" s="246" t="str">
        <f>IF('El og plugin hybrid'!$E$55&gt;=B40,B40,"")</f>
        <v/>
      </c>
    </row>
    <row r="42" spans="1:26">
      <c r="A42" s="3"/>
      <c r="B42" s="5">
        <v>17</v>
      </c>
      <c r="C42" s="3"/>
      <c r="D42" s="3"/>
      <c r="E42" s="147">
        <f>E41+E20+E65+IF($B42='El og plugin hybrid'!$E70,'El og plugin hybrid'!#REF!,0)+IF('El og plugin hybrid'!E$29="ja",E203,0)</f>
        <v>0</v>
      </c>
      <c r="F42" s="147"/>
      <c r="G42" s="147">
        <f>G41+G20+G65+IF($B42='El og plugin hybrid'!$E70,'El og plugin hybrid'!#REF!,0)+IF('El og plugin hybrid'!G$29="ja",G203,0)</f>
        <v>0</v>
      </c>
      <c r="H42" s="147"/>
      <c r="I42" s="147">
        <f>I41+I20+I65+IF($B42='El og plugin hybrid'!$E70,'El og plugin hybrid'!#REF!,0)+IF('El og plugin hybrid'!I$29="ja",I203,0)</f>
        <v>0</v>
      </c>
      <c r="J42" s="147"/>
      <c r="K42" s="147">
        <f>K41+K20+K65+IF($B42='El og plugin hybrid'!$E70,'El og plugin hybrid'!#REF!,0)+IF('El og plugin hybrid'!K$29="ja",K203,0)</f>
        <v>0</v>
      </c>
      <c r="L42" s="147"/>
      <c r="M42" s="147">
        <f>M41+M20+M65+IF($B42='El og plugin hybrid'!$E70,'El og plugin hybrid'!#REF!,0)+IF('El og plugin hybrid'!M$29="ja",M203,0)</f>
        <v>0</v>
      </c>
      <c r="N42" s="147"/>
      <c r="O42" s="147">
        <f>O41+O20+O65+IF($B42='El og plugin hybrid'!$E70,'El og plugin hybrid'!#REF!,0)+IF('El og plugin hybrid'!O$29="ja",O203,0)</f>
        <v>0</v>
      </c>
      <c r="P42" s="147"/>
      <c r="Q42" s="147">
        <f>Q41+Q20+Q65+IF($B42='El og plugin hybrid'!$E70,'El og plugin hybrid'!#REF!,0)+IF('El og plugin hybrid'!Q$29="ja",Q203,0)</f>
        <v>0</v>
      </c>
      <c r="R42" s="147"/>
      <c r="S42" s="147">
        <f>S41+S20+S65+IF($B42='El og plugin hybrid'!$E70,'El og plugin hybrid'!#REF!,0)+IF('El og plugin hybrid'!S$29="ja",S203,0)</f>
        <v>0</v>
      </c>
      <c r="U42" s="147">
        <f>U41+U20+U65+IF($B42='El og plugin hybrid'!$E70,'El og plugin hybrid'!#REF!,0)+IF('El og plugin hybrid'!U$29="ja",U203,0)</f>
        <v>0</v>
      </c>
      <c r="W42" s="147">
        <f>W41+W20+W65+IF($B42='El og plugin hybrid'!$E70,'El og plugin hybrid'!#REF!,0)+IF('El og plugin hybrid'!W$29="ja",W203,0)</f>
        <v>0</v>
      </c>
      <c r="Z42" s="246" t="str">
        <f>IF('El og plugin hybrid'!$E$55&gt;=B41,B41,"")</f>
        <v/>
      </c>
    </row>
    <row r="43" spans="1:26">
      <c r="A43" s="3"/>
      <c r="B43" s="5">
        <v>18</v>
      </c>
      <c r="C43" s="3"/>
      <c r="D43" s="3"/>
      <c r="E43" s="147">
        <f>E42+E21+E66+IF($B43='El og plugin hybrid'!$E71,'El og plugin hybrid'!#REF!,0)+IF('El og plugin hybrid'!E$29="ja",E204,0)</f>
        <v>0</v>
      </c>
      <c r="F43" s="147"/>
      <c r="G43" s="147">
        <f>G42+G21+G66+IF($B43='El og plugin hybrid'!$E71,'El og plugin hybrid'!#REF!,0)+IF('El og plugin hybrid'!G$29="ja",G204,0)</f>
        <v>0</v>
      </c>
      <c r="H43" s="147"/>
      <c r="I43" s="147">
        <f>I42+I21+I66+IF($B43='El og plugin hybrid'!$E71,'El og plugin hybrid'!#REF!,0)+IF('El og plugin hybrid'!I$29="ja",I204,0)</f>
        <v>0</v>
      </c>
      <c r="J43" s="147"/>
      <c r="K43" s="147">
        <f>K42+K21+K66+IF($B43='El og plugin hybrid'!$E71,'El og plugin hybrid'!#REF!,0)+IF('El og plugin hybrid'!K$29="ja",K204,0)</f>
        <v>0</v>
      </c>
      <c r="L43" s="147"/>
      <c r="M43" s="147">
        <f>M42+M21+M66+IF($B43='El og plugin hybrid'!$E71,'El og plugin hybrid'!#REF!,0)+IF('El og plugin hybrid'!M$29="ja",M204,0)</f>
        <v>0</v>
      </c>
      <c r="N43" s="147"/>
      <c r="O43" s="147">
        <f>O42+O21+O66+IF($B43='El og plugin hybrid'!$E71,'El og plugin hybrid'!#REF!,0)+IF('El og plugin hybrid'!O$29="ja",O204,0)</f>
        <v>0</v>
      </c>
      <c r="P43" s="147"/>
      <c r="Q43" s="147">
        <f>Q42+Q21+Q66+IF($B43='El og plugin hybrid'!$E71,'El og plugin hybrid'!#REF!,0)+IF('El og plugin hybrid'!Q$29="ja",Q204,0)</f>
        <v>0</v>
      </c>
      <c r="R43" s="147"/>
      <c r="S43" s="147">
        <f>S42+S21+S66+IF($B43='El og plugin hybrid'!$E71,'El og plugin hybrid'!#REF!,0)+IF('El og plugin hybrid'!S$29="ja",S204,0)</f>
        <v>0</v>
      </c>
      <c r="U43" s="147">
        <f>U42+U21+U66+IF($B43='El og plugin hybrid'!$E71,'El og plugin hybrid'!#REF!,0)+IF('El og plugin hybrid'!U$29="ja",U204,0)</f>
        <v>0</v>
      </c>
      <c r="W43" s="147">
        <f>W42+W21+W66+IF($B43='El og plugin hybrid'!$E71,'El og plugin hybrid'!#REF!,0)+IF('El og plugin hybrid'!W$29="ja",W204,0)</f>
        <v>0</v>
      </c>
      <c r="Z43" s="246" t="str">
        <f>IF('El og plugin hybrid'!$E$55&gt;=B42,B42,"")</f>
        <v/>
      </c>
    </row>
    <row r="44" spans="1:26">
      <c r="A44" s="3"/>
      <c r="B44" s="5">
        <v>19</v>
      </c>
      <c r="C44" s="3"/>
      <c r="D44" s="3"/>
      <c r="E44" s="147">
        <f>E43+E22+E67+IF($B44='El og plugin hybrid'!$E72,'El og plugin hybrid'!#REF!,0)+IF('El og plugin hybrid'!E$29="ja",E205,0)</f>
        <v>0</v>
      </c>
      <c r="F44" s="147"/>
      <c r="G44" s="147">
        <f>G43+G22+G67+IF($B44='El og plugin hybrid'!$E72,'El og plugin hybrid'!#REF!,0)+IF('El og plugin hybrid'!G$29="ja",G205,0)</f>
        <v>0</v>
      </c>
      <c r="H44" s="147"/>
      <c r="I44" s="147">
        <f>I43+I22+I67+IF($B44='El og plugin hybrid'!$E72,'El og plugin hybrid'!#REF!,0)+IF('El og plugin hybrid'!I$29="ja",I205,0)</f>
        <v>0</v>
      </c>
      <c r="J44" s="147"/>
      <c r="K44" s="147">
        <f>K43+K22+K67+IF($B44='El og plugin hybrid'!$E72,'El og plugin hybrid'!#REF!,0)+IF('El og plugin hybrid'!K$29="ja",K205,0)</f>
        <v>0</v>
      </c>
      <c r="L44" s="147"/>
      <c r="M44" s="147">
        <f>M43+M22+M67+IF($B44='El og plugin hybrid'!$E72,'El og plugin hybrid'!#REF!,0)+IF('El og plugin hybrid'!M$29="ja",M205,0)</f>
        <v>0</v>
      </c>
      <c r="N44" s="147"/>
      <c r="O44" s="147">
        <f>O43+O22+O67+IF($B44='El og plugin hybrid'!$E72,'El og plugin hybrid'!#REF!,0)+IF('El og plugin hybrid'!O$29="ja",O205,0)</f>
        <v>0</v>
      </c>
      <c r="P44" s="147"/>
      <c r="Q44" s="147">
        <f>Q43+Q22+Q67+IF($B44='El og plugin hybrid'!$E72,'El og plugin hybrid'!#REF!,0)+IF('El og plugin hybrid'!Q$29="ja",Q205,0)</f>
        <v>0</v>
      </c>
      <c r="R44" s="147"/>
      <c r="S44" s="147">
        <f>S43+S22+S67+IF($B44='El og plugin hybrid'!$E72,'El og plugin hybrid'!#REF!,0)+IF('El og plugin hybrid'!S$29="ja",S205,0)</f>
        <v>0</v>
      </c>
      <c r="U44" s="147">
        <f>U43+U22+U67+IF($B44='El og plugin hybrid'!$E72,'El og plugin hybrid'!#REF!,0)+IF('El og plugin hybrid'!U$29="ja",U205,0)</f>
        <v>0</v>
      </c>
      <c r="W44" s="147">
        <f>W43+W22+W67+IF($B44='El og plugin hybrid'!$E72,'El og plugin hybrid'!#REF!,0)+IF('El og plugin hybrid'!W$29="ja",W205,0)</f>
        <v>0</v>
      </c>
      <c r="Z44" s="246" t="str">
        <f>IF('El og plugin hybrid'!$E$55&gt;=B43,B43,"")</f>
        <v/>
      </c>
    </row>
    <row r="45" spans="1:26">
      <c r="B45" s="5">
        <v>20</v>
      </c>
      <c r="C45" s="3"/>
      <c r="D45" s="3"/>
      <c r="E45" s="147">
        <f>E44+E23+E68+IF($B45='El og plugin hybrid'!$E73,'El og plugin hybrid'!#REF!,0)+IF('El og plugin hybrid'!E$29="ja",E206,0)</f>
        <v>0</v>
      </c>
      <c r="F45" s="147"/>
      <c r="G45" s="147">
        <f>G44+G23+G68+IF($B45='El og plugin hybrid'!$E73,'El og plugin hybrid'!#REF!,0)+IF('El og plugin hybrid'!G$29="ja",G206,0)</f>
        <v>0</v>
      </c>
      <c r="H45" s="147"/>
      <c r="I45" s="147">
        <f>I44+I23+I68+IF($B45='El og plugin hybrid'!$E73,'El og plugin hybrid'!#REF!,0)+IF('El og plugin hybrid'!I$29="ja",I206,0)</f>
        <v>0</v>
      </c>
      <c r="J45" s="147"/>
      <c r="K45" s="147">
        <f>K44+K23+K68+IF($B45='El og plugin hybrid'!$E73,'El og plugin hybrid'!#REF!,0)+IF('El og plugin hybrid'!K$29="ja",K206,0)</f>
        <v>0</v>
      </c>
      <c r="L45" s="147"/>
      <c r="M45" s="147">
        <f>M44+M23+M68+IF($B45='El og plugin hybrid'!$E73,'El og plugin hybrid'!#REF!,0)+IF('El og plugin hybrid'!M$29="ja",M206,0)</f>
        <v>0</v>
      </c>
      <c r="N45" s="147"/>
      <c r="O45" s="147">
        <f>O44+O23+O68+IF($B45='El og plugin hybrid'!$E73,'El og plugin hybrid'!#REF!,0)+IF('El og plugin hybrid'!O$29="ja",O206,0)</f>
        <v>0</v>
      </c>
      <c r="P45" s="147"/>
      <c r="Q45" s="147">
        <f>Q44+Q23+Q68+IF($B45='El og plugin hybrid'!$E73,'El og plugin hybrid'!#REF!,0)+IF('El og plugin hybrid'!Q$29="ja",Q206,0)</f>
        <v>0</v>
      </c>
      <c r="R45" s="147"/>
      <c r="S45" s="147">
        <f>S44+S23+S68+IF($B45='El og plugin hybrid'!$E73,'El og plugin hybrid'!#REF!,0)+IF('El og plugin hybrid'!S$29="ja",S206,0)</f>
        <v>0</v>
      </c>
      <c r="U45" s="147">
        <f>U44+U23+U68+IF($B45='El og plugin hybrid'!$E73,'El og plugin hybrid'!#REF!,0)+IF('El og plugin hybrid'!U$29="ja",U206,0)</f>
        <v>0</v>
      </c>
      <c r="W45" s="147">
        <f>W44+W23+W68+IF($B45='El og plugin hybrid'!$E73,'El og plugin hybrid'!#REF!,0)+IF('El og plugin hybrid'!W$29="ja",W206,0)</f>
        <v>0</v>
      </c>
      <c r="Z45" s="246" t="str">
        <f>IF('El og plugin hybrid'!$E$55&gt;=B44,B44,"")</f>
        <v/>
      </c>
    </row>
    <row r="46" spans="1:26">
      <c r="B46" s="5"/>
      <c r="C46" s="3"/>
      <c r="D46" s="3"/>
      <c r="E46" s="147"/>
      <c r="F46" s="147"/>
      <c r="G46" s="147"/>
      <c r="H46" s="147"/>
      <c r="I46" s="147"/>
      <c r="J46" s="148"/>
      <c r="K46" s="148"/>
      <c r="L46" s="148"/>
      <c r="M46" s="148"/>
      <c r="N46" s="148"/>
      <c r="O46" s="148"/>
      <c r="P46" s="148"/>
      <c r="Q46" s="148"/>
      <c r="R46" s="148"/>
      <c r="S46" s="148"/>
      <c r="U46" s="148"/>
      <c r="W46" s="148"/>
      <c r="Z46" s="247" t="str">
        <f>IF('El og plugin hybrid'!$E$55&gt;=B45,B45,"")</f>
        <v/>
      </c>
    </row>
    <row r="47" spans="1:26">
      <c r="A47" s="136" t="s">
        <v>24</v>
      </c>
      <c r="B47"/>
      <c r="C47"/>
      <c r="D47"/>
      <c r="E47"/>
      <c r="F47"/>
      <c r="G47"/>
      <c r="H47"/>
      <c r="I47"/>
      <c r="J47"/>
      <c r="K47"/>
      <c r="L47"/>
      <c r="M47"/>
      <c r="N47"/>
      <c r="O47"/>
      <c r="P47"/>
      <c r="Q47"/>
      <c r="R47"/>
      <c r="S47"/>
      <c r="U47"/>
      <c r="W47"/>
    </row>
    <row r="48" spans="1:26" ht="57">
      <c r="A48"/>
      <c r="B48" s="137" t="s">
        <v>20</v>
      </c>
      <c r="C48" s="138" t="s">
        <v>27</v>
      </c>
      <c r="D48"/>
      <c r="E48" s="499" t="str">
        <f>E25</f>
        <v>PRODUKT 1 EL</v>
      </c>
      <c r="F48"/>
      <c r="G48" s="499" t="str">
        <f>G25</f>
        <v>PRODUKT 2 EL</v>
      </c>
      <c r="H48"/>
      <c r="I48" s="499" t="str">
        <f>I25</f>
        <v>PRODUKT 3 EL</v>
      </c>
      <c r="J48"/>
      <c r="K48" s="499" t="str">
        <f>K25</f>
        <v>PRODUKT 4 EL</v>
      </c>
      <c r="L48"/>
      <c r="M48" s="499" t="str">
        <f>M25</f>
        <v>PRODUKT 5 EL</v>
      </c>
      <c r="N48"/>
      <c r="O48" s="499" t="str">
        <f>O25</f>
        <v>PRODUKT 6 EL</v>
      </c>
      <c r="P48"/>
      <c r="Q48" s="499" t="str">
        <f>Q25</f>
        <v>PRODUKT 7 EL</v>
      </c>
      <c r="R48"/>
      <c r="S48" s="499" t="str">
        <f>S25</f>
        <v>PRODUKT 8 EL</v>
      </c>
      <c r="U48" s="499" t="str">
        <f>U25</f>
        <v>PRODUKT 9 EL</v>
      </c>
      <c r="W48" s="499" t="str">
        <f>W25</f>
        <v>PRODUKT 10 EL</v>
      </c>
    </row>
    <row r="49" spans="1:23">
      <c r="A49"/>
      <c r="B49" s="139">
        <v>1</v>
      </c>
      <c r="C49" s="140">
        <f>B49</f>
        <v>1</v>
      </c>
      <c r="D49"/>
      <c r="E49" s="242">
        <f>(IF($B49&lt;='El og plugin hybrid'!E$55,'El og plugin hybrid'!E$18+'El og plugin hybrid'!E$19+'El og plugin hybrid'!E$86+'El og plugin hybrid'!E$87,0)*'El og plugin hybrid'!E$55*(1+'El og plugin hybrid'!E$56)^-$B49)</f>
        <v>0</v>
      </c>
      <c r="F49" s="242"/>
      <c r="G49" s="242">
        <f>(IF($B49&lt;='El og plugin hybrid'!G$55,'El og plugin hybrid'!G$18+'El og plugin hybrid'!G$19+'El og plugin hybrid'!G$86+'El og plugin hybrid'!G$87,0)*'El og plugin hybrid'!G$55*(1+'El og plugin hybrid'!G$56)^-$B49)</f>
        <v>0</v>
      </c>
      <c r="H49" s="242"/>
      <c r="I49" s="242">
        <f>(IF($B49&lt;='El og plugin hybrid'!I$55,'El og plugin hybrid'!I$18+'El og plugin hybrid'!I$19+'El og plugin hybrid'!I$86+'El og plugin hybrid'!I$87,0)*'El og plugin hybrid'!I$55*(1+'El og plugin hybrid'!I$56)^-$B49)</f>
        <v>0</v>
      </c>
      <c r="J49" s="242"/>
      <c r="K49" s="242">
        <f>(IF($B49&lt;='El og plugin hybrid'!K$55,'El og plugin hybrid'!K$18+'El og plugin hybrid'!K$19+'El og plugin hybrid'!K$86+'El og plugin hybrid'!K$87,0)*'El og plugin hybrid'!K$55*(1+'El og plugin hybrid'!K$56)^-$B49)</f>
        <v>0</v>
      </c>
      <c r="L49" s="242"/>
      <c r="M49" s="242">
        <f>(IF($B49&lt;='El og plugin hybrid'!M$55,'El og plugin hybrid'!M$18+'El og plugin hybrid'!M$19+'El og plugin hybrid'!M$86+'El og plugin hybrid'!M$87,0)*'El og plugin hybrid'!M$55*(1+'El og plugin hybrid'!M$56)^-$B49)</f>
        <v>0</v>
      </c>
      <c r="N49" s="242"/>
      <c r="O49" s="242">
        <f>(IF($B49&lt;='El og plugin hybrid'!O$55,'El og plugin hybrid'!O$18+'El og plugin hybrid'!O$19+'El og plugin hybrid'!O$86+'El og plugin hybrid'!O$87,0)*'El og plugin hybrid'!O$55*(1+'El og plugin hybrid'!O$56)^-$B49)</f>
        <v>0</v>
      </c>
      <c r="P49" s="242"/>
      <c r="Q49" s="242">
        <f>(IF($B49&lt;='El og plugin hybrid'!Q$55,'El og plugin hybrid'!Q$18+'El og plugin hybrid'!Q$19+'El og plugin hybrid'!Q$86+'El og plugin hybrid'!Q$87,0)*'El og plugin hybrid'!Q$55*(1+'El og plugin hybrid'!Q$56)^-$B49)</f>
        <v>0</v>
      </c>
      <c r="R49" s="242"/>
      <c r="S49" s="242">
        <f>(IF($B49&lt;='El og plugin hybrid'!S$55,'El og plugin hybrid'!S$18+'El og plugin hybrid'!S$19+'El og plugin hybrid'!S$86+'El og plugin hybrid'!S$87,0)*'El og plugin hybrid'!S$55*(1+'El og plugin hybrid'!S$56)^-$B49)</f>
        <v>0</v>
      </c>
      <c r="U49" s="242">
        <f>(IF($B49&lt;='El og plugin hybrid'!U$55,'El og plugin hybrid'!U$18+'El og plugin hybrid'!U$19+'El og plugin hybrid'!U$86+'El og plugin hybrid'!U$87,0)*'El og plugin hybrid'!U$55*(1+'El og plugin hybrid'!U$56)^-$B49)</f>
        <v>0</v>
      </c>
      <c r="W49" s="242">
        <f>(IF($B49&lt;='El og plugin hybrid'!W$55,'El og plugin hybrid'!W$18+'El og plugin hybrid'!W$19+'El og plugin hybrid'!W$86+'El og plugin hybrid'!W$87,0)*'El og plugin hybrid'!W$55*(1+'El og plugin hybrid'!W$56)^-$B49)</f>
        <v>0</v>
      </c>
    </row>
    <row r="50" spans="1:23">
      <c r="A50"/>
      <c r="B50" s="139">
        <v>2</v>
      </c>
      <c r="C50" s="140">
        <f t="shared" ref="C50:C68" si="3">B50</f>
        <v>2</v>
      </c>
      <c r="D50"/>
      <c r="E50" s="242">
        <f>(IF($B50&lt;='El og plugin hybrid'!E$55,'El og plugin hybrid'!E$18+'El og plugin hybrid'!E$19+'El og plugin hybrid'!E$86+'El og plugin hybrid'!E$87,0)*'El og plugin hybrid'!E$55*(1+'El og plugin hybrid'!E$56)^-$B50)</f>
        <v>0</v>
      </c>
      <c r="F50" s="242"/>
      <c r="G50" s="242">
        <f>(IF($B50&lt;='El og plugin hybrid'!G$55,'El og plugin hybrid'!G$18+'El og plugin hybrid'!G$19+'El og plugin hybrid'!G$86+'El og plugin hybrid'!G$87,0)*'El og plugin hybrid'!G$55*(1+'El og plugin hybrid'!G$56)^-$B50)</f>
        <v>0</v>
      </c>
      <c r="H50" s="242"/>
      <c r="I50" s="242">
        <f>(IF($B50&lt;='El og plugin hybrid'!I$55,'El og plugin hybrid'!I$18+'El og plugin hybrid'!I$19+'El og plugin hybrid'!I$86+'El og plugin hybrid'!I$87,0)*'El og plugin hybrid'!I$55*(1+'El og plugin hybrid'!I$56)^-$B50)</f>
        <v>0</v>
      </c>
      <c r="J50" s="242"/>
      <c r="K50" s="242">
        <f>(IF($B50&lt;='El og plugin hybrid'!K$55,'El og plugin hybrid'!K$18+'El og plugin hybrid'!K$19+'El og plugin hybrid'!K$86+'El og plugin hybrid'!K$87,0)*'El og plugin hybrid'!K$55*(1+'El og plugin hybrid'!K$56)^-$B50)</f>
        <v>0</v>
      </c>
      <c r="L50" s="242"/>
      <c r="M50" s="242">
        <f>(IF($B50&lt;='El og plugin hybrid'!M$55,'El og plugin hybrid'!M$18+'El og plugin hybrid'!M$19+'El og plugin hybrid'!M$86+'El og plugin hybrid'!M$87,0)*'El og plugin hybrid'!M$55*(1+'El og plugin hybrid'!M$56)^-$B50)</f>
        <v>0</v>
      </c>
      <c r="N50" s="242"/>
      <c r="O50" s="242">
        <f>(IF($B50&lt;='El og plugin hybrid'!O$55,'El og plugin hybrid'!O$18+'El og plugin hybrid'!O$19+'El og plugin hybrid'!O$86+'El og plugin hybrid'!O$87,0)*'El og plugin hybrid'!O$55*(1+'El og plugin hybrid'!O$56)^-$B50)</f>
        <v>0</v>
      </c>
      <c r="P50" s="242"/>
      <c r="Q50" s="242">
        <f>(IF($B50&lt;='El og plugin hybrid'!Q$55,'El og plugin hybrid'!Q$18+'El og plugin hybrid'!Q$19+'El og plugin hybrid'!Q$86+'El og plugin hybrid'!Q$87,0)*'El og plugin hybrid'!Q$55*(1+'El og plugin hybrid'!Q$56)^-$B50)</f>
        <v>0</v>
      </c>
      <c r="R50" s="242"/>
      <c r="S50" s="242">
        <f>(IF($B50&lt;='El og plugin hybrid'!S$55,'El og plugin hybrid'!S$18+'El og plugin hybrid'!S$19+'El og plugin hybrid'!S$86+'El og plugin hybrid'!S$87,0)*'El og plugin hybrid'!S$55*(1+'El og plugin hybrid'!S$56)^-$B50)</f>
        <v>0</v>
      </c>
      <c r="U50" s="242">
        <f>(IF($B50&lt;='El og plugin hybrid'!U$55,'El og plugin hybrid'!U$18+'El og plugin hybrid'!U$19+'El og plugin hybrid'!U$86+'El og plugin hybrid'!U$87,0)*'El og plugin hybrid'!U$55*(1+'El og plugin hybrid'!U$56)^-$B50)</f>
        <v>0</v>
      </c>
      <c r="W50" s="242">
        <f>(IF($B50&lt;='El og plugin hybrid'!W$55,'El og plugin hybrid'!W$18+'El og plugin hybrid'!W$19+'El og plugin hybrid'!W$86+'El og plugin hybrid'!W$87,0)*'El og plugin hybrid'!W$55*(1+'El og plugin hybrid'!W$56)^-$B50)</f>
        <v>0</v>
      </c>
    </row>
    <row r="51" spans="1:23">
      <c r="A51"/>
      <c r="B51" s="139">
        <v>3</v>
      </c>
      <c r="C51" s="140">
        <f t="shared" si="3"/>
        <v>3</v>
      </c>
      <c r="D51"/>
      <c r="E51" s="242">
        <f>(IF($B51&lt;='El og plugin hybrid'!E$55,'El og plugin hybrid'!E$18+'El og plugin hybrid'!E$19+'El og plugin hybrid'!E$86+'El og plugin hybrid'!E$87,0)*'El og plugin hybrid'!E$55*(1+'El og plugin hybrid'!E$56)^-$B51)</f>
        <v>0</v>
      </c>
      <c r="F51" s="242"/>
      <c r="G51" s="242">
        <f>(IF($B51&lt;='El og plugin hybrid'!G$55,'El og plugin hybrid'!G$18+'El og plugin hybrid'!G$19+'El og plugin hybrid'!G$86+'El og plugin hybrid'!G$87,0)*'El og plugin hybrid'!G$55*(1+'El og plugin hybrid'!G$56)^-$B51)</f>
        <v>0</v>
      </c>
      <c r="H51" s="242"/>
      <c r="I51" s="242">
        <f>(IF($B51&lt;='El og plugin hybrid'!I$55,'El og plugin hybrid'!I$18+'El og plugin hybrid'!I$19+'El og plugin hybrid'!I$86+'El og plugin hybrid'!I$87,0)*'El og plugin hybrid'!I$55*(1+'El og plugin hybrid'!I$56)^-$B51)</f>
        <v>0</v>
      </c>
      <c r="J51" s="242"/>
      <c r="K51" s="242">
        <f>(IF($B51&lt;='El og plugin hybrid'!K$55,'El og plugin hybrid'!K$18+'El og plugin hybrid'!K$19+'El og plugin hybrid'!K$86+'El og plugin hybrid'!K$87,0)*'El og plugin hybrid'!K$55*(1+'El og plugin hybrid'!K$56)^-$B51)</f>
        <v>0</v>
      </c>
      <c r="L51" s="242"/>
      <c r="M51" s="242">
        <f>(IF($B51&lt;='El og plugin hybrid'!M$55,'El og plugin hybrid'!M$18+'El og plugin hybrid'!M$19+'El og plugin hybrid'!M$86+'El og plugin hybrid'!M$87,0)*'El og plugin hybrid'!M$55*(1+'El og plugin hybrid'!M$56)^-$B51)</f>
        <v>0</v>
      </c>
      <c r="N51" s="242"/>
      <c r="O51" s="242">
        <f>(IF($B51&lt;='El og plugin hybrid'!O$55,'El og plugin hybrid'!O$18+'El og plugin hybrid'!O$19+'El og plugin hybrid'!O$86+'El og plugin hybrid'!O$87,0)*'El og plugin hybrid'!O$55*(1+'El og plugin hybrid'!O$56)^-$B51)</f>
        <v>0</v>
      </c>
      <c r="P51" s="242"/>
      <c r="Q51" s="242">
        <f>(IF($B51&lt;='El og plugin hybrid'!Q$55,'El og plugin hybrid'!Q$18+'El og plugin hybrid'!Q$19+'El og plugin hybrid'!Q$86+'El og plugin hybrid'!Q$87,0)*'El og plugin hybrid'!Q$55*(1+'El og plugin hybrid'!Q$56)^-$B51)</f>
        <v>0</v>
      </c>
      <c r="R51" s="242"/>
      <c r="S51" s="242">
        <f>(IF($B51&lt;='El og plugin hybrid'!S$55,'El og plugin hybrid'!S$18+'El og plugin hybrid'!S$19+'El og plugin hybrid'!S$86+'El og plugin hybrid'!S$87,0)*'El og plugin hybrid'!S$55*(1+'El og plugin hybrid'!S$56)^-$B51)</f>
        <v>0</v>
      </c>
      <c r="U51" s="242">
        <f>(IF($B51&lt;='El og plugin hybrid'!U$55,'El og plugin hybrid'!U$18+'El og plugin hybrid'!U$19+'El og plugin hybrid'!U$86+'El og plugin hybrid'!U$87,0)*'El og plugin hybrid'!U$55*(1+'El og plugin hybrid'!U$56)^-$B51)</f>
        <v>0</v>
      </c>
      <c r="W51" s="242">
        <f>(IF($B51&lt;='El og plugin hybrid'!W$55,'El og plugin hybrid'!W$18+'El og plugin hybrid'!W$19+'El og plugin hybrid'!W$86+'El og plugin hybrid'!W$87,0)*'El og plugin hybrid'!W$55*(1+'El og plugin hybrid'!W$56)^-$B51)</f>
        <v>0</v>
      </c>
    </row>
    <row r="52" spans="1:23">
      <c r="A52"/>
      <c r="B52" s="139">
        <v>4</v>
      </c>
      <c r="C52" s="140">
        <f t="shared" si="3"/>
        <v>4</v>
      </c>
      <c r="D52"/>
      <c r="E52" s="242">
        <f>(IF($B52&lt;='El og plugin hybrid'!E$55,'El og plugin hybrid'!E$18+'El og plugin hybrid'!E$19+'El og plugin hybrid'!E$86+'El og plugin hybrid'!E$87,0)*'El og plugin hybrid'!E$55*(1+'El og plugin hybrid'!E$56)^-$B52)</f>
        <v>0</v>
      </c>
      <c r="F52" s="242"/>
      <c r="G52" s="242">
        <f>(IF($B52&lt;='El og plugin hybrid'!G$55,'El og plugin hybrid'!G$18+'El og plugin hybrid'!G$19+'El og plugin hybrid'!G$86+'El og plugin hybrid'!G$87,0)*'El og plugin hybrid'!G$55*(1+'El og plugin hybrid'!G$56)^-$B52)</f>
        <v>0</v>
      </c>
      <c r="H52" s="242"/>
      <c r="I52" s="242">
        <f>(IF($B52&lt;='El og plugin hybrid'!I$55,'El og plugin hybrid'!I$18+'El og plugin hybrid'!I$19+'El og plugin hybrid'!I$86+'El og plugin hybrid'!I$87,0)*'El og plugin hybrid'!I$55*(1+'El og plugin hybrid'!I$56)^-$B52)</f>
        <v>0</v>
      </c>
      <c r="J52" s="242"/>
      <c r="K52" s="242">
        <f>(IF($B52&lt;='El og plugin hybrid'!K$55,'El og plugin hybrid'!K$18+'El og plugin hybrid'!K$19+'El og plugin hybrid'!K$86+'El og plugin hybrid'!K$87,0)*'El og plugin hybrid'!K$55*(1+'El og plugin hybrid'!K$56)^-$B52)</f>
        <v>0</v>
      </c>
      <c r="L52" s="242"/>
      <c r="M52" s="242">
        <f>(IF($B52&lt;='El og plugin hybrid'!M$55,'El og plugin hybrid'!M$18+'El og plugin hybrid'!M$19+'El og plugin hybrid'!M$86+'El og plugin hybrid'!M$87,0)*'El og plugin hybrid'!M$55*(1+'El og plugin hybrid'!M$56)^-$B52)</f>
        <v>0</v>
      </c>
      <c r="N52" s="242"/>
      <c r="O52" s="242">
        <f>(IF($B52&lt;='El og plugin hybrid'!O$55,'El og plugin hybrid'!O$18+'El og plugin hybrid'!O$19+'El og plugin hybrid'!O$86+'El og plugin hybrid'!O$87,0)*'El og plugin hybrid'!O$55*(1+'El og plugin hybrid'!O$56)^-$B52)</f>
        <v>0</v>
      </c>
      <c r="P52" s="242"/>
      <c r="Q52" s="242">
        <f>(IF($B52&lt;='El og plugin hybrid'!Q$55,'El og plugin hybrid'!Q$18+'El og plugin hybrid'!Q$19+'El og plugin hybrid'!Q$86+'El og plugin hybrid'!Q$87,0)*'El og plugin hybrid'!Q$55*(1+'El og plugin hybrid'!Q$56)^-$B52)</f>
        <v>0</v>
      </c>
      <c r="R52" s="242"/>
      <c r="S52" s="242">
        <f>(IF($B52&lt;='El og plugin hybrid'!S$55,'El og plugin hybrid'!S$18+'El og plugin hybrid'!S$19+'El og plugin hybrid'!S$86+'El og plugin hybrid'!S$87,0)*'El og plugin hybrid'!S$55*(1+'El og plugin hybrid'!S$56)^-$B52)</f>
        <v>0</v>
      </c>
      <c r="U52" s="242">
        <f>(IF($B52&lt;='El og plugin hybrid'!U$55,'El og plugin hybrid'!U$18+'El og plugin hybrid'!U$19+'El og plugin hybrid'!U$86+'El og plugin hybrid'!U$87,0)*'El og plugin hybrid'!U$55*(1+'El og plugin hybrid'!U$56)^-$B52)</f>
        <v>0</v>
      </c>
      <c r="W52" s="242">
        <f>(IF($B52&lt;='El og plugin hybrid'!W$55,'El og plugin hybrid'!W$18+'El og plugin hybrid'!W$19+'El og plugin hybrid'!W$86+'El og plugin hybrid'!W$87,0)*'El og plugin hybrid'!W$55*(1+'El og plugin hybrid'!W$56)^-$B52)</f>
        <v>0</v>
      </c>
    </row>
    <row r="53" spans="1:23">
      <c r="A53"/>
      <c r="B53" s="139">
        <v>5</v>
      </c>
      <c r="C53" s="140">
        <f t="shared" si="3"/>
        <v>5</v>
      </c>
      <c r="D53"/>
      <c r="E53" s="242">
        <f>(IF($B53&lt;='El og plugin hybrid'!E$55,'El og plugin hybrid'!E$18+'El og plugin hybrid'!E$19+'El og plugin hybrid'!E$86+'El og plugin hybrid'!E$87,0)*'El og plugin hybrid'!E$55*(1+'El og plugin hybrid'!E$56)^-$B53)</f>
        <v>0</v>
      </c>
      <c r="F53" s="242"/>
      <c r="G53" s="242">
        <f>(IF($B53&lt;='El og plugin hybrid'!G$55,'El og plugin hybrid'!G$18+'El og plugin hybrid'!G$19+'El og plugin hybrid'!G$86+'El og plugin hybrid'!G$87,0)*'El og plugin hybrid'!G$55*(1+'El og plugin hybrid'!G$56)^-$B53)</f>
        <v>0</v>
      </c>
      <c r="H53" s="242"/>
      <c r="I53" s="242">
        <f>(IF($B53&lt;='El og plugin hybrid'!I$55,'El og plugin hybrid'!I$18+'El og plugin hybrid'!I$19+'El og plugin hybrid'!I$86+'El og plugin hybrid'!I$87,0)*'El og plugin hybrid'!I$55*(1+'El og plugin hybrid'!I$56)^-$B53)</f>
        <v>0</v>
      </c>
      <c r="J53" s="242"/>
      <c r="K53" s="242">
        <f>(IF($B53&lt;='El og plugin hybrid'!K$55,'El og plugin hybrid'!K$18+'El og plugin hybrid'!K$19+'El og plugin hybrid'!K$86+'El og plugin hybrid'!K$87,0)*'El og plugin hybrid'!K$55*(1+'El og plugin hybrid'!K$56)^-$B53)</f>
        <v>0</v>
      </c>
      <c r="L53" s="242"/>
      <c r="M53" s="242">
        <f>(IF($B53&lt;='El og plugin hybrid'!M$55,'El og plugin hybrid'!M$18+'El og plugin hybrid'!M$19+'El og plugin hybrid'!M$86+'El og plugin hybrid'!M$87,0)*'El og plugin hybrid'!M$55*(1+'El og plugin hybrid'!M$56)^-$B53)</f>
        <v>0</v>
      </c>
      <c r="N53" s="242"/>
      <c r="O53" s="242">
        <f>(IF($B53&lt;='El og plugin hybrid'!O$55,'El og plugin hybrid'!O$18+'El og plugin hybrid'!O$19+'El og plugin hybrid'!O$86+'El og plugin hybrid'!O$87,0)*'El og plugin hybrid'!O$55*(1+'El og plugin hybrid'!O$56)^-$B53)</f>
        <v>0</v>
      </c>
      <c r="P53" s="242"/>
      <c r="Q53" s="242">
        <f>(IF($B53&lt;='El og plugin hybrid'!Q$55,'El og plugin hybrid'!Q$18+'El og plugin hybrid'!Q$19+'El og plugin hybrid'!Q$86+'El og plugin hybrid'!Q$87,0)*'El og plugin hybrid'!Q$55*(1+'El og plugin hybrid'!Q$56)^-$B53)</f>
        <v>0</v>
      </c>
      <c r="R53" s="242"/>
      <c r="S53" s="242">
        <f>(IF($B53&lt;='El og plugin hybrid'!S$55,'El og plugin hybrid'!S$18+'El og plugin hybrid'!S$19+'El og plugin hybrid'!S$86+'El og plugin hybrid'!S$87,0)*'El og plugin hybrid'!S$55*(1+'El og plugin hybrid'!S$56)^-$B53)</f>
        <v>0</v>
      </c>
      <c r="U53" s="242">
        <f>(IF($B53&lt;='El og plugin hybrid'!U$55,'El og plugin hybrid'!U$18+'El og plugin hybrid'!U$19+'El og plugin hybrid'!U$86+'El og plugin hybrid'!U$87,0)*'El og plugin hybrid'!U$55*(1+'El og plugin hybrid'!U$56)^-$B53)</f>
        <v>0</v>
      </c>
      <c r="W53" s="242">
        <f>(IF($B53&lt;='El og plugin hybrid'!W$55,'El og plugin hybrid'!W$18+'El og plugin hybrid'!W$19+'El og plugin hybrid'!W$86+'El og plugin hybrid'!W$87,0)*'El og plugin hybrid'!W$55*(1+'El og plugin hybrid'!W$56)^-$B53)</f>
        <v>0</v>
      </c>
    </row>
    <row r="54" spans="1:23">
      <c r="A54"/>
      <c r="B54" s="139">
        <v>6</v>
      </c>
      <c r="C54" s="140">
        <f t="shared" si="3"/>
        <v>6</v>
      </c>
      <c r="D54"/>
      <c r="E54" s="242">
        <f>(IF($B54&lt;='El og plugin hybrid'!E$55,'El og plugin hybrid'!E$18+'El og plugin hybrid'!E$19+'El og plugin hybrid'!E$86+'El og plugin hybrid'!E$87,0)*'El og plugin hybrid'!E$55*(1+'El og plugin hybrid'!E$56)^-$B54)</f>
        <v>0</v>
      </c>
      <c r="F54" s="242"/>
      <c r="G54" s="242">
        <f>(IF($B54&lt;='El og plugin hybrid'!G$55,'El og plugin hybrid'!G$18+'El og plugin hybrid'!G$19+'El og plugin hybrid'!G$86+'El og plugin hybrid'!G$87,0)*'El og plugin hybrid'!G$55*(1+'El og plugin hybrid'!G$56)^-$B54)</f>
        <v>0</v>
      </c>
      <c r="H54" s="242"/>
      <c r="I54" s="242">
        <f>(IF($B54&lt;='El og plugin hybrid'!I$55,'El og plugin hybrid'!I$18+'El og plugin hybrid'!I$19+'El og plugin hybrid'!I$86+'El og plugin hybrid'!I$87,0)*'El og plugin hybrid'!I$55*(1+'El og plugin hybrid'!I$56)^-$B54)</f>
        <v>0</v>
      </c>
      <c r="J54" s="242"/>
      <c r="K54" s="242">
        <f>(IF($B54&lt;='El og plugin hybrid'!K$55,'El og plugin hybrid'!K$18+'El og plugin hybrid'!K$19+'El og plugin hybrid'!K$86+'El og plugin hybrid'!K$87,0)*'El og plugin hybrid'!K$55*(1+'El og plugin hybrid'!K$56)^-$B54)</f>
        <v>0</v>
      </c>
      <c r="L54" s="242"/>
      <c r="M54" s="242">
        <f>(IF($B54&lt;='El og plugin hybrid'!M$55,'El og plugin hybrid'!M$18+'El og plugin hybrid'!M$19+'El og plugin hybrid'!M$86+'El og plugin hybrid'!M$87,0)*'El og plugin hybrid'!M$55*(1+'El og plugin hybrid'!M$56)^-$B54)</f>
        <v>0</v>
      </c>
      <c r="N54" s="242"/>
      <c r="O54" s="242">
        <f>(IF($B54&lt;='El og plugin hybrid'!O$55,'El og plugin hybrid'!O$18+'El og plugin hybrid'!O$19+'El og plugin hybrid'!O$86+'El og plugin hybrid'!O$87,0)*'El og plugin hybrid'!O$55*(1+'El og plugin hybrid'!O$56)^-$B54)</f>
        <v>0</v>
      </c>
      <c r="P54" s="242"/>
      <c r="Q54" s="242">
        <f>(IF($B54&lt;='El og plugin hybrid'!Q$55,'El og plugin hybrid'!Q$18+'El og plugin hybrid'!Q$19+'El og plugin hybrid'!Q$86+'El og plugin hybrid'!Q$87,0)*'El og plugin hybrid'!Q$55*(1+'El og plugin hybrid'!Q$56)^-$B54)</f>
        <v>0</v>
      </c>
      <c r="R54" s="242"/>
      <c r="S54" s="242">
        <f>(IF($B54&lt;='El og plugin hybrid'!S$55,'El og plugin hybrid'!S$18+'El og plugin hybrid'!S$19+'El og plugin hybrid'!S$86+'El og plugin hybrid'!S$87,0)*'El og plugin hybrid'!S$55*(1+'El og plugin hybrid'!S$56)^-$B54)</f>
        <v>0</v>
      </c>
      <c r="U54" s="242">
        <f>(IF($B54&lt;='El og plugin hybrid'!U$55,'El og plugin hybrid'!U$18+'El og plugin hybrid'!U$19+'El og plugin hybrid'!U$86+'El og plugin hybrid'!U$87,0)*'El og plugin hybrid'!U$55*(1+'El og plugin hybrid'!U$56)^-$B54)</f>
        <v>0</v>
      </c>
      <c r="W54" s="242">
        <f>(IF($B54&lt;='El og plugin hybrid'!W$55,'El og plugin hybrid'!W$18+'El og plugin hybrid'!W$19+'El og plugin hybrid'!W$86+'El og plugin hybrid'!W$87,0)*'El og plugin hybrid'!W$55*(1+'El og plugin hybrid'!W$56)^-$B54)</f>
        <v>0</v>
      </c>
    </row>
    <row r="55" spans="1:23">
      <c r="A55"/>
      <c r="B55" s="139">
        <v>7</v>
      </c>
      <c r="C55" s="140">
        <f t="shared" si="3"/>
        <v>7</v>
      </c>
      <c r="D55"/>
      <c r="E55" s="242">
        <f>(IF($B55&lt;='El og plugin hybrid'!E$55,'El og plugin hybrid'!E$18+'El og plugin hybrid'!E$19+'El og plugin hybrid'!E$86+'El og plugin hybrid'!E$87,0)*'El og plugin hybrid'!E$55*(1+'El og plugin hybrid'!E$56)^-$B55)</f>
        <v>0</v>
      </c>
      <c r="F55" s="242"/>
      <c r="G55" s="242">
        <f>(IF($B55&lt;='El og plugin hybrid'!G$55,'El og plugin hybrid'!G$18+'El og plugin hybrid'!G$19+'El og plugin hybrid'!G$86+'El og plugin hybrid'!G$87,0)*'El og plugin hybrid'!G$55*(1+'El og plugin hybrid'!G$56)^-$B55)</f>
        <v>0</v>
      </c>
      <c r="H55" s="242"/>
      <c r="I55" s="242">
        <f>(IF($B55&lt;='El og plugin hybrid'!I$55,'El og plugin hybrid'!I$18+'El og plugin hybrid'!I$19+'El og plugin hybrid'!I$86+'El og plugin hybrid'!I$87,0)*'El og plugin hybrid'!I$55*(1+'El og plugin hybrid'!I$56)^-$B55)</f>
        <v>0</v>
      </c>
      <c r="J55" s="242"/>
      <c r="K55" s="242">
        <f>(IF($B55&lt;='El og plugin hybrid'!K$55,'El og plugin hybrid'!K$18+'El og plugin hybrid'!K$19+'El og plugin hybrid'!K$86+'El og plugin hybrid'!K$87,0)*'El og plugin hybrid'!K$55*(1+'El og plugin hybrid'!K$56)^-$B55)</f>
        <v>0</v>
      </c>
      <c r="L55" s="242"/>
      <c r="M55" s="242">
        <f>(IF($B55&lt;='El og plugin hybrid'!M$55,'El og plugin hybrid'!M$18+'El og plugin hybrid'!M$19+'El og plugin hybrid'!M$86+'El og plugin hybrid'!M$87,0)*'El og plugin hybrid'!M$55*(1+'El og plugin hybrid'!M$56)^-$B55)</f>
        <v>0</v>
      </c>
      <c r="N55" s="242"/>
      <c r="O55" s="242">
        <f>(IF($B55&lt;='El og plugin hybrid'!O$55,'El og plugin hybrid'!O$18+'El og plugin hybrid'!O$19+'El og plugin hybrid'!O$86+'El og plugin hybrid'!O$87,0)*'El og plugin hybrid'!O$55*(1+'El og plugin hybrid'!O$56)^-$B55)</f>
        <v>0</v>
      </c>
      <c r="P55" s="242"/>
      <c r="Q55" s="242">
        <f>(IF($B55&lt;='El og plugin hybrid'!Q$55,'El og plugin hybrid'!Q$18+'El og plugin hybrid'!Q$19+'El og plugin hybrid'!Q$86+'El og plugin hybrid'!Q$87,0)*'El og plugin hybrid'!Q$55*(1+'El og plugin hybrid'!Q$56)^-$B55)</f>
        <v>0</v>
      </c>
      <c r="R55" s="242"/>
      <c r="S55" s="242">
        <f>(IF($B55&lt;='El og plugin hybrid'!S$55,'El og plugin hybrid'!S$18+'El og plugin hybrid'!S$19+'El og plugin hybrid'!S$86+'El og plugin hybrid'!S$87,0)*'El og plugin hybrid'!S$55*(1+'El og plugin hybrid'!S$56)^-$B55)</f>
        <v>0</v>
      </c>
      <c r="U55" s="242">
        <f>(IF($B55&lt;='El og plugin hybrid'!U$55,'El og plugin hybrid'!U$18+'El og plugin hybrid'!U$19+'El og plugin hybrid'!U$86+'El og plugin hybrid'!U$87,0)*'El og plugin hybrid'!U$55*(1+'El og plugin hybrid'!U$56)^-$B55)</f>
        <v>0</v>
      </c>
      <c r="W55" s="242">
        <f>(IF($B55&lt;='El og plugin hybrid'!W$55,'El og plugin hybrid'!W$18+'El og plugin hybrid'!W$19+'El og plugin hybrid'!W$86+'El og plugin hybrid'!W$87,0)*'El og plugin hybrid'!W$55*(1+'El og plugin hybrid'!W$56)^-$B55)</f>
        <v>0</v>
      </c>
    </row>
    <row r="56" spans="1:23">
      <c r="A56"/>
      <c r="B56" s="139">
        <v>8</v>
      </c>
      <c r="C56" s="140">
        <f t="shared" si="3"/>
        <v>8</v>
      </c>
      <c r="D56"/>
      <c r="E56" s="242">
        <f>(IF($B56&lt;='El og plugin hybrid'!E$55,'El og plugin hybrid'!E$18+'El og plugin hybrid'!E$19+'El og plugin hybrid'!E$86+'El og plugin hybrid'!E$87,0)*'El og plugin hybrid'!E$55*(1+'El og plugin hybrid'!E$56)^-$B56)</f>
        <v>0</v>
      </c>
      <c r="F56" s="242"/>
      <c r="G56" s="242">
        <f>(IF($B56&lt;='El og plugin hybrid'!G$55,'El og plugin hybrid'!G$18+'El og plugin hybrid'!G$19+'El og plugin hybrid'!G$86+'El og plugin hybrid'!G$87,0)*'El og plugin hybrid'!G$55*(1+'El og plugin hybrid'!G$56)^-$B56)</f>
        <v>0</v>
      </c>
      <c r="H56" s="242"/>
      <c r="I56" s="242">
        <f>(IF($B56&lt;='El og plugin hybrid'!I$55,'El og plugin hybrid'!I$18+'El og plugin hybrid'!I$19+'El og plugin hybrid'!I$86+'El og plugin hybrid'!I$87,0)*'El og plugin hybrid'!I$55*(1+'El og plugin hybrid'!I$56)^-$B56)</f>
        <v>0</v>
      </c>
      <c r="J56" s="242"/>
      <c r="K56" s="242">
        <f>(IF($B56&lt;='El og plugin hybrid'!K$55,'El og plugin hybrid'!K$18+'El og plugin hybrid'!K$19+'El og plugin hybrid'!K$86+'El og plugin hybrid'!K$87,0)*'El og plugin hybrid'!K$55*(1+'El og plugin hybrid'!K$56)^-$B56)</f>
        <v>0</v>
      </c>
      <c r="L56" s="242"/>
      <c r="M56" s="242">
        <f>(IF($B56&lt;='El og plugin hybrid'!M$55,'El og plugin hybrid'!M$18+'El og plugin hybrid'!M$19+'El og plugin hybrid'!M$86+'El og plugin hybrid'!M$87,0)*'El og plugin hybrid'!M$55*(1+'El og plugin hybrid'!M$56)^-$B56)</f>
        <v>0</v>
      </c>
      <c r="N56" s="242"/>
      <c r="O56" s="242">
        <f>(IF($B56&lt;='El og plugin hybrid'!O$55,'El og plugin hybrid'!O$18+'El og plugin hybrid'!O$19+'El og plugin hybrid'!O$86+'El og plugin hybrid'!O$87,0)*'El og plugin hybrid'!O$55*(1+'El og plugin hybrid'!O$56)^-$B56)</f>
        <v>0</v>
      </c>
      <c r="P56" s="242"/>
      <c r="Q56" s="242">
        <f>(IF($B56&lt;='El og plugin hybrid'!Q$55,'El og plugin hybrid'!Q$18+'El og plugin hybrid'!Q$19+'El og plugin hybrid'!Q$86+'El og plugin hybrid'!Q$87,0)*'El og plugin hybrid'!Q$55*(1+'El og plugin hybrid'!Q$56)^-$B56)</f>
        <v>0</v>
      </c>
      <c r="R56" s="242"/>
      <c r="S56" s="242">
        <f>(IF($B56&lt;='El og plugin hybrid'!S$55,'El og plugin hybrid'!S$18+'El og plugin hybrid'!S$19+'El og plugin hybrid'!S$86+'El og plugin hybrid'!S$87,0)*'El og plugin hybrid'!S$55*(1+'El og plugin hybrid'!S$56)^-$B56)</f>
        <v>0</v>
      </c>
      <c r="U56" s="242">
        <f>(IF($B56&lt;='El og plugin hybrid'!U$55,'El og plugin hybrid'!U$18+'El og plugin hybrid'!U$19+'El og plugin hybrid'!U$86+'El og plugin hybrid'!U$87,0)*'El og plugin hybrid'!U$55*(1+'El og plugin hybrid'!U$56)^-$B56)</f>
        <v>0</v>
      </c>
      <c r="W56" s="242">
        <f>(IF($B56&lt;='El og plugin hybrid'!W$55,'El og plugin hybrid'!W$18+'El og plugin hybrid'!W$19+'El og plugin hybrid'!W$86+'El og plugin hybrid'!W$87,0)*'El og plugin hybrid'!W$55*(1+'El og plugin hybrid'!W$56)^-$B56)</f>
        <v>0</v>
      </c>
    </row>
    <row r="57" spans="1:23">
      <c r="A57"/>
      <c r="B57" s="139">
        <v>9</v>
      </c>
      <c r="C57" s="140">
        <f t="shared" si="3"/>
        <v>9</v>
      </c>
      <c r="D57"/>
      <c r="E57" s="242">
        <f>(IF($B57&lt;='El og plugin hybrid'!E$55,'El og plugin hybrid'!E$18+'El og plugin hybrid'!E$19+'El og plugin hybrid'!E$86+'El og plugin hybrid'!E$87,0)*'El og plugin hybrid'!E$55*(1+'El og plugin hybrid'!E$56)^-$B57)</f>
        <v>0</v>
      </c>
      <c r="F57" s="242"/>
      <c r="G57" s="242">
        <f>(IF($B57&lt;='El og plugin hybrid'!G$55,'El og plugin hybrid'!G$18+'El og plugin hybrid'!G$19+'El og plugin hybrid'!G$86+'El og plugin hybrid'!G$87,0)*'El og plugin hybrid'!G$55*(1+'El og plugin hybrid'!G$56)^-$B57)</f>
        <v>0</v>
      </c>
      <c r="H57" s="242"/>
      <c r="I57" s="242">
        <f>(IF($B57&lt;='El og plugin hybrid'!I$55,'El og plugin hybrid'!I$18+'El og plugin hybrid'!I$19+'El og plugin hybrid'!I$86+'El og plugin hybrid'!I$87,0)*'El og plugin hybrid'!I$55*(1+'El og plugin hybrid'!I$56)^-$B57)</f>
        <v>0</v>
      </c>
      <c r="J57" s="242"/>
      <c r="K57" s="242">
        <f>(IF($B57&lt;='El og plugin hybrid'!K$55,'El og plugin hybrid'!K$18+'El og plugin hybrid'!K$19+'El og plugin hybrid'!K$86+'El og plugin hybrid'!K$87,0)*'El og plugin hybrid'!K$55*(1+'El og plugin hybrid'!K$56)^-$B57)</f>
        <v>0</v>
      </c>
      <c r="L57" s="242"/>
      <c r="M57" s="242">
        <f>(IF($B57&lt;='El og plugin hybrid'!M$55,'El og plugin hybrid'!M$18+'El og plugin hybrid'!M$19+'El og plugin hybrid'!M$86+'El og plugin hybrid'!M$87,0)*'El og plugin hybrid'!M$55*(1+'El og plugin hybrid'!M$56)^-$B57)</f>
        <v>0</v>
      </c>
      <c r="N57" s="242"/>
      <c r="O57" s="242">
        <f>(IF($B57&lt;='El og plugin hybrid'!O$55,'El og plugin hybrid'!O$18+'El og plugin hybrid'!O$19+'El og plugin hybrid'!O$86+'El og plugin hybrid'!O$87,0)*'El og plugin hybrid'!O$55*(1+'El og plugin hybrid'!O$56)^-$B57)</f>
        <v>0</v>
      </c>
      <c r="P57" s="242"/>
      <c r="Q57" s="242">
        <f>(IF($B57&lt;='El og plugin hybrid'!Q$55,'El og plugin hybrid'!Q$18+'El og plugin hybrid'!Q$19+'El og plugin hybrid'!Q$86+'El og plugin hybrid'!Q$87,0)*'El og plugin hybrid'!Q$55*(1+'El og plugin hybrid'!Q$56)^-$B57)</f>
        <v>0</v>
      </c>
      <c r="R57" s="242"/>
      <c r="S57" s="242">
        <f>(IF($B57&lt;='El og plugin hybrid'!S$55,'El og plugin hybrid'!S$18+'El og plugin hybrid'!S$19+'El og plugin hybrid'!S$86+'El og plugin hybrid'!S$87,0)*'El og plugin hybrid'!S$55*(1+'El og plugin hybrid'!S$56)^-$B57)</f>
        <v>0</v>
      </c>
      <c r="U57" s="242">
        <f>(IF($B57&lt;='El og plugin hybrid'!U$55,'El og plugin hybrid'!U$18+'El og plugin hybrid'!U$19+'El og plugin hybrid'!U$86+'El og plugin hybrid'!U$87,0)*'El og plugin hybrid'!U$55*(1+'El og plugin hybrid'!U$56)^-$B57)</f>
        <v>0</v>
      </c>
      <c r="W57" s="242">
        <f>(IF($B57&lt;='El og plugin hybrid'!W$55,'El og plugin hybrid'!W$18+'El og plugin hybrid'!W$19+'El og plugin hybrid'!W$86+'El og plugin hybrid'!W$87,0)*'El og plugin hybrid'!W$55*(1+'El og plugin hybrid'!W$56)^-$B57)</f>
        <v>0</v>
      </c>
    </row>
    <row r="58" spans="1:23">
      <c r="A58"/>
      <c r="B58" s="139">
        <v>10</v>
      </c>
      <c r="C58" s="140">
        <f t="shared" si="3"/>
        <v>10</v>
      </c>
      <c r="D58"/>
      <c r="E58" s="242">
        <f>(IF($B58&lt;='El og plugin hybrid'!E$55,'El og plugin hybrid'!E$18+'El og plugin hybrid'!E$19+'El og plugin hybrid'!E$86+'El og plugin hybrid'!E$87,0)*'El og plugin hybrid'!E$55*(1+'El og plugin hybrid'!E$56)^-$B58)</f>
        <v>0</v>
      </c>
      <c r="F58" s="242"/>
      <c r="G58" s="242">
        <f>(IF($B58&lt;='El og plugin hybrid'!G$55,'El og plugin hybrid'!G$18+'El og plugin hybrid'!G$19+'El og plugin hybrid'!G$86+'El og plugin hybrid'!G$87,0)*'El og plugin hybrid'!G$55*(1+'El og plugin hybrid'!G$56)^-$B58)</f>
        <v>0</v>
      </c>
      <c r="H58" s="242"/>
      <c r="I58" s="242">
        <f>(IF($B58&lt;='El og plugin hybrid'!I$55,'El og plugin hybrid'!I$18+'El og plugin hybrid'!I$19+'El og plugin hybrid'!I$86+'El og plugin hybrid'!I$87,0)*'El og plugin hybrid'!I$55*(1+'El og plugin hybrid'!I$56)^-$B58)</f>
        <v>0</v>
      </c>
      <c r="J58" s="242"/>
      <c r="K58" s="242">
        <f>(IF($B58&lt;='El og plugin hybrid'!K$55,'El og plugin hybrid'!K$18+'El og plugin hybrid'!K$19+'El og plugin hybrid'!K$86+'El og plugin hybrid'!K$87,0)*'El og plugin hybrid'!K$55*(1+'El og plugin hybrid'!K$56)^-$B58)</f>
        <v>0</v>
      </c>
      <c r="L58" s="242"/>
      <c r="M58" s="242">
        <f>(IF($B58&lt;='El og plugin hybrid'!M$55,'El og plugin hybrid'!M$18+'El og plugin hybrid'!M$19+'El og plugin hybrid'!M$86+'El og plugin hybrid'!M$87,0)*'El og plugin hybrid'!M$55*(1+'El og plugin hybrid'!M$56)^-$B58)</f>
        <v>0</v>
      </c>
      <c r="N58" s="242"/>
      <c r="O58" s="242">
        <f>(IF($B58&lt;='El og plugin hybrid'!O$55,'El og plugin hybrid'!O$18+'El og plugin hybrid'!O$19+'El og plugin hybrid'!O$86+'El og plugin hybrid'!O$87,0)*'El og plugin hybrid'!O$55*(1+'El og plugin hybrid'!O$56)^-$B58)</f>
        <v>0</v>
      </c>
      <c r="P58" s="242"/>
      <c r="Q58" s="242">
        <f>(IF($B58&lt;='El og plugin hybrid'!Q$55,'El og plugin hybrid'!Q$18+'El og plugin hybrid'!Q$19+'El og plugin hybrid'!Q$86+'El og plugin hybrid'!Q$87,0)*'El og plugin hybrid'!Q$55*(1+'El og plugin hybrid'!Q$56)^-$B58)</f>
        <v>0</v>
      </c>
      <c r="R58" s="242"/>
      <c r="S58" s="242">
        <f>(IF($B58&lt;='El og plugin hybrid'!S$55,'El og plugin hybrid'!S$18+'El og plugin hybrid'!S$19+'El og plugin hybrid'!S$86+'El og plugin hybrid'!S$87,0)*'El og plugin hybrid'!S$55*(1+'El og plugin hybrid'!S$56)^-$B58)</f>
        <v>0</v>
      </c>
      <c r="U58" s="242">
        <f>(IF($B58&lt;='El og plugin hybrid'!U$55,'El og plugin hybrid'!U$18+'El og plugin hybrid'!U$19+'El og plugin hybrid'!U$86+'El og plugin hybrid'!U$87,0)*'El og plugin hybrid'!U$55*(1+'El og plugin hybrid'!U$56)^-$B58)</f>
        <v>0</v>
      </c>
      <c r="W58" s="242">
        <f>(IF($B58&lt;='El og plugin hybrid'!W$55,'El og plugin hybrid'!W$18+'El og plugin hybrid'!W$19+'El og plugin hybrid'!W$86+'El og plugin hybrid'!W$87,0)*'El og plugin hybrid'!W$55*(1+'El og plugin hybrid'!W$56)^-$B58)</f>
        <v>0</v>
      </c>
    </row>
    <row r="59" spans="1:23">
      <c r="A59"/>
      <c r="B59" s="139">
        <v>11</v>
      </c>
      <c r="C59" s="140">
        <f t="shared" si="3"/>
        <v>11</v>
      </c>
      <c r="D59"/>
      <c r="E59" s="242">
        <f>(IF($B59&lt;='El og plugin hybrid'!E$55,'El og plugin hybrid'!E$18+'El og plugin hybrid'!E$19+'El og plugin hybrid'!E$86+'El og plugin hybrid'!E$87,0)*'El og plugin hybrid'!E$55*(1+'El og plugin hybrid'!E$56)^-$B59)</f>
        <v>0</v>
      </c>
      <c r="F59" s="242"/>
      <c r="G59" s="242">
        <f>(IF($B59&lt;='El og plugin hybrid'!G$55,'El og plugin hybrid'!G$18+'El og plugin hybrid'!G$19+'El og plugin hybrid'!G$86+'El og plugin hybrid'!G$87,0)*'El og plugin hybrid'!G$55*(1+'El og plugin hybrid'!G$56)^-$B59)</f>
        <v>0</v>
      </c>
      <c r="H59" s="242"/>
      <c r="I59" s="242">
        <f>(IF($B59&lt;='El og plugin hybrid'!I$55,'El og plugin hybrid'!I$18+'El og plugin hybrid'!I$19+'El og plugin hybrid'!I$86+'El og plugin hybrid'!I$87,0)*'El og plugin hybrid'!I$55*(1+'El og plugin hybrid'!I$56)^-$B59)</f>
        <v>0</v>
      </c>
      <c r="J59" s="242"/>
      <c r="K59" s="242">
        <f>(IF($B59&lt;='El og plugin hybrid'!K$55,'El og plugin hybrid'!K$18+'El og plugin hybrid'!K$19+'El og plugin hybrid'!K$86+'El og plugin hybrid'!K$87,0)*'El og plugin hybrid'!K$55*(1+'El og plugin hybrid'!K$56)^-$B59)</f>
        <v>0</v>
      </c>
      <c r="L59" s="242"/>
      <c r="M59" s="242">
        <f>(IF($B59&lt;='El og plugin hybrid'!M$55,'El og plugin hybrid'!M$18+'El og plugin hybrid'!M$19+'El og plugin hybrid'!M$86+'El og plugin hybrid'!M$87,0)*'El og plugin hybrid'!M$55*(1+'El og plugin hybrid'!M$56)^-$B59)</f>
        <v>0</v>
      </c>
      <c r="N59" s="242"/>
      <c r="O59" s="242">
        <f>(IF($B59&lt;='El og plugin hybrid'!O$55,'El og plugin hybrid'!O$18+'El og plugin hybrid'!O$19+'El og plugin hybrid'!O$86+'El og plugin hybrid'!O$87,0)*'El og plugin hybrid'!O$55*(1+'El og plugin hybrid'!O$56)^-$B59)</f>
        <v>0</v>
      </c>
      <c r="P59" s="242"/>
      <c r="Q59" s="242">
        <f>(IF($B59&lt;='El og plugin hybrid'!Q$55,'El og plugin hybrid'!Q$18+'El og plugin hybrid'!Q$19+'El og plugin hybrid'!Q$86+'El og plugin hybrid'!Q$87,0)*'El og plugin hybrid'!Q$55*(1+'El og plugin hybrid'!Q$56)^-$B59)</f>
        <v>0</v>
      </c>
      <c r="R59" s="242"/>
      <c r="S59" s="242">
        <f>(IF($B59&lt;='El og plugin hybrid'!S$55,'El og plugin hybrid'!S$18+'El og plugin hybrid'!S$19+'El og plugin hybrid'!S$86+'El og plugin hybrid'!S$87,0)*'El og plugin hybrid'!S$55*(1+'El og plugin hybrid'!S$56)^-$B59)</f>
        <v>0</v>
      </c>
      <c r="U59" s="242">
        <f>(IF($B59&lt;='El og plugin hybrid'!U$55,'El og plugin hybrid'!U$18+'El og plugin hybrid'!U$19+'El og plugin hybrid'!U$86+'El og plugin hybrid'!U$87,0)*'El og plugin hybrid'!U$55*(1+'El og plugin hybrid'!U$56)^-$B59)</f>
        <v>0</v>
      </c>
      <c r="W59" s="242">
        <f>(IF($B59&lt;='El og plugin hybrid'!W$55,'El og plugin hybrid'!W$18+'El og plugin hybrid'!W$19+'El og plugin hybrid'!W$86+'El og plugin hybrid'!W$87,0)*'El og plugin hybrid'!W$55*(1+'El og plugin hybrid'!W$56)^-$B59)</f>
        <v>0</v>
      </c>
    </row>
    <row r="60" spans="1:23">
      <c r="A60"/>
      <c r="B60" s="139">
        <v>12</v>
      </c>
      <c r="C60" s="140">
        <f t="shared" si="3"/>
        <v>12</v>
      </c>
      <c r="D60"/>
      <c r="E60" s="242">
        <f>(IF($B60&lt;='El og plugin hybrid'!E$55,'El og plugin hybrid'!E$18+'El og plugin hybrid'!E$19+'El og plugin hybrid'!E$86+'El og plugin hybrid'!E$87,0)*'El og plugin hybrid'!E$55*(1+'El og plugin hybrid'!E$56)^-$B60)</f>
        <v>0</v>
      </c>
      <c r="F60" s="242"/>
      <c r="G60" s="242">
        <f>(IF($B60&lt;='El og plugin hybrid'!G$55,'El og plugin hybrid'!G$18+'El og plugin hybrid'!G$19+'El og plugin hybrid'!G$86+'El og plugin hybrid'!G$87,0)*'El og plugin hybrid'!G$55*(1+'El og plugin hybrid'!G$56)^-$B60)</f>
        <v>0</v>
      </c>
      <c r="H60" s="242"/>
      <c r="I60" s="242">
        <f>(IF($B60&lt;='El og plugin hybrid'!I$55,'El og plugin hybrid'!I$18+'El og plugin hybrid'!I$19+'El og plugin hybrid'!I$86+'El og plugin hybrid'!I$87,0)*'El og plugin hybrid'!I$55*(1+'El og plugin hybrid'!I$56)^-$B60)</f>
        <v>0</v>
      </c>
      <c r="J60" s="242"/>
      <c r="K60" s="242">
        <f>(IF($B60&lt;='El og plugin hybrid'!K$55,'El og plugin hybrid'!K$18+'El og plugin hybrid'!K$19+'El og plugin hybrid'!K$86+'El og plugin hybrid'!K$87,0)*'El og plugin hybrid'!K$55*(1+'El og plugin hybrid'!K$56)^-$B60)</f>
        <v>0</v>
      </c>
      <c r="L60" s="242"/>
      <c r="M60" s="242">
        <f>(IF($B60&lt;='El og plugin hybrid'!M$55,'El og plugin hybrid'!M$18+'El og plugin hybrid'!M$19+'El og plugin hybrid'!M$86+'El og plugin hybrid'!M$87,0)*'El og plugin hybrid'!M$55*(1+'El og plugin hybrid'!M$56)^-$B60)</f>
        <v>0</v>
      </c>
      <c r="N60" s="242"/>
      <c r="O60" s="242">
        <f>(IF($B60&lt;='El og plugin hybrid'!O$55,'El og plugin hybrid'!O$18+'El og plugin hybrid'!O$19+'El og plugin hybrid'!O$86+'El og plugin hybrid'!O$87,0)*'El og plugin hybrid'!O$55*(1+'El og plugin hybrid'!O$56)^-$B60)</f>
        <v>0</v>
      </c>
      <c r="P60" s="242"/>
      <c r="Q60" s="242">
        <f>(IF($B60&lt;='El og plugin hybrid'!Q$55,'El og plugin hybrid'!Q$18+'El og plugin hybrid'!Q$19+'El og plugin hybrid'!Q$86+'El og plugin hybrid'!Q$87,0)*'El og plugin hybrid'!Q$55*(1+'El og plugin hybrid'!Q$56)^-$B60)</f>
        <v>0</v>
      </c>
      <c r="R60" s="242"/>
      <c r="S60" s="242">
        <f>(IF($B60&lt;='El og plugin hybrid'!S$55,'El og plugin hybrid'!S$18+'El og plugin hybrid'!S$19+'El og plugin hybrid'!S$86+'El og plugin hybrid'!S$87,0)*'El og plugin hybrid'!S$55*(1+'El og plugin hybrid'!S$56)^-$B60)</f>
        <v>0</v>
      </c>
      <c r="U60" s="242">
        <f>(IF($B60&lt;='El og plugin hybrid'!U$55,'El og plugin hybrid'!U$18+'El og plugin hybrid'!U$19+'El og plugin hybrid'!U$86+'El og plugin hybrid'!U$87,0)*'El og plugin hybrid'!U$55*(1+'El og plugin hybrid'!U$56)^-$B60)</f>
        <v>0</v>
      </c>
      <c r="W60" s="242">
        <f>(IF($B60&lt;='El og plugin hybrid'!W$55,'El og plugin hybrid'!W$18+'El og plugin hybrid'!W$19+'El og plugin hybrid'!W$86+'El og plugin hybrid'!W$87,0)*'El og plugin hybrid'!W$55*(1+'El og plugin hybrid'!W$56)^-$B60)</f>
        <v>0</v>
      </c>
    </row>
    <row r="61" spans="1:23">
      <c r="A61"/>
      <c r="B61" s="139">
        <v>13</v>
      </c>
      <c r="C61" s="140">
        <f t="shared" si="3"/>
        <v>13</v>
      </c>
      <c r="D61"/>
      <c r="E61" s="242">
        <f>(IF($B61&lt;='El og plugin hybrid'!E$55,'El og plugin hybrid'!E$18+'El og plugin hybrid'!E$19+'El og plugin hybrid'!E$86+'El og plugin hybrid'!E$87,0)*'El og plugin hybrid'!E$55*(1+'El og plugin hybrid'!E$56)^-$B61)</f>
        <v>0</v>
      </c>
      <c r="F61" s="242"/>
      <c r="G61" s="242">
        <f>(IF($B61&lt;='El og plugin hybrid'!G$55,'El og plugin hybrid'!G$18+'El og plugin hybrid'!G$19+'El og plugin hybrid'!G$86+'El og plugin hybrid'!G$87,0)*'El og plugin hybrid'!G$55*(1+'El og plugin hybrid'!G$56)^-$B61)</f>
        <v>0</v>
      </c>
      <c r="H61" s="242"/>
      <c r="I61" s="242">
        <f>(IF($B61&lt;='El og plugin hybrid'!I$55,'El og plugin hybrid'!I$18+'El og plugin hybrid'!I$19+'El og plugin hybrid'!I$86+'El og plugin hybrid'!I$87,0)*'El og plugin hybrid'!I$55*(1+'El og plugin hybrid'!I$56)^-$B61)</f>
        <v>0</v>
      </c>
      <c r="J61" s="242"/>
      <c r="K61" s="242">
        <f>(IF($B61&lt;='El og plugin hybrid'!K$55,'El og plugin hybrid'!K$18+'El og plugin hybrid'!K$19+'El og plugin hybrid'!K$86+'El og plugin hybrid'!K$87,0)*'El og plugin hybrid'!K$55*(1+'El og plugin hybrid'!K$56)^-$B61)</f>
        <v>0</v>
      </c>
      <c r="L61" s="242"/>
      <c r="M61" s="242">
        <f>(IF($B61&lt;='El og plugin hybrid'!M$55,'El og plugin hybrid'!M$18+'El og plugin hybrid'!M$19+'El og plugin hybrid'!M$86+'El og plugin hybrid'!M$87,0)*'El og plugin hybrid'!M$55*(1+'El og plugin hybrid'!M$56)^-$B61)</f>
        <v>0</v>
      </c>
      <c r="N61" s="242"/>
      <c r="O61" s="242">
        <f>(IF($B61&lt;='El og plugin hybrid'!O$55,'El og plugin hybrid'!O$18+'El og plugin hybrid'!O$19+'El og plugin hybrid'!O$86+'El og plugin hybrid'!O$87,0)*'El og plugin hybrid'!O$55*(1+'El og plugin hybrid'!O$56)^-$B61)</f>
        <v>0</v>
      </c>
      <c r="P61" s="242"/>
      <c r="Q61" s="242">
        <f>(IF($B61&lt;='El og plugin hybrid'!Q$55,'El og plugin hybrid'!Q$18+'El og plugin hybrid'!Q$19+'El og plugin hybrid'!Q$86+'El og plugin hybrid'!Q$87,0)*'El og plugin hybrid'!Q$55*(1+'El og plugin hybrid'!Q$56)^-$B61)</f>
        <v>0</v>
      </c>
      <c r="R61" s="242"/>
      <c r="S61" s="242">
        <f>(IF($B61&lt;='El og plugin hybrid'!S$55,'El og plugin hybrid'!S$18+'El og plugin hybrid'!S$19+'El og plugin hybrid'!S$86+'El og plugin hybrid'!S$87,0)*'El og plugin hybrid'!S$55*(1+'El og plugin hybrid'!S$56)^-$B61)</f>
        <v>0</v>
      </c>
      <c r="U61" s="242">
        <f>(IF($B61&lt;='El og plugin hybrid'!U$55,'El og plugin hybrid'!U$18+'El og plugin hybrid'!U$19+'El og plugin hybrid'!U$86+'El og plugin hybrid'!U$87,0)*'El og plugin hybrid'!U$55*(1+'El og plugin hybrid'!U$56)^-$B61)</f>
        <v>0</v>
      </c>
      <c r="W61" s="242">
        <f>(IF($B61&lt;='El og plugin hybrid'!W$55,'El og plugin hybrid'!W$18+'El og plugin hybrid'!W$19+'El og plugin hybrid'!W$86+'El og plugin hybrid'!W$87,0)*'El og plugin hybrid'!W$55*(1+'El og plugin hybrid'!W$56)^-$B61)</f>
        <v>0</v>
      </c>
    </row>
    <row r="62" spans="1:23">
      <c r="A62"/>
      <c r="B62" s="139">
        <v>14</v>
      </c>
      <c r="C62" s="140">
        <f t="shared" si="3"/>
        <v>14</v>
      </c>
      <c r="D62"/>
      <c r="E62" s="242">
        <f>(IF($B62&lt;='El og plugin hybrid'!E$55,'El og plugin hybrid'!E$18+'El og plugin hybrid'!E$19+'El og plugin hybrid'!E$86+'El og plugin hybrid'!E$87,0)*'El og plugin hybrid'!E$55*(1+'El og plugin hybrid'!E$56)^-$B62)</f>
        <v>0</v>
      </c>
      <c r="F62" s="242"/>
      <c r="G62" s="242">
        <f>(IF($B62&lt;='El og plugin hybrid'!G$55,'El og plugin hybrid'!G$18+'El og plugin hybrid'!G$19+'El og plugin hybrid'!G$86+'El og plugin hybrid'!G$87,0)*'El og plugin hybrid'!G$55*(1+'El og plugin hybrid'!G$56)^-$B62)</f>
        <v>0</v>
      </c>
      <c r="H62" s="242"/>
      <c r="I62" s="242">
        <f>(IF($B62&lt;='El og plugin hybrid'!I$55,'El og plugin hybrid'!I$18+'El og plugin hybrid'!I$19+'El og plugin hybrid'!I$86+'El og plugin hybrid'!I$87,0)*'El og plugin hybrid'!I$55*(1+'El og plugin hybrid'!I$56)^-$B62)</f>
        <v>0</v>
      </c>
      <c r="J62" s="242"/>
      <c r="K62" s="242">
        <f>(IF($B62&lt;='El og plugin hybrid'!K$55,'El og plugin hybrid'!K$18+'El og plugin hybrid'!K$19+'El og plugin hybrid'!K$86+'El og plugin hybrid'!K$87,0)*'El og plugin hybrid'!K$55*(1+'El og plugin hybrid'!K$56)^-$B62)</f>
        <v>0</v>
      </c>
      <c r="L62" s="242"/>
      <c r="M62" s="242">
        <f>(IF($B62&lt;='El og plugin hybrid'!M$55,'El og plugin hybrid'!M$18+'El og plugin hybrid'!M$19+'El og plugin hybrid'!M$86+'El og plugin hybrid'!M$87,0)*'El og plugin hybrid'!M$55*(1+'El og plugin hybrid'!M$56)^-$B62)</f>
        <v>0</v>
      </c>
      <c r="N62" s="242"/>
      <c r="O62" s="242">
        <f>(IF($B62&lt;='El og plugin hybrid'!O$55,'El og plugin hybrid'!O$18+'El og plugin hybrid'!O$19+'El og plugin hybrid'!O$86+'El og plugin hybrid'!O$87,0)*'El og plugin hybrid'!O$55*(1+'El og plugin hybrid'!O$56)^-$B62)</f>
        <v>0</v>
      </c>
      <c r="P62" s="242"/>
      <c r="Q62" s="242">
        <f>(IF($B62&lt;='El og plugin hybrid'!Q$55,'El og plugin hybrid'!Q$18+'El og plugin hybrid'!Q$19+'El og plugin hybrid'!Q$86+'El og plugin hybrid'!Q$87,0)*'El og plugin hybrid'!Q$55*(1+'El og plugin hybrid'!Q$56)^-$B62)</f>
        <v>0</v>
      </c>
      <c r="R62" s="242"/>
      <c r="S62" s="242">
        <f>(IF($B62&lt;='El og plugin hybrid'!S$55,'El og plugin hybrid'!S$18+'El og plugin hybrid'!S$19+'El og plugin hybrid'!S$86+'El og plugin hybrid'!S$87,0)*'El og plugin hybrid'!S$55*(1+'El og plugin hybrid'!S$56)^-$B62)</f>
        <v>0</v>
      </c>
      <c r="U62" s="242">
        <f>(IF($B62&lt;='El og plugin hybrid'!U$55,'El og plugin hybrid'!U$18+'El og plugin hybrid'!U$19+'El og plugin hybrid'!U$86+'El og plugin hybrid'!U$87,0)*'El og plugin hybrid'!U$55*(1+'El og plugin hybrid'!U$56)^-$B62)</f>
        <v>0</v>
      </c>
      <c r="W62" s="242">
        <f>(IF($B62&lt;='El og plugin hybrid'!W$55,'El og plugin hybrid'!W$18+'El og plugin hybrid'!W$19+'El og plugin hybrid'!W$86+'El og plugin hybrid'!W$87,0)*'El og plugin hybrid'!W$55*(1+'El og plugin hybrid'!W$56)^-$B62)</f>
        <v>0</v>
      </c>
    </row>
    <row r="63" spans="1:23">
      <c r="A63"/>
      <c r="B63" s="139">
        <v>15</v>
      </c>
      <c r="C63" s="140">
        <f t="shared" si="3"/>
        <v>15</v>
      </c>
      <c r="D63"/>
      <c r="E63" s="242">
        <f>(IF($B63&lt;='El og plugin hybrid'!E$55,'El og plugin hybrid'!E$18+'El og plugin hybrid'!E$19+'El og plugin hybrid'!E$86+'El og plugin hybrid'!E$87,0)*'El og plugin hybrid'!E$55*(1+'El og plugin hybrid'!E$56)^-$B63)</f>
        <v>0</v>
      </c>
      <c r="F63" s="242"/>
      <c r="G63" s="242">
        <f>(IF($B63&lt;='El og plugin hybrid'!G$55,'El og plugin hybrid'!G$18+'El og plugin hybrid'!G$19+'El og plugin hybrid'!G$86+'El og plugin hybrid'!G$87,0)*'El og plugin hybrid'!G$55*(1+'El og plugin hybrid'!G$56)^-$B63)</f>
        <v>0</v>
      </c>
      <c r="H63" s="242"/>
      <c r="I63" s="242">
        <f>(IF($B63&lt;='El og plugin hybrid'!I$55,'El og plugin hybrid'!I$18+'El og plugin hybrid'!I$19+'El og plugin hybrid'!I$86+'El og plugin hybrid'!I$87,0)*'El og plugin hybrid'!I$55*(1+'El og plugin hybrid'!I$56)^-$B63)</f>
        <v>0</v>
      </c>
      <c r="J63" s="242"/>
      <c r="K63" s="242">
        <f>(IF($B63&lt;='El og plugin hybrid'!K$55,'El og plugin hybrid'!K$18+'El og plugin hybrid'!K$19+'El og plugin hybrid'!K$86+'El og plugin hybrid'!K$87,0)*'El og plugin hybrid'!K$55*(1+'El og plugin hybrid'!K$56)^-$B63)</f>
        <v>0</v>
      </c>
      <c r="L63" s="242"/>
      <c r="M63" s="242">
        <f>(IF($B63&lt;='El og plugin hybrid'!M$55,'El og plugin hybrid'!M$18+'El og plugin hybrid'!M$19+'El og plugin hybrid'!M$86+'El og plugin hybrid'!M$87,0)*'El og plugin hybrid'!M$55*(1+'El og plugin hybrid'!M$56)^-$B63)</f>
        <v>0</v>
      </c>
      <c r="N63" s="242"/>
      <c r="O63" s="242">
        <f>(IF($B63&lt;='El og plugin hybrid'!O$55,'El og plugin hybrid'!O$18+'El og plugin hybrid'!O$19+'El og plugin hybrid'!O$86+'El og plugin hybrid'!O$87,0)*'El og plugin hybrid'!O$55*(1+'El og plugin hybrid'!O$56)^-$B63)</f>
        <v>0</v>
      </c>
      <c r="P63" s="242"/>
      <c r="Q63" s="242">
        <f>(IF($B63&lt;='El og plugin hybrid'!Q$55,'El og plugin hybrid'!Q$18+'El og plugin hybrid'!Q$19+'El og plugin hybrid'!Q$86+'El og plugin hybrid'!Q$87,0)*'El og plugin hybrid'!Q$55*(1+'El og plugin hybrid'!Q$56)^-$B63)</f>
        <v>0</v>
      </c>
      <c r="R63" s="242"/>
      <c r="S63" s="242">
        <f>(IF($B63&lt;='El og plugin hybrid'!S$55,'El og plugin hybrid'!S$18+'El og plugin hybrid'!S$19+'El og plugin hybrid'!S$86+'El og plugin hybrid'!S$87,0)*'El og plugin hybrid'!S$55*(1+'El og plugin hybrid'!S$56)^-$B63)</f>
        <v>0</v>
      </c>
      <c r="U63" s="242">
        <f>(IF($B63&lt;='El og plugin hybrid'!U$55,'El og plugin hybrid'!U$18+'El og plugin hybrid'!U$19+'El og plugin hybrid'!U$86+'El og plugin hybrid'!U$87,0)*'El og plugin hybrid'!U$55*(1+'El og plugin hybrid'!U$56)^-$B63)</f>
        <v>0</v>
      </c>
      <c r="W63" s="242">
        <f>(IF($B63&lt;='El og plugin hybrid'!W$55,'El og plugin hybrid'!W$18+'El og plugin hybrid'!W$19+'El og plugin hybrid'!W$86+'El og plugin hybrid'!W$87,0)*'El og plugin hybrid'!W$55*(1+'El og plugin hybrid'!W$56)^-$B63)</f>
        <v>0</v>
      </c>
    </row>
    <row r="64" spans="1:23">
      <c r="A64"/>
      <c r="B64" s="139">
        <v>16</v>
      </c>
      <c r="C64" s="140">
        <f t="shared" si="3"/>
        <v>16</v>
      </c>
      <c r="D64"/>
      <c r="E64" s="242">
        <f>(IF($B64&lt;='El og plugin hybrid'!E$55,'El og plugin hybrid'!E$18+'El og plugin hybrid'!E$19+'El og plugin hybrid'!E$86+'El og plugin hybrid'!E$87,0)*'El og plugin hybrid'!E$55*(1+'El og plugin hybrid'!E$56)^-$B64)</f>
        <v>0</v>
      </c>
      <c r="F64" s="242"/>
      <c r="G64" s="242">
        <f>(IF($B64&lt;='El og plugin hybrid'!G$55,'El og plugin hybrid'!G$18+'El og plugin hybrid'!G$19+'El og plugin hybrid'!G$86+'El og plugin hybrid'!G$87,0)*'El og plugin hybrid'!G$55*(1+'El og plugin hybrid'!G$56)^-$B64)</f>
        <v>0</v>
      </c>
      <c r="H64" s="242"/>
      <c r="I64" s="242">
        <f>(IF($B64&lt;='El og plugin hybrid'!I$55,'El og plugin hybrid'!I$18+'El og plugin hybrid'!I$19+'El og plugin hybrid'!I$86+'El og plugin hybrid'!I$87,0)*'El og plugin hybrid'!I$55*(1+'El og plugin hybrid'!I$56)^-$B64)</f>
        <v>0</v>
      </c>
      <c r="J64" s="242"/>
      <c r="K64" s="242">
        <f>(IF($B64&lt;='El og plugin hybrid'!K$55,'El og plugin hybrid'!K$18+'El og plugin hybrid'!K$19+'El og plugin hybrid'!K$86+'El og plugin hybrid'!K$87,0)*'El og plugin hybrid'!K$55*(1+'El og plugin hybrid'!K$56)^-$B64)</f>
        <v>0</v>
      </c>
      <c r="L64" s="242"/>
      <c r="M64" s="242">
        <f>(IF($B64&lt;='El og plugin hybrid'!M$55,'El og plugin hybrid'!M$18+'El og plugin hybrid'!M$19+'El og plugin hybrid'!M$86+'El og plugin hybrid'!M$87,0)*'El og plugin hybrid'!M$55*(1+'El og plugin hybrid'!M$56)^-$B64)</f>
        <v>0</v>
      </c>
      <c r="N64" s="242"/>
      <c r="O64" s="242">
        <f>(IF($B64&lt;='El og plugin hybrid'!O$55,'El og plugin hybrid'!O$18+'El og plugin hybrid'!O$19+'El og plugin hybrid'!O$86+'El og plugin hybrid'!O$87,0)*'El og plugin hybrid'!O$55*(1+'El og plugin hybrid'!O$56)^-$B64)</f>
        <v>0</v>
      </c>
      <c r="P64" s="242"/>
      <c r="Q64" s="242">
        <f>(IF($B64&lt;='El og plugin hybrid'!Q$55,'El og plugin hybrid'!Q$18+'El og plugin hybrid'!Q$19+'El og plugin hybrid'!Q$86+'El og plugin hybrid'!Q$87,0)*'El og plugin hybrid'!Q$55*(1+'El og plugin hybrid'!Q$56)^-$B64)</f>
        <v>0</v>
      </c>
      <c r="R64" s="242"/>
      <c r="S64" s="242">
        <f>(IF($B64&lt;='El og plugin hybrid'!S$55,'El og plugin hybrid'!S$18+'El og plugin hybrid'!S$19+'El og plugin hybrid'!S$86+'El og plugin hybrid'!S$87,0)*'El og plugin hybrid'!S$55*(1+'El og plugin hybrid'!S$56)^-$B64)</f>
        <v>0</v>
      </c>
      <c r="U64" s="242">
        <f>(IF($B64&lt;='El og plugin hybrid'!U$55,'El og plugin hybrid'!U$18+'El og plugin hybrid'!U$19+'El og plugin hybrid'!U$86+'El og plugin hybrid'!U$87,0)*'El og plugin hybrid'!U$55*(1+'El og plugin hybrid'!U$56)^-$B64)</f>
        <v>0</v>
      </c>
      <c r="W64" s="242">
        <f>(IF($B64&lt;='El og plugin hybrid'!W$55,'El og plugin hybrid'!W$18+'El og plugin hybrid'!W$19+'El og plugin hybrid'!W$86+'El og plugin hybrid'!W$87,0)*'El og plugin hybrid'!W$55*(1+'El og plugin hybrid'!W$56)^-$B64)</f>
        <v>0</v>
      </c>
    </row>
    <row r="65" spans="1:23">
      <c r="A65"/>
      <c r="B65" s="139">
        <v>17</v>
      </c>
      <c r="C65" s="140">
        <f t="shared" si="3"/>
        <v>17</v>
      </c>
      <c r="D65"/>
      <c r="E65" s="242">
        <f>(IF($B65&lt;='El og plugin hybrid'!E$55,'El og plugin hybrid'!E$18+'El og plugin hybrid'!E$19+'El og plugin hybrid'!E$86+'El og plugin hybrid'!E$87,0)*'El og plugin hybrid'!E$55*(1+'El og plugin hybrid'!E$56)^-$B65)</f>
        <v>0</v>
      </c>
      <c r="F65" s="242"/>
      <c r="G65" s="242">
        <f>(IF($B65&lt;='El og plugin hybrid'!G$55,'El og plugin hybrid'!G$18+'El og plugin hybrid'!G$19+'El og plugin hybrid'!G$86+'El og plugin hybrid'!G$87,0)*'El og plugin hybrid'!G$55*(1+'El og plugin hybrid'!G$56)^-$B65)</f>
        <v>0</v>
      </c>
      <c r="H65" s="242"/>
      <c r="I65" s="242">
        <f>(IF($B65&lt;='El og plugin hybrid'!I$55,'El og plugin hybrid'!I$18+'El og plugin hybrid'!I$19+'El og plugin hybrid'!I$86+'El og plugin hybrid'!I$87,0)*'El og plugin hybrid'!I$55*(1+'El og plugin hybrid'!I$56)^-$B65)</f>
        <v>0</v>
      </c>
      <c r="J65" s="242"/>
      <c r="K65" s="242">
        <f>(IF($B65&lt;='El og plugin hybrid'!K$55,'El og plugin hybrid'!K$18+'El og plugin hybrid'!K$19+'El og plugin hybrid'!K$86+'El og plugin hybrid'!K$87,0)*'El og plugin hybrid'!K$55*(1+'El og plugin hybrid'!K$56)^-$B65)</f>
        <v>0</v>
      </c>
      <c r="L65" s="242"/>
      <c r="M65" s="242">
        <f>(IF($B65&lt;='El og plugin hybrid'!M$55,'El og plugin hybrid'!M$18+'El og plugin hybrid'!M$19+'El og plugin hybrid'!M$86+'El og plugin hybrid'!M$87,0)*'El og plugin hybrid'!M$55*(1+'El og plugin hybrid'!M$56)^-$B65)</f>
        <v>0</v>
      </c>
      <c r="N65" s="242"/>
      <c r="O65" s="242">
        <f>(IF($B65&lt;='El og plugin hybrid'!O$55,'El og plugin hybrid'!O$18+'El og plugin hybrid'!O$19+'El og plugin hybrid'!O$86+'El og plugin hybrid'!O$87,0)*'El og plugin hybrid'!O$55*(1+'El og plugin hybrid'!O$56)^-$B65)</f>
        <v>0</v>
      </c>
      <c r="P65" s="242"/>
      <c r="Q65" s="242">
        <f>(IF($B65&lt;='El og plugin hybrid'!Q$55,'El og plugin hybrid'!Q$18+'El og plugin hybrid'!Q$19+'El og plugin hybrid'!Q$86+'El og plugin hybrid'!Q$87,0)*'El og plugin hybrid'!Q$55*(1+'El og plugin hybrid'!Q$56)^-$B65)</f>
        <v>0</v>
      </c>
      <c r="R65" s="242"/>
      <c r="S65" s="242">
        <f>(IF($B65&lt;='El og plugin hybrid'!S$55,'El og plugin hybrid'!S$18+'El og plugin hybrid'!S$19+'El og plugin hybrid'!S$86+'El og plugin hybrid'!S$87,0)*'El og plugin hybrid'!S$55*(1+'El og plugin hybrid'!S$56)^-$B65)</f>
        <v>0</v>
      </c>
      <c r="U65" s="242">
        <f>(IF($B65&lt;='El og plugin hybrid'!U$55,'El og plugin hybrid'!U$18+'El og plugin hybrid'!U$19+'El og plugin hybrid'!U$86+'El og plugin hybrid'!U$87,0)*'El og plugin hybrid'!U$55*(1+'El og plugin hybrid'!U$56)^-$B65)</f>
        <v>0</v>
      </c>
      <c r="W65" s="242">
        <f>(IF($B65&lt;='El og plugin hybrid'!W$55,'El og plugin hybrid'!W$18+'El og plugin hybrid'!W$19+'El og plugin hybrid'!W$86+'El og plugin hybrid'!W$87,0)*'El og plugin hybrid'!W$55*(1+'El og plugin hybrid'!W$56)^-$B65)</f>
        <v>0</v>
      </c>
    </row>
    <row r="66" spans="1:23">
      <c r="A66"/>
      <c r="B66" s="139">
        <v>18</v>
      </c>
      <c r="C66" s="140">
        <f t="shared" si="3"/>
        <v>18</v>
      </c>
      <c r="D66"/>
      <c r="E66" s="242">
        <f>(IF($B66&lt;='El og plugin hybrid'!E$55,'El og plugin hybrid'!E$18+'El og plugin hybrid'!E$19+'El og plugin hybrid'!E$86+'El og plugin hybrid'!E$87,0)*'El og plugin hybrid'!E$55*(1+'El og plugin hybrid'!E$56)^-$B66)</f>
        <v>0</v>
      </c>
      <c r="F66" s="242"/>
      <c r="G66" s="242">
        <f>(IF($B66&lt;='El og plugin hybrid'!G$55,'El og plugin hybrid'!G$18+'El og plugin hybrid'!G$19+'El og plugin hybrid'!G$86+'El og plugin hybrid'!G$87,0)*'El og plugin hybrid'!G$55*(1+'El og plugin hybrid'!G$56)^-$B66)</f>
        <v>0</v>
      </c>
      <c r="H66" s="242"/>
      <c r="I66" s="242">
        <f>(IF($B66&lt;='El og plugin hybrid'!I$55,'El og plugin hybrid'!I$18+'El og plugin hybrid'!I$19+'El og plugin hybrid'!I$86+'El og plugin hybrid'!I$87,0)*'El og plugin hybrid'!I$55*(1+'El og plugin hybrid'!I$56)^-$B66)</f>
        <v>0</v>
      </c>
      <c r="J66" s="242"/>
      <c r="K66" s="242">
        <f>(IF($B66&lt;='El og plugin hybrid'!K$55,'El og plugin hybrid'!K$18+'El og plugin hybrid'!K$19+'El og plugin hybrid'!K$86+'El og plugin hybrid'!K$87,0)*'El og plugin hybrid'!K$55*(1+'El og plugin hybrid'!K$56)^-$B66)</f>
        <v>0</v>
      </c>
      <c r="L66" s="242"/>
      <c r="M66" s="242">
        <f>(IF($B66&lt;='El og plugin hybrid'!M$55,'El og plugin hybrid'!M$18+'El og plugin hybrid'!M$19+'El og plugin hybrid'!M$86+'El og plugin hybrid'!M$87,0)*'El og plugin hybrid'!M$55*(1+'El og plugin hybrid'!M$56)^-$B66)</f>
        <v>0</v>
      </c>
      <c r="N66" s="242"/>
      <c r="O66" s="242">
        <f>(IF($B66&lt;='El og plugin hybrid'!O$55,'El og plugin hybrid'!O$18+'El og plugin hybrid'!O$19+'El og plugin hybrid'!O$86+'El og plugin hybrid'!O$87,0)*'El og plugin hybrid'!O$55*(1+'El og plugin hybrid'!O$56)^-$B66)</f>
        <v>0</v>
      </c>
      <c r="P66" s="242"/>
      <c r="Q66" s="242">
        <f>(IF($B66&lt;='El og plugin hybrid'!Q$55,'El og plugin hybrid'!Q$18+'El og plugin hybrid'!Q$19+'El og plugin hybrid'!Q$86+'El og plugin hybrid'!Q$87,0)*'El og plugin hybrid'!Q$55*(1+'El og plugin hybrid'!Q$56)^-$B66)</f>
        <v>0</v>
      </c>
      <c r="R66" s="242"/>
      <c r="S66" s="242">
        <f>(IF($B66&lt;='El og plugin hybrid'!S$55,'El og plugin hybrid'!S$18+'El og plugin hybrid'!S$19+'El og plugin hybrid'!S$86+'El og plugin hybrid'!S$87,0)*'El og plugin hybrid'!S$55*(1+'El og plugin hybrid'!S$56)^-$B66)</f>
        <v>0</v>
      </c>
      <c r="U66" s="242">
        <f>(IF($B66&lt;='El og plugin hybrid'!U$55,'El og plugin hybrid'!U$18+'El og plugin hybrid'!U$19+'El og plugin hybrid'!U$86+'El og plugin hybrid'!U$87,0)*'El og plugin hybrid'!U$55*(1+'El og plugin hybrid'!U$56)^-$B66)</f>
        <v>0</v>
      </c>
      <c r="W66" s="242">
        <f>(IF($B66&lt;='El og plugin hybrid'!W$55,'El og plugin hybrid'!W$18+'El og plugin hybrid'!W$19+'El og plugin hybrid'!W$86+'El og plugin hybrid'!W$87,0)*'El og plugin hybrid'!W$55*(1+'El og plugin hybrid'!W$56)^-$B66)</f>
        <v>0</v>
      </c>
    </row>
    <row r="67" spans="1:23">
      <c r="A67"/>
      <c r="B67" s="139">
        <v>19</v>
      </c>
      <c r="C67" s="140">
        <f t="shared" si="3"/>
        <v>19</v>
      </c>
      <c r="D67"/>
      <c r="E67" s="242">
        <f>(IF($B67&lt;='El og plugin hybrid'!E$55,'El og plugin hybrid'!E$18+'El og plugin hybrid'!E$19+'El og plugin hybrid'!E$86+'El og plugin hybrid'!E$87,0)*'El og plugin hybrid'!E$55*(1+'El og plugin hybrid'!E$56)^-$B67)</f>
        <v>0</v>
      </c>
      <c r="F67" s="242"/>
      <c r="G67" s="242">
        <f>(IF($B67&lt;='El og plugin hybrid'!G$55,'El og plugin hybrid'!G$18+'El og plugin hybrid'!G$19+'El og plugin hybrid'!G$86+'El og plugin hybrid'!G$87,0)*'El og plugin hybrid'!G$55*(1+'El og plugin hybrid'!G$56)^-$B67)</f>
        <v>0</v>
      </c>
      <c r="H67" s="242"/>
      <c r="I67" s="242">
        <f>(IF($B67&lt;='El og plugin hybrid'!I$55,'El og plugin hybrid'!I$18+'El og plugin hybrid'!I$19+'El og plugin hybrid'!I$86+'El og plugin hybrid'!I$87,0)*'El og plugin hybrid'!I$55*(1+'El og plugin hybrid'!I$56)^-$B67)</f>
        <v>0</v>
      </c>
      <c r="J67" s="242"/>
      <c r="K67" s="242">
        <f>(IF($B67&lt;='El og plugin hybrid'!K$55,'El og plugin hybrid'!K$18+'El og plugin hybrid'!K$19+'El og plugin hybrid'!K$86+'El og plugin hybrid'!K$87,0)*'El og plugin hybrid'!K$55*(1+'El og plugin hybrid'!K$56)^-$B67)</f>
        <v>0</v>
      </c>
      <c r="L67" s="242"/>
      <c r="M67" s="242">
        <f>(IF($B67&lt;='El og plugin hybrid'!M$55,'El og plugin hybrid'!M$18+'El og plugin hybrid'!M$19+'El og plugin hybrid'!M$86+'El og plugin hybrid'!M$87,0)*'El og plugin hybrid'!M$55*(1+'El og plugin hybrid'!M$56)^-$B67)</f>
        <v>0</v>
      </c>
      <c r="N67" s="242"/>
      <c r="O67" s="242">
        <f>(IF($B67&lt;='El og plugin hybrid'!O$55,'El og plugin hybrid'!O$18+'El og plugin hybrid'!O$19+'El og plugin hybrid'!O$86+'El og plugin hybrid'!O$87,0)*'El og plugin hybrid'!O$55*(1+'El og plugin hybrid'!O$56)^-$B67)</f>
        <v>0</v>
      </c>
      <c r="P67" s="242"/>
      <c r="Q67" s="242">
        <f>(IF($B67&lt;='El og plugin hybrid'!Q$55,'El og plugin hybrid'!Q$18+'El og plugin hybrid'!Q$19+'El og plugin hybrid'!Q$86+'El og plugin hybrid'!Q$87,0)*'El og plugin hybrid'!Q$55*(1+'El og plugin hybrid'!Q$56)^-$B67)</f>
        <v>0</v>
      </c>
      <c r="R67" s="242"/>
      <c r="S67" s="242">
        <f>(IF($B67&lt;='El og plugin hybrid'!S$55,'El og plugin hybrid'!S$18+'El og plugin hybrid'!S$19+'El og plugin hybrid'!S$86+'El og plugin hybrid'!S$87,0)*'El og plugin hybrid'!S$55*(1+'El og plugin hybrid'!S$56)^-$B67)</f>
        <v>0</v>
      </c>
      <c r="U67" s="242">
        <f>(IF($B67&lt;='El og plugin hybrid'!U$55,'El og plugin hybrid'!U$18+'El og plugin hybrid'!U$19+'El og plugin hybrid'!U$86+'El og plugin hybrid'!U$87,0)*'El og plugin hybrid'!U$55*(1+'El og plugin hybrid'!U$56)^-$B67)</f>
        <v>0</v>
      </c>
      <c r="W67" s="242">
        <f>(IF($B67&lt;='El og plugin hybrid'!W$55,'El og plugin hybrid'!W$18+'El og plugin hybrid'!W$19+'El og plugin hybrid'!W$86+'El og plugin hybrid'!W$87,0)*'El og plugin hybrid'!W$55*(1+'El og plugin hybrid'!W$56)^-$B67)</f>
        <v>0</v>
      </c>
    </row>
    <row r="68" spans="1:23">
      <c r="A68"/>
      <c r="B68" s="139">
        <v>20</v>
      </c>
      <c r="C68" s="140">
        <f t="shared" si="3"/>
        <v>20</v>
      </c>
      <c r="D68"/>
      <c r="E68" s="242">
        <f>(IF($B68&lt;='El og plugin hybrid'!E$55,'El og plugin hybrid'!E$18+'El og plugin hybrid'!E$19+'El og plugin hybrid'!E$86+'El og plugin hybrid'!E$87,0)*'El og plugin hybrid'!E$55*(1+'El og plugin hybrid'!E$56)^-$B68)</f>
        <v>0</v>
      </c>
      <c r="F68" s="242"/>
      <c r="G68" s="242">
        <f>(IF($B68&lt;='El og plugin hybrid'!G$55,'El og plugin hybrid'!G$18+'El og plugin hybrid'!G$19+'El og plugin hybrid'!G$86+'El og plugin hybrid'!G$87,0)*'El og plugin hybrid'!G$55*(1+'El og plugin hybrid'!G$56)^-$B68)</f>
        <v>0</v>
      </c>
      <c r="H68" s="242"/>
      <c r="I68" s="242">
        <f>(IF($B68&lt;='El og plugin hybrid'!I$55,'El og plugin hybrid'!I$18+'El og plugin hybrid'!I$19+'El og plugin hybrid'!I$86+'El og plugin hybrid'!I$87,0)*'El og plugin hybrid'!I$55*(1+'El og plugin hybrid'!I$56)^-$B68)</f>
        <v>0</v>
      </c>
      <c r="J68" s="242"/>
      <c r="K68" s="242">
        <f>(IF($B68&lt;='El og plugin hybrid'!K$55,'El og plugin hybrid'!K$18+'El og plugin hybrid'!K$19+'El og plugin hybrid'!K$86+'El og plugin hybrid'!K$87,0)*'El og plugin hybrid'!K$55*(1+'El og plugin hybrid'!K$56)^-$B68)</f>
        <v>0</v>
      </c>
      <c r="L68" s="242"/>
      <c r="M68" s="242">
        <f>(IF($B68&lt;='El og plugin hybrid'!M$55,'El og plugin hybrid'!M$18+'El og plugin hybrid'!M$19+'El og plugin hybrid'!M$86+'El og plugin hybrid'!M$87,0)*'El og plugin hybrid'!M$55*(1+'El og plugin hybrid'!M$56)^-$B68)</f>
        <v>0</v>
      </c>
      <c r="N68" s="242"/>
      <c r="O68" s="242">
        <f>(IF($B68&lt;='El og plugin hybrid'!O$55,'El og plugin hybrid'!O$18+'El og plugin hybrid'!O$19+'El og plugin hybrid'!O$86+'El og plugin hybrid'!O$87,0)*'El og plugin hybrid'!O$55*(1+'El og plugin hybrid'!O$56)^-$B68)</f>
        <v>0</v>
      </c>
      <c r="P68" s="242"/>
      <c r="Q68" s="242">
        <f>(IF($B68&lt;='El og plugin hybrid'!Q$55,'El og plugin hybrid'!Q$18+'El og plugin hybrid'!Q$19+'El og plugin hybrid'!Q$86+'El og plugin hybrid'!Q$87,0)*'El og plugin hybrid'!Q$55*(1+'El og plugin hybrid'!Q$56)^-$B68)</f>
        <v>0</v>
      </c>
      <c r="R68" s="242"/>
      <c r="S68" s="242">
        <f>(IF($B68&lt;='El og plugin hybrid'!S$55,'El og plugin hybrid'!S$18+'El og plugin hybrid'!S$19+'El og plugin hybrid'!S$86+'El og plugin hybrid'!S$87,0)*'El og plugin hybrid'!S$55*(1+'El og plugin hybrid'!S$56)^-$B68)</f>
        <v>0</v>
      </c>
      <c r="U68" s="242">
        <f>(IF($B68&lt;='El og plugin hybrid'!U$55,'El og plugin hybrid'!U$18+'El og plugin hybrid'!U$19+'El og plugin hybrid'!U$86+'El og plugin hybrid'!U$87,0)*'El og plugin hybrid'!U$55*(1+'El og plugin hybrid'!U$56)^-$B68)</f>
        <v>0</v>
      </c>
      <c r="W68" s="242">
        <f>(IF($B68&lt;='El og plugin hybrid'!W$55,'El og plugin hybrid'!W$18+'El og plugin hybrid'!W$19+'El og plugin hybrid'!W$86+'El og plugin hybrid'!W$87,0)*'El og plugin hybrid'!W$55*(1+'El og plugin hybrid'!W$56)^-$B68)</f>
        <v>0</v>
      </c>
    </row>
    <row r="69" spans="1:23">
      <c r="A69"/>
      <c r="B69"/>
      <c r="C69"/>
      <c r="D69"/>
      <c r="E69"/>
      <c r="F69"/>
      <c r="G69"/>
      <c r="H69"/>
      <c r="I69"/>
      <c r="J69"/>
      <c r="K69"/>
      <c r="L69"/>
      <c r="M69"/>
      <c r="N69"/>
      <c r="O69"/>
      <c r="P69"/>
      <c r="Q69"/>
      <c r="R69"/>
      <c r="S69"/>
      <c r="U69"/>
      <c r="W69"/>
    </row>
    <row r="70" spans="1:23">
      <c r="A70"/>
      <c r="B70"/>
      <c r="C70"/>
      <c r="D70"/>
      <c r="E70"/>
      <c r="F70"/>
      <c r="G70"/>
      <c r="H70"/>
      <c r="I70"/>
      <c r="J70"/>
      <c r="K70"/>
      <c r="L70"/>
      <c r="M70"/>
      <c r="N70"/>
      <c r="O70"/>
      <c r="P70"/>
      <c r="Q70"/>
      <c r="R70"/>
      <c r="S70"/>
      <c r="U70"/>
      <c r="W70"/>
    </row>
    <row r="71" spans="1:23" hidden="1" outlineLevel="1">
      <c r="A71" s="268" t="s">
        <v>31</v>
      </c>
      <c r="B71" s="248"/>
      <c r="C71" s="248"/>
      <c r="D71" s="248"/>
      <c r="E71" s="248"/>
      <c r="F71" s="248"/>
      <c r="G71" s="248"/>
      <c r="H71" s="248"/>
      <c r="I71" s="248"/>
      <c r="J71" s="248"/>
      <c r="K71" s="248"/>
      <c r="L71" s="248"/>
      <c r="M71" s="248"/>
      <c r="N71" s="248"/>
      <c r="O71" s="248"/>
      <c r="P71" s="248"/>
      <c r="Q71" s="248"/>
      <c r="R71" s="248"/>
      <c r="S71" s="248"/>
      <c r="U71" s="248"/>
      <c r="W71" s="248"/>
    </row>
    <row r="72" spans="1:23" hidden="1" outlineLevel="1">
      <c r="A72" s="248"/>
      <c r="B72" s="269" t="s">
        <v>20</v>
      </c>
      <c r="C72" s="248"/>
      <c r="D72" s="248"/>
      <c r="E72" s="270" t="s">
        <v>6</v>
      </c>
      <c r="F72" s="270"/>
      <c r="G72" s="270" t="s">
        <v>7</v>
      </c>
      <c r="H72" s="270"/>
      <c r="I72" s="270" t="s">
        <v>8</v>
      </c>
      <c r="J72" s="270"/>
      <c r="K72" s="270" t="s">
        <v>13</v>
      </c>
      <c r="L72" s="270"/>
      <c r="M72" s="270" t="s">
        <v>12</v>
      </c>
      <c r="N72" s="270"/>
      <c r="O72" s="270" t="s">
        <v>11</v>
      </c>
      <c r="P72" s="270"/>
      <c r="Q72" s="270" t="s">
        <v>9</v>
      </c>
      <c r="R72" s="270"/>
      <c r="S72" s="270" t="s">
        <v>10</v>
      </c>
      <c r="U72" s="270" t="s">
        <v>10</v>
      </c>
      <c r="W72" s="270" t="s">
        <v>10</v>
      </c>
    </row>
    <row r="73" spans="1:23" hidden="1" outlineLevel="1">
      <c r="A73" s="248"/>
      <c r="B73" s="271">
        <v>1</v>
      </c>
      <c r="C73" s="271">
        <f>B73</f>
        <v>1</v>
      </c>
      <c r="D73" s="248"/>
      <c r="E73" s="272" t="e">
        <f>(IF('El og plugin hybrid'!#REF!="nej",-IF(100-(100+'El og plugin hybrid'!E$86)*$B73/'El og plugin hybrid'!E$55&lt;0,0,100-(100+'El og plugin hybrid'!E$86)*$B73/'El og plugin hybrid'!E$55)/100*'El og plugin hybrid'!#REF!,0)+'El og plugin hybrid'!E$87)*'El og plugin hybrid'!E$48*(1+'El og plugin hybrid'!#REF!/100)^-$B73</f>
        <v>#REF!</v>
      </c>
      <c r="F73" s="272"/>
      <c r="G73" s="272" t="e">
        <f>(IF('El og plugin hybrid'!#REF!="nej",-IF(100-(100+'El og plugin hybrid'!G$86)*$B73/'El og plugin hybrid'!G$55&lt;0,0,100-(100+'El og plugin hybrid'!G$86)*$B73/'El og plugin hybrid'!G$55)/100*'El og plugin hybrid'!#REF!,0)+'El og plugin hybrid'!G$87)*'El og plugin hybrid'!G$48*(1+'El og plugin hybrid'!#REF!/100)^-$B73</f>
        <v>#REF!</v>
      </c>
      <c r="H73" s="272"/>
      <c r="I73" s="272" t="e">
        <f>(IF('El og plugin hybrid'!#REF!="nej",-IF(100-(100+'El og plugin hybrid'!I$86)*$B73/'El og plugin hybrid'!I$55&lt;0,0,100-(100+'El og plugin hybrid'!I$86)*$B73/'El og plugin hybrid'!I$55)/100*'El og plugin hybrid'!#REF!,0)+'El og plugin hybrid'!I$87)*'El og plugin hybrid'!I$48*(1+'El og plugin hybrid'!#REF!/100)^-$B73</f>
        <v>#REF!</v>
      </c>
      <c r="J73" s="272"/>
      <c r="K73" s="272" t="e">
        <f>(IF('El og plugin hybrid'!#REF!="nej",-IF(100-(100+'El og plugin hybrid'!K$86)*$B73/'El og plugin hybrid'!K$55&lt;0,0,100-(100+'El og plugin hybrid'!K$86)*$B73/'El og plugin hybrid'!K$55)/100*'El og plugin hybrid'!#REF!,0)+'El og plugin hybrid'!K$87)*'El og plugin hybrid'!K$48*(1+'El og plugin hybrid'!#REF!/100)^-$B73</f>
        <v>#REF!</v>
      </c>
      <c r="L73" s="272"/>
      <c r="M73" s="272" t="e">
        <f>(IF('El og plugin hybrid'!#REF!="nej",-IF(100-(100+'El og plugin hybrid'!M$86)*$B73/'El og plugin hybrid'!M$55&lt;0,0,100-(100+'El og plugin hybrid'!M$86)*$B73/'El og plugin hybrid'!M$55)/100*'El og plugin hybrid'!#REF!,0)+'El og plugin hybrid'!M$87)*'El og plugin hybrid'!M$48*(1+'El og plugin hybrid'!#REF!/100)^-$B73</f>
        <v>#REF!</v>
      </c>
      <c r="N73" s="272"/>
      <c r="O73" s="272" t="e">
        <f>(IF('El og plugin hybrid'!#REF!="nej",-IF(100-(100+'El og plugin hybrid'!O$86)*$B73/'El og plugin hybrid'!O$55&lt;0,0,100-(100+'El og plugin hybrid'!O$86)*$B73/'El og plugin hybrid'!O$55)/100*'El og plugin hybrid'!#REF!,0)+'El og plugin hybrid'!O$87)*'El og plugin hybrid'!O$48*(1+'El og plugin hybrid'!#REF!/100)^-$B73</f>
        <v>#REF!</v>
      </c>
      <c r="P73" s="272"/>
      <c r="Q73" s="272" t="e">
        <f>(IF('El og plugin hybrid'!#REF!="nej",-IF(100-(100+'El og plugin hybrid'!Q$86)*$B73/'El og plugin hybrid'!Q$55&lt;0,0,100-(100+'El og plugin hybrid'!Q$86)*$B73/'El og plugin hybrid'!Q$55)/100*'El og plugin hybrid'!#REF!,0)+'El og plugin hybrid'!Q$87)*'El og plugin hybrid'!Q$48*(1+'El og plugin hybrid'!#REF!/100)^-$B73</f>
        <v>#REF!</v>
      </c>
      <c r="R73" s="272"/>
      <c r="S73" s="272" t="e">
        <f>(IF('El og plugin hybrid'!#REF!="nej",-IF(100-(100+'El og plugin hybrid'!S$86)*$B73/'El og plugin hybrid'!S$55&lt;0,0,100-(100+'El og plugin hybrid'!S$86)*$B73/'El og plugin hybrid'!S$55)/100*'El og plugin hybrid'!#REF!,0)+'El og plugin hybrid'!S$87)*'El og plugin hybrid'!S$48*(1+'El og plugin hybrid'!#REF!/100)^-$B73</f>
        <v>#REF!</v>
      </c>
      <c r="U73" s="272" t="e">
        <f>(IF('El og plugin hybrid'!#REF!="nej",-IF(100-(100+'El og plugin hybrid'!Y$86)*$B73/'El og plugin hybrid'!Y$55&lt;0,0,100-(100+'El og plugin hybrid'!Y$86)*$B73/'El og plugin hybrid'!Y$55)/100*'El og plugin hybrid'!#REF!,0)+'El og plugin hybrid'!Y$87)*'El og plugin hybrid'!Y$48*(1+'El og plugin hybrid'!#REF!/100)^-$B73</f>
        <v>#REF!</v>
      </c>
      <c r="W73" s="272" t="e">
        <f>(IF('El og plugin hybrid'!#REF!="nej",-IF(100-(100+'El og plugin hybrid'!AA$86)*$B73/'El og plugin hybrid'!AA$55&lt;0,0,100-(100+'El og plugin hybrid'!AA$86)*$B73/'El og plugin hybrid'!AA$55)/100*'El og plugin hybrid'!#REF!,0)+'El og plugin hybrid'!AA$87)*'El og plugin hybrid'!AA$48*(1+'El og plugin hybrid'!#REF!/100)^-$B73</f>
        <v>#REF!</v>
      </c>
    </row>
    <row r="74" spans="1:23" hidden="1" outlineLevel="1">
      <c r="A74" s="248"/>
      <c r="B74" s="271">
        <v>2</v>
      </c>
      <c r="C74" s="271">
        <f t="shared" ref="C74:C92" si="4">B74</f>
        <v>2</v>
      </c>
      <c r="D74" s="248"/>
      <c r="E74" s="272" t="e">
        <f>(IF('El og plugin hybrid'!#REF!="nej",-IF(100-(100+'El og plugin hybrid'!E$86)*$B74/'El og plugin hybrid'!E$55&lt;0,0,100-(100+'El og plugin hybrid'!E$86)*$B74/'El og plugin hybrid'!E$55)/100*'El og plugin hybrid'!#REF!,0)+'El og plugin hybrid'!E$87)*'El og plugin hybrid'!E$48*(1+'El og plugin hybrid'!#REF!/100)^-$B74</f>
        <v>#REF!</v>
      </c>
      <c r="F74" s="272"/>
      <c r="G74" s="272" t="e">
        <f>(IF('El og plugin hybrid'!#REF!="nej",-IF(100-(100+'El og plugin hybrid'!G$86)*$B74/'El og plugin hybrid'!G$55&lt;0,0,100-(100+'El og plugin hybrid'!G$86)*$B74/'El og plugin hybrid'!G$55)/100*'El og plugin hybrid'!#REF!,0)+'El og plugin hybrid'!G$87)*'El og plugin hybrid'!G$48*(1+'El og plugin hybrid'!#REF!/100)^-$B74</f>
        <v>#REF!</v>
      </c>
      <c r="H74" s="272"/>
      <c r="I74" s="272" t="e">
        <f>(IF('El og plugin hybrid'!#REF!="nej",-IF(100-(100+'El og plugin hybrid'!I$86)*$B74/'El og plugin hybrid'!I$55&lt;0,0,100-(100+'El og plugin hybrid'!I$86)*$B74/'El og plugin hybrid'!I$55)/100*'El og plugin hybrid'!#REF!,0)+'El og plugin hybrid'!I$87)*'El og plugin hybrid'!I$48*(1+'El og plugin hybrid'!#REF!/100)^-$B74</f>
        <v>#REF!</v>
      </c>
      <c r="J74" s="272"/>
      <c r="K74" s="272" t="e">
        <f>(IF('El og plugin hybrid'!#REF!="nej",-IF(100-(100+'El og plugin hybrid'!K$86)*$B74/'El og plugin hybrid'!K$55&lt;0,0,100-(100+'El og plugin hybrid'!K$86)*$B74/'El og plugin hybrid'!K$55)/100*'El og plugin hybrid'!#REF!,0)+'El og plugin hybrid'!K$87)*'El og plugin hybrid'!K$48*(1+'El og plugin hybrid'!#REF!/100)^-$B74</f>
        <v>#REF!</v>
      </c>
      <c r="L74" s="272"/>
      <c r="M74" s="272" t="e">
        <f>(IF('El og plugin hybrid'!#REF!="nej",-IF(100-(100+'El og plugin hybrid'!M$86)*$B74/'El og plugin hybrid'!M$55&lt;0,0,100-(100+'El og plugin hybrid'!M$86)*$B74/'El og plugin hybrid'!M$55)/100*'El og plugin hybrid'!#REF!,0)+'El og plugin hybrid'!M$87)*'El og plugin hybrid'!M$48*(1+'El og plugin hybrid'!#REF!/100)^-$B74</f>
        <v>#REF!</v>
      </c>
      <c r="N74" s="272"/>
      <c r="O74" s="272" t="e">
        <f>(IF('El og plugin hybrid'!#REF!="nej",-IF(100-(100+'El og plugin hybrid'!O$86)*$B74/'El og plugin hybrid'!O$55&lt;0,0,100-(100+'El og plugin hybrid'!O$86)*$B74/'El og plugin hybrid'!O$55)/100*'El og plugin hybrid'!#REF!,0)+'El og plugin hybrid'!O$87)*'El og plugin hybrid'!O$48*(1+'El og plugin hybrid'!#REF!/100)^-$B74</f>
        <v>#REF!</v>
      </c>
      <c r="P74" s="272"/>
      <c r="Q74" s="272" t="e">
        <f>(IF('El og plugin hybrid'!#REF!="nej",-IF(100-(100+'El og plugin hybrid'!Q$86)*$B74/'El og plugin hybrid'!Q$55&lt;0,0,100-(100+'El og plugin hybrid'!Q$86)*$B74/'El og plugin hybrid'!Q$55)/100*'El og plugin hybrid'!#REF!,0)+'El og plugin hybrid'!Q$87)*'El og plugin hybrid'!Q$48*(1+'El og plugin hybrid'!#REF!/100)^-$B74</f>
        <v>#REF!</v>
      </c>
      <c r="R74" s="272"/>
      <c r="S74" s="272" t="e">
        <f>(IF('El og plugin hybrid'!#REF!="nej",-IF(100-(100+'El og plugin hybrid'!S$86)*$B74/'El og plugin hybrid'!S$55&lt;0,0,100-(100+'El og plugin hybrid'!S$86)*$B74/'El og plugin hybrid'!S$55)/100*'El og plugin hybrid'!#REF!,0)+'El og plugin hybrid'!S$87)*'El og plugin hybrid'!S$48*(1+'El og plugin hybrid'!#REF!/100)^-$B74</f>
        <v>#REF!</v>
      </c>
      <c r="U74" s="272" t="e">
        <f>(IF('El og plugin hybrid'!#REF!="nej",-IF(100-(100+'El og plugin hybrid'!Y$86)*$B74/'El og plugin hybrid'!Y$55&lt;0,0,100-(100+'El og plugin hybrid'!Y$86)*$B74/'El og plugin hybrid'!Y$55)/100*'El og plugin hybrid'!#REF!,0)+'El og plugin hybrid'!Y$87)*'El og plugin hybrid'!Y$48*(1+'El og plugin hybrid'!#REF!/100)^-$B74</f>
        <v>#REF!</v>
      </c>
      <c r="W74" s="272" t="e">
        <f>(IF('El og plugin hybrid'!#REF!="nej",-IF(100-(100+'El og plugin hybrid'!AA$86)*$B74/'El og plugin hybrid'!AA$55&lt;0,0,100-(100+'El og plugin hybrid'!AA$86)*$B74/'El og plugin hybrid'!AA$55)/100*'El og plugin hybrid'!#REF!,0)+'El og plugin hybrid'!AA$87)*'El og plugin hybrid'!AA$48*(1+'El og plugin hybrid'!#REF!/100)^-$B74</f>
        <v>#REF!</v>
      </c>
    </row>
    <row r="75" spans="1:23" hidden="1" outlineLevel="1">
      <c r="A75" s="248"/>
      <c r="B75" s="271">
        <v>3</v>
      </c>
      <c r="C75" s="271">
        <f t="shared" si="4"/>
        <v>3</v>
      </c>
      <c r="D75" s="248"/>
      <c r="E75" s="272" t="e">
        <f>(IF('El og plugin hybrid'!#REF!="nej",-IF(100-(100+'El og plugin hybrid'!E$86)*$B75/'El og plugin hybrid'!E$55&lt;0,0,100-(100+'El og plugin hybrid'!E$86)*$B75/'El og plugin hybrid'!E$55)/100*'El og plugin hybrid'!#REF!,0)+'El og plugin hybrid'!E$87)*'El og plugin hybrid'!E$48*(1+'El og plugin hybrid'!#REF!/100)^-$B75</f>
        <v>#REF!</v>
      </c>
      <c r="F75" s="272"/>
      <c r="G75" s="272" t="e">
        <f>(IF('El og plugin hybrid'!#REF!="nej",-IF(100-(100+'El og plugin hybrid'!G$86)*$B75/'El og plugin hybrid'!G$55&lt;0,0,100-(100+'El og plugin hybrid'!G$86)*$B75/'El og plugin hybrid'!G$55)/100*'El og plugin hybrid'!#REF!,0)+'El og plugin hybrid'!G$87)*'El og plugin hybrid'!G$48*(1+'El og plugin hybrid'!#REF!/100)^-$B75</f>
        <v>#REF!</v>
      </c>
      <c r="H75" s="272"/>
      <c r="I75" s="272" t="e">
        <f>(IF('El og plugin hybrid'!#REF!="nej",-IF(100-(100+'El og plugin hybrid'!I$86)*$B75/'El og plugin hybrid'!I$55&lt;0,0,100-(100+'El og plugin hybrid'!I$86)*$B75/'El og plugin hybrid'!I$55)/100*'El og plugin hybrid'!#REF!,0)+'El og plugin hybrid'!I$87)*'El og plugin hybrid'!I$48*(1+'El og plugin hybrid'!#REF!/100)^-$B75</f>
        <v>#REF!</v>
      </c>
      <c r="J75" s="272"/>
      <c r="K75" s="272" t="e">
        <f>(IF('El og plugin hybrid'!#REF!="nej",-IF(100-(100+'El og plugin hybrid'!K$86)*$B75/'El og plugin hybrid'!K$55&lt;0,0,100-(100+'El og plugin hybrid'!K$86)*$B75/'El og plugin hybrid'!K$55)/100*'El og plugin hybrid'!#REF!,0)+'El og plugin hybrid'!K$87)*'El og plugin hybrid'!K$48*(1+'El og plugin hybrid'!#REF!/100)^-$B75</f>
        <v>#REF!</v>
      </c>
      <c r="L75" s="272"/>
      <c r="M75" s="272" t="e">
        <f>(IF('El og plugin hybrid'!#REF!="nej",-IF(100-(100+'El og plugin hybrid'!M$86)*$B75/'El og plugin hybrid'!M$55&lt;0,0,100-(100+'El og plugin hybrid'!M$86)*$B75/'El og plugin hybrid'!M$55)/100*'El og plugin hybrid'!#REF!,0)+'El og plugin hybrid'!M$87)*'El og plugin hybrid'!M$48*(1+'El og plugin hybrid'!#REF!/100)^-$B75</f>
        <v>#REF!</v>
      </c>
      <c r="N75" s="272"/>
      <c r="O75" s="272" t="e">
        <f>(IF('El og plugin hybrid'!#REF!="nej",-IF(100-(100+'El og plugin hybrid'!O$86)*$B75/'El og plugin hybrid'!O$55&lt;0,0,100-(100+'El og plugin hybrid'!O$86)*$B75/'El og plugin hybrid'!O$55)/100*'El og plugin hybrid'!#REF!,0)+'El og plugin hybrid'!O$87)*'El og plugin hybrid'!O$48*(1+'El og plugin hybrid'!#REF!/100)^-$B75</f>
        <v>#REF!</v>
      </c>
      <c r="P75" s="272"/>
      <c r="Q75" s="272" t="e">
        <f>(IF('El og plugin hybrid'!#REF!="nej",-IF(100-(100+'El og plugin hybrid'!Q$86)*$B75/'El og plugin hybrid'!Q$55&lt;0,0,100-(100+'El og plugin hybrid'!Q$86)*$B75/'El og plugin hybrid'!Q$55)/100*'El og plugin hybrid'!#REF!,0)+'El og plugin hybrid'!Q$87)*'El og plugin hybrid'!Q$48*(1+'El og plugin hybrid'!#REF!/100)^-$B75</f>
        <v>#REF!</v>
      </c>
      <c r="R75" s="272"/>
      <c r="S75" s="272" t="e">
        <f>(IF('El og plugin hybrid'!#REF!="nej",-IF(100-(100+'El og plugin hybrid'!S$86)*$B75/'El og plugin hybrid'!S$55&lt;0,0,100-(100+'El og plugin hybrid'!S$86)*$B75/'El og plugin hybrid'!S$55)/100*'El og plugin hybrid'!#REF!,0)+'El og plugin hybrid'!S$87)*'El og plugin hybrid'!S$48*(1+'El og plugin hybrid'!#REF!/100)^-$B75</f>
        <v>#REF!</v>
      </c>
      <c r="U75" s="272" t="e">
        <f>(IF('El og plugin hybrid'!#REF!="nej",-IF(100-(100+'El og plugin hybrid'!Y$86)*$B75/'El og plugin hybrid'!Y$55&lt;0,0,100-(100+'El og plugin hybrid'!Y$86)*$B75/'El og plugin hybrid'!Y$55)/100*'El og plugin hybrid'!#REF!,0)+'El og plugin hybrid'!Y$87)*'El og plugin hybrid'!Y$48*(1+'El og plugin hybrid'!#REF!/100)^-$B75</f>
        <v>#REF!</v>
      </c>
      <c r="W75" s="272" t="e">
        <f>(IF('El og plugin hybrid'!#REF!="nej",-IF(100-(100+'El og plugin hybrid'!AA$86)*$B75/'El og plugin hybrid'!AA$55&lt;0,0,100-(100+'El og plugin hybrid'!AA$86)*$B75/'El og plugin hybrid'!AA$55)/100*'El og plugin hybrid'!#REF!,0)+'El og plugin hybrid'!AA$87)*'El og plugin hybrid'!AA$48*(1+'El og plugin hybrid'!#REF!/100)^-$B75</f>
        <v>#REF!</v>
      </c>
    </row>
    <row r="76" spans="1:23" hidden="1" outlineLevel="1">
      <c r="A76" s="248"/>
      <c r="B76" s="271">
        <v>4</v>
      </c>
      <c r="C76" s="271">
        <f t="shared" si="4"/>
        <v>4</v>
      </c>
      <c r="D76" s="248"/>
      <c r="E76" s="272" t="e">
        <f>(IF('El og plugin hybrid'!#REF!="nej",-IF(100-(100+'El og plugin hybrid'!E$86)*$B76/'El og plugin hybrid'!E$55&lt;0,0,100-(100+'El og plugin hybrid'!E$86)*$B76/'El og plugin hybrid'!E$55)/100*'El og plugin hybrid'!#REF!,0)+'El og plugin hybrid'!E$87)*'El og plugin hybrid'!E$48*(1+'El og plugin hybrid'!#REF!/100)^-$B76</f>
        <v>#REF!</v>
      </c>
      <c r="F76" s="272"/>
      <c r="G76" s="272" t="e">
        <f>(IF('El og plugin hybrid'!#REF!="nej",-IF(100-(100+'El og plugin hybrid'!G$86)*$B76/'El og plugin hybrid'!G$55&lt;0,0,100-(100+'El og plugin hybrid'!G$86)*$B76/'El og plugin hybrid'!G$55)/100*'El og plugin hybrid'!#REF!,0)+'El og plugin hybrid'!G$87)*'El og plugin hybrid'!G$48*(1+'El og plugin hybrid'!#REF!/100)^-$B76</f>
        <v>#REF!</v>
      </c>
      <c r="H76" s="272"/>
      <c r="I76" s="272" t="e">
        <f>(IF('El og plugin hybrid'!#REF!="nej",-IF(100-(100+'El og plugin hybrid'!I$86)*$B76/'El og plugin hybrid'!I$55&lt;0,0,100-(100+'El og plugin hybrid'!I$86)*$B76/'El og plugin hybrid'!I$55)/100*'El og plugin hybrid'!#REF!,0)+'El og plugin hybrid'!I$87)*'El og plugin hybrid'!I$48*(1+'El og plugin hybrid'!#REF!/100)^-$B76</f>
        <v>#REF!</v>
      </c>
      <c r="J76" s="272"/>
      <c r="K76" s="272" t="e">
        <f>(IF('El og plugin hybrid'!#REF!="nej",-IF(100-(100+'El og plugin hybrid'!K$86)*$B76/'El og plugin hybrid'!K$55&lt;0,0,100-(100+'El og plugin hybrid'!K$86)*$B76/'El og plugin hybrid'!K$55)/100*'El og plugin hybrid'!#REF!,0)+'El og plugin hybrid'!K$87)*'El og plugin hybrid'!K$48*(1+'El og plugin hybrid'!#REF!/100)^-$B76</f>
        <v>#REF!</v>
      </c>
      <c r="L76" s="272"/>
      <c r="M76" s="272" t="e">
        <f>(IF('El og plugin hybrid'!#REF!="nej",-IF(100-(100+'El og plugin hybrid'!M$86)*$B76/'El og plugin hybrid'!M$55&lt;0,0,100-(100+'El og plugin hybrid'!M$86)*$B76/'El og plugin hybrid'!M$55)/100*'El og plugin hybrid'!#REF!,0)+'El og plugin hybrid'!M$87)*'El og plugin hybrid'!M$48*(1+'El og plugin hybrid'!#REF!/100)^-$B76</f>
        <v>#REF!</v>
      </c>
      <c r="N76" s="272"/>
      <c r="O76" s="272" t="e">
        <f>(IF('El og plugin hybrid'!#REF!="nej",-IF(100-(100+'El og plugin hybrid'!O$86)*$B76/'El og plugin hybrid'!O$55&lt;0,0,100-(100+'El og plugin hybrid'!O$86)*$B76/'El og plugin hybrid'!O$55)/100*'El og plugin hybrid'!#REF!,0)+'El og plugin hybrid'!O$87)*'El og plugin hybrid'!O$48*(1+'El og plugin hybrid'!#REF!/100)^-$B76</f>
        <v>#REF!</v>
      </c>
      <c r="P76" s="272"/>
      <c r="Q76" s="272" t="e">
        <f>(IF('El og plugin hybrid'!#REF!="nej",-IF(100-(100+'El og plugin hybrid'!Q$86)*$B76/'El og plugin hybrid'!Q$55&lt;0,0,100-(100+'El og plugin hybrid'!Q$86)*$B76/'El og plugin hybrid'!Q$55)/100*'El og plugin hybrid'!#REF!,0)+'El og plugin hybrid'!Q$87)*'El og plugin hybrid'!Q$48*(1+'El og plugin hybrid'!#REF!/100)^-$B76</f>
        <v>#REF!</v>
      </c>
      <c r="R76" s="272"/>
      <c r="S76" s="272" t="e">
        <f>(IF('El og plugin hybrid'!#REF!="nej",-IF(100-(100+'El og plugin hybrid'!S$86)*$B76/'El og plugin hybrid'!S$55&lt;0,0,100-(100+'El og plugin hybrid'!S$86)*$B76/'El og plugin hybrid'!S$55)/100*'El og plugin hybrid'!#REF!,0)+'El og plugin hybrid'!S$87)*'El og plugin hybrid'!S$48*(1+'El og plugin hybrid'!#REF!/100)^-$B76</f>
        <v>#REF!</v>
      </c>
      <c r="U76" s="272" t="e">
        <f>(IF('El og plugin hybrid'!#REF!="nej",-IF(100-(100+'El og plugin hybrid'!Y$86)*$B76/'El og plugin hybrid'!Y$55&lt;0,0,100-(100+'El og plugin hybrid'!Y$86)*$B76/'El og plugin hybrid'!Y$55)/100*'El og plugin hybrid'!#REF!,0)+'El og plugin hybrid'!Y$87)*'El og plugin hybrid'!Y$48*(1+'El og plugin hybrid'!#REF!/100)^-$B76</f>
        <v>#REF!</v>
      </c>
      <c r="W76" s="272" t="e">
        <f>(IF('El og plugin hybrid'!#REF!="nej",-IF(100-(100+'El og plugin hybrid'!AA$86)*$B76/'El og plugin hybrid'!AA$55&lt;0,0,100-(100+'El og plugin hybrid'!AA$86)*$B76/'El og plugin hybrid'!AA$55)/100*'El og plugin hybrid'!#REF!,0)+'El og plugin hybrid'!AA$87)*'El og plugin hybrid'!AA$48*(1+'El og plugin hybrid'!#REF!/100)^-$B76</f>
        <v>#REF!</v>
      </c>
    </row>
    <row r="77" spans="1:23" hidden="1" outlineLevel="1">
      <c r="A77" s="248"/>
      <c r="B77" s="271">
        <v>5</v>
      </c>
      <c r="C77" s="271">
        <f t="shared" si="4"/>
        <v>5</v>
      </c>
      <c r="D77" s="248"/>
      <c r="E77" s="272" t="e">
        <f>(IF('El og plugin hybrid'!#REF!="nej",-IF(100-(100+'El og plugin hybrid'!E$86)*$B77/'El og plugin hybrid'!E$55&lt;0,0,100-(100+'El og plugin hybrid'!E$86)*$B77/'El og plugin hybrid'!E$55)/100*'El og plugin hybrid'!#REF!,0)+'El og plugin hybrid'!E$87)*'El og plugin hybrid'!E$48*(1+'El og plugin hybrid'!#REF!/100)^-$B77</f>
        <v>#REF!</v>
      </c>
      <c r="F77" s="272"/>
      <c r="G77" s="272" t="e">
        <f>(IF('El og plugin hybrid'!#REF!="nej",-IF(100-(100+'El og plugin hybrid'!G$86)*$B77/'El og plugin hybrid'!G$55&lt;0,0,100-(100+'El og plugin hybrid'!G$86)*$B77/'El og plugin hybrid'!G$55)/100*'El og plugin hybrid'!#REF!,0)+'El og plugin hybrid'!G$87)*'El og plugin hybrid'!G$48*(1+'El og plugin hybrid'!#REF!/100)^-$B77</f>
        <v>#REF!</v>
      </c>
      <c r="H77" s="272"/>
      <c r="I77" s="272" t="e">
        <f>(IF('El og plugin hybrid'!#REF!="nej",-IF(100-(100+'El og plugin hybrid'!I$86)*$B77/'El og plugin hybrid'!I$55&lt;0,0,100-(100+'El og plugin hybrid'!I$86)*$B77/'El og plugin hybrid'!I$55)/100*'El og plugin hybrid'!#REF!,0)+'El og plugin hybrid'!I$87)*'El og plugin hybrid'!I$48*(1+'El og plugin hybrid'!#REF!/100)^-$B77</f>
        <v>#REF!</v>
      </c>
      <c r="J77" s="272"/>
      <c r="K77" s="272" t="e">
        <f>(IF('El og plugin hybrid'!#REF!="nej",-IF(100-(100+'El og plugin hybrid'!K$86)*$B77/'El og plugin hybrid'!K$55&lt;0,0,100-(100+'El og plugin hybrid'!K$86)*$B77/'El og plugin hybrid'!K$55)/100*'El og plugin hybrid'!#REF!,0)+'El og plugin hybrid'!K$87)*'El og plugin hybrid'!K$48*(1+'El og plugin hybrid'!#REF!/100)^-$B77</f>
        <v>#REF!</v>
      </c>
      <c r="L77" s="272"/>
      <c r="M77" s="272" t="e">
        <f>(IF('El og plugin hybrid'!#REF!="nej",-IF(100-(100+'El og plugin hybrid'!M$86)*$B77/'El og plugin hybrid'!M$55&lt;0,0,100-(100+'El og plugin hybrid'!M$86)*$B77/'El og plugin hybrid'!M$55)/100*'El og plugin hybrid'!#REF!,0)+'El og plugin hybrid'!M$87)*'El og plugin hybrid'!M$48*(1+'El og plugin hybrid'!#REF!/100)^-$B77</f>
        <v>#REF!</v>
      </c>
      <c r="N77" s="272"/>
      <c r="O77" s="272" t="e">
        <f>(IF('El og plugin hybrid'!#REF!="nej",-IF(100-(100+'El og plugin hybrid'!O$86)*$B77/'El og plugin hybrid'!O$55&lt;0,0,100-(100+'El og plugin hybrid'!O$86)*$B77/'El og plugin hybrid'!O$55)/100*'El og plugin hybrid'!#REF!,0)+'El og plugin hybrid'!O$87)*'El og plugin hybrid'!O$48*(1+'El og plugin hybrid'!#REF!/100)^-$B77</f>
        <v>#REF!</v>
      </c>
      <c r="P77" s="272"/>
      <c r="Q77" s="272" t="e">
        <f>(IF('El og plugin hybrid'!#REF!="nej",-IF(100-(100+'El og plugin hybrid'!Q$86)*$B77/'El og plugin hybrid'!Q$55&lt;0,0,100-(100+'El og plugin hybrid'!Q$86)*$B77/'El og plugin hybrid'!Q$55)/100*'El og plugin hybrid'!#REF!,0)+'El og plugin hybrid'!Q$87)*'El og plugin hybrid'!Q$48*(1+'El og plugin hybrid'!#REF!/100)^-$B77</f>
        <v>#REF!</v>
      </c>
      <c r="R77" s="272"/>
      <c r="S77" s="272" t="e">
        <f>(IF('El og plugin hybrid'!#REF!="nej",-IF(100-(100+'El og plugin hybrid'!S$86)*$B77/'El og plugin hybrid'!S$55&lt;0,0,100-(100+'El og plugin hybrid'!S$86)*$B77/'El og plugin hybrid'!S$55)/100*'El og plugin hybrid'!#REF!,0)+'El og plugin hybrid'!S$87)*'El og plugin hybrid'!S$48*(1+'El og plugin hybrid'!#REF!/100)^-$B77</f>
        <v>#REF!</v>
      </c>
      <c r="U77" s="272" t="e">
        <f>(IF('El og plugin hybrid'!#REF!="nej",-IF(100-(100+'El og plugin hybrid'!Y$86)*$B77/'El og plugin hybrid'!Y$55&lt;0,0,100-(100+'El og plugin hybrid'!Y$86)*$B77/'El og plugin hybrid'!Y$55)/100*'El og plugin hybrid'!#REF!,0)+'El og plugin hybrid'!Y$87)*'El og plugin hybrid'!Y$48*(1+'El og plugin hybrid'!#REF!/100)^-$B77</f>
        <v>#REF!</v>
      </c>
      <c r="W77" s="272" t="e">
        <f>(IF('El og plugin hybrid'!#REF!="nej",-IF(100-(100+'El og plugin hybrid'!AA$86)*$B77/'El og plugin hybrid'!AA$55&lt;0,0,100-(100+'El og plugin hybrid'!AA$86)*$B77/'El og plugin hybrid'!AA$55)/100*'El og plugin hybrid'!#REF!,0)+'El og plugin hybrid'!AA$87)*'El og plugin hybrid'!AA$48*(1+'El og plugin hybrid'!#REF!/100)^-$B77</f>
        <v>#REF!</v>
      </c>
    </row>
    <row r="78" spans="1:23" hidden="1" outlineLevel="1">
      <c r="A78" s="248"/>
      <c r="B78" s="271">
        <v>6</v>
      </c>
      <c r="C78" s="271">
        <f t="shared" si="4"/>
        <v>6</v>
      </c>
      <c r="D78" s="248"/>
      <c r="E78" s="272" t="e">
        <f>(IF('El og plugin hybrid'!#REF!="nej",-IF(100-(100+'El og plugin hybrid'!E$86)*$B78/'El og plugin hybrid'!E$55&lt;0,0,100-(100+'El og plugin hybrid'!E$86)*$B78/'El og plugin hybrid'!E$55)/100*'El og plugin hybrid'!#REF!,0)+'El og plugin hybrid'!E$87)*'El og plugin hybrid'!E$48*(1+'El og plugin hybrid'!#REF!/100)^-$B78</f>
        <v>#REF!</v>
      </c>
      <c r="F78" s="272"/>
      <c r="G78" s="272" t="e">
        <f>(IF('El og plugin hybrid'!#REF!="nej",-IF(100-(100+'El og plugin hybrid'!G$86)*$B78/'El og plugin hybrid'!G$55&lt;0,0,100-(100+'El og plugin hybrid'!G$86)*$B78/'El og plugin hybrid'!G$55)/100*'El og plugin hybrid'!#REF!,0)+'El og plugin hybrid'!G$87)*'El og plugin hybrid'!G$48*(1+'El og plugin hybrid'!#REF!/100)^-$B78</f>
        <v>#REF!</v>
      </c>
      <c r="H78" s="272"/>
      <c r="I78" s="272" t="e">
        <f>(IF('El og plugin hybrid'!#REF!="nej",-IF(100-(100+'El og plugin hybrid'!I$86)*$B78/'El og plugin hybrid'!I$55&lt;0,0,100-(100+'El og plugin hybrid'!I$86)*$B78/'El og plugin hybrid'!I$55)/100*'El og plugin hybrid'!#REF!,0)+'El og plugin hybrid'!I$87)*'El og plugin hybrid'!I$48*(1+'El og plugin hybrid'!#REF!/100)^-$B78</f>
        <v>#REF!</v>
      </c>
      <c r="J78" s="272"/>
      <c r="K78" s="272" t="e">
        <f>(IF('El og plugin hybrid'!#REF!="nej",-IF(100-(100+'El og plugin hybrid'!K$86)*$B78/'El og plugin hybrid'!K$55&lt;0,0,100-(100+'El og plugin hybrid'!K$86)*$B78/'El og plugin hybrid'!K$55)/100*'El og plugin hybrid'!#REF!,0)+'El og plugin hybrid'!K$87)*'El og plugin hybrid'!K$48*(1+'El og plugin hybrid'!#REF!/100)^-$B78</f>
        <v>#REF!</v>
      </c>
      <c r="L78" s="272"/>
      <c r="M78" s="272" t="e">
        <f>(IF('El og plugin hybrid'!#REF!="nej",-IF(100-(100+'El og plugin hybrid'!M$86)*$B78/'El og plugin hybrid'!M$55&lt;0,0,100-(100+'El og plugin hybrid'!M$86)*$B78/'El og plugin hybrid'!M$55)/100*'El og plugin hybrid'!#REF!,0)+'El og plugin hybrid'!M$87)*'El og plugin hybrid'!M$48*(1+'El og plugin hybrid'!#REF!/100)^-$B78</f>
        <v>#REF!</v>
      </c>
      <c r="N78" s="272"/>
      <c r="O78" s="272" t="e">
        <f>(IF('El og plugin hybrid'!#REF!="nej",-IF(100-(100+'El og plugin hybrid'!O$86)*$B78/'El og plugin hybrid'!O$55&lt;0,0,100-(100+'El og plugin hybrid'!O$86)*$B78/'El og plugin hybrid'!O$55)/100*'El og plugin hybrid'!#REF!,0)+'El og plugin hybrid'!O$87)*'El og plugin hybrid'!O$48*(1+'El og plugin hybrid'!#REF!/100)^-$B78</f>
        <v>#REF!</v>
      </c>
      <c r="P78" s="272"/>
      <c r="Q78" s="272" t="e">
        <f>(IF('El og plugin hybrid'!#REF!="nej",-IF(100-(100+'El og plugin hybrid'!Q$86)*$B78/'El og plugin hybrid'!Q$55&lt;0,0,100-(100+'El og plugin hybrid'!Q$86)*$B78/'El og plugin hybrid'!Q$55)/100*'El og plugin hybrid'!#REF!,0)+'El og plugin hybrid'!Q$87)*'El og plugin hybrid'!Q$48*(1+'El og plugin hybrid'!#REF!/100)^-$B78</f>
        <v>#REF!</v>
      </c>
      <c r="R78" s="272"/>
      <c r="S78" s="272" t="e">
        <f>(IF('El og plugin hybrid'!#REF!="nej",-IF(100-(100+'El og plugin hybrid'!S$86)*$B78/'El og plugin hybrid'!S$55&lt;0,0,100-(100+'El og plugin hybrid'!S$86)*$B78/'El og plugin hybrid'!S$55)/100*'El og plugin hybrid'!#REF!,0)+'El og plugin hybrid'!S$87)*'El og plugin hybrid'!S$48*(1+'El og plugin hybrid'!#REF!/100)^-$B78</f>
        <v>#REF!</v>
      </c>
      <c r="U78" s="272" t="e">
        <f>(IF('El og plugin hybrid'!#REF!="nej",-IF(100-(100+'El og plugin hybrid'!Y$86)*$B78/'El og plugin hybrid'!Y$55&lt;0,0,100-(100+'El og plugin hybrid'!Y$86)*$B78/'El og plugin hybrid'!Y$55)/100*'El og plugin hybrid'!#REF!,0)+'El og plugin hybrid'!Y$87)*'El og plugin hybrid'!Y$48*(1+'El og plugin hybrid'!#REF!/100)^-$B78</f>
        <v>#REF!</v>
      </c>
      <c r="W78" s="272" t="e">
        <f>(IF('El og plugin hybrid'!#REF!="nej",-IF(100-(100+'El og plugin hybrid'!AA$86)*$B78/'El og plugin hybrid'!AA$55&lt;0,0,100-(100+'El og plugin hybrid'!AA$86)*$B78/'El og plugin hybrid'!AA$55)/100*'El og plugin hybrid'!#REF!,0)+'El og plugin hybrid'!AA$87)*'El og plugin hybrid'!AA$48*(1+'El og plugin hybrid'!#REF!/100)^-$B78</f>
        <v>#REF!</v>
      </c>
    </row>
    <row r="79" spans="1:23" hidden="1" outlineLevel="1">
      <c r="A79" s="248"/>
      <c r="B79" s="271">
        <v>7</v>
      </c>
      <c r="C79" s="271">
        <f t="shared" si="4"/>
        <v>7</v>
      </c>
      <c r="D79" s="248"/>
      <c r="E79" s="272" t="e">
        <f>(IF('El og plugin hybrid'!#REF!="nej",-IF(100-(100+'El og plugin hybrid'!E$86)*$B79/'El og plugin hybrid'!E$55&lt;0,0,100-(100+'El og plugin hybrid'!E$86)*$B79/'El og plugin hybrid'!E$55)/100*'El og plugin hybrid'!#REF!,0)+'El og plugin hybrid'!E$87)*'El og plugin hybrid'!E$48*(1+'El og plugin hybrid'!#REF!/100)^-$B79</f>
        <v>#REF!</v>
      </c>
      <c r="F79" s="272"/>
      <c r="G79" s="272" t="e">
        <f>(IF('El og plugin hybrid'!#REF!="nej",-IF(100-(100+'El og plugin hybrid'!G$86)*$B79/'El og plugin hybrid'!G$55&lt;0,0,100-(100+'El og plugin hybrid'!G$86)*$B79/'El og plugin hybrid'!G$55)/100*'El og plugin hybrid'!#REF!,0)+'El og plugin hybrid'!G$87)*'El og plugin hybrid'!G$48*(1+'El og plugin hybrid'!#REF!/100)^-$B79</f>
        <v>#REF!</v>
      </c>
      <c r="H79" s="272"/>
      <c r="I79" s="272" t="e">
        <f>(IF('El og plugin hybrid'!#REF!="nej",-IF(100-(100+'El og plugin hybrid'!I$86)*$B79/'El og plugin hybrid'!I$55&lt;0,0,100-(100+'El og plugin hybrid'!I$86)*$B79/'El og plugin hybrid'!I$55)/100*'El og plugin hybrid'!#REF!,0)+'El og plugin hybrid'!I$87)*'El og plugin hybrid'!I$48*(1+'El og plugin hybrid'!#REF!/100)^-$B79</f>
        <v>#REF!</v>
      </c>
      <c r="J79" s="272"/>
      <c r="K79" s="272" t="e">
        <f>(IF('El og plugin hybrid'!#REF!="nej",-IF(100-(100+'El og plugin hybrid'!K$86)*$B79/'El og plugin hybrid'!K$55&lt;0,0,100-(100+'El og plugin hybrid'!K$86)*$B79/'El og plugin hybrid'!K$55)/100*'El og plugin hybrid'!#REF!,0)+'El og plugin hybrid'!K$87)*'El og plugin hybrid'!K$48*(1+'El og plugin hybrid'!#REF!/100)^-$B79</f>
        <v>#REF!</v>
      </c>
      <c r="L79" s="272"/>
      <c r="M79" s="272" t="e">
        <f>(IF('El og plugin hybrid'!#REF!="nej",-IF(100-(100+'El og plugin hybrid'!M$86)*$B79/'El og plugin hybrid'!M$55&lt;0,0,100-(100+'El og plugin hybrid'!M$86)*$B79/'El og plugin hybrid'!M$55)/100*'El og plugin hybrid'!#REF!,0)+'El og plugin hybrid'!M$87)*'El og plugin hybrid'!M$48*(1+'El og plugin hybrid'!#REF!/100)^-$B79</f>
        <v>#REF!</v>
      </c>
      <c r="N79" s="272"/>
      <c r="O79" s="272" t="e">
        <f>(IF('El og plugin hybrid'!#REF!="nej",-IF(100-(100+'El og plugin hybrid'!O$86)*$B79/'El og plugin hybrid'!O$55&lt;0,0,100-(100+'El og plugin hybrid'!O$86)*$B79/'El og plugin hybrid'!O$55)/100*'El og plugin hybrid'!#REF!,0)+'El og plugin hybrid'!O$87)*'El og plugin hybrid'!O$48*(1+'El og plugin hybrid'!#REF!/100)^-$B79</f>
        <v>#REF!</v>
      </c>
      <c r="P79" s="272"/>
      <c r="Q79" s="272" t="e">
        <f>(IF('El og plugin hybrid'!#REF!="nej",-IF(100-(100+'El og plugin hybrid'!Q$86)*$B79/'El og plugin hybrid'!Q$55&lt;0,0,100-(100+'El og plugin hybrid'!Q$86)*$B79/'El og plugin hybrid'!Q$55)/100*'El og plugin hybrid'!#REF!,0)+'El og plugin hybrid'!Q$87)*'El og plugin hybrid'!Q$48*(1+'El og plugin hybrid'!#REF!/100)^-$B79</f>
        <v>#REF!</v>
      </c>
      <c r="R79" s="272"/>
      <c r="S79" s="272" t="e">
        <f>(IF('El og plugin hybrid'!#REF!="nej",-IF(100-(100+'El og plugin hybrid'!S$86)*$B79/'El og plugin hybrid'!S$55&lt;0,0,100-(100+'El og plugin hybrid'!S$86)*$B79/'El og plugin hybrid'!S$55)/100*'El og plugin hybrid'!#REF!,0)+'El og plugin hybrid'!S$87)*'El og plugin hybrid'!S$48*(1+'El og plugin hybrid'!#REF!/100)^-$B79</f>
        <v>#REF!</v>
      </c>
      <c r="U79" s="272" t="e">
        <f>(IF('El og plugin hybrid'!#REF!="nej",-IF(100-(100+'El og plugin hybrid'!Y$86)*$B79/'El og plugin hybrid'!Y$55&lt;0,0,100-(100+'El og plugin hybrid'!Y$86)*$B79/'El og plugin hybrid'!Y$55)/100*'El og plugin hybrid'!#REF!,0)+'El og plugin hybrid'!Y$87)*'El og plugin hybrid'!Y$48*(1+'El og plugin hybrid'!#REF!/100)^-$B79</f>
        <v>#REF!</v>
      </c>
      <c r="W79" s="272" t="e">
        <f>(IF('El og plugin hybrid'!#REF!="nej",-IF(100-(100+'El og plugin hybrid'!AA$86)*$B79/'El og plugin hybrid'!AA$55&lt;0,0,100-(100+'El og plugin hybrid'!AA$86)*$B79/'El og plugin hybrid'!AA$55)/100*'El og plugin hybrid'!#REF!,0)+'El og plugin hybrid'!AA$87)*'El og plugin hybrid'!AA$48*(1+'El og plugin hybrid'!#REF!/100)^-$B79</f>
        <v>#REF!</v>
      </c>
    </row>
    <row r="80" spans="1:23" hidden="1" outlineLevel="1">
      <c r="A80" s="248"/>
      <c r="B80" s="271">
        <v>8</v>
      </c>
      <c r="C80" s="271">
        <f t="shared" si="4"/>
        <v>8</v>
      </c>
      <c r="D80" s="248"/>
      <c r="E80" s="272" t="e">
        <f>(IF('El og plugin hybrid'!#REF!="nej",-IF(100-(100+'El og plugin hybrid'!E$86)*$B80/'El og plugin hybrid'!E$55&lt;0,0,100-(100+'El og plugin hybrid'!E$86)*$B80/'El og plugin hybrid'!E$55)/100*'El og plugin hybrid'!#REF!,0)+'El og plugin hybrid'!E$87)*'El og plugin hybrid'!E$48*(1+'El og plugin hybrid'!#REF!/100)^-$B80</f>
        <v>#REF!</v>
      </c>
      <c r="F80" s="272"/>
      <c r="G80" s="272" t="e">
        <f>(IF('El og plugin hybrid'!#REF!="nej",-IF(100-(100+'El og plugin hybrid'!G$86)*$B80/'El og plugin hybrid'!G$55&lt;0,0,100-(100+'El og plugin hybrid'!G$86)*$B80/'El og plugin hybrid'!G$55)/100*'El og plugin hybrid'!#REF!,0)+'El og plugin hybrid'!G$87)*'El og plugin hybrid'!G$48*(1+'El og plugin hybrid'!#REF!/100)^-$B80</f>
        <v>#REF!</v>
      </c>
      <c r="H80" s="272"/>
      <c r="I80" s="272" t="e">
        <f>(IF('El og plugin hybrid'!#REF!="nej",-IF(100-(100+'El og plugin hybrid'!I$86)*$B80/'El og plugin hybrid'!I$55&lt;0,0,100-(100+'El og plugin hybrid'!I$86)*$B80/'El og plugin hybrid'!I$55)/100*'El og plugin hybrid'!#REF!,0)+'El og plugin hybrid'!I$87)*'El og plugin hybrid'!I$48*(1+'El og plugin hybrid'!#REF!/100)^-$B80</f>
        <v>#REF!</v>
      </c>
      <c r="J80" s="272"/>
      <c r="K80" s="272" t="e">
        <f>(IF('El og plugin hybrid'!#REF!="nej",-IF(100-(100+'El og plugin hybrid'!K$86)*$B80/'El og plugin hybrid'!K$55&lt;0,0,100-(100+'El og plugin hybrid'!K$86)*$B80/'El og plugin hybrid'!K$55)/100*'El og plugin hybrid'!#REF!,0)+'El og plugin hybrid'!K$87)*'El og plugin hybrid'!K$48*(1+'El og plugin hybrid'!#REF!/100)^-$B80</f>
        <v>#REF!</v>
      </c>
      <c r="L80" s="272"/>
      <c r="M80" s="272" t="e">
        <f>(IF('El og plugin hybrid'!#REF!="nej",-IF(100-(100+'El og plugin hybrid'!M$86)*$B80/'El og plugin hybrid'!M$55&lt;0,0,100-(100+'El og plugin hybrid'!M$86)*$B80/'El og plugin hybrid'!M$55)/100*'El og plugin hybrid'!#REF!,0)+'El og plugin hybrid'!M$87)*'El og plugin hybrid'!M$48*(1+'El og plugin hybrid'!#REF!/100)^-$B80</f>
        <v>#REF!</v>
      </c>
      <c r="N80" s="272"/>
      <c r="O80" s="272" t="e">
        <f>(IF('El og plugin hybrid'!#REF!="nej",-IF(100-(100+'El og plugin hybrid'!O$86)*$B80/'El og plugin hybrid'!O$55&lt;0,0,100-(100+'El og plugin hybrid'!O$86)*$B80/'El og plugin hybrid'!O$55)/100*'El og plugin hybrid'!#REF!,0)+'El og plugin hybrid'!O$87)*'El og plugin hybrid'!O$48*(1+'El og plugin hybrid'!#REF!/100)^-$B80</f>
        <v>#REF!</v>
      </c>
      <c r="P80" s="272"/>
      <c r="Q80" s="272" t="e">
        <f>(IF('El og plugin hybrid'!#REF!="nej",-IF(100-(100+'El og plugin hybrid'!Q$86)*$B80/'El og plugin hybrid'!Q$55&lt;0,0,100-(100+'El og plugin hybrid'!Q$86)*$B80/'El og plugin hybrid'!Q$55)/100*'El og plugin hybrid'!#REF!,0)+'El og plugin hybrid'!Q$87)*'El og plugin hybrid'!Q$48*(1+'El og plugin hybrid'!#REF!/100)^-$B80</f>
        <v>#REF!</v>
      </c>
      <c r="R80" s="272"/>
      <c r="S80" s="272" t="e">
        <f>(IF('El og plugin hybrid'!#REF!="nej",-IF(100-(100+'El og plugin hybrid'!S$86)*$B80/'El og plugin hybrid'!S$55&lt;0,0,100-(100+'El og plugin hybrid'!S$86)*$B80/'El og plugin hybrid'!S$55)/100*'El og plugin hybrid'!#REF!,0)+'El og plugin hybrid'!S$87)*'El og plugin hybrid'!S$48*(1+'El og plugin hybrid'!#REF!/100)^-$B80</f>
        <v>#REF!</v>
      </c>
      <c r="U80" s="272" t="e">
        <f>(IF('El og plugin hybrid'!#REF!="nej",-IF(100-(100+'El og plugin hybrid'!Y$86)*$B80/'El og plugin hybrid'!Y$55&lt;0,0,100-(100+'El og plugin hybrid'!Y$86)*$B80/'El og plugin hybrid'!Y$55)/100*'El og plugin hybrid'!#REF!,0)+'El og plugin hybrid'!Y$87)*'El og plugin hybrid'!Y$48*(1+'El og plugin hybrid'!#REF!/100)^-$B80</f>
        <v>#REF!</v>
      </c>
      <c r="W80" s="272" t="e">
        <f>(IF('El og plugin hybrid'!#REF!="nej",-IF(100-(100+'El og plugin hybrid'!AA$86)*$B80/'El og plugin hybrid'!AA$55&lt;0,0,100-(100+'El og plugin hybrid'!AA$86)*$B80/'El og plugin hybrid'!AA$55)/100*'El og plugin hybrid'!#REF!,0)+'El og plugin hybrid'!AA$87)*'El og plugin hybrid'!AA$48*(1+'El og plugin hybrid'!#REF!/100)^-$B80</f>
        <v>#REF!</v>
      </c>
    </row>
    <row r="81" spans="1:23" hidden="1" outlineLevel="1">
      <c r="A81" s="248"/>
      <c r="B81" s="271">
        <v>9</v>
      </c>
      <c r="C81" s="271">
        <f t="shared" si="4"/>
        <v>9</v>
      </c>
      <c r="D81" s="248"/>
      <c r="E81" s="272" t="e">
        <f>(IF('El og plugin hybrid'!#REF!="nej",-IF(100-(100+'El og plugin hybrid'!E$86)*$B81/'El og plugin hybrid'!E$55&lt;0,0,100-(100+'El og plugin hybrid'!E$86)*$B81/'El og plugin hybrid'!E$55)/100*'El og plugin hybrid'!#REF!,0)+'El og plugin hybrid'!E$87)*'El og plugin hybrid'!E$48*(1+'El og plugin hybrid'!#REF!/100)^-$B81</f>
        <v>#REF!</v>
      </c>
      <c r="F81" s="272"/>
      <c r="G81" s="272" t="e">
        <f>(IF('El og plugin hybrid'!#REF!="nej",-IF(100-(100+'El og plugin hybrid'!G$86)*$B81/'El og plugin hybrid'!G$55&lt;0,0,100-(100+'El og plugin hybrid'!G$86)*$B81/'El og plugin hybrid'!G$55)/100*'El og plugin hybrid'!#REF!,0)+'El og plugin hybrid'!G$87)*'El og plugin hybrid'!G$48*(1+'El og plugin hybrid'!#REF!/100)^-$B81</f>
        <v>#REF!</v>
      </c>
      <c r="H81" s="272"/>
      <c r="I81" s="272" t="e">
        <f>(IF('El og plugin hybrid'!#REF!="nej",-IF(100-(100+'El og plugin hybrid'!I$86)*$B81/'El og plugin hybrid'!I$55&lt;0,0,100-(100+'El og plugin hybrid'!I$86)*$B81/'El og plugin hybrid'!I$55)/100*'El og plugin hybrid'!#REF!,0)+'El og plugin hybrid'!I$87)*'El og plugin hybrid'!I$48*(1+'El og plugin hybrid'!#REF!/100)^-$B81</f>
        <v>#REF!</v>
      </c>
      <c r="J81" s="272"/>
      <c r="K81" s="272" t="e">
        <f>(IF('El og plugin hybrid'!#REF!="nej",-IF(100-(100+'El og plugin hybrid'!K$86)*$B81/'El og plugin hybrid'!K$55&lt;0,0,100-(100+'El og plugin hybrid'!K$86)*$B81/'El og plugin hybrid'!K$55)/100*'El og plugin hybrid'!#REF!,0)+'El og plugin hybrid'!K$87)*'El og plugin hybrid'!K$48*(1+'El og plugin hybrid'!#REF!/100)^-$B81</f>
        <v>#REF!</v>
      </c>
      <c r="L81" s="272"/>
      <c r="M81" s="272" t="e">
        <f>(IF('El og plugin hybrid'!#REF!="nej",-IF(100-(100+'El og plugin hybrid'!M$86)*$B81/'El og plugin hybrid'!M$55&lt;0,0,100-(100+'El og plugin hybrid'!M$86)*$B81/'El og plugin hybrid'!M$55)/100*'El og plugin hybrid'!#REF!,0)+'El og plugin hybrid'!M$87)*'El og plugin hybrid'!M$48*(1+'El og plugin hybrid'!#REF!/100)^-$B81</f>
        <v>#REF!</v>
      </c>
      <c r="N81" s="272"/>
      <c r="O81" s="272" t="e">
        <f>(IF('El og plugin hybrid'!#REF!="nej",-IF(100-(100+'El og plugin hybrid'!O$86)*$B81/'El og plugin hybrid'!O$55&lt;0,0,100-(100+'El og plugin hybrid'!O$86)*$B81/'El og plugin hybrid'!O$55)/100*'El og plugin hybrid'!#REF!,0)+'El og plugin hybrid'!O$87)*'El og plugin hybrid'!O$48*(1+'El og plugin hybrid'!#REF!/100)^-$B81</f>
        <v>#REF!</v>
      </c>
      <c r="P81" s="272"/>
      <c r="Q81" s="272" t="e">
        <f>(IF('El og plugin hybrid'!#REF!="nej",-IF(100-(100+'El og plugin hybrid'!Q$86)*$B81/'El og plugin hybrid'!Q$55&lt;0,0,100-(100+'El og plugin hybrid'!Q$86)*$B81/'El og plugin hybrid'!Q$55)/100*'El og plugin hybrid'!#REF!,0)+'El og plugin hybrid'!Q$87)*'El og plugin hybrid'!Q$48*(1+'El og plugin hybrid'!#REF!/100)^-$B81</f>
        <v>#REF!</v>
      </c>
      <c r="R81" s="272"/>
      <c r="S81" s="272" t="e">
        <f>(IF('El og plugin hybrid'!#REF!="nej",-IF(100-(100+'El og plugin hybrid'!S$86)*$B81/'El og plugin hybrid'!S$55&lt;0,0,100-(100+'El og plugin hybrid'!S$86)*$B81/'El og plugin hybrid'!S$55)/100*'El og plugin hybrid'!#REF!,0)+'El og plugin hybrid'!S$87)*'El og plugin hybrid'!S$48*(1+'El og plugin hybrid'!#REF!/100)^-$B81</f>
        <v>#REF!</v>
      </c>
      <c r="U81" s="272" t="e">
        <f>(IF('El og plugin hybrid'!#REF!="nej",-IF(100-(100+'El og plugin hybrid'!Y$86)*$B81/'El og plugin hybrid'!Y$55&lt;0,0,100-(100+'El og plugin hybrid'!Y$86)*$B81/'El og plugin hybrid'!Y$55)/100*'El og plugin hybrid'!#REF!,0)+'El og plugin hybrid'!Y$87)*'El og plugin hybrid'!Y$48*(1+'El og plugin hybrid'!#REF!/100)^-$B81</f>
        <v>#REF!</v>
      </c>
      <c r="W81" s="272" t="e">
        <f>(IF('El og plugin hybrid'!#REF!="nej",-IF(100-(100+'El og plugin hybrid'!AA$86)*$B81/'El og plugin hybrid'!AA$55&lt;0,0,100-(100+'El og plugin hybrid'!AA$86)*$B81/'El og plugin hybrid'!AA$55)/100*'El og plugin hybrid'!#REF!,0)+'El og plugin hybrid'!AA$87)*'El og plugin hybrid'!AA$48*(1+'El og plugin hybrid'!#REF!/100)^-$B81</f>
        <v>#REF!</v>
      </c>
    </row>
    <row r="82" spans="1:23" hidden="1" outlineLevel="1">
      <c r="A82" s="248"/>
      <c r="B82" s="271">
        <v>10</v>
      </c>
      <c r="C82" s="271">
        <f t="shared" si="4"/>
        <v>10</v>
      </c>
      <c r="D82" s="248"/>
      <c r="E82" s="272" t="e">
        <f>(IF('El og plugin hybrid'!#REF!="nej",-IF(100-(100+'El og plugin hybrid'!E$86)*$B82/'El og plugin hybrid'!E$55&lt;0,0,100-(100+'El og plugin hybrid'!E$86)*$B82/'El og plugin hybrid'!E$55)/100*'El og plugin hybrid'!#REF!,0)+'El og plugin hybrid'!E$87)*'El og plugin hybrid'!E$48*(1+'El og plugin hybrid'!#REF!/100)^-$B82</f>
        <v>#REF!</v>
      </c>
      <c r="F82" s="272"/>
      <c r="G82" s="272" t="e">
        <f>(IF('El og plugin hybrid'!#REF!="nej",-IF(100-(100+'El og plugin hybrid'!G$86)*$B82/'El og plugin hybrid'!G$55&lt;0,0,100-(100+'El og plugin hybrid'!G$86)*$B82/'El og plugin hybrid'!G$55)/100*'El og plugin hybrid'!#REF!,0)+'El og plugin hybrid'!G$87)*'El og plugin hybrid'!G$48*(1+'El og plugin hybrid'!#REF!/100)^-$B82</f>
        <v>#REF!</v>
      </c>
      <c r="H82" s="272"/>
      <c r="I82" s="272" t="e">
        <f>(IF('El og plugin hybrid'!#REF!="nej",-IF(100-(100+'El og plugin hybrid'!I$86)*$B82/'El og plugin hybrid'!I$55&lt;0,0,100-(100+'El og plugin hybrid'!I$86)*$B82/'El og plugin hybrid'!I$55)/100*'El og plugin hybrid'!#REF!,0)+'El og plugin hybrid'!I$87)*'El og plugin hybrid'!I$48*(1+'El og plugin hybrid'!#REF!/100)^-$B82</f>
        <v>#REF!</v>
      </c>
      <c r="J82" s="272"/>
      <c r="K82" s="272" t="e">
        <f>(IF('El og plugin hybrid'!#REF!="nej",-IF(100-(100+'El og plugin hybrid'!K$86)*$B82/'El og plugin hybrid'!K$55&lt;0,0,100-(100+'El og plugin hybrid'!K$86)*$B82/'El og plugin hybrid'!K$55)/100*'El og plugin hybrid'!#REF!,0)+'El og plugin hybrid'!K$87)*'El og plugin hybrid'!K$48*(1+'El og plugin hybrid'!#REF!/100)^-$B82</f>
        <v>#REF!</v>
      </c>
      <c r="L82" s="272"/>
      <c r="M82" s="272" t="e">
        <f>(IF('El og plugin hybrid'!#REF!="nej",-IF(100-(100+'El og plugin hybrid'!M$86)*$B82/'El og plugin hybrid'!M$55&lt;0,0,100-(100+'El og plugin hybrid'!M$86)*$B82/'El og plugin hybrid'!M$55)/100*'El og plugin hybrid'!#REF!,0)+'El og plugin hybrid'!M$87)*'El og plugin hybrid'!M$48*(1+'El og plugin hybrid'!#REF!/100)^-$B82</f>
        <v>#REF!</v>
      </c>
      <c r="N82" s="272"/>
      <c r="O82" s="272" t="e">
        <f>(IF('El og plugin hybrid'!#REF!="nej",-IF(100-(100+'El og plugin hybrid'!O$86)*$B82/'El og plugin hybrid'!O$55&lt;0,0,100-(100+'El og plugin hybrid'!O$86)*$B82/'El og plugin hybrid'!O$55)/100*'El og plugin hybrid'!#REF!,0)+'El og plugin hybrid'!O$87)*'El og plugin hybrid'!O$48*(1+'El og plugin hybrid'!#REF!/100)^-$B82</f>
        <v>#REF!</v>
      </c>
      <c r="P82" s="272"/>
      <c r="Q82" s="272" t="e">
        <f>(IF('El og plugin hybrid'!#REF!="nej",-IF(100-(100+'El og plugin hybrid'!Q$86)*$B82/'El og plugin hybrid'!Q$55&lt;0,0,100-(100+'El og plugin hybrid'!Q$86)*$B82/'El og plugin hybrid'!Q$55)/100*'El og plugin hybrid'!#REF!,0)+'El og plugin hybrid'!Q$87)*'El og plugin hybrid'!Q$48*(1+'El og plugin hybrid'!#REF!/100)^-$B82</f>
        <v>#REF!</v>
      </c>
      <c r="R82" s="272"/>
      <c r="S82" s="272" t="e">
        <f>(IF('El og plugin hybrid'!#REF!="nej",-IF(100-(100+'El og plugin hybrid'!S$86)*$B82/'El og plugin hybrid'!S$55&lt;0,0,100-(100+'El og plugin hybrid'!S$86)*$B82/'El og plugin hybrid'!S$55)/100*'El og plugin hybrid'!#REF!,0)+'El og plugin hybrid'!S$87)*'El og plugin hybrid'!S$48*(1+'El og plugin hybrid'!#REF!/100)^-$B82</f>
        <v>#REF!</v>
      </c>
      <c r="U82" s="272" t="e">
        <f>(IF('El og plugin hybrid'!#REF!="nej",-IF(100-(100+'El og plugin hybrid'!Y$86)*$B82/'El og plugin hybrid'!Y$55&lt;0,0,100-(100+'El og plugin hybrid'!Y$86)*$B82/'El og plugin hybrid'!Y$55)/100*'El og plugin hybrid'!#REF!,0)+'El og plugin hybrid'!Y$87)*'El og plugin hybrid'!Y$48*(1+'El og plugin hybrid'!#REF!/100)^-$B82</f>
        <v>#REF!</v>
      </c>
      <c r="W82" s="272" t="e">
        <f>(IF('El og plugin hybrid'!#REF!="nej",-IF(100-(100+'El og plugin hybrid'!AA$86)*$B82/'El og plugin hybrid'!AA$55&lt;0,0,100-(100+'El og plugin hybrid'!AA$86)*$B82/'El og plugin hybrid'!AA$55)/100*'El og plugin hybrid'!#REF!,0)+'El og plugin hybrid'!AA$87)*'El og plugin hybrid'!AA$48*(1+'El og plugin hybrid'!#REF!/100)^-$B82</f>
        <v>#REF!</v>
      </c>
    </row>
    <row r="83" spans="1:23" hidden="1" outlineLevel="1">
      <c r="A83" s="248"/>
      <c r="B83" s="271">
        <v>11</v>
      </c>
      <c r="C83" s="271">
        <f t="shared" si="4"/>
        <v>11</v>
      </c>
      <c r="D83" s="248"/>
      <c r="E83" s="272" t="e">
        <f>(IF('El og plugin hybrid'!#REF!="nej",-IF(100-(100+'El og plugin hybrid'!E$86)*$B83/'El og plugin hybrid'!E$55&lt;0,0,100-(100+'El og plugin hybrid'!E$86)*$B83/'El og plugin hybrid'!E$55)/100*'El og plugin hybrid'!#REF!,0)+'El og plugin hybrid'!E$87)*'El og plugin hybrid'!E$48*(1+'El og plugin hybrid'!#REF!/100)^-$B83</f>
        <v>#REF!</v>
      </c>
      <c r="F83" s="272"/>
      <c r="G83" s="272" t="e">
        <f>(IF('El og plugin hybrid'!#REF!="nej",-IF(100-(100+'El og plugin hybrid'!G$86)*$B83/'El og plugin hybrid'!G$55&lt;0,0,100-(100+'El og plugin hybrid'!G$86)*$B83/'El og plugin hybrid'!G$55)/100*'El og plugin hybrid'!#REF!,0)+'El og plugin hybrid'!G$87)*'El og plugin hybrid'!G$48*(1+'El og plugin hybrid'!#REF!/100)^-$B83</f>
        <v>#REF!</v>
      </c>
      <c r="H83" s="272"/>
      <c r="I83" s="272" t="e">
        <f>(IF('El og plugin hybrid'!#REF!="nej",-IF(100-(100+'El og plugin hybrid'!I$86)*$B83/'El og plugin hybrid'!I$55&lt;0,0,100-(100+'El og plugin hybrid'!I$86)*$B83/'El og plugin hybrid'!I$55)/100*'El og plugin hybrid'!#REF!,0)+'El og plugin hybrid'!I$87)*'El og plugin hybrid'!I$48*(1+'El og plugin hybrid'!#REF!/100)^-$B83</f>
        <v>#REF!</v>
      </c>
      <c r="J83" s="272"/>
      <c r="K83" s="272" t="e">
        <f>(IF('El og plugin hybrid'!#REF!="nej",-IF(100-(100+'El og plugin hybrid'!K$86)*$B83/'El og plugin hybrid'!K$55&lt;0,0,100-(100+'El og plugin hybrid'!K$86)*$B83/'El og plugin hybrid'!K$55)/100*'El og plugin hybrid'!#REF!,0)+'El og plugin hybrid'!K$87)*'El og plugin hybrid'!K$48*(1+'El og plugin hybrid'!#REF!/100)^-$B83</f>
        <v>#REF!</v>
      </c>
      <c r="L83" s="272"/>
      <c r="M83" s="272" t="e">
        <f>(IF('El og plugin hybrid'!#REF!="nej",-IF(100-(100+'El og plugin hybrid'!M$86)*$B83/'El og plugin hybrid'!M$55&lt;0,0,100-(100+'El og plugin hybrid'!M$86)*$B83/'El og plugin hybrid'!M$55)/100*'El og plugin hybrid'!#REF!,0)+'El og plugin hybrid'!M$87)*'El og plugin hybrid'!M$48*(1+'El og plugin hybrid'!#REF!/100)^-$B83</f>
        <v>#REF!</v>
      </c>
      <c r="N83" s="272"/>
      <c r="O83" s="272" t="e">
        <f>(IF('El og plugin hybrid'!#REF!="nej",-IF(100-(100+'El og plugin hybrid'!O$86)*$B83/'El og plugin hybrid'!O$55&lt;0,0,100-(100+'El og plugin hybrid'!O$86)*$B83/'El og plugin hybrid'!O$55)/100*'El og plugin hybrid'!#REF!,0)+'El og plugin hybrid'!O$87)*'El og plugin hybrid'!O$48*(1+'El og plugin hybrid'!#REF!/100)^-$B83</f>
        <v>#REF!</v>
      </c>
      <c r="P83" s="272"/>
      <c r="Q83" s="272" t="e">
        <f>(IF('El og plugin hybrid'!#REF!="nej",-IF(100-(100+'El og plugin hybrid'!Q$86)*$B83/'El og plugin hybrid'!Q$55&lt;0,0,100-(100+'El og plugin hybrid'!Q$86)*$B83/'El og plugin hybrid'!Q$55)/100*'El og plugin hybrid'!#REF!,0)+'El og plugin hybrid'!Q$87)*'El og plugin hybrid'!Q$48*(1+'El og plugin hybrid'!#REF!/100)^-$B83</f>
        <v>#REF!</v>
      </c>
      <c r="R83" s="272"/>
      <c r="S83" s="272" t="e">
        <f>(IF('El og plugin hybrid'!#REF!="nej",-IF(100-(100+'El og plugin hybrid'!S$86)*$B83/'El og plugin hybrid'!S$55&lt;0,0,100-(100+'El og plugin hybrid'!S$86)*$B83/'El og plugin hybrid'!S$55)/100*'El og plugin hybrid'!#REF!,0)+'El og plugin hybrid'!S$87)*'El og plugin hybrid'!S$48*(1+'El og plugin hybrid'!#REF!/100)^-$B83</f>
        <v>#REF!</v>
      </c>
      <c r="U83" s="272" t="e">
        <f>(IF('El og plugin hybrid'!#REF!="nej",-IF(100-(100+'El og plugin hybrid'!Y$86)*$B83/'El og plugin hybrid'!Y$55&lt;0,0,100-(100+'El og plugin hybrid'!Y$86)*$B83/'El og plugin hybrid'!Y$55)/100*'El og plugin hybrid'!#REF!,0)+'El og plugin hybrid'!Y$87)*'El og plugin hybrid'!Y$48*(1+'El og plugin hybrid'!#REF!/100)^-$B83</f>
        <v>#REF!</v>
      </c>
      <c r="W83" s="272" t="e">
        <f>(IF('El og plugin hybrid'!#REF!="nej",-IF(100-(100+'El og plugin hybrid'!AA$86)*$B83/'El og plugin hybrid'!AA$55&lt;0,0,100-(100+'El og plugin hybrid'!AA$86)*$B83/'El og plugin hybrid'!AA$55)/100*'El og plugin hybrid'!#REF!,0)+'El og plugin hybrid'!AA$87)*'El og plugin hybrid'!AA$48*(1+'El og plugin hybrid'!#REF!/100)^-$B83</f>
        <v>#REF!</v>
      </c>
    </row>
    <row r="84" spans="1:23" hidden="1" outlineLevel="1">
      <c r="A84" s="248"/>
      <c r="B84" s="271">
        <v>12</v>
      </c>
      <c r="C84" s="271">
        <f t="shared" si="4"/>
        <v>12</v>
      </c>
      <c r="D84" s="248"/>
      <c r="E84" s="272" t="e">
        <f>(IF('El og plugin hybrid'!#REF!="nej",-IF(100-(100+'El og plugin hybrid'!E$86)*$B84/'El og plugin hybrid'!E$55&lt;0,0,100-(100+'El og plugin hybrid'!E$86)*$B84/'El og plugin hybrid'!E$55)/100*'El og plugin hybrid'!#REF!,0)+'El og plugin hybrid'!E$87)*'El og plugin hybrid'!E$48*(1+'El og plugin hybrid'!#REF!/100)^-$B84</f>
        <v>#REF!</v>
      </c>
      <c r="F84" s="272"/>
      <c r="G84" s="272" t="e">
        <f>(IF('El og plugin hybrid'!#REF!="nej",-IF(100-(100+'El og plugin hybrid'!G$86)*$B84/'El og plugin hybrid'!G$55&lt;0,0,100-(100+'El og plugin hybrid'!G$86)*$B84/'El og plugin hybrid'!G$55)/100*'El og plugin hybrid'!#REF!,0)+'El og plugin hybrid'!G$87)*'El og plugin hybrid'!G$48*(1+'El og plugin hybrid'!#REF!/100)^-$B84</f>
        <v>#REF!</v>
      </c>
      <c r="H84" s="272"/>
      <c r="I84" s="272" t="e">
        <f>(IF('El og plugin hybrid'!#REF!="nej",-IF(100-(100+'El og plugin hybrid'!I$86)*$B84/'El og plugin hybrid'!I$55&lt;0,0,100-(100+'El og plugin hybrid'!I$86)*$B84/'El og plugin hybrid'!I$55)/100*'El og plugin hybrid'!#REF!,0)+'El og plugin hybrid'!I$87)*'El og plugin hybrid'!I$48*(1+'El og plugin hybrid'!#REF!/100)^-$B84</f>
        <v>#REF!</v>
      </c>
      <c r="J84" s="272"/>
      <c r="K84" s="272" t="e">
        <f>(IF('El og plugin hybrid'!#REF!="nej",-IF(100-(100+'El og plugin hybrid'!K$86)*$B84/'El og plugin hybrid'!K$55&lt;0,0,100-(100+'El og plugin hybrid'!K$86)*$B84/'El og plugin hybrid'!K$55)/100*'El og plugin hybrid'!#REF!,0)+'El og plugin hybrid'!K$87)*'El og plugin hybrid'!K$48*(1+'El og plugin hybrid'!#REF!/100)^-$B84</f>
        <v>#REF!</v>
      </c>
      <c r="L84" s="272"/>
      <c r="M84" s="272" t="e">
        <f>(IF('El og plugin hybrid'!#REF!="nej",-IF(100-(100+'El og plugin hybrid'!M$86)*$B84/'El og plugin hybrid'!M$55&lt;0,0,100-(100+'El og plugin hybrid'!M$86)*$B84/'El og plugin hybrid'!M$55)/100*'El og plugin hybrid'!#REF!,0)+'El og plugin hybrid'!M$87)*'El og plugin hybrid'!M$48*(1+'El og plugin hybrid'!#REF!/100)^-$B84</f>
        <v>#REF!</v>
      </c>
      <c r="N84" s="272"/>
      <c r="O84" s="272" t="e">
        <f>(IF('El og plugin hybrid'!#REF!="nej",-IF(100-(100+'El og plugin hybrid'!O$86)*$B84/'El og plugin hybrid'!O$55&lt;0,0,100-(100+'El og plugin hybrid'!O$86)*$B84/'El og plugin hybrid'!O$55)/100*'El og plugin hybrid'!#REF!,0)+'El og plugin hybrid'!O$87)*'El og plugin hybrid'!O$48*(1+'El og plugin hybrid'!#REF!/100)^-$B84</f>
        <v>#REF!</v>
      </c>
      <c r="P84" s="272"/>
      <c r="Q84" s="272" t="e">
        <f>(IF('El og plugin hybrid'!#REF!="nej",-IF(100-(100+'El og plugin hybrid'!Q$86)*$B84/'El og plugin hybrid'!Q$55&lt;0,0,100-(100+'El og plugin hybrid'!Q$86)*$B84/'El og plugin hybrid'!Q$55)/100*'El og plugin hybrid'!#REF!,0)+'El og plugin hybrid'!Q$87)*'El og plugin hybrid'!Q$48*(1+'El og plugin hybrid'!#REF!/100)^-$B84</f>
        <v>#REF!</v>
      </c>
      <c r="R84" s="272"/>
      <c r="S84" s="272" t="e">
        <f>(IF('El og plugin hybrid'!#REF!="nej",-IF(100-(100+'El og plugin hybrid'!S$86)*$B84/'El og plugin hybrid'!S$55&lt;0,0,100-(100+'El og plugin hybrid'!S$86)*$B84/'El og plugin hybrid'!S$55)/100*'El og plugin hybrid'!#REF!,0)+'El og plugin hybrid'!S$87)*'El og plugin hybrid'!S$48*(1+'El og plugin hybrid'!#REF!/100)^-$B84</f>
        <v>#REF!</v>
      </c>
      <c r="U84" s="272" t="e">
        <f>(IF('El og plugin hybrid'!#REF!="nej",-IF(100-(100+'El og plugin hybrid'!Y$86)*$B84/'El og plugin hybrid'!Y$55&lt;0,0,100-(100+'El og plugin hybrid'!Y$86)*$B84/'El og plugin hybrid'!Y$55)/100*'El og plugin hybrid'!#REF!,0)+'El og plugin hybrid'!Y$87)*'El og plugin hybrid'!Y$48*(1+'El og plugin hybrid'!#REF!/100)^-$B84</f>
        <v>#REF!</v>
      </c>
      <c r="W84" s="272" t="e">
        <f>(IF('El og plugin hybrid'!#REF!="nej",-IF(100-(100+'El og plugin hybrid'!AA$86)*$B84/'El og plugin hybrid'!AA$55&lt;0,0,100-(100+'El og plugin hybrid'!AA$86)*$B84/'El og plugin hybrid'!AA$55)/100*'El og plugin hybrid'!#REF!,0)+'El og plugin hybrid'!AA$87)*'El og plugin hybrid'!AA$48*(1+'El og plugin hybrid'!#REF!/100)^-$B84</f>
        <v>#REF!</v>
      </c>
    </row>
    <row r="85" spans="1:23" hidden="1" outlineLevel="1">
      <c r="A85" s="248"/>
      <c r="B85" s="271">
        <v>13</v>
      </c>
      <c r="C85" s="271">
        <f t="shared" si="4"/>
        <v>13</v>
      </c>
      <c r="D85" s="248"/>
      <c r="E85" s="272" t="e">
        <f>(IF('El og plugin hybrid'!#REF!="nej",-IF(100-(100+'El og plugin hybrid'!E$86)*$B85/'El og plugin hybrid'!E$55&lt;0,0,100-(100+'El og plugin hybrid'!E$86)*$B85/'El og plugin hybrid'!E$55)/100*'El og plugin hybrid'!#REF!,0)+'El og plugin hybrid'!E$87)*'El og plugin hybrid'!E$48*(1+'El og plugin hybrid'!#REF!/100)^-$B85</f>
        <v>#REF!</v>
      </c>
      <c r="F85" s="272"/>
      <c r="G85" s="272" t="e">
        <f>(IF('El og plugin hybrid'!#REF!="nej",-IF(100-(100+'El og plugin hybrid'!G$86)*$B85/'El og plugin hybrid'!G$55&lt;0,0,100-(100+'El og plugin hybrid'!G$86)*$B85/'El og plugin hybrid'!G$55)/100*'El og plugin hybrid'!#REF!,0)+'El og plugin hybrid'!G$87)*'El og plugin hybrid'!G$48*(1+'El og plugin hybrid'!#REF!/100)^-$B85</f>
        <v>#REF!</v>
      </c>
      <c r="H85" s="272"/>
      <c r="I85" s="272" t="e">
        <f>(IF('El og plugin hybrid'!#REF!="nej",-IF(100-(100+'El og plugin hybrid'!I$86)*$B85/'El og plugin hybrid'!I$55&lt;0,0,100-(100+'El og plugin hybrid'!I$86)*$B85/'El og plugin hybrid'!I$55)/100*'El og plugin hybrid'!#REF!,0)+'El og plugin hybrid'!I$87)*'El og plugin hybrid'!I$48*(1+'El og plugin hybrid'!#REF!/100)^-$B85</f>
        <v>#REF!</v>
      </c>
      <c r="J85" s="272"/>
      <c r="K85" s="272" t="e">
        <f>(IF('El og plugin hybrid'!#REF!="nej",-IF(100-(100+'El og plugin hybrid'!K$86)*$B85/'El og plugin hybrid'!K$55&lt;0,0,100-(100+'El og plugin hybrid'!K$86)*$B85/'El og plugin hybrid'!K$55)/100*'El og plugin hybrid'!#REF!,0)+'El og plugin hybrid'!K$87)*'El og plugin hybrid'!K$48*(1+'El og plugin hybrid'!#REF!/100)^-$B85</f>
        <v>#REF!</v>
      </c>
      <c r="L85" s="272"/>
      <c r="M85" s="272" t="e">
        <f>(IF('El og plugin hybrid'!#REF!="nej",-IF(100-(100+'El og plugin hybrid'!M$86)*$B85/'El og plugin hybrid'!M$55&lt;0,0,100-(100+'El og plugin hybrid'!M$86)*$B85/'El og plugin hybrid'!M$55)/100*'El og plugin hybrid'!#REF!,0)+'El og plugin hybrid'!M$87)*'El og plugin hybrid'!M$48*(1+'El og plugin hybrid'!#REF!/100)^-$B85</f>
        <v>#REF!</v>
      </c>
      <c r="N85" s="272"/>
      <c r="O85" s="272" t="e">
        <f>(IF('El og plugin hybrid'!#REF!="nej",-IF(100-(100+'El og plugin hybrid'!O$86)*$B85/'El og plugin hybrid'!O$55&lt;0,0,100-(100+'El og plugin hybrid'!O$86)*$B85/'El og plugin hybrid'!O$55)/100*'El og plugin hybrid'!#REF!,0)+'El og plugin hybrid'!O$87)*'El og plugin hybrid'!O$48*(1+'El og plugin hybrid'!#REF!/100)^-$B85</f>
        <v>#REF!</v>
      </c>
      <c r="P85" s="272"/>
      <c r="Q85" s="272" t="e">
        <f>(IF('El og plugin hybrid'!#REF!="nej",-IF(100-(100+'El og plugin hybrid'!Q$86)*$B85/'El og plugin hybrid'!Q$55&lt;0,0,100-(100+'El og plugin hybrid'!Q$86)*$B85/'El og plugin hybrid'!Q$55)/100*'El og plugin hybrid'!#REF!,0)+'El og plugin hybrid'!Q$87)*'El og plugin hybrid'!Q$48*(1+'El og plugin hybrid'!#REF!/100)^-$B85</f>
        <v>#REF!</v>
      </c>
      <c r="R85" s="272"/>
      <c r="S85" s="272" t="e">
        <f>(IF('El og plugin hybrid'!#REF!="nej",-IF(100-(100+'El og plugin hybrid'!S$86)*$B85/'El og plugin hybrid'!S$55&lt;0,0,100-(100+'El og plugin hybrid'!S$86)*$B85/'El og plugin hybrid'!S$55)/100*'El og plugin hybrid'!#REF!,0)+'El og plugin hybrid'!S$87)*'El og plugin hybrid'!S$48*(1+'El og plugin hybrid'!#REF!/100)^-$B85</f>
        <v>#REF!</v>
      </c>
      <c r="U85" s="272" t="e">
        <f>(IF('El og plugin hybrid'!#REF!="nej",-IF(100-(100+'El og plugin hybrid'!Y$86)*$B85/'El og plugin hybrid'!Y$55&lt;0,0,100-(100+'El og plugin hybrid'!Y$86)*$B85/'El og plugin hybrid'!Y$55)/100*'El og plugin hybrid'!#REF!,0)+'El og plugin hybrid'!Y$87)*'El og plugin hybrid'!Y$48*(1+'El og plugin hybrid'!#REF!/100)^-$B85</f>
        <v>#REF!</v>
      </c>
      <c r="W85" s="272" t="e">
        <f>(IF('El og plugin hybrid'!#REF!="nej",-IF(100-(100+'El og plugin hybrid'!AA$86)*$B85/'El og plugin hybrid'!AA$55&lt;0,0,100-(100+'El og plugin hybrid'!AA$86)*$B85/'El og plugin hybrid'!AA$55)/100*'El og plugin hybrid'!#REF!,0)+'El og plugin hybrid'!AA$87)*'El og plugin hybrid'!AA$48*(1+'El og plugin hybrid'!#REF!/100)^-$B85</f>
        <v>#REF!</v>
      </c>
    </row>
    <row r="86" spans="1:23" hidden="1" outlineLevel="1">
      <c r="A86" s="248"/>
      <c r="B86" s="271">
        <v>14</v>
      </c>
      <c r="C86" s="271">
        <f t="shared" si="4"/>
        <v>14</v>
      </c>
      <c r="D86" s="248"/>
      <c r="E86" s="272" t="e">
        <f>(IF('El og plugin hybrid'!#REF!="nej",-IF(100-(100+'El og plugin hybrid'!E$86)*$B86/'El og plugin hybrid'!E$55&lt;0,0,100-(100+'El og plugin hybrid'!E$86)*$B86/'El og plugin hybrid'!E$55)/100*'El og plugin hybrid'!#REF!,0)+'El og plugin hybrid'!E$87)*'El og plugin hybrid'!E$48*(1+'El og plugin hybrid'!#REF!/100)^-$B86</f>
        <v>#REF!</v>
      </c>
      <c r="F86" s="272"/>
      <c r="G86" s="272" t="e">
        <f>(IF('El og plugin hybrid'!#REF!="nej",-IF(100-(100+'El og plugin hybrid'!G$86)*$B86/'El og plugin hybrid'!G$55&lt;0,0,100-(100+'El og plugin hybrid'!G$86)*$B86/'El og plugin hybrid'!G$55)/100*'El og plugin hybrid'!#REF!,0)+'El og plugin hybrid'!G$87)*'El og plugin hybrid'!G$48*(1+'El og plugin hybrid'!#REF!/100)^-$B86</f>
        <v>#REF!</v>
      </c>
      <c r="H86" s="272"/>
      <c r="I86" s="272" t="e">
        <f>(IF('El og plugin hybrid'!#REF!="nej",-IF(100-(100+'El og plugin hybrid'!I$86)*$B86/'El og plugin hybrid'!I$55&lt;0,0,100-(100+'El og plugin hybrid'!I$86)*$B86/'El og plugin hybrid'!I$55)/100*'El og plugin hybrid'!#REF!,0)+'El og plugin hybrid'!I$87)*'El og plugin hybrid'!I$48*(1+'El og plugin hybrid'!#REF!/100)^-$B86</f>
        <v>#REF!</v>
      </c>
      <c r="J86" s="272"/>
      <c r="K86" s="272" t="e">
        <f>(IF('El og plugin hybrid'!#REF!="nej",-IF(100-(100+'El og plugin hybrid'!K$86)*$B86/'El og plugin hybrid'!K$55&lt;0,0,100-(100+'El og plugin hybrid'!K$86)*$B86/'El og plugin hybrid'!K$55)/100*'El og plugin hybrid'!#REF!,0)+'El og plugin hybrid'!K$87)*'El og plugin hybrid'!K$48*(1+'El og plugin hybrid'!#REF!/100)^-$B86</f>
        <v>#REF!</v>
      </c>
      <c r="L86" s="272"/>
      <c r="M86" s="272" t="e">
        <f>(IF('El og plugin hybrid'!#REF!="nej",-IF(100-(100+'El og plugin hybrid'!M$86)*$B86/'El og plugin hybrid'!M$55&lt;0,0,100-(100+'El og plugin hybrid'!M$86)*$B86/'El og plugin hybrid'!M$55)/100*'El og plugin hybrid'!#REF!,0)+'El og plugin hybrid'!M$87)*'El og plugin hybrid'!M$48*(1+'El og plugin hybrid'!#REF!/100)^-$B86</f>
        <v>#REF!</v>
      </c>
      <c r="N86" s="272"/>
      <c r="O86" s="272" t="e">
        <f>(IF('El og plugin hybrid'!#REF!="nej",-IF(100-(100+'El og plugin hybrid'!O$86)*$B86/'El og plugin hybrid'!O$55&lt;0,0,100-(100+'El og plugin hybrid'!O$86)*$B86/'El og plugin hybrid'!O$55)/100*'El og plugin hybrid'!#REF!,0)+'El og plugin hybrid'!O$87)*'El og plugin hybrid'!O$48*(1+'El og plugin hybrid'!#REF!/100)^-$B86</f>
        <v>#REF!</v>
      </c>
      <c r="P86" s="272"/>
      <c r="Q86" s="272" t="e">
        <f>(IF('El og plugin hybrid'!#REF!="nej",-IF(100-(100+'El og plugin hybrid'!Q$86)*$B86/'El og plugin hybrid'!Q$55&lt;0,0,100-(100+'El og plugin hybrid'!Q$86)*$B86/'El og plugin hybrid'!Q$55)/100*'El og plugin hybrid'!#REF!,0)+'El og plugin hybrid'!Q$87)*'El og plugin hybrid'!Q$48*(1+'El og plugin hybrid'!#REF!/100)^-$B86</f>
        <v>#REF!</v>
      </c>
      <c r="R86" s="272"/>
      <c r="S86" s="272" t="e">
        <f>(IF('El og plugin hybrid'!#REF!="nej",-IF(100-(100+'El og plugin hybrid'!S$86)*$B86/'El og plugin hybrid'!S$55&lt;0,0,100-(100+'El og plugin hybrid'!S$86)*$B86/'El og plugin hybrid'!S$55)/100*'El og plugin hybrid'!#REF!,0)+'El og plugin hybrid'!S$87)*'El og plugin hybrid'!S$48*(1+'El og plugin hybrid'!#REF!/100)^-$B86</f>
        <v>#REF!</v>
      </c>
      <c r="U86" s="272" t="e">
        <f>(IF('El og plugin hybrid'!#REF!="nej",-IF(100-(100+'El og plugin hybrid'!Y$86)*$B86/'El og plugin hybrid'!Y$55&lt;0,0,100-(100+'El og plugin hybrid'!Y$86)*$B86/'El og plugin hybrid'!Y$55)/100*'El og plugin hybrid'!#REF!,0)+'El og plugin hybrid'!Y$87)*'El og plugin hybrid'!Y$48*(1+'El og plugin hybrid'!#REF!/100)^-$B86</f>
        <v>#REF!</v>
      </c>
      <c r="W86" s="272" t="e">
        <f>(IF('El og plugin hybrid'!#REF!="nej",-IF(100-(100+'El og plugin hybrid'!AA$86)*$B86/'El og plugin hybrid'!AA$55&lt;0,0,100-(100+'El og plugin hybrid'!AA$86)*$B86/'El og plugin hybrid'!AA$55)/100*'El og plugin hybrid'!#REF!,0)+'El og plugin hybrid'!AA$87)*'El og plugin hybrid'!AA$48*(1+'El og plugin hybrid'!#REF!/100)^-$B86</f>
        <v>#REF!</v>
      </c>
    </row>
    <row r="87" spans="1:23" hidden="1" outlineLevel="1">
      <c r="A87" s="248"/>
      <c r="B87" s="271">
        <v>15</v>
      </c>
      <c r="C87" s="271">
        <f t="shared" si="4"/>
        <v>15</v>
      </c>
      <c r="D87" s="248"/>
      <c r="E87" s="272" t="e">
        <f>(IF('El og plugin hybrid'!#REF!="nej",-IF(100-(100+'El og plugin hybrid'!E$86)*$B87/'El og plugin hybrid'!E$55&lt;0,0,100-(100+'El og plugin hybrid'!E$86)*$B87/'El og plugin hybrid'!E$55)/100*'El og plugin hybrid'!#REF!,0)+'El og plugin hybrid'!E$87)*'El og plugin hybrid'!E$48*(1+'El og plugin hybrid'!#REF!/100)^-$B87</f>
        <v>#REF!</v>
      </c>
      <c r="F87" s="272"/>
      <c r="G87" s="272" t="e">
        <f>(IF('El og plugin hybrid'!#REF!="nej",-IF(100-(100+'El og plugin hybrid'!G$86)*$B87/'El og plugin hybrid'!G$55&lt;0,0,100-(100+'El og plugin hybrid'!G$86)*$B87/'El og plugin hybrid'!G$55)/100*'El og plugin hybrid'!#REF!,0)+'El og plugin hybrid'!G$87)*'El og plugin hybrid'!G$48*(1+'El og plugin hybrid'!#REF!/100)^-$B87</f>
        <v>#REF!</v>
      </c>
      <c r="H87" s="272"/>
      <c r="I87" s="272" t="e">
        <f>(IF('El og plugin hybrid'!#REF!="nej",-IF(100-(100+'El og plugin hybrid'!I$86)*$B87/'El og plugin hybrid'!I$55&lt;0,0,100-(100+'El og plugin hybrid'!I$86)*$B87/'El og plugin hybrid'!I$55)/100*'El og plugin hybrid'!#REF!,0)+'El og plugin hybrid'!I$87)*'El og plugin hybrid'!I$48*(1+'El og plugin hybrid'!#REF!/100)^-$B87</f>
        <v>#REF!</v>
      </c>
      <c r="J87" s="272"/>
      <c r="K87" s="272" t="e">
        <f>(IF('El og plugin hybrid'!#REF!="nej",-IF(100-(100+'El og plugin hybrid'!K$86)*$B87/'El og plugin hybrid'!K$55&lt;0,0,100-(100+'El og plugin hybrid'!K$86)*$B87/'El og plugin hybrid'!K$55)/100*'El og plugin hybrid'!#REF!,0)+'El og plugin hybrid'!K$87)*'El og plugin hybrid'!K$48*(1+'El og plugin hybrid'!#REF!/100)^-$B87</f>
        <v>#REF!</v>
      </c>
      <c r="L87" s="272"/>
      <c r="M87" s="272" t="e">
        <f>(IF('El og plugin hybrid'!#REF!="nej",-IF(100-(100+'El og plugin hybrid'!M$86)*$B87/'El og plugin hybrid'!M$55&lt;0,0,100-(100+'El og plugin hybrid'!M$86)*$B87/'El og plugin hybrid'!M$55)/100*'El og plugin hybrid'!#REF!,0)+'El og plugin hybrid'!M$87)*'El og plugin hybrid'!M$48*(1+'El og plugin hybrid'!#REF!/100)^-$B87</f>
        <v>#REF!</v>
      </c>
      <c r="N87" s="272"/>
      <c r="O87" s="272" t="e">
        <f>(IF('El og plugin hybrid'!#REF!="nej",-IF(100-(100+'El og plugin hybrid'!O$86)*$B87/'El og plugin hybrid'!O$55&lt;0,0,100-(100+'El og plugin hybrid'!O$86)*$B87/'El og plugin hybrid'!O$55)/100*'El og plugin hybrid'!#REF!,0)+'El og plugin hybrid'!O$87)*'El og plugin hybrid'!O$48*(1+'El og plugin hybrid'!#REF!/100)^-$B87</f>
        <v>#REF!</v>
      </c>
      <c r="P87" s="272"/>
      <c r="Q87" s="272" t="e">
        <f>(IF('El og plugin hybrid'!#REF!="nej",-IF(100-(100+'El og plugin hybrid'!Q$86)*$B87/'El og plugin hybrid'!Q$55&lt;0,0,100-(100+'El og plugin hybrid'!Q$86)*$B87/'El og plugin hybrid'!Q$55)/100*'El og plugin hybrid'!#REF!,0)+'El og plugin hybrid'!Q$87)*'El og plugin hybrid'!Q$48*(1+'El og plugin hybrid'!#REF!/100)^-$B87</f>
        <v>#REF!</v>
      </c>
      <c r="R87" s="272"/>
      <c r="S87" s="272" t="e">
        <f>(IF('El og plugin hybrid'!#REF!="nej",-IF(100-(100+'El og plugin hybrid'!S$86)*$B87/'El og plugin hybrid'!S$55&lt;0,0,100-(100+'El og plugin hybrid'!S$86)*$B87/'El og plugin hybrid'!S$55)/100*'El og plugin hybrid'!#REF!,0)+'El og plugin hybrid'!S$87)*'El og plugin hybrid'!S$48*(1+'El og plugin hybrid'!#REF!/100)^-$B87</f>
        <v>#REF!</v>
      </c>
      <c r="U87" s="272" t="e">
        <f>(IF('El og plugin hybrid'!#REF!="nej",-IF(100-(100+'El og plugin hybrid'!Y$86)*$B87/'El og plugin hybrid'!Y$55&lt;0,0,100-(100+'El og plugin hybrid'!Y$86)*$B87/'El og plugin hybrid'!Y$55)/100*'El og plugin hybrid'!#REF!,0)+'El og plugin hybrid'!Y$87)*'El og plugin hybrid'!Y$48*(1+'El og plugin hybrid'!#REF!/100)^-$B87</f>
        <v>#REF!</v>
      </c>
      <c r="W87" s="272" t="e">
        <f>(IF('El og plugin hybrid'!#REF!="nej",-IF(100-(100+'El og plugin hybrid'!AA$86)*$B87/'El og plugin hybrid'!AA$55&lt;0,0,100-(100+'El og plugin hybrid'!AA$86)*$B87/'El og plugin hybrid'!AA$55)/100*'El og plugin hybrid'!#REF!,0)+'El og plugin hybrid'!AA$87)*'El og plugin hybrid'!AA$48*(1+'El og plugin hybrid'!#REF!/100)^-$B87</f>
        <v>#REF!</v>
      </c>
    </row>
    <row r="88" spans="1:23" hidden="1" outlineLevel="1">
      <c r="A88" s="248"/>
      <c r="B88" s="271">
        <v>16</v>
      </c>
      <c r="C88" s="271">
        <f t="shared" si="4"/>
        <v>16</v>
      </c>
      <c r="D88" s="248"/>
      <c r="E88" s="272" t="e">
        <f>(IF('El og plugin hybrid'!#REF!="nej",-IF(100-(100+'El og plugin hybrid'!E$86)*$B88/'El og plugin hybrid'!E$55&lt;0,0,100-(100+'El og plugin hybrid'!E$86)*$B88/'El og plugin hybrid'!E$55)/100*'El og plugin hybrid'!#REF!,0)+'El og plugin hybrid'!E$87)*'El og plugin hybrid'!E$48*(1+'El og plugin hybrid'!#REF!/100)^-$B88</f>
        <v>#REF!</v>
      </c>
      <c r="F88" s="272"/>
      <c r="G88" s="272" t="e">
        <f>(IF('El og plugin hybrid'!#REF!="nej",-IF(100-(100+'El og plugin hybrid'!G$86)*$B88/'El og plugin hybrid'!G$55&lt;0,0,100-(100+'El og plugin hybrid'!G$86)*$B88/'El og plugin hybrid'!G$55)/100*'El og plugin hybrid'!#REF!,0)+'El og plugin hybrid'!G$87)*'El og plugin hybrid'!G$48*(1+'El og plugin hybrid'!#REF!/100)^-$B88</f>
        <v>#REF!</v>
      </c>
      <c r="H88" s="272"/>
      <c r="I88" s="272" t="e">
        <f>(IF('El og plugin hybrid'!#REF!="nej",-IF(100-(100+'El og plugin hybrid'!I$86)*$B88/'El og plugin hybrid'!I$55&lt;0,0,100-(100+'El og plugin hybrid'!I$86)*$B88/'El og plugin hybrid'!I$55)/100*'El og plugin hybrid'!#REF!,0)+'El og plugin hybrid'!I$87)*'El og plugin hybrid'!I$48*(1+'El og plugin hybrid'!#REF!/100)^-$B88</f>
        <v>#REF!</v>
      </c>
      <c r="J88" s="272"/>
      <c r="K88" s="272" t="e">
        <f>(IF('El og plugin hybrid'!#REF!="nej",-IF(100-(100+'El og plugin hybrid'!K$86)*$B88/'El og plugin hybrid'!K$55&lt;0,0,100-(100+'El og plugin hybrid'!K$86)*$B88/'El og plugin hybrid'!K$55)/100*'El og plugin hybrid'!#REF!,0)+'El og plugin hybrid'!K$87)*'El og plugin hybrid'!K$48*(1+'El og plugin hybrid'!#REF!/100)^-$B88</f>
        <v>#REF!</v>
      </c>
      <c r="L88" s="272"/>
      <c r="M88" s="272" t="e">
        <f>(IF('El og plugin hybrid'!#REF!="nej",-IF(100-(100+'El og plugin hybrid'!M$86)*$B88/'El og plugin hybrid'!M$55&lt;0,0,100-(100+'El og plugin hybrid'!M$86)*$B88/'El og plugin hybrid'!M$55)/100*'El og plugin hybrid'!#REF!,0)+'El og plugin hybrid'!M$87)*'El og plugin hybrid'!M$48*(1+'El og plugin hybrid'!#REF!/100)^-$B88</f>
        <v>#REF!</v>
      </c>
      <c r="N88" s="272"/>
      <c r="O88" s="272" t="e">
        <f>(IF('El og plugin hybrid'!#REF!="nej",-IF(100-(100+'El og plugin hybrid'!O$86)*$B88/'El og plugin hybrid'!O$55&lt;0,0,100-(100+'El og plugin hybrid'!O$86)*$B88/'El og plugin hybrid'!O$55)/100*'El og plugin hybrid'!#REF!,0)+'El og plugin hybrid'!O$87)*'El og plugin hybrid'!O$48*(1+'El og plugin hybrid'!#REF!/100)^-$B88</f>
        <v>#REF!</v>
      </c>
      <c r="P88" s="272"/>
      <c r="Q88" s="272" t="e">
        <f>(IF('El og plugin hybrid'!#REF!="nej",-IF(100-(100+'El og plugin hybrid'!Q$86)*$B88/'El og plugin hybrid'!Q$55&lt;0,0,100-(100+'El og plugin hybrid'!Q$86)*$B88/'El og plugin hybrid'!Q$55)/100*'El og plugin hybrid'!#REF!,0)+'El og plugin hybrid'!Q$87)*'El og plugin hybrid'!Q$48*(1+'El og plugin hybrid'!#REF!/100)^-$B88</f>
        <v>#REF!</v>
      </c>
      <c r="R88" s="272"/>
      <c r="S88" s="272" t="e">
        <f>(IF('El og plugin hybrid'!#REF!="nej",-IF(100-(100+'El og plugin hybrid'!S$86)*$B88/'El og plugin hybrid'!S$55&lt;0,0,100-(100+'El og plugin hybrid'!S$86)*$B88/'El og plugin hybrid'!S$55)/100*'El og plugin hybrid'!#REF!,0)+'El og plugin hybrid'!S$87)*'El og plugin hybrid'!S$48*(1+'El og plugin hybrid'!#REF!/100)^-$B88</f>
        <v>#REF!</v>
      </c>
      <c r="U88" s="272" t="e">
        <f>(IF('El og plugin hybrid'!#REF!="nej",-IF(100-(100+'El og plugin hybrid'!Y$86)*$B88/'El og plugin hybrid'!Y$55&lt;0,0,100-(100+'El og plugin hybrid'!Y$86)*$B88/'El og plugin hybrid'!Y$55)/100*'El og plugin hybrid'!#REF!,0)+'El og plugin hybrid'!Y$87)*'El og plugin hybrid'!Y$48*(1+'El og plugin hybrid'!#REF!/100)^-$B88</f>
        <v>#REF!</v>
      </c>
      <c r="W88" s="272" t="e">
        <f>(IF('El og plugin hybrid'!#REF!="nej",-IF(100-(100+'El og plugin hybrid'!AA$86)*$B88/'El og plugin hybrid'!AA$55&lt;0,0,100-(100+'El og plugin hybrid'!AA$86)*$B88/'El og plugin hybrid'!AA$55)/100*'El og plugin hybrid'!#REF!,0)+'El og plugin hybrid'!AA$87)*'El og plugin hybrid'!AA$48*(1+'El og plugin hybrid'!#REF!/100)^-$B88</f>
        <v>#REF!</v>
      </c>
    </row>
    <row r="89" spans="1:23" hidden="1" outlineLevel="1">
      <c r="A89" s="248"/>
      <c r="B89" s="271">
        <v>17</v>
      </c>
      <c r="C89" s="271">
        <f t="shared" si="4"/>
        <v>17</v>
      </c>
      <c r="D89" s="248"/>
      <c r="E89" s="272" t="e">
        <f>(IF('El og plugin hybrid'!#REF!="nej",-IF(100-(100+'El og plugin hybrid'!E$86)*$B89/'El og plugin hybrid'!E$55&lt;0,0,100-(100+'El og plugin hybrid'!E$86)*$B89/'El og plugin hybrid'!E$55)/100*'El og plugin hybrid'!#REF!,0)+'El og plugin hybrid'!E$87)*'El og plugin hybrid'!E$48*(1+'El og plugin hybrid'!#REF!/100)^-$B89</f>
        <v>#REF!</v>
      </c>
      <c r="F89" s="272"/>
      <c r="G89" s="272" t="e">
        <f>(IF('El og plugin hybrid'!#REF!="nej",-IF(100-(100+'El og plugin hybrid'!G$86)*$B89/'El og plugin hybrid'!G$55&lt;0,0,100-(100+'El og plugin hybrid'!G$86)*$B89/'El og plugin hybrid'!G$55)/100*'El og plugin hybrid'!#REF!,0)+'El og plugin hybrid'!G$87)*'El og plugin hybrid'!G$48*(1+'El og plugin hybrid'!#REF!/100)^-$B89</f>
        <v>#REF!</v>
      </c>
      <c r="H89" s="272"/>
      <c r="I89" s="272" t="e">
        <f>(IF('El og plugin hybrid'!#REF!="nej",-IF(100-(100+'El og plugin hybrid'!I$86)*$B89/'El og plugin hybrid'!I$55&lt;0,0,100-(100+'El og plugin hybrid'!I$86)*$B89/'El og plugin hybrid'!I$55)/100*'El og plugin hybrid'!#REF!,0)+'El og plugin hybrid'!I$87)*'El og plugin hybrid'!I$48*(1+'El og plugin hybrid'!#REF!/100)^-$B89</f>
        <v>#REF!</v>
      </c>
      <c r="J89" s="272"/>
      <c r="K89" s="272" t="e">
        <f>(IF('El og plugin hybrid'!#REF!="nej",-IF(100-(100+'El og plugin hybrid'!K$86)*$B89/'El og plugin hybrid'!K$55&lt;0,0,100-(100+'El og plugin hybrid'!K$86)*$B89/'El og plugin hybrid'!K$55)/100*'El og plugin hybrid'!#REF!,0)+'El og plugin hybrid'!K$87)*'El og plugin hybrid'!K$48*(1+'El og plugin hybrid'!#REF!/100)^-$B89</f>
        <v>#REF!</v>
      </c>
      <c r="L89" s="272"/>
      <c r="M89" s="272" t="e">
        <f>(IF('El og plugin hybrid'!#REF!="nej",-IF(100-(100+'El og plugin hybrid'!M$86)*$B89/'El og plugin hybrid'!M$55&lt;0,0,100-(100+'El og plugin hybrid'!M$86)*$B89/'El og plugin hybrid'!M$55)/100*'El og plugin hybrid'!#REF!,0)+'El og plugin hybrid'!M$87)*'El og plugin hybrid'!M$48*(1+'El og plugin hybrid'!#REF!/100)^-$B89</f>
        <v>#REF!</v>
      </c>
      <c r="N89" s="272"/>
      <c r="O89" s="272" t="e">
        <f>(IF('El og plugin hybrid'!#REF!="nej",-IF(100-(100+'El og plugin hybrid'!O$86)*$B89/'El og plugin hybrid'!O$55&lt;0,0,100-(100+'El og plugin hybrid'!O$86)*$B89/'El og plugin hybrid'!O$55)/100*'El og plugin hybrid'!#REF!,0)+'El og plugin hybrid'!O$87)*'El og plugin hybrid'!O$48*(1+'El og plugin hybrid'!#REF!/100)^-$B89</f>
        <v>#REF!</v>
      </c>
      <c r="P89" s="272"/>
      <c r="Q89" s="272" t="e">
        <f>(IF('El og plugin hybrid'!#REF!="nej",-IF(100-(100+'El og plugin hybrid'!Q$86)*$B89/'El og plugin hybrid'!Q$55&lt;0,0,100-(100+'El og plugin hybrid'!Q$86)*$B89/'El og plugin hybrid'!Q$55)/100*'El og plugin hybrid'!#REF!,0)+'El og plugin hybrid'!Q$87)*'El og plugin hybrid'!Q$48*(1+'El og plugin hybrid'!#REF!/100)^-$B89</f>
        <v>#REF!</v>
      </c>
      <c r="R89" s="272"/>
      <c r="S89" s="272" t="e">
        <f>(IF('El og plugin hybrid'!#REF!="nej",-IF(100-(100+'El og plugin hybrid'!S$86)*$B89/'El og plugin hybrid'!S$55&lt;0,0,100-(100+'El og plugin hybrid'!S$86)*$B89/'El og plugin hybrid'!S$55)/100*'El og plugin hybrid'!#REF!,0)+'El og plugin hybrid'!S$87)*'El og plugin hybrid'!S$48*(1+'El og plugin hybrid'!#REF!/100)^-$B89</f>
        <v>#REF!</v>
      </c>
      <c r="U89" s="272" t="e">
        <f>(IF('El og plugin hybrid'!#REF!="nej",-IF(100-(100+'El og plugin hybrid'!Y$86)*$B89/'El og plugin hybrid'!Y$55&lt;0,0,100-(100+'El og plugin hybrid'!Y$86)*$B89/'El og plugin hybrid'!Y$55)/100*'El og plugin hybrid'!#REF!,0)+'El og plugin hybrid'!Y$87)*'El og plugin hybrid'!Y$48*(1+'El og plugin hybrid'!#REF!/100)^-$B89</f>
        <v>#REF!</v>
      </c>
      <c r="W89" s="272" t="e">
        <f>(IF('El og plugin hybrid'!#REF!="nej",-IF(100-(100+'El og plugin hybrid'!AA$86)*$B89/'El og plugin hybrid'!AA$55&lt;0,0,100-(100+'El og plugin hybrid'!AA$86)*$B89/'El og plugin hybrid'!AA$55)/100*'El og plugin hybrid'!#REF!,0)+'El og plugin hybrid'!AA$87)*'El og plugin hybrid'!AA$48*(1+'El og plugin hybrid'!#REF!/100)^-$B89</f>
        <v>#REF!</v>
      </c>
    </row>
    <row r="90" spans="1:23" hidden="1" outlineLevel="1">
      <c r="A90" s="248"/>
      <c r="B90" s="271">
        <v>18</v>
      </c>
      <c r="C90" s="271">
        <f t="shared" si="4"/>
        <v>18</v>
      </c>
      <c r="D90" s="248"/>
      <c r="E90" s="272" t="e">
        <f>(IF('El og plugin hybrid'!#REF!="nej",-IF(100-(100+'El og plugin hybrid'!E$86)*$B90/'El og plugin hybrid'!E$55&lt;0,0,100-(100+'El og plugin hybrid'!E$86)*$B90/'El og plugin hybrid'!E$55)/100*'El og plugin hybrid'!#REF!,0)+'El og plugin hybrid'!E$87)*'El og plugin hybrid'!E$48*(1+'El og plugin hybrid'!#REF!/100)^-$B90</f>
        <v>#REF!</v>
      </c>
      <c r="F90" s="272"/>
      <c r="G90" s="272" t="e">
        <f>(IF('El og plugin hybrid'!#REF!="nej",-IF(100-(100+'El og plugin hybrid'!G$86)*$B90/'El og plugin hybrid'!G$55&lt;0,0,100-(100+'El og plugin hybrid'!G$86)*$B90/'El og plugin hybrid'!G$55)/100*'El og plugin hybrid'!#REF!,0)+'El og plugin hybrid'!G$87)*'El og plugin hybrid'!G$48*(1+'El og plugin hybrid'!#REF!/100)^-$B90</f>
        <v>#REF!</v>
      </c>
      <c r="H90" s="272"/>
      <c r="I90" s="272" t="e">
        <f>(IF('El og plugin hybrid'!#REF!="nej",-IF(100-(100+'El og plugin hybrid'!I$86)*$B90/'El og plugin hybrid'!I$55&lt;0,0,100-(100+'El og plugin hybrid'!I$86)*$B90/'El og plugin hybrid'!I$55)/100*'El og plugin hybrid'!#REF!,0)+'El og plugin hybrid'!I$87)*'El og plugin hybrid'!I$48*(1+'El og plugin hybrid'!#REF!/100)^-$B90</f>
        <v>#REF!</v>
      </c>
      <c r="J90" s="272"/>
      <c r="K90" s="272" t="e">
        <f>(IF('El og plugin hybrid'!#REF!="nej",-IF(100-(100+'El og plugin hybrid'!K$86)*$B90/'El og plugin hybrid'!K$55&lt;0,0,100-(100+'El og plugin hybrid'!K$86)*$B90/'El og plugin hybrid'!K$55)/100*'El og plugin hybrid'!#REF!,0)+'El og plugin hybrid'!K$87)*'El og plugin hybrid'!K$48*(1+'El og plugin hybrid'!#REF!/100)^-$B90</f>
        <v>#REF!</v>
      </c>
      <c r="L90" s="272"/>
      <c r="M90" s="272" t="e">
        <f>(IF('El og plugin hybrid'!#REF!="nej",-IF(100-(100+'El og plugin hybrid'!M$86)*$B90/'El og plugin hybrid'!M$55&lt;0,0,100-(100+'El og plugin hybrid'!M$86)*$B90/'El og plugin hybrid'!M$55)/100*'El og plugin hybrid'!#REF!,0)+'El og plugin hybrid'!M$87)*'El og plugin hybrid'!M$48*(1+'El og plugin hybrid'!#REF!/100)^-$B90</f>
        <v>#REF!</v>
      </c>
      <c r="N90" s="272"/>
      <c r="O90" s="272" t="e">
        <f>(IF('El og plugin hybrid'!#REF!="nej",-IF(100-(100+'El og plugin hybrid'!O$86)*$B90/'El og plugin hybrid'!O$55&lt;0,0,100-(100+'El og plugin hybrid'!O$86)*$B90/'El og plugin hybrid'!O$55)/100*'El og plugin hybrid'!#REF!,0)+'El og plugin hybrid'!O$87)*'El og plugin hybrid'!O$48*(1+'El og plugin hybrid'!#REF!/100)^-$B90</f>
        <v>#REF!</v>
      </c>
      <c r="P90" s="272"/>
      <c r="Q90" s="272" t="e">
        <f>(IF('El og plugin hybrid'!#REF!="nej",-IF(100-(100+'El og plugin hybrid'!Q$86)*$B90/'El og plugin hybrid'!Q$55&lt;0,0,100-(100+'El og plugin hybrid'!Q$86)*$B90/'El og plugin hybrid'!Q$55)/100*'El og plugin hybrid'!#REF!,0)+'El og plugin hybrid'!Q$87)*'El og plugin hybrid'!Q$48*(1+'El og plugin hybrid'!#REF!/100)^-$B90</f>
        <v>#REF!</v>
      </c>
      <c r="R90" s="272"/>
      <c r="S90" s="272" t="e">
        <f>(IF('El og plugin hybrid'!#REF!="nej",-IF(100-(100+'El og plugin hybrid'!S$86)*$B90/'El og plugin hybrid'!S$55&lt;0,0,100-(100+'El og plugin hybrid'!S$86)*$B90/'El og plugin hybrid'!S$55)/100*'El og plugin hybrid'!#REF!,0)+'El og plugin hybrid'!S$87)*'El og plugin hybrid'!S$48*(1+'El og plugin hybrid'!#REF!/100)^-$B90</f>
        <v>#REF!</v>
      </c>
      <c r="U90" s="272" t="e">
        <f>(IF('El og plugin hybrid'!#REF!="nej",-IF(100-(100+'El og plugin hybrid'!Y$86)*$B90/'El og plugin hybrid'!Y$55&lt;0,0,100-(100+'El og plugin hybrid'!Y$86)*$B90/'El og plugin hybrid'!Y$55)/100*'El og plugin hybrid'!#REF!,0)+'El og plugin hybrid'!Y$87)*'El og plugin hybrid'!Y$48*(1+'El og plugin hybrid'!#REF!/100)^-$B90</f>
        <v>#REF!</v>
      </c>
      <c r="W90" s="272" t="e">
        <f>(IF('El og plugin hybrid'!#REF!="nej",-IF(100-(100+'El og plugin hybrid'!AA$86)*$B90/'El og plugin hybrid'!AA$55&lt;0,0,100-(100+'El og plugin hybrid'!AA$86)*$B90/'El og plugin hybrid'!AA$55)/100*'El og plugin hybrid'!#REF!,0)+'El og plugin hybrid'!AA$87)*'El og plugin hybrid'!AA$48*(1+'El og plugin hybrid'!#REF!/100)^-$B90</f>
        <v>#REF!</v>
      </c>
    </row>
    <row r="91" spans="1:23" hidden="1" outlineLevel="1">
      <c r="A91" s="248"/>
      <c r="B91" s="271">
        <v>19</v>
      </c>
      <c r="C91" s="271">
        <f t="shared" si="4"/>
        <v>19</v>
      </c>
      <c r="D91" s="248"/>
      <c r="E91" s="272" t="e">
        <f>(IF('El og plugin hybrid'!#REF!="nej",-IF(100-(100+'El og plugin hybrid'!E$86)*$B91/'El og plugin hybrid'!E$55&lt;0,0,100-(100+'El og plugin hybrid'!E$86)*$B91/'El og plugin hybrid'!E$55)/100*'El og plugin hybrid'!#REF!,0)+'El og plugin hybrid'!E$87)*'El og plugin hybrid'!E$48*(1+'El og plugin hybrid'!#REF!/100)^-$B91</f>
        <v>#REF!</v>
      </c>
      <c r="F91" s="272"/>
      <c r="G91" s="272" t="e">
        <f>(IF('El og plugin hybrid'!#REF!="nej",-IF(100-(100+'El og plugin hybrid'!G$86)*$B91/'El og plugin hybrid'!G$55&lt;0,0,100-(100+'El og plugin hybrid'!G$86)*$B91/'El og plugin hybrid'!G$55)/100*'El og plugin hybrid'!#REF!,0)+'El og plugin hybrid'!G$87)*'El og plugin hybrid'!G$48*(1+'El og plugin hybrid'!#REF!/100)^-$B91</f>
        <v>#REF!</v>
      </c>
      <c r="H91" s="272"/>
      <c r="I91" s="272" t="e">
        <f>(IF('El og plugin hybrid'!#REF!="nej",-IF(100-(100+'El og plugin hybrid'!I$86)*$B91/'El og plugin hybrid'!I$55&lt;0,0,100-(100+'El og plugin hybrid'!I$86)*$B91/'El og plugin hybrid'!I$55)/100*'El og plugin hybrid'!#REF!,0)+'El og plugin hybrid'!I$87)*'El og plugin hybrid'!I$48*(1+'El og plugin hybrid'!#REF!/100)^-$B91</f>
        <v>#REF!</v>
      </c>
      <c r="J91" s="272"/>
      <c r="K91" s="272" t="e">
        <f>(IF('El og plugin hybrid'!#REF!="nej",-IF(100-(100+'El og plugin hybrid'!K$86)*$B91/'El og plugin hybrid'!K$55&lt;0,0,100-(100+'El og plugin hybrid'!K$86)*$B91/'El og plugin hybrid'!K$55)/100*'El og plugin hybrid'!#REF!,0)+'El og plugin hybrid'!K$87)*'El og plugin hybrid'!K$48*(1+'El og plugin hybrid'!#REF!/100)^-$B91</f>
        <v>#REF!</v>
      </c>
      <c r="L91" s="272"/>
      <c r="M91" s="272" t="e">
        <f>(IF('El og plugin hybrid'!#REF!="nej",-IF(100-(100+'El og plugin hybrid'!M$86)*$B91/'El og plugin hybrid'!M$55&lt;0,0,100-(100+'El og plugin hybrid'!M$86)*$B91/'El og plugin hybrid'!M$55)/100*'El og plugin hybrid'!#REF!,0)+'El og plugin hybrid'!M$87)*'El og plugin hybrid'!M$48*(1+'El og plugin hybrid'!#REF!/100)^-$B91</f>
        <v>#REF!</v>
      </c>
      <c r="N91" s="272"/>
      <c r="O91" s="272" t="e">
        <f>(IF('El og plugin hybrid'!#REF!="nej",-IF(100-(100+'El og plugin hybrid'!O$86)*$B91/'El og plugin hybrid'!O$55&lt;0,0,100-(100+'El og plugin hybrid'!O$86)*$B91/'El og plugin hybrid'!O$55)/100*'El og plugin hybrid'!#REF!,0)+'El og plugin hybrid'!O$87)*'El og plugin hybrid'!O$48*(1+'El og plugin hybrid'!#REF!/100)^-$B91</f>
        <v>#REF!</v>
      </c>
      <c r="P91" s="272"/>
      <c r="Q91" s="272" t="e">
        <f>(IF('El og plugin hybrid'!#REF!="nej",-IF(100-(100+'El og plugin hybrid'!Q$86)*$B91/'El og plugin hybrid'!Q$55&lt;0,0,100-(100+'El og plugin hybrid'!Q$86)*$B91/'El og plugin hybrid'!Q$55)/100*'El og plugin hybrid'!#REF!,0)+'El og plugin hybrid'!Q$87)*'El og plugin hybrid'!Q$48*(1+'El og plugin hybrid'!#REF!/100)^-$B91</f>
        <v>#REF!</v>
      </c>
      <c r="R91" s="272"/>
      <c r="S91" s="272" t="e">
        <f>(IF('El og plugin hybrid'!#REF!="nej",-IF(100-(100+'El og plugin hybrid'!S$86)*$B91/'El og plugin hybrid'!S$55&lt;0,0,100-(100+'El og plugin hybrid'!S$86)*$B91/'El og plugin hybrid'!S$55)/100*'El og plugin hybrid'!#REF!,0)+'El og plugin hybrid'!S$87)*'El og plugin hybrid'!S$48*(1+'El og plugin hybrid'!#REF!/100)^-$B91</f>
        <v>#REF!</v>
      </c>
      <c r="U91" s="272" t="e">
        <f>(IF('El og plugin hybrid'!#REF!="nej",-IF(100-(100+'El og plugin hybrid'!Y$86)*$B91/'El og plugin hybrid'!Y$55&lt;0,0,100-(100+'El og plugin hybrid'!Y$86)*$B91/'El og plugin hybrid'!Y$55)/100*'El og plugin hybrid'!#REF!,0)+'El og plugin hybrid'!Y$87)*'El og plugin hybrid'!Y$48*(1+'El og plugin hybrid'!#REF!/100)^-$B91</f>
        <v>#REF!</v>
      </c>
      <c r="W91" s="272" t="e">
        <f>(IF('El og plugin hybrid'!#REF!="nej",-IF(100-(100+'El og plugin hybrid'!AA$86)*$B91/'El og plugin hybrid'!AA$55&lt;0,0,100-(100+'El og plugin hybrid'!AA$86)*$B91/'El og plugin hybrid'!AA$55)/100*'El og plugin hybrid'!#REF!,0)+'El og plugin hybrid'!AA$87)*'El og plugin hybrid'!AA$48*(1+'El og plugin hybrid'!#REF!/100)^-$B91</f>
        <v>#REF!</v>
      </c>
    </row>
    <row r="92" spans="1:23" hidden="1" outlineLevel="1">
      <c r="A92" s="248"/>
      <c r="B92" s="271">
        <v>20</v>
      </c>
      <c r="C92" s="271">
        <f t="shared" si="4"/>
        <v>20</v>
      </c>
      <c r="D92" s="248"/>
      <c r="E92" s="272" t="e">
        <f>(IF('El og plugin hybrid'!#REF!="nej",-IF(100-(100+'El og plugin hybrid'!E$86)*$B92/'El og plugin hybrid'!E$55&lt;0,0,100-(100+'El og plugin hybrid'!E$86)*$B92/'El og plugin hybrid'!E$55)/100*'El og plugin hybrid'!#REF!,0)+'El og plugin hybrid'!E$87)*'El og plugin hybrid'!E$48*(1+'El og plugin hybrid'!#REF!/100)^-$B92</f>
        <v>#REF!</v>
      </c>
      <c r="F92" s="272"/>
      <c r="G92" s="272" t="e">
        <f>(IF('El og plugin hybrid'!#REF!="nej",-IF(100-(100+'El og plugin hybrid'!G$86)*$B92/'El og plugin hybrid'!G$55&lt;0,0,100-(100+'El og plugin hybrid'!G$86)*$B92/'El og plugin hybrid'!G$55)/100*'El og plugin hybrid'!#REF!,0)+'El og plugin hybrid'!G$87)*'El og plugin hybrid'!G$48*(1+'El og plugin hybrid'!#REF!/100)^-$B92</f>
        <v>#REF!</v>
      </c>
      <c r="H92" s="272"/>
      <c r="I92" s="272" t="e">
        <f>(IF('El og plugin hybrid'!#REF!="nej",-IF(100-(100+'El og plugin hybrid'!I$86)*$B92/'El og plugin hybrid'!I$55&lt;0,0,100-(100+'El og plugin hybrid'!I$86)*$B92/'El og plugin hybrid'!I$55)/100*'El og plugin hybrid'!#REF!,0)+'El og plugin hybrid'!I$87)*'El og plugin hybrid'!I$48*(1+'El og plugin hybrid'!#REF!/100)^-$B92</f>
        <v>#REF!</v>
      </c>
      <c r="J92" s="272"/>
      <c r="K92" s="272" t="e">
        <f>(IF('El og plugin hybrid'!#REF!="nej",-IF(100-(100+'El og plugin hybrid'!K$86)*$B92/'El og plugin hybrid'!K$55&lt;0,0,100-(100+'El og plugin hybrid'!K$86)*$B92/'El og plugin hybrid'!K$55)/100*'El og plugin hybrid'!#REF!,0)+'El og plugin hybrid'!K$87)*'El og plugin hybrid'!K$48*(1+'El og plugin hybrid'!#REF!/100)^-$B92</f>
        <v>#REF!</v>
      </c>
      <c r="L92" s="272"/>
      <c r="M92" s="272" t="e">
        <f>(IF('El og plugin hybrid'!#REF!="nej",-IF(100-(100+'El og plugin hybrid'!M$86)*$B92/'El og plugin hybrid'!M$55&lt;0,0,100-(100+'El og plugin hybrid'!M$86)*$B92/'El og plugin hybrid'!M$55)/100*'El og plugin hybrid'!#REF!,0)+'El og plugin hybrid'!M$87)*'El og plugin hybrid'!M$48*(1+'El og plugin hybrid'!#REF!/100)^-$B92</f>
        <v>#REF!</v>
      </c>
      <c r="N92" s="272"/>
      <c r="O92" s="272" t="e">
        <f>(IF('El og plugin hybrid'!#REF!="nej",-IF(100-(100+'El og plugin hybrid'!O$86)*$B92/'El og plugin hybrid'!O$55&lt;0,0,100-(100+'El og plugin hybrid'!O$86)*$B92/'El og plugin hybrid'!O$55)/100*'El og plugin hybrid'!#REF!,0)+'El og plugin hybrid'!O$87)*'El og plugin hybrid'!O$48*(1+'El og plugin hybrid'!#REF!/100)^-$B92</f>
        <v>#REF!</v>
      </c>
      <c r="P92" s="272"/>
      <c r="Q92" s="272" t="e">
        <f>(IF('El og plugin hybrid'!#REF!="nej",-IF(100-(100+'El og plugin hybrid'!Q$86)*$B92/'El og plugin hybrid'!Q$55&lt;0,0,100-(100+'El og plugin hybrid'!Q$86)*$B92/'El og plugin hybrid'!Q$55)/100*'El og plugin hybrid'!#REF!,0)+'El og plugin hybrid'!Q$87)*'El og plugin hybrid'!Q$48*(1+'El og plugin hybrid'!#REF!/100)^-$B92</f>
        <v>#REF!</v>
      </c>
      <c r="R92" s="272"/>
      <c r="S92" s="272" t="e">
        <f>(IF('El og plugin hybrid'!#REF!="nej",-IF(100-(100+'El og plugin hybrid'!S$86)*$B92/'El og plugin hybrid'!S$55&lt;0,0,100-(100+'El og plugin hybrid'!S$86)*$B92/'El og plugin hybrid'!S$55)/100*'El og plugin hybrid'!#REF!,0)+'El og plugin hybrid'!S$87)*'El og plugin hybrid'!S$48*(1+'El og plugin hybrid'!#REF!/100)^-$B92</f>
        <v>#REF!</v>
      </c>
      <c r="U92" s="272" t="e">
        <f>(IF('El og plugin hybrid'!#REF!="nej",-IF(100-(100+'El og plugin hybrid'!Y$86)*$B92/'El og plugin hybrid'!Y$55&lt;0,0,100-(100+'El og plugin hybrid'!Y$86)*$B92/'El og plugin hybrid'!Y$55)/100*'El og plugin hybrid'!#REF!,0)+'El og plugin hybrid'!Y$87)*'El og plugin hybrid'!Y$48*(1+'El og plugin hybrid'!#REF!/100)^-$B92</f>
        <v>#REF!</v>
      </c>
      <c r="W92" s="272" t="e">
        <f>(IF('El og plugin hybrid'!#REF!="nej",-IF(100-(100+'El og plugin hybrid'!AA$86)*$B92/'El og plugin hybrid'!AA$55&lt;0,0,100-(100+'El og plugin hybrid'!AA$86)*$B92/'El og plugin hybrid'!AA$55)/100*'El og plugin hybrid'!#REF!,0)+'El og plugin hybrid'!AA$87)*'El og plugin hybrid'!AA$48*(1+'El og plugin hybrid'!#REF!/100)^-$B92</f>
        <v>#REF!</v>
      </c>
    </row>
    <row r="93" spans="1:23" hidden="1" outlineLevel="1">
      <c r="A93" s="248"/>
      <c r="B93" s="271"/>
      <c r="C93" s="271"/>
      <c r="D93" s="248"/>
      <c r="E93" s="248"/>
      <c r="F93" s="248"/>
      <c r="G93" s="248"/>
      <c r="H93" s="248"/>
      <c r="I93" s="248"/>
      <c r="J93" s="248"/>
      <c r="K93" s="248"/>
      <c r="L93" s="248"/>
      <c r="M93" s="248"/>
      <c r="N93" s="248"/>
      <c r="O93" s="248"/>
      <c r="P93" s="248"/>
      <c r="Q93" s="248"/>
      <c r="R93" s="248"/>
      <c r="S93" s="248"/>
      <c r="U93" s="248"/>
      <c r="W93" s="248"/>
    </row>
    <row r="94" spans="1:23" collapsed="1">
      <c r="A94" s="136" t="s">
        <v>32</v>
      </c>
      <c r="B94" s="1"/>
      <c r="C94" s="1"/>
      <c r="D94" s="1"/>
      <c r="E94" s="1"/>
      <c r="F94" s="1"/>
      <c r="G94" s="1"/>
      <c r="H94" s="1"/>
      <c r="I94" s="1"/>
      <c r="J94" s="1"/>
      <c r="K94" s="1"/>
      <c r="L94" s="1"/>
      <c r="M94" s="1"/>
      <c r="N94" s="1"/>
      <c r="O94" s="1"/>
      <c r="P94" s="1"/>
      <c r="Q94" s="1"/>
      <c r="R94" s="1"/>
      <c r="S94" s="1"/>
      <c r="U94" s="1"/>
      <c r="W94" s="1"/>
    </row>
    <row r="95" spans="1:23">
      <c r="A95" s="1"/>
      <c r="B95" s="501" t="s">
        <v>20</v>
      </c>
      <c r="C95" s="1"/>
      <c r="D95" s="1" t="s">
        <v>21</v>
      </c>
      <c r="E95" s="499" t="str">
        <f>E25</f>
        <v>PRODUKT 1 EL</v>
      </c>
      <c r="G95" s="499" t="str">
        <f>G25</f>
        <v>PRODUKT 2 EL</v>
      </c>
      <c r="I95" s="499" t="str">
        <f>I25</f>
        <v>PRODUKT 3 EL</v>
      </c>
      <c r="K95" s="499" t="str">
        <f>K25</f>
        <v>PRODUKT 4 EL</v>
      </c>
      <c r="M95" s="499" t="str">
        <f>M25</f>
        <v>PRODUKT 5 EL</v>
      </c>
      <c r="O95" s="499" t="str">
        <f>O25</f>
        <v>PRODUKT 6 EL</v>
      </c>
      <c r="Q95" s="499" t="str">
        <f>Q25</f>
        <v>PRODUKT 7 EL</v>
      </c>
      <c r="S95" s="499" t="str">
        <f>S25</f>
        <v>PRODUKT 8 EL</v>
      </c>
      <c r="U95" s="499" t="str">
        <f>U25</f>
        <v>PRODUKT 9 EL</v>
      </c>
      <c r="W95" s="499" t="str">
        <f>W25</f>
        <v>PRODUKT 10 EL</v>
      </c>
    </row>
    <row r="96" spans="1:23">
      <c r="A96" s="1"/>
      <c r="B96" s="139">
        <v>1</v>
      </c>
      <c r="C96" s="139">
        <f>B96</f>
        <v>1</v>
      </c>
      <c r="D96" s="139"/>
      <c r="E96" s="502">
        <f>PMT('El og plugin hybrid'!E$56,$B96,-E$26)</f>
        <v>0</v>
      </c>
      <c r="F96" s="502"/>
      <c r="G96" s="502">
        <f>PMT('El og plugin hybrid'!G$56,$B96,-G$26)</f>
        <v>0</v>
      </c>
      <c r="H96" s="502"/>
      <c r="I96" s="502">
        <f>PMT('El og plugin hybrid'!I$56,$B96,-I$26)</f>
        <v>0</v>
      </c>
      <c r="J96" s="502"/>
      <c r="K96" s="502">
        <f>PMT('El og plugin hybrid'!K$56,$B96,-K$26)</f>
        <v>0</v>
      </c>
      <c r="L96" s="502"/>
      <c r="M96" s="502">
        <f>PMT('El og plugin hybrid'!M$56,$B96,-M$26)</f>
        <v>0</v>
      </c>
      <c r="N96" s="502"/>
      <c r="O96" s="502">
        <f>PMT('El og plugin hybrid'!O$56,$B96,-O$26)</f>
        <v>0</v>
      </c>
      <c r="P96" s="502"/>
      <c r="Q96" s="502">
        <f>PMT('El og plugin hybrid'!Q$56,$B96,-Q$26)</f>
        <v>0</v>
      </c>
      <c r="R96" s="502"/>
      <c r="S96" s="502">
        <f>PMT('El og plugin hybrid'!S$56,$B96,-S$26)</f>
        <v>0</v>
      </c>
      <c r="U96" s="502">
        <f>PMT('El og plugin hybrid'!U$56,$B96,-U$26)</f>
        <v>0</v>
      </c>
      <c r="W96" s="502">
        <f>PMT('El og plugin hybrid'!W$56,$B96,-W$26)</f>
        <v>0</v>
      </c>
    </row>
    <row r="97" spans="1:23">
      <c r="A97" s="1"/>
      <c r="B97" s="139">
        <v>2</v>
      </c>
      <c r="C97" s="139">
        <f t="shared" ref="C97:C115" si="5">B97</f>
        <v>2</v>
      </c>
      <c r="D97" s="139"/>
      <c r="E97" s="502">
        <f>PMT('El og plugin hybrid'!E$56,$B97,-E$26)</f>
        <v>0</v>
      </c>
      <c r="F97" s="502"/>
      <c r="G97" s="502">
        <f>PMT('El og plugin hybrid'!G$56,$B97,-G$26)</f>
        <v>0</v>
      </c>
      <c r="H97" s="502"/>
      <c r="I97" s="502">
        <f>PMT('El og plugin hybrid'!I$56,$B97,-I$26)</f>
        <v>0</v>
      </c>
      <c r="J97" s="502"/>
      <c r="K97" s="502">
        <f>PMT('El og plugin hybrid'!K$56,$B97,-K$26)</f>
        <v>0</v>
      </c>
      <c r="L97" s="502"/>
      <c r="M97" s="502">
        <f>PMT('El og plugin hybrid'!M$56,$B97,-M$26)</f>
        <v>0</v>
      </c>
      <c r="N97" s="502"/>
      <c r="O97" s="502">
        <f>PMT('El og plugin hybrid'!O$56,$B97,-O$26)</f>
        <v>0</v>
      </c>
      <c r="P97" s="502"/>
      <c r="Q97" s="502">
        <f>PMT('El og plugin hybrid'!Q$56,$B97,-Q$26)</f>
        <v>0</v>
      </c>
      <c r="R97" s="502"/>
      <c r="S97" s="502">
        <f>PMT('El og plugin hybrid'!S$56,$B97,-S$26)</f>
        <v>0</v>
      </c>
      <c r="U97" s="502">
        <f>PMT('El og plugin hybrid'!U$56,$B97,-U$26)</f>
        <v>0</v>
      </c>
      <c r="W97" s="502">
        <f>PMT('El og plugin hybrid'!W$56,$B97,-W$26)</f>
        <v>0</v>
      </c>
    </row>
    <row r="98" spans="1:23">
      <c r="A98" s="1"/>
      <c r="B98" s="139">
        <v>3</v>
      </c>
      <c r="C98" s="139">
        <f t="shared" si="5"/>
        <v>3</v>
      </c>
      <c r="D98" s="139"/>
      <c r="E98" s="502">
        <f>PMT('El og plugin hybrid'!E$56,$B98,-E$26)</f>
        <v>0</v>
      </c>
      <c r="F98" s="502"/>
      <c r="G98" s="502">
        <f>PMT('El og plugin hybrid'!G$56,$B98,-G$26)</f>
        <v>0</v>
      </c>
      <c r="H98" s="502"/>
      <c r="I98" s="502">
        <f>PMT('El og plugin hybrid'!I$56,$B98,-I$26)</f>
        <v>0</v>
      </c>
      <c r="J98" s="502"/>
      <c r="K98" s="502">
        <f>PMT('El og plugin hybrid'!K$56,$B98,-K$26)</f>
        <v>0</v>
      </c>
      <c r="L98" s="502"/>
      <c r="M98" s="502">
        <f>PMT('El og plugin hybrid'!M$56,$B98,-M$26)</f>
        <v>0</v>
      </c>
      <c r="N98" s="502"/>
      <c r="O98" s="502">
        <f>PMT('El og plugin hybrid'!O$56,$B98,-O$26)</f>
        <v>0</v>
      </c>
      <c r="P98" s="502"/>
      <c r="Q98" s="502">
        <f>PMT('El og plugin hybrid'!Q$56,$B98,-Q$26)</f>
        <v>0</v>
      </c>
      <c r="R98" s="502"/>
      <c r="S98" s="502">
        <f>PMT('El og plugin hybrid'!S$56,$B98,-S$26)</f>
        <v>0</v>
      </c>
      <c r="U98" s="502">
        <f>PMT('El og plugin hybrid'!U$56,$B98,-U$26)</f>
        <v>0</v>
      </c>
      <c r="W98" s="502">
        <f>PMT('El og plugin hybrid'!W$56,$B98,-W$26)</f>
        <v>0</v>
      </c>
    </row>
    <row r="99" spans="1:23">
      <c r="A99" s="1"/>
      <c r="B99" s="139">
        <v>4</v>
      </c>
      <c r="C99" s="139">
        <f t="shared" si="5"/>
        <v>4</v>
      </c>
      <c r="D99" s="139"/>
      <c r="E99" s="502">
        <f>PMT('El og plugin hybrid'!E$56,$B99,-E$26)</f>
        <v>0</v>
      </c>
      <c r="F99" s="502"/>
      <c r="G99" s="502">
        <f>PMT('El og plugin hybrid'!G$56,$B99,-G$26)</f>
        <v>0</v>
      </c>
      <c r="H99" s="502"/>
      <c r="I99" s="502">
        <f>PMT('El og plugin hybrid'!I$56,$B99,-I$26)</f>
        <v>0</v>
      </c>
      <c r="J99" s="502"/>
      <c r="K99" s="502">
        <f>PMT('El og plugin hybrid'!K$56,$B99,-K$26)</f>
        <v>0</v>
      </c>
      <c r="L99" s="502"/>
      <c r="M99" s="502">
        <f>PMT('El og plugin hybrid'!M$56,$B99,-M$26)</f>
        <v>0</v>
      </c>
      <c r="N99" s="502"/>
      <c r="O99" s="502">
        <f>PMT('El og plugin hybrid'!O$56,$B99,-O$26)</f>
        <v>0</v>
      </c>
      <c r="P99" s="502"/>
      <c r="Q99" s="502">
        <f>PMT('El og plugin hybrid'!Q$56,$B99,-Q$26)</f>
        <v>0</v>
      </c>
      <c r="R99" s="502"/>
      <c r="S99" s="502">
        <f>PMT('El og plugin hybrid'!S$56,$B99,-S$26)</f>
        <v>0</v>
      </c>
      <c r="U99" s="502">
        <f>PMT('El og plugin hybrid'!U$56,$B99,-U$26)</f>
        <v>0</v>
      </c>
      <c r="W99" s="502">
        <f>PMT('El og plugin hybrid'!W$56,$B99,-W$26)</f>
        <v>0</v>
      </c>
    </row>
    <row r="100" spans="1:23">
      <c r="A100" s="1"/>
      <c r="B100" s="139">
        <v>5</v>
      </c>
      <c r="C100" s="139">
        <f t="shared" si="5"/>
        <v>5</v>
      </c>
      <c r="D100" s="139"/>
      <c r="E100" s="502">
        <f>PMT('El og plugin hybrid'!E$56,$B100,-E$26)</f>
        <v>0</v>
      </c>
      <c r="F100" s="502"/>
      <c r="G100" s="502">
        <f>PMT('El og plugin hybrid'!G$56,$B100,-G$26)</f>
        <v>0</v>
      </c>
      <c r="H100" s="502"/>
      <c r="I100" s="502">
        <f>PMT('El og plugin hybrid'!I$56,$B100,-I$26)</f>
        <v>0</v>
      </c>
      <c r="J100" s="502"/>
      <c r="K100" s="502">
        <f>PMT('El og plugin hybrid'!K$56,$B100,-K$26)</f>
        <v>0</v>
      </c>
      <c r="L100" s="502"/>
      <c r="M100" s="502">
        <f>PMT('El og plugin hybrid'!M$56,$B100,-M$26)</f>
        <v>0</v>
      </c>
      <c r="N100" s="502"/>
      <c r="O100" s="502">
        <f>PMT('El og plugin hybrid'!O$56,$B100,-O$26)</f>
        <v>0</v>
      </c>
      <c r="P100" s="502"/>
      <c r="Q100" s="502">
        <f>PMT('El og plugin hybrid'!Q$56,$B100,-Q$26)</f>
        <v>0</v>
      </c>
      <c r="R100" s="502"/>
      <c r="S100" s="502">
        <f>PMT('El og plugin hybrid'!S$56,$B100,-S$26)</f>
        <v>0</v>
      </c>
      <c r="U100" s="502">
        <f>PMT('El og plugin hybrid'!U$56,$B100,-U$26)</f>
        <v>0</v>
      </c>
      <c r="W100" s="502">
        <f>PMT('El og plugin hybrid'!W$56,$B100,-W$26)</f>
        <v>0</v>
      </c>
    </row>
    <row r="101" spans="1:23">
      <c r="A101" s="1"/>
      <c r="B101" s="139">
        <v>6</v>
      </c>
      <c r="C101" s="139">
        <f t="shared" si="5"/>
        <v>6</v>
      </c>
      <c r="D101" s="139"/>
      <c r="E101" s="502">
        <f>PMT('El og plugin hybrid'!E$56,$B101,-E$26)</f>
        <v>0</v>
      </c>
      <c r="F101" s="502"/>
      <c r="G101" s="502">
        <f>PMT('El og plugin hybrid'!G$56,$B101,-G$26)</f>
        <v>0</v>
      </c>
      <c r="H101" s="502"/>
      <c r="I101" s="502">
        <f>PMT('El og plugin hybrid'!I$56,$B101,-I$26)</f>
        <v>0</v>
      </c>
      <c r="J101" s="502"/>
      <c r="K101" s="502">
        <f>PMT('El og plugin hybrid'!K$56,$B101,-K$26)</f>
        <v>0</v>
      </c>
      <c r="L101" s="502"/>
      <c r="M101" s="502">
        <f>PMT('El og plugin hybrid'!M$56,$B101,-M$26)</f>
        <v>0</v>
      </c>
      <c r="N101" s="502"/>
      <c r="O101" s="502">
        <f>PMT('El og plugin hybrid'!O$56,$B101,-O$26)</f>
        <v>0</v>
      </c>
      <c r="P101" s="502"/>
      <c r="Q101" s="502">
        <f>PMT('El og plugin hybrid'!Q$56,$B101,-Q$26)</f>
        <v>0</v>
      </c>
      <c r="R101" s="502"/>
      <c r="S101" s="502">
        <f>PMT('El og plugin hybrid'!S$56,$B101,-S$26)</f>
        <v>0</v>
      </c>
      <c r="U101" s="502">
        <f>PMT('El og plugin hybrid'!U$56,$B101,-U$26)</f>
        <v>0</v>
      </c>
      <c r="W101" s="502">
        <f>PMT('El og plugin hybrid'!W$56,$B101,-W$26)</f>
        <v>0</v>
      </c>
    </row>
    <row r="102" spans="1:23">
      <c r="A102" s="1"/>
      <c r="B102" s="139">
        <v>7</v>
      </c>
      <c r="C102" s="139">
        <f t="shared" si="5"/>
        <v>7</v>
      </c>
      <c r="D102" s="139"/>
      <c r="E102" s="502">
        <f>PMT('El og plugin hybrid'!E$56,$B102,-E$26)</f>
        <v>0</v>
      </c>
      <c r="F102" s="502"/>
      <c r="G102" s="502">
        <f>PMT('El og plugin hybrid'!G$56,$B102,-G$26)</f>
        <v>0</v>
      </c>
      <c r="H102" s="502"/>
      <c r="I102" s="502">
        <f>PMT('El og plugin hybrid'!I$56,$B102,-I$26)</f>
        <v>0</v>
      </c>
      <c r="J102" s="502"/>
      <c r="K102" s="502">
        <f>PMT('El og plugin hybrid'!K$56,$B102,-K$26)</f>
        <v>0</v>
      </c>
      <c r="L102" s="502"/>
      <c r="M102" s="502">
        <f>PMT('El og plugin hybrid'!M$56,$B102,-M$26)</f>
        <v>0</v>
      </c>
      <c r="N102" s="502"/>
      <c r="O102" s="502">
        <f>PMT('El og plugin hybrid'!O$56,$B102,-O$26)</f>
        <v>0</v>
      </c>
      <c r="P102" s="502"/>
      <c r="Q102" s="502">
        <f>PMT('El og plugin hybrid'!Q$56,$B102,-Q$26)</f>
        <v>0</v>
      </c>
      <c r="R102" s="502"/>
      <c r="S102" s="502">
        <f>PMT('El og plugin hybrid'!S$56,$B102,-S$26)</f>
        <v>0</v>
      </c>
      <c r="U102" s="502">
        <f>PMT('El og plugin hybrid'!U$56,$B102,-U$26)</f>
        <v>0</v>
      </c>
      <c r="W102" s="502">
        <f>PMT('El og plugin hybrid'!W$56,$B102,-W$26)</f>
        <v>0</v>
      </c>
    </row>
    <row r="103" spans="1:23">
      <c r="A103" s="1"/>
      <c r="B103" s="139">
        <v>8</v>
      </c>
      <c r="C103" s="139">
        <f t="shared" si="5"/>
        <v>8</v>
      </c>
      <c r="D103" s="139"/>
      <c r="E103" s="502">
        <f>PMT('El og plugin hybrid'!E$56,$B103,-E$26)</f>
        <v>0</v>
      </c>
      <c r="F103" s="502"/>
      <c r="G103" s="502">
        <f>PMT('El og plugin hybrid'!G$56,$B103,-G$26)</f>
        <v>0</v>
      </c>
      <c r="H103" s="502"/>
      <c r="I103" s="502">
        <f>PMT('El og plugin hybrid'!I$56,$B103,-I$26)</f>
        <v>0</v>
      </c>
      <c r="J103" s="502"/>
      <c r="K103" s="502">
        <f>PMT('El og plugin hybrid'!K$56,$B103,-K$26)</f>
        <v>0</v>
      </c>
      <c r="L103" s="502"/>
      <c r="M103" s="502">
        <f>PMT('El og plugin hybrid'!M$56,$B103,-M$26)</f>
        <v>0</v>
      </c>
      <c r="N103" s="502"/>
      <c r="O103" s="502">
        <f>PMT('El og plugin hybrid'!O$56,$B103,-O$26)</f>
        <v>0</v>
      </c>
      <c r="P103" s="502"/>
      <c r="Q103" s="502">
        <f>PMT('El og plugin hybrid'!Q$56,$B103,-Q$26)</f>
        <v>0</v>
      </c>
      <c r="R103" s="502"/>
      <c r="S103" s="502">
        <f>PMT('El og plugin hybrid'!S$56,$B103,-S$26)</f>
        <v>0</v>
      </c>
      <c r="U103" s="502">
        <f>PMT('El og plugin hybrid'!U$56,$B103,-U$26)</f>
        <v>0</v>
      </c>
      <c r="W103" s="502">
        <f>PMT('El og plugin hybrid'!W$56,$B103,-W$26)</f>
        <v>0</v>
      </c>
    </row>
    <row r="104" spans="1:23">
      <c r="A104" s="1"/>
      <c r="B104" s="139">
        <v>9</v>
      </c>
      <c r="C104" s="139">
        <f t="shared" si="5"/>
        <v>9</v>
      </c>
      <c r="D104" s="139"/>
      <c r="E104" s="502">
        <f>PMT('El og plugin hybrid'!E$56,$B104,-E$26)</f>
        <v>0</v>
      </c>
      <c r="F104" s="502"/>
      <c r="G104" s="502">
        <f>PMT('El og plugin hybrid'!G$56,$B104,-G$26)</f>
        <v>0</v>
      </c>
      <c r="H104" s="502"/>
      <c r="I104" s="502">
        <f>PMT('El og plugin hybrid'!I$56,$B104,-I$26)</f>
        <v>0</v>
      </c>
      <c r="J104" s="502"/>
      <c r="K104" s="502">
        <f>PMT('El og plugin hybrid'!K$56,$B104,-K$26)</f>
        <v>0</v>
      </c>
      <c r="L104" s="502"/>
      <c r="M104" s="502">
        <f>PMT('El og plugin hybrid'!M$56,$B104,-M$26)</f>
        <v>0</v>
      </c>
      <c r="N104" s="502"/>
      <c r="O104" s="502">
        <f>PMT('El og plugin hybrid'!O$56,$B104,-O$26)</f>
        <v>0</v>
      </c>
      <c r="P104" s="502"/>
      <c r="Q104" s="502">
        <f>PMT('El og plugin hybrid'!Q$56,$B104,-Q$26)</f>
        <v>0</v>
      </c>
      <c r="R104" s="502"/>
      <c r="S104" s="502">
        <f>PMT('El og plugin hybrid'!S$56,$B104,-S$26)</f>
        <v>0</v>
      </c>
      <c r="U104" s="502">
        <f>PMT('El og plugin hybrid'!U$56,$B104,-U$26)</f>
        <v>0</v>
      </c>
      <c r="W104" s="502">
        <f>PMT('El og plugin hybrid'!W$56,$B104,-W$26)</f>
        <v>0</v>
      </c>
    </row>
    <row r="105" spans="1:23">
      <c r="A105" s="1"/>
      <c r="B105" s="139">
        <v>10</v>
      </c>
      <c r="C105" s="139">
        <f t="shared" si="5"/>
        <v>10</v>
      </c>
      <c r="D105" s="139"/>
      <c r="E105" s="502">
        <f>PMT('El og plugin hybrid'!E$56,$B105,-E$26)</f>
        <v>0</v>
      </c>
      <c r="F105" s="502"/>
      <c r="G105" s="502">
        <f>PMT('El og plugin hybrid'!G$56,$B105,-G$26)</f>
        <v>0</v>
      </c>
      <c r="H105" s="502"/>
      <c r="I105" s="502">
        <f>PMT('El og plugin hybrid'!I$56,$B105,-I$26)</f>
        <v>0</v>
      </c>
      <c r="J105" s="502"/>
      <c r="K105" s="502">
        <f>PMT('El og plugin hybrid'!K$56,$B105,-K$26)</f>
        <v>0</v>
      </c>
      <c r="L105" s="502"/>
      <c r="M105" s="502">
        <f>PMT('El og plugin hybrid'!M$56,$B105,-M$26)</f>
        <v>0</v>
      </c>
      <c r="N105" s="502"/>
      <c r="O105" s="502">
        <f>PMT('El og plugin hybrid'!O$56,$B105,-O$26)</f>
        <v>0</v>
      </c>
      <c r="P105" s="502"/>
      <c r="Q105" s="502">
        <f>PMT('El og plugin hybrid'!Q$56,$B105,-Q$26)</f>
        <v>0</v>
      </c>
      <c r="R105" s="502"/>
      <c r="S105" s="502">
        <f>PMT('El og plugin hybrid'!S$56,$B105,-S$26)</f>
        <v>0</v>
      </c>
      <c r="U105" s="502">
        <f>PMT('El og plugin hybrid'!U$56,$B105,-U$26)</f>
        <v>0</v>
      </c>
      <c r="W105" s="502">
        <f>PMT('El og plugin hybrid'!W$56,$B105,-W$26)</f>
        <v>0</v>
      </c>
    </row>
    <row r="106" spans="1:23">
      <c r="A106" s="1"/>
      <c r="B106" s="139">
        <v>11</v>
      </c>
      <c r="C106" s="139">
        <f t="shared" si="5"/>
        <v>11</v>
      </c>
      <c r="D106" s="139"/>
      <c r="E106" s="502">
        <f>PMT('El og plugin hybrid'!E$56,$B106,-E$26)</f>
        <v>0</v>
      </c>
      <c r="F106" s="502"/>
      <c r="G106" s="502">
        <f>PMT('El og plugin hybrid'!G$56,$B106,-G$26)</f>
        <v>0</v>
      </c>
      <c r="H106" s="502"/>
      <c r="I106" s="502">
        <f>PMT('El og plugin hybrid'!I$56,$B106,-I$26)</f>
        <v>0</v>
      </c>
      <c r="J106" s="502"/>
      <c r="K106" s="502">
        <f>PMT('El og plugin hybrid'!K$56,$B106,-K$26)</f>
        <v>0</v>
      </c>
      <c r="L106" s="502"/>
      <c r="M106" s="502">
        <f>PMT('El og plugin hybrid'!M$56,$B106,-M$26)</f>
        <v>0</v>
      </c>
      <c r="N106" s="502"/>
      <c r="O106" s="502">
        <f>PMT('El og plugin hybrid'!O$56,$B106,-O$26)</f>
        <v>0</v>
      </c>
      <c r="P106" s="502"/>
      <c r="Q106" s="502">
        <f>PMT('El og plugin hybrid'!Q$56,$B106,-Q$26)</f>
        <v>0</v>
      </c>
      <c r="R106" s="502"/>
      <c r="S106" s="502">
        <f>PMT('El og plugin hybrid'!S$56,$B106,-S$26)</f>
        <v>0</v>
      </c>
      <c r="U106" s="502">
        <f>PMT('El og plugin hybrid'!U$56,$B106,-U$26)</f>
        <v>0</v>
      </c>
      <c r="W106" s="502">
        <f>PMT('El og plugin hybrid'!W$56,$B106,-W$26)</f>
        <v>0</v>
      </c>
    </row>
    <row r="107" spans="1:23">
      <c r="A107" s="1"/>
      <c r="B107" s="139">
        <v>12</v>
      </c>
      <c r="C107" s="139">
        <f t="shared" si="5"/>
        <v>12</v>
      </c>
      <c r="D107" s="139"/>
      <c r="E107" s="502">
        <f>PMT('El og plugin hybrid'!E$56,$B107,-E$26)</f>
        <v>0</v>
      </c>
      <c r="F107" s="502"/>
      <c r="G107" s="502">
        <f>PMT('El og plugin hybrid'!G$56,$B107,-G$26)</f>
        <v>0</v>
      </c>
      <c r="H107" s="502"/>
      <c r="I107" s="502">
        <f>PMT('El og plugin hybrid'!I$56,$B107,-I$26)</f>
        <v>0</v>
      </c>
      <c r="J107" s="502"/>
      <c r="K107" s="502">
        <f>PMT('El og plugin hybrid'!K$56,$B107,-K$26)</f>
        <v>0</v>
      </c>
      <c r="L107" s="502"/>
      <c r="M107" s="502">
        <f>PMT('El og plugin hybrid'!M$56,$B107,-M$26)</f>
        <v>0</v>
      </c>
      <c r="N107" s="502"/>
      <c r="O107" s="502">
        <f>PMT('El og plugin hybrid'!O$56,$B107,-O$26)</f>
        <v>0</v>
      </c>
      <c r="P107" s="502"/>
      <c r="Q107" s="502">
        <f>PMT('El og plugin hybrid'!Q$56,$B107,-Q$26)</f>
        <v>0</v>
      </c>
      <c r="R107" s="502"/>
      <c r="S107" s="502">
        <f>PMT('El og plugin hybrid'!S$56,$B107,-S$26)</f>
        <v>0</v>
      </c>
      <c r="U107" s="502">
        <f>PMT('El og plugin hybrid'!U$56,$B107,-U$26)</f>
        <v>0</v>
      </c>
      <c r="W107" s="502">
        <f>PMT('El og plugin hybrid'!W$56,$B107,-W$26)</f>
        <v>0</v>
      </c>
    </row>
    <row r="108" spans="1:23">
      <c r="A108" s="1"/>
      <c r="B108" s="139">
        <v>13</v>
      </c>
      <c r="C108" s="139">
        <f t="shared" si="5"/>
        <v>13</v>
      </c>
      <c r="D108" s="139"/>
      <c r="E108" s="502">
        <f>PMT('El og plugin hybrid'!E$56,$B108,-E$26)</f>
        <v>0</v>
      </c>
      <c r="F108" s="502"/>
      <c r="G108" s="502">
        <f>PMT('El og plugin hybrid'!G$56,$B108,-G$26)</f>
        <v>0</v>
      </c>
      <c r="H108" s="502"/>
      <c r="I108" s="502">
        <f>PMT('El og plugin hybrid'!I$56,$B108,-I$26)</f>
        <v>0</v>
      </c>
      <c r="J108" s="502"/>
      <c r="K108" s="502">
        <f>PMT('El og plugin hybrid'!K$56,$B108,-K$26)</f>
        <v>0</v>
      </c>
      <c r="L108" s="502"/>
      <c r="M108" s="502">
        <f>PMT('El og plugin hybrid'!M$56,$B108,-M$26)</f>
        <v>0</v>
      </c>
      <c r="N108" s="502"/>
      <c r="O108" s="502">
        <f>PMT('El og plugin hybrid'!O$56,$B108,-O$26)</f>
        <v>0</v>
      </c>
      <c r="P108" s="502"/>
      <c r="Q108" s="502">
        <f>PMT('El og plugin hybrid'!Q$56,$B108,-Q$26)</f>
        <v>0</v>
      </c>
      <c r="R108" s="502"/>
      <c r="S108" s="502">
        <f>PMT('El og plugin hybrid'!S$56,$B108,-S$26)</f>
        <v>0</v>
      </c>
      <c r="U108" s="502">
        <f>PMT('El og plugin hybrid'!U$56,$B108,-U$26)</f>
        <v>0</v>
      </c>
      <c r="W108" s="502">
        <f>PMT('El og plugin hybrid'!W$56,$B108,-W$26)</f>
        <v>0</v>
      </c>
    </row>
    <row r="109" spans="1:23">
      <c r="A109" s="1"/>
      <c r="B109" s="139">
        <v>14</v>
      </c>
      <c r="C109" s="139">
        <f t="shared" si="5"/>
        <v>14</v>
      </c>
      <c r="D109" s="139"/>
      <c r="E109" s="502">
        <f>PMT('El og plugin hybrid'!E$56,$B109,-E$26)</f>
        <v>0</v>
      </c>
      <c r="F109" s="502"/>
      <c r="G109" s="502">
        <f>PMT('El og plugin hybrid'!G$56,$B109,-G$26)</f>
        <v>0</v>
      </c>
      <c r="H109" s="502"/>
      <c r="I109" s="502">
        <f>PMT('El og plugin hybrid'!I$56,$B109,-I$26)</f>
        <v>0</v>
      </c>
      <c r="J109" s="502"/>
      <c r="K109" s="502">
        <f>PMT('El og plugin hybrid'!K$56,$B109,-K$26)</f>
        <v>0</v>
      </c>
      <c r="L109" s="502"/>
      <c r="M109" s="502">
        <f>PMT('El og plugin hybrid'!M$56,$B109,-M$26)</f>
        <v>0</v>
      </c>
      <c r="N109" s="502"/>
      <c r="O109" s="502">
        <f>PMT('El og plugin hybrid'!O$56,$B109,-O$26)</f>
        <v>0</v>
      </c>
      <c r="P109" s="502"/>
      <c r="Q109" s="502">
        <f>PMT('El og plugin hybrid'!Q$56,$B109,-Q$26)</f>
        <v>0</v>
      </c>
      <c r="R109" s="502"/>
      <c r="S109" s="502">
        <f>PMT('El og plugin hybrid'!S$56,$B109,-S$26)</f>
        <v>0</v>
      </c>
      <c r="U109" s="502">
        <f>PMT('El og plugin hybrid'!U$56,$B109,-U$26)</f>
        <v>0</v>
      </c>
      <c r="W109" s="502">
        <f>PMT('El og plugin hybrid'!W$56,$B109,-W$26)</f>
        <v>0</v>
      </c>
    </row>
    <row r="110" spans="1:23">
      <c r="A110" s="1"/>
      <c r="B110" s="139">
        <v>15</v>
      </c>
      <c r="C110" s="139">
        <f t="shared" si="5"/>
        <v>15</v>
      </c>
      <c r="D110" s="139"/>
      <c r="E110" s="502">
        <f>PMT('El og plugin hybrid'!E$56,$B110,-E$26)</f>
        <v>0</v>
      </c>
      <c r="F110" s="502"/>
      <c r="G110" s="502">
        <f>PMT('El og plugin hybrid'!G$56,$B110,-G$26)</f>
        <v>0</v>
      </c>
      <c r="H110" s="502"/>
      <c r="I110" s="502">
        <f>PMT('El og plugin hybrid'!I$56,$B110,-I$26)</f>
        <v>0</v>
      </c>
      <c r="J110" s="502"/>
      <c r="K110" s="502">
        <f>PMT('El og plugin hybrid'!K$56,$B110,-K$26)</f>
        <v>0</v>
      </c>
      <c r="L110" s="502"/>
      <c r="M110" s="502">
        <f>PMT('El og plugin hybrid'!M$56,$B110,-M$26)</f>
        <v>0</v>
      </c>
      <c r="N110" s="502"/>
      <c r="O110" s="502">
        <f>PMT('El og plugin hybrid'!O$56,$B110,-O$26)</f>
        <v>0</v>
      </c>
      <c r="P110" s="502"/>
      <c r="Q110" s="502">
        <f>PMT('El og plugin hybrid'!Q$56,$B110,-Q$26)</f>
        <v>0</v>
      </c>
      <c r="R110" s="502"/>
      <c r="S110" s="502">
        <f>PMT('El og plugin hybrid'!S$56,$B110,-S$26)</f>
        <v>0</v>
      </c>
      <c r="U110" s="502">
        <f>PMT('El og plugin hybrid'!U$56,$B110,-U$26)</f>
        <v>0</v>
      </c>
      <c r="W110" s="502">
        <f>PMT('El og plugin hybrid'!W$56,$B110,-W$26)</f>
        <v>0</v>
      </c>
    </row>
    <row r="111" spans="1:23">
      <c r="B111" s="139">
        <v>16</v>
      </c>
      <c r="C111" s="139">
        <f t="shared" si="5"/>
        <v>16</v>
      </c>
      <c r="E111" s="502">
        <f>PMT('El og plugin hybrid'!E$56,$B111,-E$26)</f>
        <v>0</v>
      </c>
      <c r="F111" s="502"/>
      <c r="G111" s="502">
        <f>PMT('El og plugin hybrid'!G$56,$B111,-G$26)</f>
        <v>0</v>
      </c>
      <c r="H111" s="502"/>
      <c r="I111" s="502">
        <f>PMT('El og plugin hybrid'!I$56,$B111,-I$26)</f>
        <v>0</v>
      </c>
      <c r="J111" s="502"/>
      <c r="K111" s="502">
        <f>PMT('El og plugin hybrid'!K$56,$B111,-K$26)</f>
        <v>0</v>
      </c>
      <c r="L111" s="502"/>
      <c r="M111" s="502">
        <f>PMT('El og plugin hybrid'!M$56,$B111,-M$26)</f>
        <v>0</v>
      </c>
      <c r="N111" s="502"/>
      <c r="O111" s="502">
        <f>PMT('El og plugin hybrid'!O$56,$B111,-O$26)</f>
        <v>0</v>
      </c>
      <c r="P111" s="502"/>
      <c r="Q111" s="502">
        <f>PMT('El og plugin hybrid'!Q$56,$B111,-Q$26)</f>
        <v>0</v>
      </c>
      <c r="R111" s="502"/>
      <c r="S111" s="502">
        <f>PMT('El og plugin hybrid'!S$56,$B111,-S$26)</f>
        <v>0</v>
      </c>
      <c r="U111" s="502">
        <f>PMT('El og plugin hybrid'!U$56,$B111,-U$26)</f>
        <v>0</v>
      </c>
      <c r="W111" s="502">
        <f>PMT('El og plugin hybrid'!W$56,$B111,-W$26)</f>
        <v>0</v>
      </c>
    </row>
    <row r="112" spans="1:23">
      <c r="B112" s="139">
        <v>17</v>
      </c>
      <c r="C112" s="139">
        <f t="shared" si="5"/>
        <v>17</v>
      </c>
      <c r="E112" s="502">
        <f>PMT('El og plugin hybrid'!E$56,$B112,-E$26)</f>
        <v>0</v>
      </c>
      <c r="F112" s="502"/>
      <c r="G112" s="502">
        <f>PMT('El og plugin hybrid'!G$56,$B112,-G$26)</f>
        <v>0</v>
      </c>
      <c r="H112" s="502"/>
      <c r="I112" s="502">
        <f>PMT('El og plugin hybrid'!I$56,$B112,-I$26)</f>
        <v>0</v>
      </c>
      <c r="J112" s="502"/>
      <c r="K112" s="502">
        <f>PMT('El og plugin hybrid'!K$56,$B112,-K$26)</f>
        <v>0</v>
      </c>
      <c r="L112" s="502"/>
      <c r="M112" s="502">
        <f>PMT('El og plugin hybrid'!M$56,$B112,-M$26)</f>
        <v>0</v>
      </c>
      <c r="N112" s="502"/>
      <c r="O112" s="502">
        <f>PMT('El og plugin hybrid'!O$56,$B112,-O$26)</f>
        <v>0</v>
      </c>
      <c r="P112" s="502"/>
      <c r="Q112" s="502">
        <f>PMT('El og plugin hybrid'!Q$56,$B112,-Q$26)</f>
        <v>0</v>
      </c>
      <c r="R112" s="502"/>
      <c r="S112" s="502">
        <f>PMT('El og plugin hybrid'!S$56,$B112,-S$26)</f>
        <v>0</v>
      </c>
      <c r="U112" s="502">
        <f>PMT('El og plugin hybrid'!U$56,$B112,-U$26)</f>
        <v>0</v>
      </c>
      <c r="W112" s="502">
        <f>PMT('El og plugin hybrid'!W$56,$B112,-W$26)</f>
        <v>0</v>
      </c>
    </row>
    <row r="113" spans="1:24">
      <c r="B113" s="139">
        <v>18</v>
      </c>
      <c r="C113" s="139">
        <f t="shared" si="5"/>
        <v>18</v>
      </c>
      <c r="E113" s="502">
        <f>PMT('El og plugin hybrid'!E$56,$B113,-E$26)</f>
        <v>0</v>
      </c>
      <c r="F113" s="502"/>
      <c r="G113" s="502">
        <f>PMT('El og plugin hybrid'!G$56,$B113,-G$26)</f>
        <v>0</v>
      </c>
      <c r="H113" s="502"/>
      <c r="I113" s="502">
        <f>PMT('El og plugin hybrid'!I$56,$B113,-I$26)</f>
        <v>0</v>
      </c>
      <c r="J113" s="502"/>
      <c r="K113" s="502">
        <f>PMT('El og plugin hybrid'!K$56,$B113,-K$26)</f>
        <v>0</v>
      </c>
      <c r="L113" s="502"/>
      <c r="M113" s="502">
        <f>PMT('El og plugin hybrid'!M$56,$B113,-M$26)</f>
        <v>0</v>
      </c>
      <c r="N113" s="502"/>
      <c r="O113" s="502">
        <f>PMT('El og plugin hybrid'!O$56,$B113,-O$26)</f>
        <v>0</v>
      </c>
      <c r="P113" s="502"/>
      <c r="Q113" s="502">
        <f>PMT('El og plugin hybrid'!Q$56,$B113,-Q$26)</f>
        <v>0</v>
      </c>
      <c r="R113" s="502"/>
      <c r="S113" s="502">
        <f>PMT('El og plugin hybrid'!S$56,$B113,-S$26)</f>
        <v>0</v>
      </c>
      <c r="U113" s="502">
        <f>PMT('El og plugin hybrid'!U$56,$B113,-U$26)</f>
        <v>0</v>
      </c>
      <c r="W113" s="502">
        <f>PMT('El og plugin hybrid'!W$56,$B113,-W$26)</f>
        <v>0</v>
      </c>
    </row>
    <row r="114" spans="1:24">
      <c r="B114" s="139">
        <v>19</v>
      </c>
      <c r="C114" s="139">
        <f t="shared" si="5"/>
        <v>19</v>
      </c>
      <c r="E114" s="502">
        <f>PMT('El og plugin hybrid'!E$56,$B114,-E$26)</f>
        <v>0</v>
      </c>
      <c r="F114" s="502"/>
      <c r="G114" s="502">
        <f>PMT('El og plugin hybrid'!G$56,$B114,-G$26)</f>
        <v>0</v>
      </c>
      <c r="H114" s="502"/>
      <c r="I114" s="502">
        <f>PMT('El og plugin hybrid'!I$56,$B114,-I$26)</f>
        <v>0</v>
      </c>
      <c r="J114" s="502"/>
      <c r="K114" s="502">
        <f>PMT('El og plugin hybrid'!K$56,$B114,-K$26)</f>
        <v>0</v>
      </c>
      <c r="L114" s="502"/>
      <c r="M114" s="502">
        <f>PMT('El og plugin hybrid'!M$56,$B114,-M$26)</f>
        <v>0</v>
      </c>
      <c r="N114" s="502"/>
      <c r="O114" s="502">
        <f>PMT('El og plugin hybrid'!O$56,$B114,-O$26)</f>
        <v>0</v>
      </c>
      <c r="P114" s="502"/>
      <c r="Q114" s="502">
        <f>PMT('El og plugin hybrid'!Q$56,$B114,-Q$26)</f>
        <v>0</v>
      </c>
      <c r="R114" s="502"/>
      <c r="S114" s="502">
        <f>PMT('El og plugin hybrid'!S$56,$B114,-S$26)</f>
        <v>0</v>
      </c>
      <c r="U114" s="502">
        <f>PMT('El og plugin hybrid'!U$56,$B114,-U$26)</f>
        <v>0</v>
      </c>
      <c r="W114" s="502">
        <f>PMT('El og plugin hybrid'!W$56,$B114,-W$26)</f>
        <v>0</v>
      </c>
    </row>
    <row r="115" spans="1:24">
      <c r="B115" s="139">
        <v>20</v>
      </c>
      <c r="C115" s="139">
        <f t="shared" si="5"/>
        <v>20</v>
      </c>
      <c r="E115" s="502">
        <f>PMT('El og plugin hybrid'!E$56,$B115,-E$26)</f>
        <v>0</v>
      </c>
      <c r="F115" s="502"/>
      <c r="G115" s="502">
        <f>PMT('El og plugin hybrid'!G$56,$B115,-G$26)</f>
        <v>0</v>
      </c>
      <c r="H115" s="502"/>
      <c r="I115" s="502">
        <f>PMT('El og plugin hybrid'!I$56,$B115,-I$26)</f>
        <v>0</v>
      </c>
      <c r="J115" s="502"/>
      <c r="K115" s="502">
        <f>PMT('El og plugin hybrid'!K$56,$B115,-K$26)</f>
        <v>0</v>
      </c>
      <c r="L115" s="502"/>
      <c r="M115" s="502">
        <f>PMT('El og plugin hybrid'!M$56,$B115,-M$26)</f>
        <v>0</v>
      </c>
      <c r="N115" s="502"/>
      <c r="O115" s="502">
        <f>PMT('El og plugin hybrid'!O$56,$B115,-O$26)</f>
        <v>0</v>
      </c>
      <c r="P115" s="502"/>
      <c r="Q115" s="502">
        <f>PMT('El og plugin hybrid'!Q$56,$B115,-Q$26)</f>
        <v>0</v>
      </c>
      <c r="R115" s="502"/>
      <c r="S115" s="502">
        <f>PMT('El og plugin hybrid'!S$56,$B115,-S$26)</f>
        <v>0</v>
      </c>
      <c r="U115" s="502">
        <f>PMT('El og plugin hybrid'!U$56,$B115,-U$26)</f>
        <v>0</v>
      </c>
      <c r="W115" s="502">
        <f>PMT('El og plugin hybrid'!W$56,$B115,-W$26)</f>
        <v>0</v>
      </c>
    </row>
    <row r="117" spans="1:24">
      <c r="A117" s="277" t="s">
        <v>89</v>
      </c>
      <c r="B117" s="243"/>
      <c r="C117" s="243"/>
      <c r="D117" s="243"/>
      <c r="E117" s="243"/>
      <c r="F117" s="243"/>
      <c r="G117" s="243"/>
      <c r="H117" s="243"/>
      <c r="I117" s="243"/>
      <c r="J117" s="243"/>
      <c r="K117" s="243"/>
      <c r="L117" s="243"/>
      <c r="M117" s="243"/>
      <c r="N117" s="243"/>
      <c r="O117" s="243"/>
      <c r="P117" s="243"/>
      <c r="Q117" s="243"/>
      <c r="R117" s="243"/>
      <c r="S117" s="243"/>
      <c r="T117" s="278"/>
      <c r="U117" s="243"/>
      <c r="V117" s="278"/>
      <c r="W117" s="243"/>
      <c r="X117" s="278"/>
    </row>
    <row r="118" spans="1:24" ht="68.25">
      <c r="A118" s="279"/>
      <c r="B118" s="280" t="s">
        <v>20</v>
      </c>
      <c r="C118" s="305"/>
      <c r="D118" s="305" t="s">
        <v>21</v>
      </c>
      <c r="E118" s="281" t="str">
        <f>'El og plugin hybrid'!E8</f>
        <v>PRODUKT 1 EL</v>
      </c>
      <c r="F118" s="306" t="str">
        <f>E118&amp;" - Årligt strømforbrug (kWh/år/produkt)"</f>
        <v>PRODUKT 1 EL - Årligt strømforbrug (kWh/år/produkt)</v>
      </c>
      <c r="G118" s="281" t="str">
        <f>'El og plugin hybrid'!G8</f>
        <v>PRODUKT 2 EL</v>
      </c>
      <c r="H118" s="306" t="str">
        <f>G118&amp;" - Årligt strømforbrug (kWh/år/produkt)"</f>
        <v>PRODUKT 2 EL - Årligt strømforbrug (kWh/år/produkt)</v>
      </c>
      <c r="I118" s="281" t="str">
        <f>'El og plugin hybrid'!I8</f>
        <v>PRODUKT 3 EL</v>
      </c>
      <c r="J118" s="306" t="str">
        <f>I118&amp;" - Årligt strømforbrug (kWh/år/produkt)"</f>
        <v>PRODUKT 3 EL - Årligt strømforbrug (kWh/år/produkt)</v>
      </c>
      <c r="K118" s="281" t="str">
        <f>'El og plugin hybrid'!K8</f>
        <v>PRODUKT 4 EL</v>
      </c>
      <c r="L118" s="306" t="str">
        <f>K118&amp;" - Årligt strømforbrug (kWh/år/produkt)"</f>
        <v>PRODUKT 4 EL - Årligt strømforbrug (kWh/år/produkt)</v>
      </c>
      <c r="M118" s="281" t="str">
        <f>'El og plugin hybrid'!M8</f>
        <v>PRODUKT 5 EL</v>
      </c>
      <c r="N118" s="306" t="str">
        <f>M118&amp;" - Årligt strømforbrug (kWh/år/produkt)"</f>
        <v>PRODUKT 5 EL - Årligt strømforbrug (kWh/år/produkt)</v>
      </c>
      <c r="O118" s="281" t="str">
        <f>'El og plugin hybrid'!O8</f>
        <v>PRODUKT 6 EL</v>
      </c>
      <c r="P118" s="306" t="str">
        <f>O118&amp;" - Årligt strømforbrug (kWh/år/produkt)"</f>
        <v>PRODUKT 6 EL - Årligt strømforbrug (kWh/år/produkt)</v>
      </c>
      <c r="Q118" s="281" t="str">
        <f>'El og plugin hybrid'!Q8</f>
        <v>PRODUKT 7 EL</v>
      </c>
      <c r="R118" s="306" t="str">
        <f>Q118&amp;" - Årligt strømforbrug (kWh/år/produkt)"</f>
        <v>PRODUKT 7 EL - Årligt strømforbrug (kWh/år/produkt)</v>
      </c>
      <c r="S118" s="281" t="str">
        <f>'El og plugin hybrid'!S8</f>
        <v>PRODUKT 8 EL</v>
      </c>
      <c r="T118" s="306" t="str">
        <f>S118&amp;" - Årligt strømforbrug (kWh/år/produkt)"</f>
        <v>PRODUKT 8 EL - Årligt strømforbrug (kWh/år/produkt)</v>
      </c>
      <c r="U118" s="281" t="str">
        <f>U95</f>
        <v>PRODUKT 9 EL</v>
      </c>
      <c r="V118" s="306" t="str">
        <f>U118&amp;" - Årligt strømforbrug (kWh/år/produkt)"</f>
        <v>PRODUKT 9 EL - Årligt strømforbrug (kWh/år/produkt)</v>
      </c>
      <c r="W118" s="281" t="str">
        <f>W95</f>
        <v>PRODUKT 10 EL</v>
      </c>
      <c r="X118" s="306" t="str">
        <f>W118&amp;" - Årligt strømforbrug (kWh/år/produkt)"</f>
        <v>PRODUKT 10 EL - Årligt strømforbrug (kWh/år/produkt)</v>
      </c>
    </row>
    <row r="119" spans="1:24">
      <c r="A119" s="308"/>
      <c r="B119" s="282">
        <v>1</v>
      </c>
      <c r="C119" s="282">
        <f>B119</f>
        <v>1</v>
      </c>
      <c r="D119" s="282"/>
      <c r="E119" s="288">
        <f>'El og plugin hybrid'!E$48*F119*IF('El og plugin hybrid'!E$29="nej","",IF('El og plugin hybrid'!E$31="ja",VLOOKUP('El og plugin hybrid'!E$54+($C119-1),Fremskrivninger!$A$9:$L$38,12),'El og plugin hybrid'!E$33))/1000</f>
        <v>0</v>
      </c>
      <c r="F119" s="309">
        <f>'El og plugin hybrid'!E$15/1000*'El og plugin hybrid'!E$49</f>
        <v>0</v>
      </c>
      <c r="G119" s="288">
        <f>'El og plugin hybrid'!G$48*H119*IF('El og plugin hybrid'!G$29="nej","",IF('El og plugin hybrid'!G$31="ja",VLOOKUP('El og plugin hybrid'!G$54+($C119-1),Fremskrivninger!$A$9:$L$38,12),'El og plugin hybrid'!G$33))/1000</f>
        <v>0</v>
      </c>
      <c r="H119" s="309">
        <f>'El og plugin hybrid'!G$15/1000*'El og plugin hybrid'!G$49</f>
        <v>0</v>
      </c>
      <c r="I119" s="288">
        <f>'El og plugin hybrid'!I$48*J119*IF('El og plugin hybrid'!I$29="nej","",IF('El og plugin hybrid'!I$31="ja",VLOOKUP('El og plugin hybrid'!I$54+($C119-1),Fremskrivninger!$A$9:$L$38,12),'El og plugin hybrid'!I$33))/1000</f>
        <v>0</v>
      </c>
      <c r="J119" s="309">
        <f>'El og plugin hybrid'!I$15/1000*'El og plugin hybrid'!I$49</f>
        <v>0</v>
      </c>
      <c r="K119" s="288">
        <f>'El og plugin hybrid'!K$48*L119*IF('El og plugin hybrid'!K$29="nej","",IF('El og plugin hybrid'!K$31="ja",VLOOKUP('El og plugin hybrid'!K$54+($C119-1),Fremskrivninger!$A$9:$L$38,12),'El og plugin hybrid'!K$33))/1000</f>
        <v>0</v>
      </c>
      <c r="L119" s="309">
        <f>'El og plugin hybrid'!K$15/1000*'El og plugin hybrid'!K$49</f>
        <v>0</v>
      </c>
      <c r="M119" s="288">
        <f>'El og plugin hybrid'!M$48*N119*IF('El og plugin hybrid'!M$29="nej","",IF('El og plugin hybrid'!M$31="ja",VLOOKUP('El og plugin hybrid'!M$54+($C119-1),Fremskrivninger!$A$9:$L$38,12),'El og plugin hybrid'!M$33))/1000</f>
        <v>0</v>
      </c>
      <c r="N119" s="309">
        <f>'El og plugin hybrid'!M$15/1000*'El og plugin hybrid'!M$49</f>
        <v>0</v>
      </c>
      <c r="O119" s="288">
        <f>'El og plugin hybrid'!O$48*P119*IF('El og plugin hybrid'!O$29="nej","",IF('El og plugin hybrid'!O$31="ja",VLOOKUP('El og plugin hybrid'!O$54+($C119-1),Fremskrivninger!$A$9:$L$38,12),'El og plugin hybrid'!O$33))/1000</f>
        <v>0</v>
      </c>
      <c r="P119" s="309">
        <f>'El og plugin hybrid'!O$15/1000*'El og plugin hybrid'!O$49</f>
        <v>0</v>
      </c>
      <c r="Q119" s="288">
        <f>'El og plugin hybrid'!Q$48*R119*IF('El og plugin hybrid'!Q$29="nej","",IF('El og plugin hybrid'!Q$31="ja",VLOOKUP('El og plugin hybrid'!Q$54+($C119-1),Fremskrivninger!$A$9:$L$38,12),'El og plugin hybrid'!Q$33))/1000</f>
        <v>0</v>
      </c>
      <c r="R119" s="309">
        <f>'El og plugin hybrid'!Q$15/1000*'El og plugin hybrid'!Q$49</f>
        <v>0</v>
      </c>
      <c r="S119" s="288">
        <f>'El og plugin hybrid'!S$48*T119*IF('El og plugin hybrid'!S$29="nej","",IF('El og plugin hybrid'!S$31="ja",VLOOKUP('El og plugin hybrid'!S$54+($C119-1),Fremskrivninger!$A$9:$L$38,12),'El og plugin hybrid'!S$33))/1000</f>
        <v>0</v>
      </c>
      <c r="T119" s="309">
        <f>'El og plugin hybrid'!S$15/1000*'El og plugin hybrid'!S$49</f>
        <v>0</v>
      </c>
      <c r="U119" s="288">
        <f>'El og plugin hybrid'!U$48*V119*IF('El og plugin hybrid'!U$29="nej","",IF('El og plugin hybrid'!U$31="ja",VLOOKUP('El og plugin hybrid'!U$54+($C119-1),Fremskrivninger!$A$9:$L$38,12),'El og plugin hybrid'!U$33))/1000</f>
        <v>0</v>
      </c>
      <c r="V119" s="309">
        <f>'El og plugin hybrid'!U$15/1000*'El og plugin hybrid'!U$49</f>
        <v>0</v>
      </c>
      <c r="W119" s="288">
        <f>'El og plugin hybrid'!W$48*X119*IF('El og plugin hybrid'!W$29="nej","",IF('El og plugin hybrid'!W$31="ja",VLOOKUP('El og plugin hybrid'!W$54+($C119-1),Fremskrivninger!$A$9:$L$38,12),'El og plugin hybrid'!W$33))/1000</f>
        <v>0</v>
      </c>
      <c r="X119" s="309">
        <f>'El og plugin hybrid'!W$15/1000*'El og plugin hybrid'!W$49</f>
        <v>0</v>
      </c>
    </row>
    <row r="120" spans="1:24">
      <c r="A120" s="308"/>
      <c r="B120" s="282">
        <v>2</v>
      </c>
      <c r="C120" s="282">
        <f t="shared" ref="C120:C138" si="6">B120</f>
        <v>2</v>
      </c>
      <c r="D120" s="282"/>
      <c r="E120" s="288">
        <f>'El og plugin hybrid'!E$48*F120*IF('El og plugin hybrid'!E$29="nej","",IF('El og plugin hybrid'!E$31="ja",VLOOKUP('El og plugin hybrid'!E$54+($C120-1),Fremskrivninger!$A$9:$L$38,12),'El og plugin hybrid'!E$33))/1000</f>
        <v>0</v>
      </c>
      <c r="F120" s="309">
        <f>'El og plugin hybrid'!E$15/1000*'El og plugin hybrid'!E$49</f>
        <v>0</v>
      </c>
      <c r="G120" s="288">
        <f>'El og plugin hybrid'!G$48*H120*IF('El og plugin hybrid'!G$29="nej","",IF('El og plugin hybrid'!G$31="ja",VLOOKUP('El og plugin hybrid'!G$54+($C120-1),Fremskrivninger!$A$9:$L$38,12),'El og plugin hybrid'!G$33))/1000</f>
        <v>0</v>
      </c>
      <c r="H120" s="309">
        <f>'El og plugin hybrid'!G$15/1000*'El og plugin hybrid'!G$49</f>
        <v>0</v>
      </c>
      <c r="I120" s="288">
        <f>'El og plugin hybrid'!I$48*J120*IF('El og plugin hybrid'!I$29="nej","",IF('El og plugin hybrid'!I$31="ja",VLOOKUP('El og plugin hybrid'!I$54+($C120-1),Fremskrivninger!$A$9:$L$38,12),'El og plugin hybrid'!I$33))/1000</f>
        <v>0</v>
      </c>
      <c r="J120" s="309">
        <f>'El og plugin hybrid'!I$15/1000*'El og plugin hybrid'!I$49</f>
        <v>0</v>
      </c>
      <c r="K120" s="288">
        <f>'El og plugin hybrid'!K$48*L120*IF('El og plugin hybrid'!K$29="nej","",IF('El og plugin hybrid'!K$31="ja",VLOOKUP('El og plugin hybrid'!K$54+($C120-1),Fremskrivninger!$A$9:$L$38,12),'El og plugin hybrid'!K$33))/1000</f>
        <v>0</v>
      </c>
      <c r="L120" s="309">
        <f>'El og plugin hybrid'!K$15/1000*'El og plugin hybrid'!K$49</f>
        <v>0</v>
      </c>
      <c r="M120" s="288">
        <f>'El og plugin hybrid'!M$48*N120*IF('El og plugin hybrid'!M$29="nej","",IF('El og plugin hybrid'!M$31="ja",VLOOKUP('El og plugin hybrid'!M$54+($C120-1),Fremskrivninger!$A$9:$L$38,12),'El og plugin hybrid'!M$33))/1000</f>
        <v>0</v>
      </c>
      <c r="N120" s="309">
        <f>'El og plugin hybrid'!M$15/1000*'El og plugin hybrid'!M$49</f>
        <v>0</v>
      </c>
      <c r="O120" s="288">
        <f>'El og plugin hybrid'!O$48*P120*IF('El og plugin hybrid'!O$29="nej","",IF('El og plugin hybrid'!O$31="ja",VLOOKUP('El og plugin hybrid'!O$54+($C120-1),Fremskrivninger!$A$9:$L$38,12),'El og plugin hybrid'!O$33))/1000</f>
        <v>0</v>
      </c>
      <c r="P120" s="309">
        <f>'El og plugin hybrid'!O$15/1000*'El og plugin hybrid'!O$49</f>
        <v>0</v>
      </c>
      <c r="Q120" s="288">
        <f>'El og plugin hybrid'!Q$48*R120*IF('El og plugin hybrid'!Q$29="nej","",IF('El og plugin hybrid'!Q$31="ja",VLOOKUP('El og plugin hybrid'!Q$54+($C120-1),Fremskrivninger!$A$9:$L$38,12),'El og plugin hybrid'!Q$33))/1000</f>
        <v>0</v>
      </c>
      <c r="R120" s="309">
        <f>'El og plugin hybrid'!Q$15/1000*'El og plugin hybrid'!Q$49</f>
        <v>0</v>
      </c>
      <c r="S120" s="288">
        <f>'El og plugin hybrid'!S$48*T120*IF('El og plugin hybrid'!S$29="nej","",IF('El og plugin hybrid'!S$31="ja",VLOOKUP('El og plugin hybrid'!S$54+($C120-1),Fremskrivninger!$A$9:$L$38,12),'El og plugin hybrid'!S$33))/1000</f>
        <v>0</v>
      </c>
      <c r="T120" s="309">
        <f>'El og plugin hybrid'!S$15/1000*'El og plugin hybrid'!S$49</f>
        <v>0</v>
      </c>
      <c r="U120" s="288">
        <f>'El og plugin hybrid'!U$48*V120*IF('El og plugin hybrid'!U$29="nej","",IF('El og plugin hybrid'!U$31="ja",VLOOKUP('El og plugin hybrid'!U$54+($C120-1),Fremskrivninger!$A$9:$L$38,12),'El og plugin hybrid'!U$33))/1000</f>
        <v>0</v>
      </c>
      <c r="V120" s="309">
        <f>'El og plugin hybrid'!U$15/1000*'El og plugin hybrid'!U$49</f>
        <v>0</v>
      </c>
      <c r="W120" s="288">
        <f>'El og plugin hybrid'!W$48*X120*IF('El og plugin hybrid'!W$29="nej","",IF('El og plugin hybrid'!W$31="ja",VLOOKUP('El og plugin hybrid'!W$54+($C120-1),Fremskrivninger!$A$9:$L$38,12),'El og plugin hybrid'!W$33))/1000</f>
        <v>0</v>
      </c>
      <c r="X120" s="309">
        <f>'El og plugin hybrid'!W$15/1000*'El og plugin hybrid'!W$49</f>
        <v>0</v>
      </c>
    </row>
    <row r="121" spans="1:24">
      <c r="A121" s="308"/>
      <c r="B121" s="282">
        <v>3</v>
      </c>
      <c r="C121" s="282">
        <f t="shared" si="6"/>
        <v>3</v>
      </c>
      <c r="D121" s="282"/>
      <c r="E121" s="288">
        <f>'El og plugin hybrid'!E$48*F121*IF('El og plugin hybrid'!E$29="nej","",IF('El og plugin hybrid'!E$31="ja",VLOOKUP('El og plugin hybrid'!E$54+($C121-1),Fremskrivninger!$A$9:$L$38,12),'El og plugin hybrid'!E$33))/1000</f>
        <v>0</v>
      </c>
      <c r="F121" s="309">
        <f>'El og plugin hybrid'!E$15/1000*'El og plugin hybrid'!E$49</f>
        <v>0</v>
      </c>
      <c r="G121" s="288">
        <f>'El og plugin hybrid'!G$48*H121*IF('El og plugin hybrid'!G$29="nej","",IF('El og plugin hybrid'!G$31="ja",VLOOKUP('El og plugin hybrid'!G$54+($C121-1),Fremskrivninger!$A$9:$L$38,12),'El og plugin hybrid'!G$33))/1000</f>
        <v>0</v>
      </c>
      <c r="H121" s="309">
        <f>'El og plugin hybrid'!G$15/1000*'El og plugin hybrid'!G$49</f>
        <v>0</v>
      </c>
      <c r="I121" s="288">
        <f>'El og plugin hybrid'!I$48*J121*IF('El og plugin hybrid'!I$29="nej","",IF('El og plugin hybrid'!I$31="ja",VLOOKUP('El og plugin hybrid'!I$54+($C121-1),Fremskrivninger!$A$9:$L$38,12),'El og plugin hybrid'!I$33))/1000</f>
        <v>0</v>
      </c>
      <c r="J121" s="309">
        <f>'El og plugin hybrid'!I$15/1000*'El og plugin hybrid'!I$49</f>
        <v>0</v>
      </c>
      <c r="K121" s="288">
        <f>'El og plugin hybrid'!K$48*L121*IF('El og plugin hybrid'!K$29="nej","",IF('El og plugin hybrid'!K$31="ja",VLOOKUP('El og plugin hybrid'!K$54+($C121-1),Fremskrivninger!$A$9:$L$38,12),'El og plugin hybrid'!K$33))/1000</f>
        <v>0</v>
      </c>
      <c r="L121" s="309">
        <f>'El og plugin hybrid'!K$15/1000*'El og plugin hybrid'!K$49</f>
        <v>0</v>
      </c>
      <c r="M121" s="288">
        <f>'El og plugin hybrid'!M$48*N121*IF('El og plugin hybrid'!M$29="nej","",IF('El og plugin hybrid'!M$31="ja",VLOOKUP('El og plugin hybrid'!M$54+($C121-1),Fremskrivninger!$A$9:$L$38,12),'El og plugin hybrid'!M$33))/1000</f>
        <v>0</v>
      </c>
      <c r="N121" s="309">
        <f>'El og plugin hybrid'!M$15/1000*'El og plugin hybrid'!M$49</f>
        <v>0</v>
      </c>
      <c r="O121" s="288">
        <f>'El og plugin hybrid'!O$48*P121*IF('El og plugin hybrid'!O$29="nej","",IF('El og plugin hybrid'!O$31="ja",VLOOKUP('El og plugin hybrid'!O$54+($C121-1),Fremskrivninger!$A$9:$L$38,12),'El og plugin hybrid'!O$33))/1000</f>
        <v>0</v>
      </c>
      <c r="P121" s="309">
        <f>'El og plugin hybrid'!O$15/1000*'El og plugin hybrid'!O$49</f>
        <v>0</v>
      </c>
      <c r="Q121" s="288">
        <f>'El og plugin hybrid'!Q$48*R121*IF('El og plugin hybrid'!Q$29="nej","",IF('El og plugin hybrid'!Q$31="ja",VLOOKUP('El og plugin hybrid'!Q$54+($C121-1),Fremskrivninger!$A$9:$L$38,12),'El og plugin hybrid'!Q$33))/1000</f>
        <v>0</v>
      </c>
      <c r="R121" s="309">
        <f>'El og plugin hybrid'!Q$15/1000*'El og plugin hybrid'!Q$49</f>
        <v>0</v>
      </c>
      <c r="S121" s="288">
        <f>'El og plugin hybrid'!S$48*T121*IF('El og plugin hybrid'!S$29="nej","",IF('El og plugin hybrid'!S$31="ja",VLOOKUP('El og plugin hybrid'!S$54+($C121-1),Fremskrivninger!$A$9:$L$38,12),'El og plugin hybrid'!S$33))/1000</f>
        <v>0</v>
      </c>
      <c r="T121" s="309">
        <f>'El og plugin hybrid'!S$15/1000*'El og plugin hybrid'!S$49</f>
        <v>0</v>
      </c>
      <c r="U121" s="288">
        <f>'El og plugin hybrid'!U$48*V121*IF('El og plugin hybrid'!U$29="nej","",IF('El og plugin hybrid'!U$31="ja",VLOOKUP('El og plugin hybrid'!U$54+($C121-1),Fremskrivninger!$A$9:$L$38,12),'El og plugin hybrid'!U$33))/1000</f>
        <v>0</v>
      </c>
      <c r="V121" s="309">
        <f>'El og plugin hybrid'!U$15/1000*'El og plugin hybrid'!U$49</f>
        <v>0</v>
      </c>
      <c r="W121" s="288">
        <f>'El og plugin hybrid'!W$48*X121*IF('El og plugin hybrid'!W$29="nej","",IF('El og plugin hybrid'!W$31="ja",VLOOKUP('El og plugin hybrid'!W$54+($C121-1),Fremskrivninger!$A$9:$L$38,12),'El og plugin hybrid'!W$33))/1000</f>
        <v>0</v>
      </c>
      <c r="X121" s="309">
        <f>'El og plugin hybrid'!W$15/1000*'El og plugin hybrid'!W$49</f>
        <v>0</v>
      </c>
    </row>
    <row r="122" spans="1:24">
      <c r="A122" s="308"/>
      <c r="B122" s="282">
        <v>4</v>
      </c>
      <c r="C122" s="282">
        <f t="shared" si="6"/>
        <v>4</v>
      </c>
      <c r="D122" s="282"/>
      <c r="E122" s="288">
        <f>'El og plugin hybrid'!E$48*F122*IF('El og plugin hybrid'!E$29="nej","",IF('El og plugin hybrid'!E$31="ja",VLOOKUP('El og plugin hybrid'!E$54+($C122-1),Fremskrivninger!$A$9:$L$38,12),'El og plugin hybrid'!E$33))/1000</f>
        <v>0</v>
      </c>
      <c r="F122" s="309">
        <f>'El og plugin hybrid'!E$15/1000*'El og plugin hybrid'!E$49</f>
        <v>0</v>
      </c>
      <c r="G122" s="288">
        <f>'El og plugin hybrid'!G$48*H122*IF('El og plugin hybrid'!G$29="nej","",IF('El og plugin hybrid'!G$31="ja",VLOOKUP('El og plugin hybrid'!G$54+($C122-1),Fremskrivninger!$A$9:$L$38,12),'El og plugin hybrid'!G$33))/1000</f>
        <v>0</v>
      </c>
      <c r="H122" s="309">
        <f>'El og plugin hybrid'!G$15/1000*'El og plugin hybrid'!G$49</f>
        <v>0</v>
      </c>
      <c r="I122" s="288">
        <f>'El og plugin hybrid'!I$48*J122*IF('El og plugin hybrid'!I$29="nej","",IF('El og plugin hybrid'!I$31="ja",VLOOKUP('El og plugin hybrid'!I$54+($C122-1),Fremskrivninger!$A$9:$L$38,12),'El og plugin hybrid'!I$33))/1000</f>
        <v>0</v>
      </c>
      <c r="J122" s="309">
        <f>'El og plugin hybrid'!I$15/1000*'El og plugin hybrid'!I$49</f>
        <v>0</v>
      </c>
      <c r="K122" s="288">
        <f>'El og plugin hybrid'!K$48*L122*IF('El og plugin hybrid'!K$29="nej","",IF('El og plugin hybrid'!K$31="ja",VLOOKUP('El og plugin hybrid'!K$54+($C122-1),Fremskrivninger!$A$9:$L$38,12),'El og plugin hybrid'!K$33))/1000</f>
        <v>0</v>
      </c>
      <c r="L122" s="309">
        <f>'El og plugin hybrid'!K$15/1000*'El og plugin hybrid'!K$49</f>
        <v>0</v>
      </c>
      <c r="M122" s="288">
        <f>'El og plugin hybrid'!M$48*N122*IF('El og plugin hybrid'!M$29="nej","",IF('El og plugin hybrid'!M$31="ja",VLOOKUP('El og plugin hybrid'!M$54+($C122-1),Fremskrivninger!$A$9:$L$38,12),'El og plugin hybrid'!M$33))/1000</f>
        <v>0</v>
      </c>
      <c r="N122" s="309">
        <f>'El og plugin hybrid'!M$15/1000*'El og plugin hybrid'!M$49</f>
        <v>0</v>
      </c>
      <c r="O122" s="288">
        <f>'El og plugin hybrid'!O$48*P122*IF('El og plugin hybrid'!O$29="nej","",IF('El og plugin hybrid'!O$31="ja",VLOOKUP('El og plugin hybrid'!O$54+($C122-1),Fremskrivninger!$A$9:$L$38,12),'El og plugin hybrid'!O$33))/1000</f>
        <v>0</v>
      </c>
      <c r="P122" s="309">
        <f>'El og plugin hybrid'!O$15/1000*'El og plugin hybrid'!O$49</f>
        <v>0</v>
      </c>
      <c r="Q122" s="288">
        <f>'El og plugin hybrid'!Q$48*R122*IF('El og plugin hybrid'!Q$29="nej","",IF('El og plugin hybrid'!Q$31="ja",VLOOKUP('El og plugin hybrid'!Q$54+($C122-1),Fremskrivninger!$A$9:$L$38,12),'El og plugin hybrid'!Q$33))/1000</f>
        <v>0</v>
      </c>
      <c r="R122" s="309">
        <f>'El og plugin hybrid'!Q$15/1000*'El og plugin hybrid'!Q$49</f>
        <v>0</v>
      </c>
      <c r="S122" s="288">
        <f>'El og plugin hybrid'!S$48*T122*IF('El og plugin hybrid'!S$29="nej","",IF('El og plugin hybrid'!S$31="ja",VLOOKUP('El og plugin hybrid'!S$54+($C122-1),Fremskrivninger!$A$9:$L$38,12),'El og plugin hybrid'!S$33))/1000</f>
        <v>0</v>
      </c>
      <c r="T122" s="309">
        <f>'El og plugin hybrid'!S$15/1000*'El og plugin hybrid'!S$49</f>
        <v>0</v>
      </c>
      <c r="U122" s="288">
        <f>'El og plugin hybrid'!U$48*V122*IF('El og plugin hybrid'!U$29="nej","",IF('El og plugin hybrid'!U$31="ja",VLOOKUP('El og plugin hybrid'!U$54+($C122-1),Fremskrivninger!$A$9:$L$38,12),'El og plugin hybrid'!U$33))/1000</f>
        <v>0</v>
      </c>
      <c r="V122" s="309">
        <f>'El og plugin hybrid'!U$15/1000*'El og plugin hybrid'!U$49</f>
        <v>0</v>
      </c>
      <c r="W122" s="288">
        <f>'El og plugin hybrid'!W$48*X122*IF('El og plugin hybrid'!W$29="nej","",IF('El og plugin hybrid'!W$31="ja",VLOOKUP('El og plugin hybrid'!W$54+($C122-1),Fremskrivninger!$A$9:$L$38,12),'El og plugin hybrid'!W$33))/1000</f>
        <v>0</v>
      </c>
      <c r="X122" s="309">
        <f>'El og plugin hybrid'!W$15/1000*'El og plugin hybrid'!W$49</f>
        <v>0</v>
      </c>
    </row>
    <row r="123" spans="1:24">
      <c r="A123" s="308"/>
      <c r="B123" s="282">
        <v>5</v>
      </c>
      <c r="C123" s="282">
        <f t="shared" si="6"/>
        <v>5</v>
      </c>
      <c r="D123" s="282"/>
      <c r="E123" s="288">
        <f>'El og plugin hybrid'!E$48*F123*IF('El og plugin hybrid'!E$29="nej","",IF('El og plugin hybrid'!E$31="ja",VLOOKUP('El og plugin hybrid'!E$54+($C123-1),Fremskrivninger!$A$9:$L$38,12),'El og plugin hybrid'!E$33))/1000</f>
        <v>0</v>
      </c>
      <c r="F123" s="309">
        <f>'El og plugin hybrid'!E$15/1000*'El og plugin hybrid'!E$49</f>
        <v>0</v>
      </c>
      <c r="G123" s="288">
        <f>'El og plugin hybrid'!G$48*H123*IF('El og plugin hybrid'!G$29="nej","",IF('El og plugin hybrid'!G$31="ja",VLOOKUP('El og plugin hybrid'!G$54+($C123-1),Fremskrivninger!$A$9:$L$38,12),'El og plugin hybrid'!G$33))/1000</f>
        <v>0</v>
      </c>
      <c r="H123" s="309">
        <f>'El og plugin hybrid'!G$15/1000*'El og plugin hybrid'!G$49</f>
        <v>0</v>
      </c>
      <c r="I123" s="288">
        <f>'El og plugin hybrid'!I$48*J123*IF('El og plugin hybrid'!I$29="nej","",IF('El og plugin hybrid'!I$31="ja",VLOOKUP('El og plugin hybrid'!I$54+($C123-1),Fremskrivninger!$A$9:$L$38,12),'El og plugin hybrid'!I$33))/1000</f>
        <v>0</v>
      </c>
      <c r="J123" s="309">
        <f>'El og plugin hybrid'!I$15/1000*'El og plugin hybrid'!I$49</f>
        <v>0</v>
      </c>
      <c r="K123" s="288">
        <f>'El og plugin hybrid'!K$48*L123*IF('El og plugin hybrid'!K$29="nej","",IF('El og plugin hybrid'!K$31="ja",VLOOKUP('El og plugin hybrid'!K$54+($C123-1),Fremskrivninger!$A$9:$L$38,12),'El og plugin hybrid'!K$33))/1000</f>
        <v>0</v>
      </c>
      <c r="L123" s="309">
        <f>'El og plugin hybrid'!K$15/1000*'El og plugin hybrid'!K$49</f>
        <v>0</v>
      </c>
      <c r="M123" s="288">
        <f>'El og plugin hybrid'!M$48*N123*IF('El og plugin hybrid'!M$29="nej","",IF('El og plugin hybrid'!M$31="ja",VLOOKUP('El og plugin hybrid'!M$54+($C123-1),Fremskrivninger!$A$9:$L$38,12),'El og plugin hybrid'!M$33))/1000</f>
        <v>0</v>
      </c>
      <c r="N123" s="309">
        <f>'El og plugin hybrid'!M$15/1000*'El og plugin hybrid'!M$49</f>
        <v>0</v>
      </c>
      <c r="O123" s="288">
        <f>'El og plugin hybrid'!O$48*P123*IF('El og plugin hybrid'!O$29="nej","",IF('El og plugin hybrid'!O$31="ja",VLOOKUP('El og plugin hybrid'!O$54+($C123-1),Fremskrivninger!$A$9:$L$38,12),'El og plugin hybrid'!O$33))/1000</f>
        <v>0</v>
      </c>
      <c r="P123" s="309">
        <f>'El og plugin hybrid'!O$15/1000*'El og plugin hybrid'!O$49</f>
        <v>0</v>
      </c>
      <c r="Q123" s="288">
        <f>'El og plugin hybrid'!Q$48*R123*IF('El og plugin hybrid'!Q$29="nej","",IF('El og plugin hybrid'!Q$31="ja",VLOOKUP('El og plugin hybrid'!Q$54+($C123-1),Fremskrivninger!$A$9:$L$38,12),'El og plugin hybrid'!Q$33))/1000</f>
        <v>0</v>
      </c>
      <c r="R123" s="309">
        <f>'El og plugin hybrid'!Q$15/1000*'El og plugin hybrid'!Q$49</f>
        <v>0</v>
      </c>
      <c r="S123" s="288">
        <f>'El og plugin hybrid'!S$48*T123*IF('El og plugin hybrid'!S$29="nej","",IF('El og plugin hybrid'!S$31="ja",VLOOKUP('El og plugin hybrid'!S$54+($C123-1),Fremskrivninger!$A$9:$L$38,12),'El og plugin hybrid'!S$33))/1000</f>
        <v>0</v>
      </c>
      <c r="T123" s="309">
        <f>'El og plugin hybrid'!S$15/1000*'El og plugin hybrid'!S$49</f>
        <v>0</v>
      </c>
      <c r="U123" s="288">
        <f>'El og plugin hybrid'!U$48*V123*IF('El og plugin hybrid'!U$29="nej","",IF('El og plugin hybrid'!U$31="ja",VLOOKUP('El og plugin hybrid'!U$54+($C123-1),Fremskrivninger!$A$9:$L$38,12),'El og plugin hybrid'!U$33))/1000</f>
        <v>0</v>
      </c>
      <c r="V123" s="309">
        <f>'El og plugin hybrid'!U$15/1000*'El og plugin hybrid'!U$49</f>
        <v>0</v>
      </c>
      <c r="W123" s="288">
        <f>'El og plugin hybrid'!W$48*X123*IF('El og plugin hybrid'!W$29="nej","",IF('El og plugin hybrid'!W$31="ja",VLOOKUP('El og plugin hybrid'!W$54+($C123-1),Fremskrivninger!$A$9:$L$38,12),'El og plugin hybrid'!W$33))/1000</f>
        <v>0</v>
      </c>
      <c r="X123" s="309">
        <f>'El og plugin hybrid'!W$15/1000*'El og plugin hybrid'!W$49</f>
        <v>0</v>
      </c>
    </row>
    <row r="124" spans="1:24">
      <c r="A124" s="308"/>
      <c r="B124" s="282">
        <v>6</v>
      </c>
      <c r="C124" s="282">
        <f t="shared" si="6"/>
        <v>6</v>
      </c>
      <c r="D124" s="282"/>
      <c r="E124" s="288">
        <f>'El og plugin hybrid'!E$48*F124*IF('El og plugin hybrid'!E$29="nej","",IF('El og plugin hybrid'!E$31="ja",VLOOKUP('El og plugin hybrid'!E$54+($C124-1),Fremskrivninger!$A$9:$L$38,12),'El og plugin hybrid'!E$33))/1000</f>
        <v>0</v>
      </c>
      <c r="F124" s="309">
        <f>'El og plugin hybrid'!E$15/1000*'El og plugin hybrid'!E$49</f>
        <v>0</v>
      </c>
      <c r="G124" s="288">
        <f>'El og plugin hybrid'!G$48*H124*IF('El og plugin hybrid'!G$29="nej","",IF('El og plugin hybrid'!G$31="ja",VLOOKUP('El og plugin hybrid'!G$54+($C124-1),Fremskrivninger!$A$9:$L$38,12),'El og plugin hybrid'!G$33))/1000</f>
        <v>0</v>
      </c>
      <c r="H124" s="309">
        <f>'El og plugin hybrid'!G$15/1000*'El og plugin hybrid'!G$49</f>
        <v>0</v>
      </c>
      <c r="I124" s="288">
        <f>'El og plugin hybrid'!I$48*J124*IF('El og plugin hybrid'!I$29="nej","",IF('El og plugin hybrid'!I$31="ja",VLOOKUP('El og plugin hybrid'!I$54+($C124-1),Fremskrivninger!$A$9:$L$38,12),'El og plugin hybrid'!I$33))/1000</f>
        <v>0</v>
      </c>
      <c r="J124" s="309">
        <f>'El og plugin hybrid'!I$15/1000*'El og plugin hybrid'!I$49</f>
        <v>0</v>
      </c>
      <c r="K124" s="288">
        <f>'El og plugin hybrid'!K$48*L124*IF('El og plugin hybrid'!K$29="nej","",IF('El og plugin hybrid'!K$31="ja",VLOOKUP('El og plugin hybrid'!K$54+($C124-1),Fremskrivninger!$A$9:$L$38,12),'El og plugin hybrid'!K$33))/1000</f>
        <v>0</v>
      </c>
      <c r="L124" s="309">
        <f>'El og plugin hybrid'!K$15/1000*'El og plugin hybrid'!K$49</f>
        <v>0</v>
      </c>
      <c r="M124" s="288">
        <f>'El og plugin hybrid'!M$48*N124*IF('El og plugin hybrid'!M$29="nej","",IF('El og plugin hybrid'!M$31="ja",VLOOKUP('El og plugin hybrid'!M$54+($C124-1),Fremskrivninger!$A$9:$L$38,12),'El og plugin hybrid'!M$33))/1000</f>
        <v>0</v>
      </c>
      <c r="N124" s="309">
        <f>'El og plugin hybrid'!M$15/1000*'El og plugin hybrid'!M$49</f>
        <v>0</v>
      </c>
      <c r="O124" s="288">
        <f>'El og plugin hybrid'!O$48*P124*IF('El og plugin hybrid'!O$29="nej","",IF('El og plugin hybrid'!O$31="ja",VLOOKUP('El og plugin hybrid'!O$54+($C124-1),Fremskrivninger!$A$9:$L$38,12),'El og plugin hybrid'!O$33))/1000</f>
        <v>0</v>
      </c>
      <c r="P124" s="309">
        <f>'El og plugin hybrid'!O$15/1000*'El og plugin hybrid'!O$49</f>
        <v>0</v>
      </c>
      <c r="Q124" s="288">
        <f>'El og plugin hybrid'!Q$48*R124*IF('El og plugin hybrid'!Q$29="nej","",IF('El og plugin hybrid'!Q$31="ja",VLOOKUP('El og plugin hybrid'!Q$54+($C124-1),Fremskrivninger!$A$9:$L$38,12),'El og plugin hybrid'!Q$33))/1000</f>
        <v>0</v>
      </c>
      <c r="R124" s="309">
        <f>'El og plugin hybrid'!Q$15/1000*'El og plugin hybrid'!Q$49</f>
        <v>0</v>
      </c>
      <c r="S124" s="288">
        <f>'El og plugin hybrid'!S$48*T124*IF('El og plugin hybrid'!S$29="nej","",IF('El og plugin hybrid'!S$31="ja",VLOOKUP('El og plugin hybrid'!S$54+($C124-1),Fremskrivninger!$A$9:$L$38,12),'El og plugin hybrid'!S$33))/1000</f>
        <v>0</v>
      </c>
      <c r="T124" s="309">
        <f>'El og plugin hybrid'!S$15/1000*'El og plugin hybrid'!S$49</f>
        <v>0</v>
      </c>
      <c r="U124" s="288">
        <f>'El og plugin hybrid'!U$48*V124*IF('El og plugin hybrid'!U$29="nej","",IF('El og plugin hybrid'!U$31="ja",VLOOKUP('El og plugin hybrid'!U$54+($C124-1),Fremskrivninger!$A$9:$L$38,12),'El og plugin hybrid'!U$33))/1000</f>
        <v>0</v>
      </c>
      <c r="V124" s="309">
        <f>'El og plugin hybrid'!U$15/1000*'El og plugin hybrid'!U$49</f>
        <v>0</v>
      </c>
      <c r="W124" s="288">
        <f>'El og plugin hybrid'!W$48*X124*IF('El og plugin hybrid'!W$29="nej","",IF('El og plugin hybrid'!W$31="ja",VLOOKUP('El og plugin hybrid'!W$54+($C124-1),Fremskrivninger!$A$9:$L$38,12),'El og plugin hybrid'!W$33))/1000</f>
        <v>0</v>
      </c>
      <c r="X124" s="309">
        <f>'El og plugin hybrid'!W$15/1000*'El og plugin hybrid'!W$49</f>
        <v>0</v>
      </c>
    </row>
    <row r="125" spans="1:24">
      <c r="A125" s="308"/>
      <c r="B125" s="282">
        <v>7</v>
      </c>
      <c r="C125" s="282">
        <f t="shared" si="6"/>
        <v>7</v>
      </c>
      <c r="D125" s="282"/>
      <c r="E125" s="288">
        <f>'El og plugin hybrid'!E$48*F125*IF('El og plugin hybrid'!E$29="nej","",IF('El og plugin hybrid'!E$31="ja",VLOOKUP('El og plugin hybrid'!E$54+($C125-1),Fremskrivninger!$A$9:$L$38,12),'El og plugin hybrid'!E$33))/1000</f>
        <v>0</v>
      </c>
      <c r="F125" s="309">
        <f>'El og plugin hybrid'!E$15/1000*'El og plugin hybrid'!E$49</f>
        <v>0</v>
      </c>
      <c r="G125" s="288">
        <f>'El og plugin hybrid'!G$48*H125*IF('El og plugin hybrid'!G$29="nej","",IF('El og plugin hybrid'!G$31="ja",VLOOKUP('El og plugin hybrid'!G$54+($C125-1),Fremskrivninger!$A$9:$L$38,12),'El og plugin hybrid'!G$33))/1000</f>
        <v>0</v>
      </c>
      <c r="H125" s="309">
        <f>'El og plugin hybrid'!G$15/1000*'El og plugin hybrid'!G$49</f>
        <v>0</v>
      </c>
      <c r="I125" s="288">
        <f>'El og plugin hybrid'!I$48*J125*IF('El og plugin hybrid'!I$29="nej","",IF('El og plugin hybrid'!I$31="ja",VLOOKUP('El og plugin hybrid'!I$54+($C125-1),Fremskrivninger!$A$9:$L$38,12),'El og plugin hybrid'!I$33))/1000</f>
        <v>0</v>
      </c>
      <c r="J125" s="309">
        <f>'El og plugin hybrid'!I$15/1000*'El og plugin hybrid'!I$49</f>
        <v>0</v>
      </c>
      <c r="K125" s="288">
        <f>'El og plugin hybrid'!K$48*L125*IF('El og plugin hybrid'!K$29="nej","",IF('El og plugin hybrid'!K$31="ja",VLOOKUP('El og plugin hybrid'!K$54+($C125-1),Fremskrivninger!$A$9:$L$38,12),'El og plugin hybrid'!K$33))/1000</f>
        <v>0</v>
      </c>
      <c r="L125" s="309">
        <f>'El og plugin hybrid'!K$15/1000*'El og plugin hybrid'!K$49</f>
        <v>0</v>
      </c>
      <c r="M125" s="288">
        <f>'El og plugin hybrid'!M$48*N125*IF('El og plugin hybrid'!M$29="nej","",IF('El og plugin hybrid'!M$31="ja",VLOOKUP('El og plugin hybrid'!M$54+($C125-1),Fremskrivninger!$A$9:$L$38,12),'El og plugin hybrid'!M$33))/1000</f>
        <v>0</v>
      </c>
      <c r="N125" s="309">
        <f>'El og plugin hybrid'!M$15/1000*'El og plugin hybrid'!M$49</f>
        <v>0</v>
      </c>
      <c r="O125" s="288">
        <f>'El og plugin hybrid'!O$48*P125*IF('El og plugin hybrid'!O$29="nej","",IF('El og plugin hybrid'!O$31="ja",VLOOKUP('El og plugin hybrid'!O$54+($C125-1),Fremskrivninger!$A$9:$L$38,12),'El og plugin hybrid'!O$33))/1000</f>
        <v>0</v>
      </c>
      <c r="P125" s="309">
        <f>'El og plugin hybrid'!O$15/1000*'El og plugin hybrid'!O$49</f>
        <v>0</v>
      </c>
      <c r="Q125" s="288">
        <f>'El og plugin hybrid'!Q$48*R125*IF('El og plugin hybrid'!Q$29="nej","",IF('El og plugin hybrid'!Q$31="ja",VLOOKUP('El og plugin hybrid'!Q$54+($C125-1),Fremskrivninger!$A$9:$L$38,12),'El og plugin hybrid'!Q$33))/1000</f>
        <v>0</v>
      </c>
      <c r="R125" s="309">
        <f>'El og plugin hybrid'!Q$15/1000*'El og plugin hybrid'!Q$49</f>
        <v>0</v>
      </c>
      <c r="S125" s="288">
        <f>'El og plugin hybrid'!S$48*T125*IF('El og plugin hybrid'!S$29="nej","",IF('El og plugin hybrid'!S$31="ja",VLOOKUP('El og plugin hybrid'!S$54+($C125-1),Fremskrivninger!$A$9:$L$38,12),'El og plugin hybrid'!S$33))/1000</f>
        <v>0</v>
      </c>
      <c r="T125" s="309">
        <f>'El og plugin hybrid'!S$15/1000*'El og plugin hybrid'!S$49</f>
        <v>0</v>
      </c>
      <c r="U125" s="288">
        <f>'El og plugin hybrid'!U$48*V125*IF('El og plugin hybrid'!U$29="nej","",IF('El og plugin hybrid'!U$31="ja",VLOOKUP('El og plugin hybrid'!U$54+($C125-1),Fremskrivninger!$A$9:$L$38,12),'El og plugin hybrid'!U$33))/1000</f>
        <v>0</v>
      </c>
      <c r="V125" s="309">
        <f>'El og plugin hybrid'!U$15/1000*'El og plugin hybrid'!U$49</f>
        <v>0</v>
      </c>
      <c r="W125" s="288">
        <f>'El og plugin hybrid'!W$48*X125*IF('El og plugin hybrid'!W$29="nej","",IF('El og plugin hybrid'!W$31="ja",VLOOKUP('El og plugin hybrid'!W$54+($C125-1),Fremskrivninger!$A$9:$L$38,12),'El og plugin hybrid'!W$33))/1000</f>
        <v>0</v>
      </c>
      <c r="X125" s="309">
        <f>'El og plugin hybrid'!W$15/1000*'El og plugin hybrid'!W$49</f>
        <v>0</v>
      </c>
    </row>
    <row r="126" spans="1:24">
      <c r="A126" s="308"/>
      <c r="B126" s="282">
        <v>8</v>
      </c>
      <c r="C126" s="282">
        <f t="shared" si="6"/>
        <v>8</v>
      </c>
      <c r="D126" s="282"/>
      <c r="E126" s="288">
        <f>'El og plugin hybrid'!E$48*F126*IF('El og plugin hybrid'!E$29="nej","",IF('El og plugin hybrid'!E$31="ja",VLOOKUP('El og plugin hybrid'!E$54+($C126-1),Fremskrivninger!$A$9:$L$38,12),'El og plugin hybrid'!E$33))/1000</f>
        <v>0</v>
      </c>
      <c r="F126" s="309">
        <f>'El og plugin hybrid'!E$15/1000*'El og plugin hybrid'!E$49</f>
        <v>0</v>
      </c>
      <c r="G126" s="288">
        <f>'El og plugin hybrid'!G$48*H126*IF('El og plugin hybrid'!G$29="nej","",IF('El og plugin hybrid'!G$31="ja",VLOOKUP('El og plugin hybrid'!G$54+($C126-1),Fremskrivninger!$A$9:$L$38,12),'El og plugin hybrid'!G$33))/1000</f>
        <v>0</v>
      </c>
      <c r="H126" s="309">
        <f>'El og plugin hybrid'!G$15/1000*'El og plugin hybrid'!G$49</f>
        <v>0</v>
      </c>
      <c r="I126" s="288">
        <f>'El og plugin hybrid'!I$48*J126*IF('El og plugin hybrid'!I$29="nej","",IF('El og plugin hybrid'!I$31="ja",VLOOKUP('El og plugin hybrid'!I$54+($C126-1),Fremskrivninger!$A$9:$L$38,12),'El og plugin hybrid'!I$33))/1000</f>
        <v>0</v>
      </c>
      <c r="J126" s="309">
        <f>'El og plugin hybrid'!I$15/1000*'El og plugin hybrid'!I$49</f>
        <v>0</v>
      </c>
      <c r="K126" s="288">
        <f>'El og plugin hybrid'!K$48*L126*IF('El og plugin hybrid'!K$29="nej","",IF('El og plugin hybrid'!K$31="ja",VLOOKUP('El og plugin hybrid'!K$54+($C126-1),Fremskrivninger!$A$9:$L$38,12),'El og plugin hybrid'!K$33))/1000</f>
        <v>0</v>
      </c>
      <c r="L126" s="309">
        <f>'El og plugin hybrid'!K$15/1000*'El og plugin hybrid'!K$49</f>
        <v>0</v>
      </c>
      <c r="M126" s="288">
        <f>'El og plugin hybrid'!M$48*N126*IF('El og plugin hybrid'!M$29="nej","",IF('El og plugin hybrid'!M$31="ja",VLOOKUP('El og plugin hybrid'!M$54+($C126-1),Fremskrivninger!$A$9:$L$38,12),'El og plugin hybrid'!M$33))/1000</f>
        <v>0</v>
      </c>
      <c r="N126" s="309">
        <f>'El og plugin hybrid'!M$15/1000*'El og plugin hybrid'!M$49</f>
        <v>0</v>
      </c>
      <c r="O126" s="288">
        <f>'El og plugin hybrid'!O$48*P126*IF('El og plugin hybrid'!O$29="nej","",IF('El og plugin hybrid'!O$31="ja",VLOOKUP('El og plugin hybrid'!O$54+($C126-1),Fremskrivninger!$A$9:$L$38,12),'El og plugin hybrid'!O$33))/1000</f>
        <v>0</v>
      </c>
      <c r="P126" s="309">
        <f>'El og plugin hybrid'!O$15/1000*'El og plugin hybrid'!O$49</f>
        <v>0</v>
      </c>
      <c r="Q126" s="288">
        <f>'El og plugin hybrid'!Q$48*R126*IF('El og plugin hybrid'!Q$29="nej","",IF('El og plugin hybrid'!Q$31="ja",VLOOKUP('El og plugin hybrid'!Q$54+($C126-1),Fremskrivninger!$A$9:$L$38,12),'El og plugin hybrid'!Q$33))/1000</f>
        <v>0</v>
      </c>
      <c r="R126" s="309">
        <f>'El og plugin hybrid'!Q$15/1000*'El og plugin hybrid'!Q$49</f>
        <v>0</v>
      </c>
      <c r="S126" s="288">
        <f>'El og plugin hybrid'!S$48*T126*IF('El og plugin hybrid'!S$29="nej","",IF('El og plugin hybrid'!S$31="ja",VLOOKUP('El og plugin hybrid'!S$54+($C126-1),Fremskrivninger!$A$9:$L$38,12),'El og plugin hybrid'!S$33))/1000</f>
        <v>0</v>
      </c>
      <c r="T126" s="309">
        <f>'El og plugin hybrid'!S$15/1000*'El og plugin hybrid'!S$49</f>
        <v>0</v>
      </c>
      <c r="U126" s="288">
        <f>'El og plugin hybrid'!U$48*V126*IF('El og plugin hybrid'!U$29="nej","",IF('El og plugin hybrid'!U$31="ja",VLOOKUP('El og plugin hybrid'!U$54+($C126-1),Fremskrivninger!$A$9:$L$38,12),'El og plugin hybrid'!U$33))/1000</f>
        <v>0</v>
      </c>
      <c r="V126" s="309">
        <f>'El og plugin hybrid'!U$15/1000*'El og plugin hybrid'!U$49</f>
        <v>0</v>
      </c>
      <c r="W126" s="288">
        <f>'El og plugin hybrid'!W$48*X126*IF('El og plugin hybrid'!W$29="nej","",IF('El og plugin hybrid'!W$31="ja",VLOOKUP('El og plugin hybrid'!W$54+($C126-1),Fremskrivninger!$A$9:$L$38,12),'El og plugin hybrid'!W$33))/1000</f>
        <v>0</v>
      </c>
      <c r="X126" s="309">
        <f>'El og plugin hybrid'!W$15/1000*'El og plugin hybrid'!W$49</f>
        <v>0</v>
      </c>
    </row>
    <row r="127" spans="1:24">
      <c r="A127" s="308"/>
      <c r="B127" s="282">
        <v>9</v>
      </c>
      <c r="C127" s="282">
        <f t="shared" si="6"/>
        <v>9</v>
      </c>
      <c r="D127" s="282"/>
      <c r="E127" s="288">
        <f>'El og plugin hybrid'!E$48*F127*IF('El og plugin hybrid'!E$29="nej","",IF('El og plugin hybrid'!E$31="ja",VLOOKUP('El og plugin hybrid'!E$54+($C127-1),Fremskrivninger!$A$9:$L$38,12),'El og plugin hybrid'!E$33))/1000</f>
        <v>0</v>
      </c>
      <c r="F127" s="309">
        <f>'El og plugin hybrid'!E$15/1000*'El og plugin hybrid'!E$49</f>
        <v>0</v>
      </c>
      <c r="G127" s="288">
        <f>'El og plugin hybrid'!G$48*H127*IF('El og plugin hybrid'!G$29="nej","",IF('El og plugin hybrid'!G$31="ja",VLOOKUP('El og plugin hybrid'!G$54+($C127-1),Fremskrivninger!$A$9:$L$38,12),'El og plugin hybrid'!G$33))/1000</f>
        <v>0</v>
      </c>
      <c r="H127" s="309">
        <f>'El og plugin hybrid'!G$15/1000*'El og plugin hybrid'!G$49</f>
        <v>0</v>
      </c>
      <c r="I127" s="288">
        <f>'El og plugin hybrid'!I$48*J127*IF('El og plugin hybrid'!I$29="nej","",IF('El og plugin hybrid'!I$31="ja",VLOOKUP('El og plugin hybrid'!I$54+($C127-1),Fremskrivninger!$A$9:$L$38,12),'El og plugin hybrid'!I$33))/1000</f>
        <v>0</v>
      </c>
      <c r="J127" s="309">
        <f>'El og plugin hybrid'!I$15/1000*'El og plugin hybrid'!I$49</f>
        <v>0</v>
      </c>
      <c r="K127" s="288">
        <f>'El og plugin hybrid'!K$48*L127*IF('El og plugin hybrid'!K$29="nej","",IF('El og plugin hybrid'!K$31="ja",VLOOKUP('El og plugin hybrid'!K$54+($C127-1),Fremskrivninger!$A$9:$L$38,12),'El og plugin hybrid'!K$33))/1000</f>
        <v>0</v>
      </c>
      <c r="L127" s="309">
        <f>'El og plugin hybrid'!K$15/1000*'El og plugin hybrid'!K$49</f>
        <v>0</v>
      </c>
      <c r="M127" s="288">
        <f>'El og plugin hybrid'!M$48*N127*IF('El og plugin hybrid'!M$29="nej","",IF('El og plugin hybrid'!M$31="ja",VLOOKUP('El og plugin hybrid'!M$54+($C127-1),Fremskrivninger!$A$9:$L$38,12),'El og plugin hybrid'!M$33))/1000</f>
        <v>0</v>
      </c>
      <c r="N127" s="309">
        <f>'El og plugin hybrid'!M$15/1000*'El og plugin hybrid'!M$49</f>
        <v>0</v>
      </c>
      <c r="O127" s="288">
        <f>'El og plugin hybrid'!O$48*P127*IF('El og plugin hybrid'!O$29="nej","",IF('El og plugin hybrid'!O$31="ja",VLOOKUP('El og plugin hybrid'!O$54+($C127-1),Fremskrivninger!$A$9:$L$38,12),'El og plugin hybrid'!O$33))/1000</f>
        <v>0</v>
      </c>
      <c r="P127" s="309">
        <f>'El og plugin hybrid'!O$15/1000*'El og plugin hybrid'!O$49</f>
        <v>0</v>
      </c>
      <c r="Q127" s="288">
        <f>'El og plugin hybrid'!Q$48*R127*IF('El og plugin hybrid'!Q$29="nej","",IF('El og plugin hybrid'!Q$31="ja",VLOOKUP('El og plugin hybrid'!Q$54+($C127-1),Fremskrivninger!$A$9:$L$38,12),'El og plugin hybrid'!Q$33))/1000</f>
        <v>0</v>
      </c>
      <c r="R127" s="309">
        <f>'El og plugin hybrid'!Q$15/1000*'El og plugin hybrid'!Q$49</f>
        <v>0</v>
      </c>
      <c r="S127" s="288">
        <f>'El og plugin hybrid'!S$48*T127*IF('El og plugin hybrid'!S$29="nej","",IF('El og plugin hybrid'!S$31="ja",VLOOKUP('El og plugin hybrid'!S$54+($C127-1),Fremskrivninger!$A$9:$L$38,12),'El og plugin hybrid'!S$33))/1000</f>
        <v>0</v>
      </c>
      <c r="T127" s="309">
        <f>'El og plugin hybrid'!S$15/1000*'El og plugin hybrid'!S$49</f>
        <v>0</v>
      </c>
      <c r="U127" s="288">
        <f>'El og plugin hybrid'!U$48*V127*IF('El og plugin hybrid'!U$29="nej","",IF('El og plugin hybrid'!U$31="ja",VLOOKUP('El og plugin hybrid'!U$54+($C127-1),Fremskrivninger!$A$9:$L$38,12),'El og plugin hybrid'!U$33))/1000</f>
        <v>0</v>
      </c>
      <c r="V127" s="309">
        <f>'El og plugin hybrid'!U$15/1000*'El og plugin hybrid'!U$49</f>
        <v>0</v>
      </c>
      <c r="W127" s="288">
        <f>'El og plugin hybrid'!W$48*X127*IF('El og plugin hybrid'!W$29="nej","",IF('El og plugin hybrid'!W$31="ja",VLOOKUP('El og plugin hybrid'!W$54+($C127-1),Fremskrivninger!$A$9:$L$38,12),'El og plugin hybrid'!W$33))/1000</f>
        <v>0</v>
      </c>
      <c r="X127" s="309">
        <f>'El og plugin hybrid'!W$15/1000*'El og plugin hybrid'!W$49</f>
        <v>0</v>
      </c>
    </row>
    <row r="128" spans="1:24">
      <c r="A128" s="308"/>
      <c r="B128" s="282">
        <v>10</v>
      </c>
      <c r="C128" s="282">
        <f t="shared" si="6"/>
        <v>10</v>
      </c>
      <c r="D128" s="282"/>
      <c r="E128" s="288">
        <f>'El og plugin hybrid'!E$48*F128*IF('El og plugin hybrid'!E$29="nej","",IF('El og plugin hybrid'!E$31="ja",VLOOKUP('El og plugin hybrid'!E$54+($C128-1),Fremskrivninger!$A$9:$L$38,12),'El og plugin hybrid'!E$33))/1000</f>
        <v>0</v>
      </c>
      <c r="F128" s="309">
        <f>'El og plugin hybrid'!E$15/1000*'El og plugin hybrid'!E$49</f>
        <v>0</v>
      </c>
      <c r="G128" s="288">
        <f>'El og plugin hybrid'!G$48*H128*IF('El og plugin hybrid'!G$29="nej","",IF('El og plugin hybrid'!G$31="ja",VLOOKUP('El og plugin hybrid'!G$54+($C128-1),Fremskrivninger!$A$9:$L$38,12),'El og plugin hybrid'!G$33))/1000</f>
        <v>0</v>
      </c>
      <c r="H128" s="309">
        <f>'El og plugin hybrid'!G$15/1000*'El og plugin hybrid'!G$49</f>
        <v>0</v>
      </c>
      <c r="I128" s="288">
        <f>'El og plugin hybrid'!I$48*J128*IF('El og plugin hybrid'!I$29="nej","",IF('El og plugin hybrid'!I$31="ja",VLOOKUP('El og plugin hybrid'!I$54+($C128-1),Fremskrivninger!$A$9:$L$38,12),'El og plugin hybrid'!I$33))/1000</f>
        <v>0</v>
      </c>
      <c r="J128" s="309">
        <f>'El og plugin hybrid'!I$15/1000*'El og plugin hybrid'!I$49</f>
        <v>0</v>
      </c>
      <c r="K128" s="288">
        <f>'El og plugin hybrid'!K$48*L128*IF('El og plugin hybrid'!K$29="nej","",IF('El og plugin hybrid'!K$31="ja",VLOOKUP('El og plugin hybrid'!K$54+($C128-1),Fremskrivninger!$A$9:$L$38,12),'El og plugin hybrid'!K$33))/1000</f>
        <v>0</v>
      </c>
      <c r="L128" s="309">
        <f>'El og plugin hybrid'!K$15/1000*'El og plugin hybrid'!K$49</f>
        <v>0</v>
      </c>
      <c r="M128" s="288">
        <f>'El og plugin hybrid'!M$48*N128*IF('El og plugin hybrid'!M$29="nej","",IF('El og plugin hybrid'!M$31="ja",VLOOKUP('El og plugin hybrid'!M$54+($C128-1),Fremskrivninger!$A$9:$L$38,12),'El og plugin hybrid'!M$33))/1000</f>
        <v>0</v>
      </c>
      <c r="N128" s="309">
        <f>'El og plugin hybrid'!M$15/1000*'El og plugin hybrid'!M$49</f>
        <v>0</v>
      </c>
      <c r="O128" s="288">
        <f>'El og plugin hybrid'!O$48*P128*IF('El og plugin hybrid'!O$29="nej","",IF('El og plugin hybrid'!O$31="ja",VLOOKUP('El og plugin hybrid'!O$54+($C128-1),Fremskrivninger!$A$9:$L$38,12),'El og plugin hybrid'!O$33))/1000</f>
        <v>0</v>
      </c>
      <c r="P128" s="309">
        <f>'El og plugin hybrid'!O$15/1000*'El og plugin hybrid'!O$49</f>
        <v>0</v>
      </c>
      <c r="Q128" s="288">
        <f>'El og plugin hybrid'!Q$48*R128*IF('El og plugin hybrid'!Q$29="nej","",IF('El og plugin hybrid'!Q$31="ja",VLOOKUP('El og plugin hybrid'!Q$54+($C128-1),Fremskrivninger!$A$9:$L$38,12),'El og plugin hybrid'!Q$33))/1000</f>
        <v>0</v>
      </c>
      <c r="R128" s="309">
        <f>'El og plugin hybrid'!Q$15/1000*'El og plugin hybrid'!Q$49</f>
        <v>0</v>
      </c>
      <c r="S128" s="288">
        <f>'El og plugin hybrid'!S$48*T128*IF('El og plugin hybrid'!S$29="nej","",IF('El og plugin hybrid'!S$31="ja",VLOOKUP('El og plugin hybrid'!S$54+($C128-1),Fremskrivninger!$A$9:$L$38,12),'El og plugin hybrid'!S$33))/1000</f>
        <v>0</v>
      </c>
      <c r="T128" s="309">
        <f>'El og plugin hybrid'!S$15/1000*'El og plugin hybrid'!S$49</f>
        <v>0</v>
      </c>
      <c r="U128" s="288">
        <f>'El og plugin hybrid'!U$48*V128*IF('El og plugin hybrid'!U$29="nej","",IF('El og plugin hybrid'!U$31="ja",VLOOKUP('El og plugin hybrid'!U$54+($C128-1),Fremskrivninger!$A$9:$L$38,12),'El og plugin hybrid'!U$33))/1000</f>
        <v>0</v>
      </c>
      <c r="V128" s="309">
        <f>'El og plugin hybrid'!U$15/1000*'El og plugin hybrid'!U$49</f>
        <v>0</v>
      </c>
      <c r="W128" s="288">
        <f>'El og plugin hybrid'!W$48*X128*IF('El og plugin hybrid'!W$29="nej","",IF('El og plugin hybrid'!W$31="ja",VLOOKUP('El og plugin hybrid'!W$54+($C128-1),Fremskrivninger!$A$9:$L$38,12),'El og plugin hybrid'!W$33))/1000</f>
        <v>0</v>
      </c>
      <c r="X128" s="309">
        <f>'El og plugin hybrid'!W$15/1000*'El og plugin hybrid'!W$49</f>
        <v>0</v>
      </c>
    </row>
    <row r="129" spans="1:24">
      <c r="A129" s="308"/>
      <c r="B129" s="282">
        <v>11</v>
      </c>
      <c r="C129" s="282">
        <f t="shared" si="6"/>
        <v>11</v>
      </c>
      <c r="D129" s="282"/>
      <c r="E129" s="288">
        <f>'El og plugin hybrid'!E$48*F129*IF('El og plugin hybrid'!E$29="nej","",IF('El og plugin hybrid'!E$31="ja",VLOOKUP('El og plugin hybrid'!E$54+($C129-1),Fremskrivninger!$A$9:$L$38,12),'El og plugin hybrid'!E$33))/1000</f>
        <v>0</v>
      </c>
      <c r="F129" s="309">
        <f>'El og plugin hybrid'!E$15/1000*'El og plugin hybrid'!E$49</f>
        <v>0</v>
      </c>
      <c r="G129" s="288">
        <f>'El og plugin hybrid'!G$48*H129*IF('El og plugin hybrid'!G$29="nej","",IF('El og plugin hybrid'!G$31="ja",VLOOKUP('El og plugin hybrid'!G$54+($C129-1),Fremskrivninger!$A$9:$L$38,12),'El og plugin hybrid'!G$33))/1000</f>
        <v>0</v>
      </c>
      <c r="H129" s="309">
        <f>'El og plugin hybrid'!G$15/1000*'El og plugin hybrid'!G$49</f>
        <v>0</v>
      </c>
      <c r="I129" s="288">
        <f>'El og plugin hybrid'!I$48*J129*IF('El og plugin hybrid'!I$29="nej","",IF('El og plugin hybrid'!I$31="ja",VLOOKUP('El og plugin hybrid'!I$54+($C129-1),Fremskrivninger!$A$9:$L$38,12),'El og plugin hybrid'!I$33))/1000</f>
        <v>0</v>
      </c>
      <c r="J129" s="309">
        <f>'El og plugin hybrid'!I$15/1000*'El og plugin hybrid'!I$49</f>
        <v>0</v>
      </c>
      <c r="K129" s="288">
        <f>'El og plugin hybrid'!K$48*L129*IF('El og plugin hybrid'!K$29="nej","",IF('El og plugin hybrid'!K$31="ja",VLOOKUP('El og plugin hybrid'!K$54+($C129-1),Fremskrivninger!$A$9:$L$38,12),'El og plugin hybrid'!K$33))/1000</f>
        <v>0</v>
      </c>
      <c r="L129" s="309">
        <f>'El og plugin hybrid'!K$15/1000*'El og plugin hybrid'!K$49</f>
        <v>0</v>
      </c>
      <c r="M129" s="288">
        <f>'El og plugin hybrid'!M$48*N129*IF('El og plugin hybrid'!M$29="nej","",IF('El og plugin hybrid'!M$31="ja",VLOOKUP('El og plugin hybrid'!M$54+($C129-1),Fremskrivninger!$A$9:$L$38,12),'El og plugin hybrid'!M$33))/1000</f>
        <v>0</v>
      </c>
      <c r="N129" s="309">
        <f>'El og plugin hybrid'!M$15/1000*'El og plugin hybrid'!M$49</f>
        <v>0</v>
      </c>
      <c r="O129" s="288">
        <f>'El og plugin hybrid'!O$48*P129*IF('El og plugin hybrid'!O$29="nej","",IF('El og plugin hybrid'!O$31="ja",VLOOKUP('El og plugin hybrid'!O$54+($C129-1),Fremskrivninger!$A$9:$L$38,12),'El og plugin hybrid'!O$33))/1000</f>
        <v>0</v>
      </c>
      <c r="P129" s="309">
        <f>'El og plugin hybrid'!O$15/1000*'El og plugin hybrid'!O$49</f>
        <v>0</v>
      </c>
      <c r="Q129" s="288">
        <f>'El og plugin hybrid'!Q$48*R129*IF('El og plugin hybrid'!Q$29="nej","",IF('El og plugin hybrid'!Q$31="ja",VLOOKUP('El og plugin hybrid'!Q$54+($C129-1),Fremskrivninger!$A$9:$L$38,12),'El og plugin hybrid'!Q$33))/1000</f>
        <v>0</v>
      </c>
      <c r="R129" s="309">
        <f>'El og plugin hybrid'!Q$15/1000*'El og plugin hybrid'!Q$49</f>
        <v>0</v>
      </c>
      <c r="S129" s="288">
        <f>'El og plugin hybrid'!S$48*T129*IF('El og plugin hybrid'!S$29="nej","",IF('El og plugin hybrid'!S$31="ja",VLOOKUP('El og plugin hybrid'!S$54+($C129-1),Fremskrivninger!$A$9:$L$38,12),'El og plugin hybrid'!S$33))/1000</f>
        <v>0</v>
      </c>
      <c r="T129" s="309">
        <f>'El og plugin hybrid'!S$15/1000*'El og plugin hybrid'!S$49</f>
        <v>0</v>
      </c>
      <c r="U129" s="288">
        <f>'El og plugin hybrid'!U$48*V129*IF('El og plugin hybrid'!U$29="nej","",IF('El og plugin hybrid'!U$31="ja",VLOOKUP('El og plugin hybrid'!U$54+($C129-1),Fremskrivninger!$A$9:$L$38,12),'El og plugin hybrid'!U$33))/1000</f>
        <v>0</v>
      </c>
      <c r="V129" s="309">
        <f>'El og plugin hybrid'!U$15/1000*'El og plugin hybrid'!U$49</f>
        <v>0</v>
      </c>
      <c r="W129" s="288">
        <f>'El og plugin hybrid'!W$48*X129*IF('El og plugin hybrid'!W$29="nej","",IF('El og plugin hybrid'!W$31="ja",VLOOKUP('El og plugin hybrid'!W$54+($C129-1),Fremskrivninger!$A$9:$L$38,12),'El og plugin hybrid'!W$33))/1000</f>
        <v>0</v>
      </c>
      <c r="X129" s="309">
        <f>'El og plugin hybrid'!W$15/1000*'El og plugin hybrid'!W$49</f>
        <v>0</v>
      </c>
    </row>
    <row r="130" spans="1:24">
      <c r="A130" s="308"/>
      <c r="B130" s="282">
        <v>12</v>
      </c>
      <c r="C130" s="282">
        <f t="shared" si="6"/>
        <v>12</v>
      </c>
      <c r="D130" s="282"/>
      <c r="E130" s="288">
        <f>'El og plugin hybrid'!E$48*F130*IF('El og plugin hybrid'!E$29="nej","",IF('El og plugin hybrid'!E$31="ja",VLOOKUP('El og plugin hybrid'!E$54+($C130-1),Fremskrivninger!$A$9:$L$38,12),'El og plugin hybrid'!E$33))/1000</f>
        <v>0</v>
      </c>
      <c r="F130" s="309">
        <f>'El og plugin hybrid'!E$15/1000*'El og plugin hybrid'!E$49</f>
        <v>0</v>
      </c>
      <c r="G130" s="288">
        <f>'El og plugin hybrid'!G$48*H130*IF('El og plugin hybrid'!G$29="nej","",IF('El og plugin hybrid'!G$31="ja",VLOOKUP('El og plugin hybrid'!G$54+($C130-1),Fremskrivninger!$A$9:$L$38,12),'El og plugin hybrid'!G$33))/1000</f>
        <v>0</v>
      </c>
      <c r="H130" s="309">
        <f>'El og plugin hybrid'!G$15/1000*'El og plugin hybrid'!G$49</f>
        <v>0</v>
      </c>
      <c r="I130" s="288">
        <f>'El og plugin hybrid'!I$48*J130*IF('El og plugin hybrid'!I$29="nej","",IF('El og plugin hybrid'!I$31="ja",VLOOKUP('El og plugin hybrid'!I$54+($C130-1),Fremskrivninger!$A$9:$L$38,12),'El og plugin hybrid'!I$33))/1000</f>
        <v>0</v>
      </c>
      <c r="J130" s="309">
        <f>'El og plugin hybrid'!I$15/1000*'El og plugin hybrid'!I$49</f>
        <v>0</v>
      </c>
      <c r="K130" s="288">
        <f>'El og plugin hybrid'!K$48*L130*IF('El og plugin hybrid'!K$29="nej","",IF('El og plugin hybrid'!K$31="ja",VLOOKUP('El og plugin hybrid'!K$54+($C130-1),Fremskrivninger!$A$9:$L$38,12),'El og plugin hybrid'!K$33))/1000</f>
        <v>0</v>
      </c>
      <c r="L130" s="309">
        <f>'El og plugin hybrid'!K$15/1000*'El og plugin hybrid'!K$49</f>
        <v>0</v>
      </c>
      <c r="M130" s="288">
        <f>'El og plugin hybrid'!M$48*N130*IF('El og plugin hybrid'!M$29="nej","",IF('El og plugin hybrid'!M$31="ja",VLOOKUP('El og plugin hybrid'!M$54+($C130-1),Fremskrivninger!$A$9:$L$38,12),'El og plugin hybrid'!M$33))/1000</f>
        <v>0</v>
      </c>
      <c r="N130" s="309">
        <f>'El og plugin hybrid'!M$15/1000*'El og plugin hybrid'!M$49</f>
        <v>0</v>
      </c>
      <c r="O130" s="288">
        <f>'El og plugin hybrid'!O$48*P130*IF('El og plugin hybrid'!O$29="nej","",IF('El og plugin hybrid'!O$31="ja",VLOOKUP('El og plugin hybrid'!O$54+($C130-1),Fremskrivninger!$A$9:$L$38,12),'El og plugin hybrid'!O$33))/1000</f>
        <v>0</v>
      </c>
      <c r="P130" s="309">
        <f>'El og plugin hybrid'!O$15/1000*'El og plugin hybrid'!O$49</f>
        <v>0</v>
      </c>
      <c r="Q130" s="288">
        <f>'El og plugin hybrid'!Q$48*R130*IF('El og plugin hybrid'!Q$29="nej","",IF('El og plugin hybrid'!Q$31="ja",VLOOKUP('El og plugin hybrid'!Q$54+($C130-1),Fremskrivninger!$A$9:$L$38,12),'El og plugin hybrid'!Q$33))/1000</f>
        <v>0</v>
      </c>
      <c r="R130" s="309">
        <f>'El og plugin hybrid'!Q$15/1000*'El og plugin hybrid'!Q$49</f>
        <v>0</v>
      </c>
      <c r="S130" s="288">
        <f>'El og plugin hybrid'!S$48*T130*IF('El og plugin hybrid'!S$29="nej","",IF('El og plugin hybrid'!S$31="ja",VLOOKUP('El og plugin hybrid'!S$54+($C130-1),Fremskrivninger!$A$9:$L$38,12),'El og plugin hybrid'!S$33))/1000</f>
        <v>0</v>
      </c>
      <c r="T130" s="309">
        <f>'El og plugin hybrid'!S$15/1000*'El og plugin hybrid'!S$49</f>
        <v>0</v>
      </c>
      <c r="U130" s="288">
        <f>'El og plugin hybrid'!U$48*V130*IF('El og plugin hybrid'!U$29="nej","",IF('El og plugin hybrid'!U$31="ja",VLOOKUP('El og plugin hybrid'!U$54+($C130-1),Fremskrivninger!$A$9:$L$38,12),'El og plugin hybrid'!U$33))/1000</f>
        <v>0</v>
      </c>
      <c r="V130" s="309">
        <f>'El og plugin hybrid'!U$15/1000*'El og plugin hybrid'!U$49</f>
        <v>0</v>
      </c>
      <c r="W130" s="288">
        <f>'El og plugin hybrid'!W$48*X130*IF('El og plugin hybrid'!W$29="nej","",IF('El og plugin hybrid'!W$31="ja",VLOOKUP('El og plugin hybrid'!W$54+($C130-1),Fremskrivninger!$A$9:$L$38,12),'El og plugin hybrid'!W$33))/1000</f>
        <v>0</v>
      </c>
      <c r="X130" s="309">
        <f>'El og plugin hybrid'!W$15/1000*'El og plugin hybrid'!W$49</f>
        <v>0</v>
      </c>
    </row>
    <row r="131" spans="1:24">
      <c r="A131" s="308"/>
      <c r="B131" s="282">
        <v>13</v>
      </c>
      <c r="C131" s="282">
        <f t="shared" si="6"/>
        <v>13</v>
      </c>
      <c r="D131" s="282"/>
      <c r="E131" s="288">
        <f>'El og plugin hybrid'!E$48*F131*IF('El og plugin hybrid'!E$29="nej","",IF('El og plugin hybrid'!E$31="ja",VLOOKUP('El og plugin hybrid'!E$54+($C131-1),Fremskrivninger!$A$9:$L$38,12),'El og plugin hybrid'!E$33))/1000</f>
        <v>0</v>
      </c>
      <c r="F131" s="309">
        <f>'El og plugin hybrid'!E$15/1000*'El og plugin hybrid'!E$49</f>
        <v>0</v>
      </c>
      <c r="G131" s="288">
        <f>'El og plugin hybrid'!G$48*H131*IF('El og plugin hybrid'!G$29="nej","",IF('El og plugin hybrid'!G$31="ja",VLOOKUP('El og plugin hybrid'!G$54+($C131-1),Fremskrivninger!$A$9:$L$38,12),'El og plugin hybrid'!G$33))/1000</f>
        <v>0</v>
      </c>
      <c r="H131" s="309">
        <f>'El og plugin hybrid'!G$15/1000*'El og plugin hybrid'!G$49</f>
        <v>0</v>
      </c>
      <c r="I131" s="288">
        <f>'El og plugin hybrid'!I$48*J131*IF('El og plugin hybrid'!I$29="nej","",IF('El og plugin hybrid'!I$31="ja",VLOOKUP('El og plugin hybrid'!I$54+($C131-1),Fremskrivninger!$A$9:$L$38,12),'El og plugin hybrid'!I$33))/1000</f>
        <v>0</v>
      </c>
      <c r="J131" s="309">
        <f>'El og plugin hybrid'!I$15/1000*'El og plugin hybrid'!I$49</f>
        <v>0</v>
      </c>
      <c r="K131" s="288">
        <f>'El og plugin hybrid'!K$48*L131*IF('El og plugin hybrid'!K$29="nej","",IF('El og plugin hybrid'!K$31="ja",VLOOKUP('El og plugin hybrid'!K$54+($C131-1),Fremskrivninger!$A$9:$L$38,12),'El og plugin hybrid'!K$33))/1000</f>
        <v>0</v>
      </c>
      <c r="L131" s="309">
        <f>'El og plugin hybrid'!K$15/1000*'El og plugin hybrid'!K$49</f>
        <v>0</v>
      </c>
      <c r="M131" s="288">
        <f>'El og plugin hybrid'!M$48*N131*IF('El og plugin hybrid'!M$29="nej","",IF('El og plugin hybrid'!M$31="ja",VLOOKUP('El og plugin hybrid'!M$54+($C131-1),Fremskrivninger!$A$9:$L$38,12),'El og plugin hybrid'!M$33))/1000</f>
        <v>0</v>
      </c>
      <c r="N131" s="309">
        <f>'El og plugin hybrid'!M$15/1000*'El og plugin hybrid'!M$49</f>
        <v>0</v>
      </c>
      <c r="O131" s="288">
        <f>'El og plugin hybrid'!O$48*P131*IF('El og plugin hybrid'!O$29="nej","",IF('El og plugin hybrid'!O$31="ja",VLOOKUP('El og plugin hybrid'!O$54+($C131-1),Fremskrivninger!$A$9:$L$38,12),'El og plugin hybrid'!O$33))/1000</f>
        <v>0</v>
      </c>
      <c r="P131" s="309">
        <f>'El og plugin hybrid'!O$15/1000*'El og plugin hybrid'!O$49</f>
        <v>0</v>
      </c>
      <c r="Q131" s="288">
        <f>'El og plugin hybrid'!Q$48*R131*IF('El og plugin hybrid'!Q$29="nej","",IF('El og plugin hybrid'!Q$31="ja",VLOOKUP('El og plugin hybrid'!Q$54+($C131-1),Fremskrivninger!$A$9:$L$38,12),'El og plugin hybrid'!Q$33))/1000</f>
        <v>0</v>
      </c>
      <c r="R131" s="309">
        <f>'El og plugin hybrid'!Q$15/1000*'El og plugin hybrid'!Q$49</f>
        <v>0</v>
      </c>
      <c r="S131" s="288">
        <f>'El og plugin hybrid'!S$48*T131*IF('El og plugin hybrid'!S$29="nej","",IF('El og plugin hybrid'!S$31="ja",VLOOKUP('El og plugin hybrid'!S$54+($C131-1),Fremskrivninger!$A$9:$L$38,12),'El og plugin hybrid'!S$33))/1000</f>
        <v>0</v>
      </c>
      <c r="T131" s="309">
        <f>'El og plugin hybrid'!S$15/1000*'El og plugin hybrid'!S$49</f>
        <v>0</v>
      </c>
      <c r="U131" s="288">
        <f>'El og plugin hybrid'!U$48*V131*IF('El og plugin hybrid'!U$29="nej","",IF('El og plugin hybrid'!U$31="ja",VLOOKUP('El og plugin hybrid'!U$54+($C131-1),Fremskrivninger!$A$9:$L$38,12),'El og plugin hybrid'!U$33))/1000</f>
        <v>0</v>
      </c>
      <c r="V131" s="309">
        <f>'El og plugin hybrid'!U$15/1000*'El og plugin hybrid'!U$49</f>
        <v>0</v>
      </c>
      <c r="W131" s="288">
        <f>'El og plugin hybrid'!W$48*X131*IF('El og plugin hybrid'!W$29="nej","",IF('El og plugin hybrid'!W$31="ja",VLOOKUP('El og plugin hybrid'!W$54+($C131-1),Fremskrivninger!$A$9:$L$38,12),'El og plugin hybrid'!W$33))/1000</f>
        <v>0</v>
      </c>
      <c r="X131" s="309">
        <f>'El og plugin hybrid'!W$15/1000*'El og plugin hybrid'!W$49</f>
        <v>0</v>
      </c>
    </row>
    <row r="132" spans="1:24">
      <c r="A132" s="308"/>
      <c r="B132" s="282">
        <v>14</v>
      </c>
      <c r="C132" s="282">
        <f t="shared" si="6"/>
        <v>14</v>
      </c>
      <c r="D132" s="282"/>
      <c r="E132" s="288">
        <f>'El og plugin hybrid'!E$48*F132*IF('El og plugin hybrid'!E$29="nej","",IF('El og plugin hybrid'!E$31="ja",VLOOKUP('El og plugin hybrid'!E$54+($C132-1),Fremskrivninger!$A$9:$L$38,12),'El og plugin hybrid'!E$33))/1000</f>
        <v>0</v>
      </c>
      <c r="F132" s="309">
        <f>'El og plugin hybrid'!E$15/1000*'El og plugin hybrid'!E$49</f>
        <v>0</v>
      </c>
      <c r="G132" s="288">
        <f>'El og plugin hybrid'!G$48*H132*IF('El og plugin hybrid'!G$29="nej","",IF('El og plugin hybrid'!G$31="ja",VLOOKUP('El og plugin hybrid'!G$54+($C132-1),Fremskrivninger!$A$9:$L$38,12),'El og plugin hybrid'!G$33))/1000</f>
        <v>0</v>
      </c>
      <c r="H132" s="309">
        <f>'El og plugin hybrid'!G$15/1000*'El og plugin hybrid'!G$49</f>
        <v>0</v>
      </c>
      <c r="I132" s="288">
        <f>'El og plugin hybrid'!I$48*J132*IF('El og plugin hybrid'!I$29="nej","",IF('El og plugin hybrid'!I$31="ja",VLOOKUP('El og plugin hybrid'!I$54+($C132-1),Fremskrivninger!$A$9:$L$38,12),'El og plugin hybrid'!I$33))/1000</f>
        <v>0</v>
      </c>
      <c r="J132" s="309">
        <f>'El og plugin hybrid'!I$15/1000*'El og plugin hybrid'!I$49</f>
        <v>0</v>
      </c>
      <c r="K132" s="288">
        <f>'El og plugin hybrid'!K$48*L132*IF('El og plugin hybrid'!K$29="nej","",IF('El og plugin hybrid'!K$31="ja",VLOOKUP('El og plugin hybrid'!K$54+($C132-1),Fremskrivninger!$A$9:$L$38,12),'El og plugin hybrid'!K$33))/1000</f>
        <v>0</v>
      </c>
      <c r="L132" s="309">
        <f>'El og plugin hybrid'!K$15/1000*'El og plugin hybrid'!K$49</f>
        <v>0</v>
      </c>
      <c r="M132" s="288">
        <f>'El og plugin hybrid'!M$48*N132*IF('El og plugin hybrid'!M$29="nej","",IF('El og plugin hybrid'!M$31="ja",VLOOKUP('El og plugin hybrid'!M$54+($C132-1),Fremskrivninger!$A$9:$L$38,12),'El og plugin hybrid'!M$33))/1000</f>
        <v>0</v>
      </c>
      <c r="N132" s="309">
        <f>'El og plugin hybrid'!M$15/1000*'El og plugin hybrid'!M$49</f>
        <v>0</v>
      </c>
      <c r="O132" s="288">
        <f>'El og plugin hybrid'!O$48*P132*IF('El og plugin hybrid'!O$29="nej","",IF('El og plugin hybrid'!O$31="ja",VLOOKUP('El og plugin hybrid'!O$54+($C132-1),Fremskrivninger!$A$9:$L$38,12),'El og plugin hybrid'!O$33))/1000</f>
        <v>0</v>
      </c>
      <c r="P132" s="309">
        <f>'El og plugin hybrid'!O$15/1000*'El og plugin hybrid'!O$49</f>
        <v>0</v>
      </c>
      <c r="Q132" s="288">
        <f>'El og plugin hybrid'!Q$48*R132*IF('El og plugin hybrid'!Q$29="nej","",IF('El og plugin hybrid'!Q$31="ja",VLOOKUP('El og plugin hybrid'!Q$54+($C132-1),Fremskrivninger!$A$9:$L$38,12),'El og plugin hybrid'!Q$33))/1000</f>
        <v>0</v>
      </c>
      <c r="R132" s="309">
        <f>'El og plugin hybrid'!Q$15/1000*'El og plugin hybrid'!Q$49</f>
        <v>0</v>
      </c>
      <c r="S132" s="288">
        <f>'El og plugin hybrid'!S$48*T132*IF('El og plugin hybrid'!S$29="nej","",IF('El og plugin hybrid'!S$31="ja",VLOOKUP('El og plugin hybrid'!S$54+($C132-1),Fremskrivninger!$A$9:$L$38,12),'El og plugin hybrid'!S$33))/1000</f>
        <v>0</v>
      </c>
      <c r="T132" s="309">
        <f>'El og plugin hybrid'!S$15/1000*'El og plugin hybrid'!S$49</f>
        <v>0</v>
      </c>
      <c r="U132" s="288">
        <f>'El og plugin hybrid'!U$48*V132*IF('El og plugin hybrid'!U$29="nej","",IF('El og plugin hybrid'!U$31="ja",VLOOKUP('El og plugin hybrid'!U$54+($C132-1),Fremskrivninger!$A$9:$L$38,12),'El og plugin hybrid'!U$33))/1000</f>
        <v>0</v>
      </c>
      <c r="V132" s="309">
        <f>'El og plugin hybrid'!U$15/1000*'El og plugin hybrid'!U$49</f>
        <v>0</v>
      </c>
      <c r="W132" s="288">
        <f>'El og plugin hybrid'!W$48*X132*IF('El og plugin hybrid'!W$29="nej","",IF('El og plugin hybrid'!W$31="ja",VLOOKUP('El og plugin hybrid'!W$54+($C132-1),Fremskrivninger!$A$9:$L$38,12),'El og plugin hybrid'!W$33))/1000</f>
        <v>0</v>
      </c>
      <c r="X132" s="309">
        <f>'El og plugin hybrid'!W$15/1000*'El og plugin hybrid'!W$49</f>
        <v>0</v>
      </c>
    </row>
    <row r="133" spans="1:24">
      <c r="A133" s="308"/>
      <c r="B133" s="282">
        <v>15</v>
      </c>
      <c r="C133" s="282">
        <f t="shared" si="6"/>
        <v>15</v>
      </c>
      <c r="D133" s="282"/>
      <c r="E133" s="288">
        <f>'El og plugin hybrid'!E$48*F133*IF('El og plugin hybrid'!E$29="nej","",IF('El og plugin hybrid'!E$31="ja",VLOOKUP('El og plugin hybrid'!E$54+($C133-1),Fremskrivninger!$A$9:$L$38,12),'El og plugin hybrid'!E$33))/1000</f>
        <v>0</v>
      </c>
      <c r="F133" s="309">
        <f>'El og plugin hybrid'!E$15/1000*'El og plugin hybrid'!E$49</f>
        <v>0</v>
      </c>
      <c r="G133" s="288">
        <f>'El og plugin hybrid'!G$48*H133*IF('El og plugin hybrid'!G$29="nej","",IF('El og plugin hybrid'!G$31="ja",VLOOKUP('El og plugin hybrid'!G$54+($C133-1),Fremskrivninger!$A$9:$L$38,12),'El og plugin hybrid'!G$33))/1000</f>
        <v>0</v>
      </c>
      <c r="H133" s="309">
        <f>'El og plugin hybrid'!G$15/1000*'El og plugin hybrid'!G$49</f>
        <v>0</v>
      </c>
      <c r="I133" s="288">
        <f>'El og plugin hybrid'!I$48*J133*IF('El og plugin hybrid'!I$29="nej","",IF('El og plugin hybrid'!I$31="ja",VLOOKUP('El og plugin hybrid'!I$54+($C133-1),Fremskrivninger!$A$9:$L$38,12),'El og plugin hybrid'!I$33))/1000</f>
        <v>0</v>
      </c>
      <c r="J133" s="309">
        <f>'El og plugin hybrid'!I$15/1000*'El og plugin hybrid'!I$49</f>
        <v>0</v>
      </c>
      <c r="K133" s="288">
        <f>'El og plugin hybrid'!K$48*L133*IF('El og plugin hybrid'!K$29="nej","",IF('El og plugin hybrid'!K$31="ja",VLOOKUP('El og plugin hybrid'!K$54+($C133-1),Fremskrivninger!$A$9:$L$38,12),'El og plugin hybrid'!K$33))/1000</f>
        <v>0</v>
      </c>
      <c r="L133" s="309">
        <f>'El og plugin hybrid'!K$15/1000*'El og plugin hybrid'!K$49</f>
        <v>0</v>
      </c>
      <c r="M133" s="288">
        <f>'El og plugin hybrid'!M$48*N133*IF('El og plugin hybrid'!M$29="nej","",IF('El og plugin hybrid'!M$31="ja",VLOOKUP('El og plugin hybrid'!M$54+($C133-1),Fremskrivninger!$A$9:$L$38,12),'El og plugin hybrid'!M$33))/1000</f>
        <v>0</v>
      </c>
      <c r="N133" s="309">
        <f>'El og plugin hybrid'!M$15/1000*'El og plugin hybrid'!M$49</f>
        <v>0</v>
      </c>
      <c r="O133" s="288">
        <f>'El og plugin hybrid'!O$48*P133*IF('El og plugin hybrid'!O$29="nej","",IF('El og plugin hybrid'!O$31="ja",VLOOKUP('El og plugin hybrid'!O$54+($C133-1),Fremskrivninger!$A$9:$L$38,12),'El og plugin hybrid'!O$33))/1000</f>
        <v>0</v>
      </c>
      <c r="P133" s="309">
        <f>'El og plugin hybrid'!O$15/1000*'El og plugin hybrid'!O$49</f>
        <v>0</v>
      </c>
      <c r="Q133" s="288">
        <f>'El og plugin hybrid'!Q$48*R133*IF('El og plugin hybrid'!Q$29="nej","",IF('El og plugin hybrid'!Q$31="ja",VLOOKUP('El og plugin hybrid'!Q$54+($C133-1),Fremskrivninger!$A$9:$L$38,12),'El og plugin hybrid'!Q$33))/1000</f>
        <v>0</v>
      </c>
      <c r="R133" s="309">
        <f>'El og plugin hybrid'!Q$15/1000*'El og plugin hybrid'!Q$49</f>
        <v>0</v>
      </c>
      <c r="S133" s="288">
        <f>'El og plugin hybrid'!S$48*T133*IF('El og plugin hybrid'!S$29="nej","",IF('El og plugin hybrid'!S$31="ja",VLOOKUP('El og plugin hybrid'!S$54+($C133-1),Fremskrivninger!$A$9:$L$38,12),'El og plugin hybrid'!S$33))/1000</f>
        <v>0</v>
      </c>
      <c r="T133" s="309">
        <f>'El og plugin hybrid'!S$15/1000*'El og plugin hybrid'!S$49</f>
        <v>0</v>
      </c>
      <c r="U133" s="288">
        <f>'El og plugin hybrid'!U$48*V133*IF('El og plugin hybrid'!U$29="nej","",IF('El og plugin hybrid'!U$31="ja",VLOOKUP('El og plugin hybrid'!U$54+($C133-1),Fremskrivninger!$A$9:$L$38,12),'El og plugin hybrid'!U$33))/1000</f>
        <v>0</v>
      </c>
      <c r="V133" s="309">
        <f>'El og plugin hybrid'!U$15/1000*'El og plugin hybrid'!U$49</f>
        <v>0</v>
      </c>
      <c r="W133" s="288">
        <f>'El og plugin hybrid'!W$48*X133*IF('El og plugin hybrid'!W$29="nej","",IF('El og plugin hybrid'!W$31="ja",VLOOKUP('El og plugin hybrid'!W$54+($C133-1),Fremskrivninger!$A$9:$L$38,12),'El og plugin hybrid'!W$33))/1000</f>
        <v>0</v>
      </c>
      <c r="X133" s="309">
        <f>'El og plugin hybrid'!W$15/1000*'El og plugin hybrid'!W$49</f>
        <v>0</v>
      </c>
    </row>
    <row r="134" spans="1:24">
      <c r="A134" s="308"/>
      <c r="B134" s="282">
        <v>16</v>
      </c>
      <c r="C134" s="282">
        <f t="shared" si="6"/>
        <v>16</v>
      </c>
      <c r="D134" s="282"/>
      <c r="E134" s="288">
        <f>'El og plugin hybrid'!E$48*F134*IF('El og plugin hybrid'!E$29="nej","",IF('El og plugin hybrid'!E$31="ja",VLOOKUP('El og plugin hybrid'!E$54+($C134-1),Fremskrivninger!$A$9:$L$38,12),'El og plugin hybrid'!E$33))/1000</f>
        <v>0</v>
      </c>
      <c r="F134" s="309">
        <f>'El og plugin hybrid'!E$15/1000*'El og plugin hybrid'!E$49</f>
        <v>0</v>
      </c>
      <c r="G134" s="288">
        <f>'El og plugin hybrid'!G$48*H134*IF('El og plugin hybrid'!G$29="nej","",IF('El og plugin hybrid'!G$31="ja",VLOOKUP('El og plugin hybrid'!G$54+($C134-1),Fremskrivninger!$A$9:$L$38,12),'El og plugin hybrid'!G$33))/1000</f>
        <v>0</v>
      </c>
      <c r="H134" s="309">
        <f>'El og plugin hybrid'!G$15/1000*'El og plugin hybrid'!G$49</f>
        <v>0</v>
      </c>
      <c r="I134" s="288">
        <f>'El og plugin hybrid'!I$48*J134*IF('El og plugin hybrid'!I$29="nej","",IF('El og plugin hybrid'!I$31="ja",VLOOKUP('El og plugin hybrid'!I$54+($C134-1),Fremskrivninger!$A$9:$L$38,12),'El og plugin hybrid'!I$33))/1000</f>
        <v>0</v>
      </c>
      <c r="J134" s="309">
        <f>'El og plugin hybrid'!I$15/1000*'El og plugin hybrid'!I$49</f>
        <v>0</v>
      </c>
      <c r="K134" s="288">
        <f>'El og plugin hybrid'!K$48*L134*IF('El og plugin hybrid'!K$29="nej","",IF('El og plugin hybrid'!K$31="ja",VLOOKUP('El og plugin hybrid'!K$54+($C134-1),Fremskrivninger!$A$9:$L$38,12),'El og plugin hybrid'!K$33))/1000</f>
        <v>0</v>
      </c>
      <c r="L134" s="309">
        <f>'El og plugin hybrid'!K$15/1000*'El og plugin hybrid'!K$49</f>
        <v>0</v>
      </c>
      <c r="M134" s="288">
        <f>'El og plugin hybrid'!M$48*N134*IF('El og plugin hybrid'!M$29="nej","",IF('El og plugin hybrid'!M$31="ja",VLOOKUP('El og plugin hybrid'!M$54+($C134-1),Fremskrivninger!$A$9:$L$38,12),'El og plugin hybrid'!M$33))/1000</f>
        <v>0</v>
      </c>
      <c r="N134" s="309">
        <f>'El og plugin hybrid'!M$15/1000*'El og plugin hybrid'!M$49</f>
        <v>0</v>
      </c>
      <c r="O134" s="288">
        <f>'El og plugin hybrid'!O$48*P134*IF('El og plugin hybrid'!O$29="nej","",IF('El og plugin hybrid'!O$31="ja",VLOOKUP('El og plugin hybrid'!O$54+($C134-1),Fremskrivninger!$A$9:$L$38,12),'El og plugin hybrid'!O$33))/1000</f>
        <v>0</v>
      </c>
      <c r="P134" s="309">
        <f>'El og plugin hybrid'!O$15/1000*'El og plugin hybrid'!O$49</f>
        <v>0</v>
      </c>
      <c r="Q134" s="288">
        <f>'El og plugin hybrid'!Q$48*R134*IF('El og plugin hybrid'!Q$29="nej","",IF('El og plugin hybrid'!Q$31="ja",VLOOKUP('El og plugin hybrid'!Q$54+($C134-1),Fremskrivninger!$A$9:$L$38,12),'El og plugin hybrid'!Q$33))/1000</f>
        <v>0</v>
      </c>
      <c r="R134" s="309">
        <f>'El og plugin hybrid'!Q$15/1000*'El og plugin hybrid'!Q$49</f>
        <v>0</v>
      </c>
      <c r="S134" s="288">
        <f>'El og plugin hybrid'!S$48*T134*IF('El og plugin hybrid'!S$29="nej","",IF('El og plugin hybrid'!S$31="ja",VLOOKUP('El og plugin hybrid'!S$54+($C134-1),Fremskrivninger!$A$9:$L$38,12),'El og plugin hybrid'!S$33))/1000</f>
        <v>0</v>
      </c>
      <c r="T134" s="309">
        <f>'El og plugin hybrid'!S$15/1000*'El og plugin hybrid'!S$49</f>
        <v>0</v>
      </c>
      <c r="U134" s="288">
        <f>'El og plugin hybrid'!U$48*V134*IF('El og plugin hybrid'!U$29="nej","",IF('El og plugin hybrid'!U$31="ja",VLOOKUP('El og plugin hybrid'!U$54+($C134-1),Fremskrivninger!$A$9:$L$38,12),'El og plugin hybrid'!U$33))/1000</f>
        <v>0</v>
      </c>
      <c r="V134" s="309">
        <f>'El og plugin hybrid'!U$15/1000*'El og plugin hybrid'!U$49</f>
        <v>0</v>
      </c>
      <c r="W134" s="288">
        <f>'El og plugin hybrid'!W$48*X134*IF('El og plugin hybrid'!W$29="nej","",IF('El og plugin hybrid'!W$31="ja",VLOOKUP('El og plugin hybrid'!W$54+($C134-1),Fremskrivninger!$A$9:$L$38,12),'El og plugin hybrid'!W$33))/1000</f>
        <v>0</v>
      </c>
      <c r="X134" s="309">
        <f>'El og plugin hybrid'!W$15/1000*'El og plugin hybrid'!W$49</f>
        <v>0</v>
      </c>
    </row>
    <row r="135" spans="1:24">
      <c r="A135" s="308"/>
      <c r="B135" s="282">
        <v>17</v>
      </c>
      <c r="C135" s="282">
        <f t="shared" si="6"/>
        <v>17</v>
      </c>
      <c r="D135" s="282"/>
      <c r="E135" s="288">
        <f>'El og plugin hybrid'!E$48*F135*IF('El og plugin hybrid'!E$29="nej","",IF('El og plugin hybrid'!E$31="ja",VLOOKUP('El og plugin hybrid'!E$54+($C135-1),Fremskrivninger!$A$9:$L$38,12),'El og plugin hybrid'!E$33))/1000</f>
        <v>0</v>
      </c>
      <c r="F135" s="309">
        <f>'El og plugin hybrid'!E$15/1000*'El og plugin hybrid'!E$49</f>
        <v>0</v>
      </c>
      <c r="G135" s="288">
        <f>'El og plugin hybrid'!G$48*H135*IF('El og plugin hybrid'!G$29="nej","",IF('El og plugin hybrid'!G$31="ja",VLOOKUP('El og plugin hybrid'!G$54+($C135-1),Fremskrivninger!$A$9:$L$38,12),'El og plugin hybrid'!G$33))/1000</f>
        <v>0</v>
      </c>
      <c r="H135" s="309">
        <f>'El og plugin hybrid'!G$15/1000*'El og plugin hybrid'!G$49</f>
        <v>0</v>
      </c>
      <c r="I135" s="288">
        <f>'El og plugin hybrid'!I$48*J135*IF('El og plugin hybrid'!I$29="nej","",IF('El og plugin hybrid'!I$31="ja",VLOOKUP('El og plugin hybrid'!I$54+($C135-1),Fremskrivninger!$A$9:$L$38,12),'El og plugin hybrid'!I$33))/1000</f>
        <v>0</v>
      </c>
      <c r="J135" s="309">
        <f>'El og plugin hybrid'!I$15/1000*'El og plugin hybrid'!I$49</f>
        <v>0</v>
      </c>
      <c r="K135" s="288">
        <f>'El og plugin hybrid'!K$48*L135*IF('El og plugin hybrid'!K$29="nej","",IF('El og plugin hybrid'!K$31="ja",VLOOKUP('El og plugin hybrid'!K$54+($C135-1),Fremskrivninger!$A$9:$L$38,12),'El og plugin hybrid'!K$33))/1000</f>
        <v>0</v>
      </c>
      <c r="L135" s="309">
        <f>'El og plugin hybrid'!K$15/1000*'El og plugin hybrid'!K$49</f>
        <v>0</v>
      </c>
      <c r="M135" s="288">
        <f>'El og plugin hybrid'!M$48*N135*IF('El og plugin hybrid'!M$29="nej","",IF('El og plugin hybrid'!M$31="ja",VLOOKUP('El og plugin hybrid'!M$54+($C135-1),Fremskrivninger!$A$9:$L$38,12),'El og plugin hybrid'!M$33))/1000</f>
        <v>0</v>
      </c>
      <c r="N135" s="309">
        <f>'El og plugin hybrid'!M$15/1000*'El og plugin hybrid'!M$49</f>
        <v>0</v>
      </c>
      <c r="O135" s="288">
        <f>'El og plugin hybrid'!O$48*P135*IF('El og plugin hybrid'!O$29="nej","",IF('El og plugin hybrid'!O$31="ja",VLOOKUP('El og plugin hybrid'!O$54+($C135-1),Fremskrivninger!$A$9:$L$38,12),'El og plugin hybrid'!O$33))/1000</f>
        <v>0</v>
      </c>
      <c r="P135" s="309">
        <f>'El og plugin hybrid'!O$15/1000*'El og plugin hybrid'!O$49</f>
        <v>0</v>
      </c>
      <c r="Q135" s="288">
        <f>'El og plugin hybrid'!Q$48*R135*IF('El og plugin hybrid'!Q$29="nej","",IF('El og plugin hybrid'!Q$31="ja",VLOOKUP('El og plugin hybrid'!Q$54+($C135-1),Fremskrivninger!$A$9:$L$38,12),'El og plugin hybrid'!Q$33))/1000</f>
        <v>0</v>
      </c>
      <c r="R135" s="309">
        <f>'El og plugin hybrid'!Q$15/1000*'El og plugin hybrid'!Q$49</f>
        <v>0</v>
      </c>
      <c r="S135" s="288">
        <f>'El og plugin hybrid'!S$48*T135*IF('El og plugin hybrid'!S$29="nej","",IF('El og plugin hybrid'!S$31="ja",VLOOKUP('El og plugin hybrid'!S$54+($C135-1),Fremskrivninger!$A$9:$L$38,12),'El og plugin hybrid'!S$33))/1000</f>
        <v>0</v>
      </c>
      <c r="T135" s="309">
        <f>'El og plugin hybrid'!S$15/1000*'El og plugin hybrid'!S$49</f>
        <v>0</v>
      </c>
      <c r="U135" s="288">
        <f>'El og plugin hybrid'!U$48*V135*IF('El og plugin hybrid'!U$29="nej","",IF('El og plugin hybrid'!U$31="ja",VLOOKUP('El og plugin hybrid'!U$54+($C135-1),Fremskrivninger!$A$9:$L$38,12),'El og plugin hybrid'!U$33))/1000</f>
        <v>0</v>
      </c>
      <c r="V135" s="309">
        <f>'El og plugin hybrid'!U$15/1000*'El og plugin hybrid'!U$49</f>
        <v>0</v>
      </c>
      <c r="W135" s="288">
        <f>'El og plugin hybrid'!W$48*X135*IF('El og plugin hybrid'!W$29="nej","",IF('El og plugin hybrid'!W$31="ja",VLOOKUP('El og plugin hybrid'!W$54+($C135-1),Fremskrivninger!$A$9:$L$38,12),'El og plugin hybrid'!W$33))/1000</f>
        <v>0</v>
      </c>
      <c r="X135" s="309">
        <f>'El og plugin hybrid'!W$15/1000*'El og plugin hybrid'!W$49</f>
        <v>0</v>
      </c>
    </row>
    <row r="136" spans="1:24">
      <c r="A136" s="308"/>
      <c r="B136" s="282">
        <v>18</v>
      </c>
      <c r="C136" s="282">
        <f t="shared" si="6"/>
        <v>18</v>
      </c>
      <c r="D136" s="282"/>
      <c r="E136" s="288">
        <f>'El og plugin hybrid'!E$48*F136*IF('El og plugin hybrid'!E$29="nej","",IF('El og plugin hybrid'!E$31="ja",VLOOKUP('El og plugin hybrid'!E$54+($C136-1),Fremskrivninger!$A$9:$L$38,12),'El og plugin hybrid'!E$33))/1000</f>
        <v>0</v>
      </c>
      <c r="F136" s="309">
        <f>'El og plugin hybrid'!E$15/1000*'El og plugin hybrid'!E$49</f>
        <v>0</v>
      </c>
      <c r="G136" s="288">
        <f>'El og plugin hybrid'!G$48*H136*IF('El og plugin hybrid'!G$29="nej","",IF('El og plugin hybrid'!G$31="ja",VLOOKUP('El og plugin hybrid'!G$54+($C136-1),Fremskrivninger!$A$9:$L$38,12),'El og plugin hybrid'!G$33))/1000</f>
        <v>0</v>
      </c>
      <c r="H136" s="309">
        <f>'El og plugin hybrid'!G$15/1000*'El og plugin hybrid'!G$49</f>
        <v>0</v>
      </c>
      <c r="I136" s="288">
        <f>'El og plugin hybrid'!I$48*J136*IF('El og plugin hybrid'!I$29="nej","",IF('El og plugin hybrid'!I$31="ja",VLOOKUP('El og plugin hybrid'!I$54+($C136-1),Fremskrivninger!$A$9:$L$38,12),'El og plugin hybrid'!I$33))/1000</f>
        <v>0</v>
      </c>
      <c r="J136" s="309">
        <f>'El og plugin hybrid'!I$15/1000*'El og plugin hybrid'!I$49</f>
        <v>0</v>
      </c>
      <c r="K136" s="288">
        <f>'El og plugin hybrid'!K$48*L136*IF('El og plugin hybrid'!K$29="nej","",IF('El og plugin hybrid'!K$31="ja",VLOOKUP('El og plugin hybrid'!K$54+($C136-1),Fremskrivninger!$A$9:$L$38,12),'El og plugin hybrid'!K$33))/1000</f>
        <v>0</v>
      </c>
      <c r="L136" s="309">
        <f>'El og plugin hybrid'!K$15/1000*'El og plugin hybrid'!K$49</f>
        <v>0</v>
      </c>
      <c r="M136" s="288">
        <f>'El og plugin hybrid'!M$48*N136*IF('El og plugin hybrid'!M$29="nej","",IF('El og plugin hybrid'!M$31="ja",VLOOKUP('El og plugin hybrid'!M$54+($C136-1),Fremskrivninger!$A$9:$L$38,12),'El og plugin hybrid'!M$33))/1000</f>
        <v>0</v>
      </c>
      <c r="N136" s="309">
        <f>'El og plugin hybrid'!M$15/1000*'El og plugin hybrid'!M$49</f>
        <v>0</v>
      </c>
      <c r="O136" s="288">
        <f>'El og plugin hybrid'!O$48*P136*IF('El og plugin hybrid'!O$29="nej","",IF('El og plugin hybrid'!O$31="ja",VLOOKUP('El og plugin hybrid'!O$54+($C136-1),Fremskrivninger!$A$9:$L$38,12),'El og plugin hybrid'!O$33))/1000</f>
        <v>0</v>
      </c>
      <c r="P136" s="309">
        <f>'El og plugin hybrid'!O$15/1000*'El og plugin hybrid'!O$49</f>
        <v>0</v>
      </c>
      <c r="Q136" s="288">
        <f>'El og plugin hybrid'!Q$48*R136*IF('El og plugin hybrid'!Q$29="nej","",IF('El og plugin hybrid'!Q$31="ja",VLOOKUP('El og plugin hybrid'!Q$54+($C136-1),Fremskrivninger!$A$9:$L$38,12),'El og plugin hybrid'!Q$33))/1000</f>
        <v>0</v>
      </c>
      <c r="R136" s="309">
        <f>'El og plugin hybrid'!Q$15/1000*'El og plugin hybrid'!Q$49</f>
        <v>0</v>
      </c>
      <c r="S136" s="288">
        <f>'El og plugin hybrid'!S$48*T136*IF('El og plugin hybrid'!S$29="nej","",IF('El og plugin hybrid'!S$31="ja",VLOOKUP('El og plugin hybrid'!S$54+($C136-1),Fremskrivninger!$A$9:$L$38,12),'El og plugin hybrid'!S$33))/1000</f>
        <v>0</v>
      </c>
      <c r="T136" s="309">
        <f>'El og plugin hybrid'!S$15/1000*'El og plugin hybrid'!S$49</f>
        <v>0</v>
      </c>
      <c r="U136" s="288">
        <f>'El og plugin hybrid'!U$48*V136*IF('El og plugin hybrid'!U$29="nej","",IF('El og plugin hybrid'!U$31="ja",VLOOKUP('El og plugin hybrid'!U$54+($C136-1),Fremskrivninger!$A$9:$L$38,12),'El og plugin hybrid'!U$33))/1000</f>
        <v>0</v>
      </c>
      <c r="V136" s="309">
        <f>'El og plugin hybrid'!U$15/1000*'El og plugin hybrid'!U$49</f>
        <v>0</v>
      </c>
      <c r="W136" s="288">
        <f>'El og plugin hybrid'!W$48*X136*IF('El og plugin hybrid'!W$29="nej","",IF('El og plugin hybrid'!W$31="ja",VLOOKUP('El og plugin hybrid'!W$54+($C136-1),Fremskrivninger!$A$9:$L$38,12),'El og plugin hybrid'!W$33))/1000</f>
        <v>0</v>
      </c>
      <c r="X136" s="309">
        <f>'El og plugin hybrid'!W$15/1000*'El og plugin hybrid'!W$49</f>
        <v>0</v>
      </c>
    </row>
    <row r="137" spans="1:24">
      <c r="A137" s="308"/>
      <c r="B137" s="282">
        <v>19</v>
      </c>
      <c r="C137" s="282">
        <f t="shared" si="6"/>
        <v>19</v>
      </c>
      <c r="D137" s="282"/>
      <c r="E137" s="288">
        <f>'El og plugin hybrid'!E$48*F137*IF('El og plugin hybrid'!E$29="nej","",IF('El og plugin hybrid'!E$31="ja",VLOOKUP('El og plugin hybrid'!E$54+($C137-1),Fremskrivninger!$A$9:$L$38,12),'El og plugin hybrid'!E$33))/1000</f>
        <v>0</v>
      </c>
      <c r="F137" s="309">
        <f>'El og plugin hybrid'!E$15/1000*'El og plugin hybrid'!E$49</f>
        <v>0</v>
      </c>
      <c r="G137" s="288">
        <f>'El og plugin hybrid'!G$48*H137*IF('El og plugin hybrid'!G$29="nej","",IF('El og plugin hybrid'!G$31="ja",VLOOKUP('El og plugin hybrid'!G$54+($C137-1),Fremskrivninger!$A$9:$L$38,12),'El og plugin hybrid'!G$33))/1000</f>
        <v>0</v>
      </c>
      <c r="H137" s="309">
        <f>'El og plugin hybrid'!G$15/1000*'El og plugin hybrid'!G$49</f>
        <v>0</v>
      </c>
      <c r="I137" s="288">
        <f>'El og plugin hybrid'!I$48*J137*IF('El og plugin hybrid'!I$29="nej","",IF('El og plugin hybrid'!I$31="ja",VLOOKUP('El og plugin hybrid'!I$54+($C137-1),Fremskrivninger!$A$9:$L$38,12),'El og plugin hybrid'!I$33))/1000</f>
        <v>0</v>
      </c>
      <c r="J137" s="309">
        <f>'El og plugin hybrid'!I$15/1000*'El og plugin hybrid'!I$49</f>
        <v>0</v>
      </c>
      <c r="K137" s="288">
        <f>'El og plugin hybrid'!K$48*L137*IF('El og plugin hybrid'!K$29="nej","",IF('El og plugin hybrid'!K$31="ja",VLOOKUP('El og plugin hybrid'!K$54+($C137-1),Fremskrivninger!$A$9:$L$38,12),'El og plugin hybrid'!K$33))/1000</f>
        <v>0</v>
      </c>
      <c r="L137" s="309">
        <f>'El og plugin hybrid'!K$15/1000*'El og plugin hybrid'!K$49</f>
        <v>0</v>
      </c>
      <c r="M137" s="288">
        <f>'El og plugin hybrid'!M$48*N137*IF('El og plugin hybrid'!M$29="nej","",IF('El og plugin hybrid'!M$31="ja",VLOOKUP('El og plugin hybrid'!M$54+($C137-1),Fremskrivninger!$A$9:$L$38,12),'El og plugin hybrid'!M$33))/1000</f>
        <v>0</v>
      </c>
      <c r="N137" s="309">
        <f>'El og plugin hybrid'!M$15/1000*'El og plugin hybrid'!M$49</f>
        <v>0</v>
      </c>
      <c r="O137" s="288">
        <f>'El og plugin hybrid'!O$48*P137*IF('El og plugin hybrid'!O$29="nej","",IF('El og plugin hybrid'!O$31="ja",VLOOKUP('El og plugin hybrid'!O$54+($C137-1),Fremskrivninger!$A$9:$L$38,12),'El og plugin hybrid'!O$33))/1000</f>
        <v>0</v>
      </c>
      <c r="P137" s="309">
        <f>'El og plugin hybrid'!O$15/1000*'El og plugin hybrid'!O$49</f>
        <v>0</v>
      </c>
      <c r="Q137" s="288">
        <f>'El og plugin hybrid'!Q$48*R137*IF('El og plugin hybrid'!Q$29="nej","",IF('El og plugin hybrid'!Q$31="ja",VLOOKUP('El og plugin hybrid'!Q$54+($C137-1),Fremskrivninger!$A$9:$L$38,12),'El og plugin hybrid'!Q$33))/1000</f>
        <v>0</v>
      </c>
      <c r="R137" s="309">
        <f>'El og plugin hybrid'!Q$15/1000*'El og plugin hybrid'!Q$49</f>
        <v>0</v>
      </c>
      <c r="S137" s="288">
        <f>'El og plugin hybrid'!S$48*T137*IF('El og plugin hybrid'!S$29="nej","",IF('El og plugin hybrid'!S$31="ja",VLOOKUP('El og plugin hybrid'!S$54+($C137-1),Fremskrivninger!$A$9:$L$38,12),'El og plugin hybrid'!S$33))/1000</f>
        <v>0</v>
      </c>
      <c r="T137" s="309">
        <f>'El og plugin hybrid'!S$15/1000*'El og plugin hybrid'!S$49</f>
        <v>0</v>
      </c>
      <c r="U137" s="288">
        <f>'El og plugin hybrid'!U$48*V137*IF('El og plugin hybrid'!U$29="nej","",IF('El og plugin hybrid'!U$31="ja",VLOOKUP('El og plugin hybrid'!U$54+($C137-1),Fremskrivninger!$A$9:$L$38,12),'El og plugin hybrid'!U$33))/1000</f>
        <v>0</v>
      </c>
      <c r="V137" s="309">
        <f>'El og plugin hybrid'!U$15/1000*'El og plugin hybrid'!U$49</f>
        <v>0</v>
      </c>
      <c r="W137" s="288">
        <f>'El og plugin hybrid'!W$48*X137*IF('El og plugin hybrid'!W$29="nej","",IF('El og plugin hybrid'!W$31="ja",VLOOKUP('El og plugin hybrid'!W$54+($C137-1),Fremskrivninger!$A$9:$L$38,12),'El og plugin hybrid'!W$33))/1000</f>
        <v>0</v>
      </c>
      <c r="X137" s="309">
        <f>'El og plugin hybrid'!W$15/1000*'El og plugin hybrid'!W$49</f>
        <v>0</v>
      </c>
    </row>
    <row r="138" spans="1:24">
      <c r="A138" s="308"/>
      <c r="B138" s="282">
        <v>20</v>
      </c>
      <c r="C138" s="282">
        <f t="shared" si="6"/>
        <v>20</v>
      </c>
      <c r="D138" s="282"/>
      <c r="E138" s="288">
        <f>'El og plugin hybrid'!E$48*F138*IF('El og plugin hybrid'!E$29="nej","",IF('El og plugin hybrid'!E$31="ja",VLOOKUP('El og plugin hybrid'!E$54+($C138-1),Fremskrivninger!$A$9:$L$38,12),'El og plugin hybrid'!E$33))/1000</f>
        <v>0</v>
      </c>
      <c r="F138" s="309">
        <f>'El og plugin hybrid'!E$15/1000*'El og plugin hybrid'!E$49</f>
        <v>0</v>
      </c>
      <c r="G138" s="288">
        <f>'El og plugin hybrid'!G$48*H138*IF('El og plugin hybrid'!G$29="nej","",IF('El og plugin hybrid'!G$31="ja",VLOOKUP('El og plugin hybrid'!G$54+($C138-1),Fremskrivninger!$A$9:$L$38,12),'El og plugin hybrid'!G$33))/1000</f>
        <v>0</v>
      </c>
      <c r="H138" s="309">
        <f>'El og plugin hybrid'!G$15/1000*'El og plugin hybrid'!G$49</f>
        <v>0</v>
      </c>
      <c r="I138" s="288">
        <f>'El og plugin hybrid'!I$48*J138*IF('El og plugin hybrid'!I$29="nej","",IF('El og plugin hybrid'!I$31="ja",VLOOKUP('El og plugin hybrid'!I$54+($C138-1),Fremskrivninger!$A$9:$L$38,12),'El og plugin hybrid'!I$33))/1000</f>
        <v>0</v>
      </c>
      <c r="J138" s="309">
        <f>'El og plugin hybrid'!I$15/1000*'El og plugin hybrid'!I$49</f>
        <v>0</v>
      </c>
      <c r="K138" s="288">
        <f>'El og plugin hybrid'!K$48*L138*IF('El og plugin hybrid'!K$29="nej","",IF('El og plugin hybrid'!K$31="ja",VLOOKUP('El og plugin hybrid'!K$54+($C138-1),Fremskrivninger!$A$9:$L$38,12),'El og plugin hybrid'!K$33))/1000</f>
        <v>0</v>
      </c>
      <c r="L138" s="309">
        <f>'El og plugin hybrid'!K$15/1000*'El og plugin hybrid'!K$49</f>
        <v>0</v>
      </c>
      <c r="M138" s="288">
        <f>'El og plugin hybrid'!M$48*N138*IF('El og plugin hybrid'!M$29="nej","",IF('El og plugin hybrid'!M$31="ja",VLOOKUP('El og plugin hybrid'!M$54+($C138-1),Fremskrivninger!$A$9:$L$38,12),'El og plugin hybrid'!M$33))/1000</f>
        <v>0</v>
      </c>
      <c r="N138" s="309">
        <f>'El og plugin hybrid'!M$15/1000*'El og plugin hybrid'!M$49</f>
        <v>0</v>
      </c>
      <c r="O138" s="288">
        <f>'El og plugin hybrid'!O$48*P138*IF('El og plugin hybrid'!O$29="nej","",IF('El og plugin hybrid'!O$31="ja",VLOOKUP('El og plugin hybrid'!O$54+($C138-1),Fremskrivninger!$A$9:$L$38,12),'El og plugin hybrid'!O$33))/1000</f>
        <v>0</v>
      </c>
      <c r="P138" s="309">
        <f>'El og plugin hybrid'!O$15/1000*'El og plugin hybrid'!O$49</f>
        <v>0</v>
      </c>
      <c r="Q138" s="288">
        <f>'El og plugin hybrid'!Q$48*R138*IF('El og plugin hybrid'!Q$29="nej","",IF('El og plugin hybrid'!Q$31="ja",VLOOKUP('El og plugin hybrid'!Q$54+($C138-1),Fremskrivninger!$A$9:$L$38,12),'El og plugin hybrid'!Q$33))/1000</f>
        <v>0</v>
      </c>
      <c r="R138" s="309">
        <f>'El og plugin hybrid'!Q$15/1000*'El og plugin hybrid'!Q$49</f>
        <v>0</v>
      </c>
      <c r="S138" s="288">
        <f>'El og plugin hybrid'!S$48*T138*IF('El og plugin hybrid'!S$29="nej","",IF('El og plugin hybrid'!S$31="ja",VLOOKUP('El og plugin hybrid'!S$54+($C138-1),Fremskrivninger!$A$9:$L$38,12),'El og plugin hybrid'!S$33))/1000</f>
        <v>0</v>
      </c>
      <c r="T138" s="309">
        <f>'El og plugin hybrid'!S$15/1000*'El og plugin hybrid'!S$49</f>
        <v>0</v>
      </c>
      <c r="U138" s="288">
        <f>'El og plugin hybrid'!U$48*V138*IF('El og plugin hybrid'!U$29="nej","",IF('El og plugin hybrid'!U$31="ja",VLOOKUP('El og plugin hybrid'!U$54+($C138-1),Fremskrivninger!$A$9:$L$38,12),'El og plugin hybrid'!U$33))/1000</f>
        <v>0</v>
      </c>
      <c r="V138" s="309">
        <f>'El og plugin hybrid'!U$15/1000*'El og plugin hybrid'!U$49</f>
        <v>0</v>
      </c>
      <c r="W138" s="288">
        <f>'El og plugin hybrid'!W$48*X138*IF('El og plugin hybrid'!W$29="nej","",IF('El og plugin hybrid'!W$31="ja",VLOOKUP('El og plugin hybrid'!W$54+($C138-1),Fremskrivninger!$A$9:$L$38,12),'El og plugin hybrid'!W$33))/1000</f>
        <v>0</v>
      </c>
      <c r="X138" s="309">
        <f>'El og plugin hybrid'!W$15/1000*'El og plugin hybrid'!W$49</f>
        <v>0</v>
      </c>
    </row>
    <row r="139" spans="1:24" outlineLevel="1">
      <c r="A139" s="283"/>
      <c r="B139" s="284"/>
      <c r="C139" s="284"/>
      <c r="D139" s="284"/>
      <c r="E139" s="284"/>
      <c r="F139" s="284"/>
      <c r="G139" s="284"/>
      <c r="H139" s="284"/>
      <c r="I139" s="284"/>
      <c r="J139" s="284"/>
      <c r="K139" s="284"/>
      <c r="L139" s="284"/>
      <c r="M139" s="284"/>
      <c r="N139" s="284"/>
      <c r="O139" s="284"/>
      <c r="P139" s="284"/>
      <c r="Q139" s="284"/>
      <c r="R139" s="284"/>
      <c r="S139" s="284"/>
      <c r="T139" s="285"/>
      <c r="U139" s="284"/>
      <c r="V139" s="285"/>
      <c r="W139" s="284"/>
      <c r="X139" s="285"/>
    </row>
    <row r="140" spans="1:24">
      <c r="A140" s="286" t="s">
        <v>188</v>
      </c>
      <c r="B140" s="305"/>
      <c r="C140" s="305"/>
      <c r="D140" s="305"/>
      <c r="E140" s="305"/>
      <c r="F140" s="305"/>
      <c r="G140" s="305"/>
      <c r="H140" s="305"/>
      <c r="I140" s="305"/>
      <c r="J140" s="305"/>
      <c r="K140" s="305"/>
      <c r="L140" s="305"/>
      <c r="M140" s="305"/>
      <c r="N140" s="305"/>
      <c r="O140" s="305"/>
      <c r="P140" s="305"/>
      <c r="Q140" s="305"/>
      <c r="R140" s="305"/>
      <c r="S140" s="305"/>
      <c r="T140" s="310"/>
      <c r="U140" s="305"/>
      <c r="V140" s="310"/>
      <c r="W140" s="305"/>
      <c r="X140" s="310"/>
    </row>
    <row r="141" spans="1:24" ht="68.25">
      <c r="A141" s="279"/>
      <c r="B141" s="280" t="s">
        <v>20</v>
      </c>
      <c r="C141" s="305"/>
      <c r="D141" s="305" t="s">
        <v>21</v>
      </c>
      <c r="E141" s="281" t="str">
        <f>'El og plugin hybrid'!E8</f>
        <v>PRODUKT 1 EL</v>
      </c>
      <c r="F141" s="306" t="str">
        <f>E141&amp;" - Årligt benzinforbrug (liter/år/produkt)"</f>
        <v>PRODUKT 1 EL - Årligt benzinforbrug (liter/år/produkt)</v>
      </c>
      <c r="G141" s="281" t="str">
        <f>'El og plugin hybrid'!G8</f>
        <v>PRODUKT 2 EL</v>
      </c>
      <c r="H141" s="306" t="str">
        <f>G141&amp;" - Årligt benzinforbrug (liter/år/produkt)"</f>
        <v>PRODUKT 2 EL - Årligt benzinforbrug (liter/år/produkt)</v>
      </c>
      <c r="I141" s="281" t="str">
        <f>'El og plugin hybrid'!I8</f>
        <v>PRODUKT 3 EL</v>
      </c>
      <c r="J141" s="306" t="str">
        <f>I141&amp;" - Årligt benzinforbrug (liter/år/produkt)"</f>
        <v>PRODUKT 3 EL - Årligt benzinforbrug (liter/år/produkt)</v>
      </c>
      <c r="K141" s="281" t="str">
        <f>'El og plugin hybrid'!K8</f>
        <v>PRODUKT 4 EL</v>
      </c>
      <c r="L141" s="306" t="str">
        <f>K141&amp;" - Årligt benzinforbrug (liter/år/produkt)"</f>
        <v>PRODUKT 4 EL - Årligt benzinforbrug (liter/år/produkt)</v>
      </c>
      <c r="M141" s="281" t="str">
        <f>'El og plugin hybrid'!M8</f>
        <v>PRODUKT 5 EL</v>
      </c>
      <c r="N141" s="306" t="str">
        <f>M141&amp;" - Årligt benzinforbrug (liter/år/produkt)"</f>
        <v>PRODUKT 5 EL - Årligt benzinforbrug (liter/år/produkt)</v>
      </c>
      <c r="O141" s="281" t="str">
        <f>'El og plugin hybrid'!O8</f>
        <v>PRODUKT 6 EL</v>
      </c>
      <c r="P141" s="306" t="str">
        <f>O141&amp;" - Årligt benzinforbrug (liter/år/produkt)"</f>
        <v>PRODUKT 6 EL - Årligt benzinforbrug (liter/år/produkt)</v>
      </c>
      <c r="Q141" s="281" t="str">
        <f>'El og plugin hybrid'!Q8</f>
        <v>PRODUKT 7 EL</v>
      </c>
      <c r="R141" s="306" t="str">
        <f>Q141&amp;" - Årligt benzinforbrug (liter/år/produkt)"</f>
        <v>PRODUKT 7 EL - Årligt benzinforbrug (liter/år/produkt)</v>
      </c>
      <c r="S141" s="281" t="str">
        <f>'El og plugin hybrid'!S8</f>
        <v>PRODUKT 8 EL</v>
      </c>
      <c r="T141" s="306" t="str">
        <f>S141&amp;" - Årligt benzinforbrug (liter/år/produkt)"</f>
        <v>PRODUKT 8 EL - Årligt benzinforbrug (liter/år/produkt)</v>
      </c>
      <c r="U141" s="281" t="str">
        <f>U25</f>
        <v>PRODUKT 9 EL</v>
      </c>
      <c r="V141" s="306" t="str">
        <f>U141&amp;" - Årligt benzinforbrug (liter/år/produkt)"</f>
        <v>PRODUKT 9 EL - Årligt benzinforbrug (liter/år/produkt)</v>
      </c>
      <c r="W141" s="281" t="str">
        <f>W25</f>
        <v>PRODUKT 10 EL</v>
      </c>
      <c r="X141" s="306" t="str">
        <f>W141&amp;" - Årligt benzinforbrug (liter/år/produkt)"</f>
        <v>PRODUKT 10 EL - Årligt benzinforbrug (liter/år/produkt)</v>
      </c>
    </row>
    <row r="142" spans="1:24">
      <c r="A142" s="308"/>
      <c r="B142" s="282">
        <v>1</v>
      </c>
      <c r="C142" s="282">
        <f>B142</f>
        <v>1</v>
      </c>
      <c r="D142" s="282"/>
      <c r="E142" s="288">
        <f>F142*'El og plugin hybrid'!E$48*VLOOKUP('El og plugin hybrid'!E$54+($B142-1),Fremskrivninger!$A$48:$H$77,8)/1000</f>
        <v>0</v>
      </c>
      <c r="F142" s="309">
        <f>IFERROR('El og plugin hybrid'!E$49/'El og plugin hybrid'!E$15,0)</f>
        <v>0</v>
      </c>
      <c r="G142" s="288">
        <f>H142*'El og plugin hybrid'!G$48*VLOOKUP('El og plugin hybrid'!G$54+($B142-1),Fremskrivninger!$A$48:$H$77,8)/1000</f>
        <v>0</v>
      </c>
      <c r="H142" s="309">
        <f>IFERROR('El og plugin hybrid'!G$49/'El og plugin hybrid'!G$15,0)</f>
        <v>0</v>
      </c>
      <c r="I142" s="288">
        <f>J142*'El og plugin hybrid'!I$48*VLOOKUP('El og plugin hybrid'!I$54+($B142-1),Fremskrivninger!$A$48:$H$77,8)/1000</f>
        <v>0</v>
      </c>
      <c r="J142" s="309">
        <f>IFERROR('El og plugin hybrid'!I$49/'El og plugin hybrid'!I$15,0)</f>
        <v>0</v>
      </c>
      <c r="K142" s="288">
        <f>L142*'El og plugin hybrid'!K$48*VLOOKUP('El og plugin hybrid'!K$54+($B142-1),Fremskrivninger!$A$48:$H$77,8)/1000</f>
        <v>0</v>
      </c>
      <c r="L142" s="309">
        <f>IFERROR('El og plugin hybrid'!K$49/'El og plugin hybrid'!K$15,0)</f>
        <v>0</v>
      </c>
      <c r="M142" s="288">
        <f>N142*'El og plugin hybrid'!M$48*VLOOKUP('El og plugin hybrid'!M$54+($B142-1),Fremskrivninger!$A$48:$H$77,8)/1000</f>
        <v>0</v>
      </c>
      <c r="N142" s="309">
        <f>IFERROR('El og plugin hybrid'!M$49/'El og plugin hybrid'!M$15,0)</f>
        <v>0</v>
      </c>
      <c r="O142" s="288">
        <f>P142*'El og plugin hybrid'!O$48*VLOOKUP('El og plugin hybrid'!O$54+($B142-1),Fremskrivninger!$A$48:$H$77,8)/1000</f>
        <v>0</v>
      </c>
      <c r="P142" s="309">
        <f>IFERROR('El og plugin hybrid'!O$49/'El og plugin hybrid'!O$15,0)</f>
        <v>0</v>
      </c>
      <c r="Q142" s="288">
        <f>R142*'El og plugin hybrid'!Q$48*VLOOKUP('El og plugin hybrid'!Q$54+($B142-1),Fremskrivninger!$A$48:$H$77,8)/1000</f>
        <v>0</v>
      </c>
      <c r="R142" s="309">
        <f>IFERROR('El og plugin hybrid'!Q$49/'El og plugin hybrid'!Q$15,0)</f>
        <v>0</v>
      </c>
      <c r="S142" s="288">
        <f>T142*'El og plugin hybrid'!S$48*VLOOKUP('El og plugin hybrid'!S$54+($B142-1),Fremskrivninger!$A$48:$H$77,8)/1000</f>
        <v>0</v>
      </c>
      <c r="T142" s="309">
        <f>IFERROR('El og plugin hybrid'!S$49/'El og plugin hybrid'!S$15,0)</f>
        <v>0</v>
      </c>
      <c r="U142" s="288">
        <f>V142*'El og plugin hybrid'!U$48*VLOOKUP('El og plugin hybrid'!U$54+($B142-1),Fremskrivninger!$A$48:$H$77,8)/1000</f>
        <v>0</v>
      </c>
      <c r="V142" s="309">
        <f>IFERROR('El og plugin hybrid'!U$49/'El og plugin hybrid'!U$15,0)</f>
        <v>0</v>
      </c>
      <c r="W142" s="288">
        <f>X142*'El og plugin hybrid'!W$48*VLOOKUP('El og plugin hybrid'!W$54+($B142-1),Fremskrivninger!$A$48:$H$77,8)/1000</f>
        <v>0</v>
      </c>
      <c r="X142" s="309">
        <f>IFERROR('El og plugin hybrid'!W$49/'El og plugin hybrid'!W$15,0)</f>
        <v>0</v>
      </c>
    </row>
    <row r="143" spans="1:24">
      <c r="A143" s="308"/>
      <c r="B143" s="282">
        <v>2</v>
      </c>
      <c r="C143" s="282">
        <f t="shared" ref="C143:C161" si="7">B143</f>
        <v>2</v>
      </c>
      <c r="D143" s="282"/>
      <c r="E143" s="288">
        <f>F143*'El og plugin hybrid'!E$48*VLOOKUP('El og plugin hybrid'!E$54+($B143-1),Fremskrivninger!$A$48:$H$77,8)/1000</f>
        <v>0</v>
      </c>
      <c r="F143" s="309">
        <f>IFERROR('El og plugin hybrid'!E$49/'El og plugin hybrid'!E$15,0)</f>
        <v>0</v>
      </c>
      <c r="G143" s="288">
        <f>H143*'El og plugin hybrid'!G$48*VLOOKUP('El og plugin hybrid'!G$54+($B143-1),Fremskrivninger!$A$48:$H$77,8)/1000</f>
        <v>0</v>
      </c>
      <c r="H143" s="309">
        <f>IFERROR('El og plugin hybrid'!G$49/'El og plugin hybrid'!G$15,0)</f>
        <v>0</v>
      </c>
      <c r="I143" s="288">
        <f>J143*'El og plugin hybrid'!I$48*VLOOKUP('El og plugin hybrid'!I$54+($B143-1),Fremskrivninger!$A$48:$H$77,8)/1000</f>
        <v>0</v>
      </c>
      <c r="J143" s="309">
        <f>IFERROR('El og plugin hybrid'!I$49/'El og plugin hybrid'!I$15,0)</f>
        <v>0</v>
      </c>
      <c r="K143" s="288">
        <f>L143*'El og plugin hybrid'!K$48*VLOOKUP('El og plugin hybrid'!K$54+($B143-1),Fremskrivninger!$A$48:$H$77,8)/1000</f>
        <v>0</v>
      </c>
      <c r="L143" s="309">
        <f>IFERROR('El og plugin hybrid'!K$49/'El og plugin hybrid'!K$15,0)</f>
        <v>0</v>
      </c>
      <c r="M143" s="288">
        <f>N143*'El og plugin hybrid'!M$48*VLOOKUP('El og plugin hybrid'!M$54+($B143-1),Fremskrivninger!$A$48:$H$77,8)/1000</f>
        <v>0</v>
      </c>
      <c r="N143" s="309">
        <f>IFERROR('El og plugin hybrid'!M$49/'El og plugin hybrid'!M$15,0)</f>
        <v>0</v>
      </c>
      <c r="O143" s="288">
        <f>P143*'El og plugin hybrid'!O$48*VLOOKUP('El og plugin hybrid'!O$54+($B143-1),Fremskrivninger!$A$48:$H$77,8)/1000</f>
        <v>0</v>
      </c>
      <c r="P143" s="309">
        <f>IFERROR('El og plugin hybrid'!O$49/'El og plugin hybrid'!O$15,0)</f>
        <v>0</v>
      </c>
      <c r="Q143" s="288">
        <f>R143*'El og plugin hybrid'!Q$48*VLOOKUP('El og plugin hybrid'!Q$54+($B143-1),Fremskrivninger!$A$48:$H$77,8)/1000</f>
        <v>0</v>
      </c>
      <c r="R143" s="309">
        <f>IFERROR('El og plugin hybrid'!Q$49/'El og plugin hybrid'!Q$15,0)</f>
        <v>0</v>
      </c>
      <c r="S143" s="288">
        <f>T143*'El og plugin hybrid'!S$48*VLOOKUP('El og plugin hybrid'!S$54+($B143-1),Fremskrivninger!$A$48:$H$77,8)/1000</f>
        <v>0</v>
      </c>
      <c r="T143" s="309">
        <f>IFERROR('El og plugin hybrid'!S$49/'El og plugin hybrid'!S$15,0)</f>
        <v>0</v>
      </c>
      <c r="U143" s="288">
        <f>V143*'El og plugin hybrid'!U$48*VLOOKUP('El og plugin hybrid'!U$54+($B143-1),Fremskrivninger!$A$48:$H$77,8)/1000</f>
        <v>0</v>
      </c>
      <c r="V143" s="309">
        <f>IFERROR('El og plugin hybrid'!U$49/'El og plugin hybrid'!U$15,0)</f>
        <v>0</v>
      </c>
      <c r="W143" s="288">
        <f>X143*'El og plugin hybrid'!W$48*VLOOKUP('El og plugin hybrid'!W$54+($B143-1),Fremskrivninger!$A$48:$H$77,8)/1000</f>
        <v>0</v>
      </c>
      <c r="X143" s="309">
        <f>IFERROR('El og plugin hybrid'!W$49/'El og plugin hybrid'!W$15,0)</f>
        <v>0</v>
      </c>
    </row>
    <row r="144" spans="1:24">
      <c r="A144" s="308"/>
      <c r="B144" s="282">
        <v>3</v>
      </c>
      <c r="C144" s="282">
        <f t="shared" si="7"/>
        <v>3</v>
      </c>
      <c r="D144" s="282"/>
      <c r="E144" s="288">
        <f>F144*'El og plugin hybrid'!E$48*VLOOKUP('El og plugin hybrid'!E$54+($B144-1),Fremskrivninger!$A$48:$H$77,8)/1000</f>
        <v>0</v>
      </c>
      <c r="F144" s="309">
        <f>IFERROR('El og plugin hybrid'!E$49/'El og plugin hybrid'!E$15,0)</f>
        <v>0</v>
      </c>
      <c r="G144" s="288">
        <f>H144*'El og plugin hybrid'!G$48*VLOOKUP('El og plugin hybrid'!G$54+($B144-1),Fremskrivninger!$A$48:$H$77,8)/1000</f>
        <v>0</v>
      </c>
      <c r="H144" s="309">
        <f>IFERROR('El og plugin hybrid'!G$49/'El og plugin hybrid'!G$15,0)</f>
        <v>0</v>
      </c>
      <c r="I144" s="288">
        <f>J144*'El og plugin hybrid'!I$48*VLOOKUP('El og plugin hybrid'!I$54+($B144-1),Fremskrivninger!$A$48:$H$77,8)/1000</f>
        <v>0</v>
      </c>
      <c r="J144" s="309">
        <f>IFERROR('El og plugin hybrid'!I$49/'El og plugin hybrid'!I$15,0)</f>
        <v>0</v>
      </c>
      <c r="K144" s="288">
        <f>L144*'El og plugin hybrid'!K$48*VLOOKUP('El og plugin hybrid'!K$54+($B144-1),Fremskrivninger!$A$48:$H$77,8)/1000</f>
        <v>0</v>
      </c>
      <c r="L144" s="309">
        <f>IFERROR('El og plugin hybrid'!K$49/'El og plugin hybrid'!K$15,0)</f>
        <v>0</v>
      </c>
      <c r="M144" s="288">
        <f>N144*'El og plugin hybrid'!M$48*VLOOKUP('El og plugin hybrid'!M$54+($B144-1),Fremskrivninger!$A$48:$H$77,8)/1000</f>
        <v>0</v>
      </c>
      <c r="N144" s="309">
        <f>IFERROR('El og plugin hybrid'!M$49/'El og plugin hybrid'!M$15,0)</f>
        <v>0</v>
      </c>
      <c r="O144" s="288">
        <f>P144*'El og plugin hybrid'!O$48*VLOOKUP('El og plugin hybrid'!O$54+($B144-1),Fremskrivninger!$A$48:$H$77,8)/1000</f>
        <v>0</v>
      </c>
      <c r="P144" s="309">
        <f>IFERROR('El og plugin hybrid'!O$49/'El og plugin hybrid'!O$15,0)</f>
        <v>0</v>
      </c>
      <c r="Q144" s="288">
        <f>R144*'El og plugin hybrid'!Q$48*VLOOKUP('El og plugin hybrid'!Q$54+($B144-1),Fremskrivninger!$A$48:$H$77,8)/1000</f>
        <v>0</v>
      </c>
      <c r="R144" s="309">
        <f>IFERROR('El og plugin hybrid'!Q$49/'El og plugin hybrid'!Q$15,0)</f>
        <v>0</v>
      </c>
      <c r="S144" s="288">
        <f>T144*'El og plugin hybrid'!S$48*VLOOKUP('El og plugin hybrid'!S$54+($B144-1),Fremskrivninger!$A$48:$H$77,8)/1000</f>
        <v>0</v>
      </c>
      <c r="T144" s="309">
        <f>IFERROR('El og plugin hybrid'!S$49/'El og plugin hybrid'!S$15,0)</f>
        <v>0</v>
      </c>
      <c r="U144" s="288">
        <f>V144*'El og plugin hybrid'!U$48*VLOOKUP('El og plugin hybrid'!U$54+($B144-1),Fremskrivninger!$A$48:$H$77,8)/1000</f>
        <v>0</v>
      </c>
      <c r="V144" s="309">
        <f>IFERROR('El og plugin hybrid'!U$49/'El og plugin hybrid'!U$15,0)</f>
        <v>0</v>
      </c>
      <c r="W144" s="288">
        <f>X144*'El og plugin hybrid'!W$48*VLOOKUP('El og plugin hybrid'!W$54+($B144-1),Fremskrivninger!$A$48:$H$77,8)/1000</f>
        <v>0</v>
      </c>
      <c r="X144" s="309">
        <f>IFERROR('El og plugin hybrid'!W$49/'El og plugin hybrid'!W$15,0)</f>
        <v>0</v>
      </c>
    </row>
    <row r="145" spans="1:24">
      <c r="A145" s="308"/>
      <c r="B145" s="282">
        <v>4</v>
      </c>
      <c r="C145" s="282">
        <f t="shared" si="7"/>
        <v>4</v>
      </c>
      <c r="D145" s="282"/>
      <c r="E145" s="288">
        <f>F145*'El og plugin hybrid'!E$48*VLOOKUP('El og plugin hybrid'!E$54+($B145-1),Fremskrivninger!$A$48:$H$77,8)/1000</f>
        <v>0</v>
      </c>
      <c r="F145" s="309">
        <f>IFERROR('El og plugin hybrid'!E$49/'El og plugin hybrid'!E$15,0)</f>
        <v>0</v>
      </c>
      <c r="G145" s="288">
        <f>H145*'El og plugin hybrid'!G$48*VLOOKUP('El og plugin hybrid'!G$54+($B145-1),Fremskrivninger!$A$48:$H$77,8)/1000</f>
        <v>0</v>
      </c>
      <c r="H145" s="309">
        <f>IFERROR('El og plugin hybrid'!G$49/'El og plugin hybrid'!G$15,0)</f>
        <v>0</v>
      </c>
      <c r="I145" s="288">
        <f>J145*'El og plugin hybrid'!I$48*VLOOKUP('El og plugin hybrid'!I$54+($B145-1),Fremskrivninger!$A$48:$H$77,8)/1000</f>
        <v>0</v>
      </c>
      <c r="J145" s="309">
        <f>IFERROR('El og plugin hybrid'!I$49/'El og plugin hybrid'!I$15,0)</f>
        <v>0</v>
      </c>
      <c r="K145" s="288">
        <f>L145*'El og plugin hybrid'!K$48*VLOOKUP('El og plugin hybrid'!K$54+($B145-1),Fremskrivninger!$A$48:$H$77,8)/1000</f>
        <v>0</v>
      </c>
      <c r="L145" s="309">
        <f>IFERROR('El og plugin hybrid'!K$49/'El og plugin hybrid'!K$15,0)</f>
        <v>0</v>
      </c>
      <c r="M145" s="288">
        <f>N145*'El og plugin hybrid'!M$48*VLOOKUP('El og plugin hybrid'!M$54+($B145-1),Fremskrivninger!$A$48:$H$77,8)/1000</f>
        <v>0</v>
      </c>
      <c r="N145" s="309">
        <f>IFERROR('El og plugin hybrid'!M$49/'El og plugin hybrid'!M$15,0)</f>
        <v>0</v>
      </c>
      <c r="O145" s="288">
        <f>P145*'El og plugin hybrid'!O$48*VLOOKUP('El og plugin hybrid'!O$54+($B145-1),Fremskrivninger!$A$48:$H$77,8)/1000</f>
        <v>0</v>
      </c>
      <c r="P145" s="309">
        <f>IFERROR('El og plugin hybrid'!O$49/'El og plugin hybrid'!O$15,0)</f>
        <v>0</v>
      </c>
      <c r="Q145" s="288">
        <f>R145*'El og plugin hybrid'!Q$48*VLOOKUP('El og plugin hybrid'!Q$54+($B145-1),Fremskrivninger!$A$48:$H$77,8)/1000</f>
        <v>0</v>
      </c>
      <c r="R145" s="309">
        <f>IFERROR('El og plugin hybrid'!Q$49/'El og plugin hybrid'!Q$15,0)</f>
        <v>0</v>
      </c>
      <c r="S145" s="288">
        <f>T145*'El og plugin hybrid'!S$48*VLOOKUP('El og plugin hybrid'!S$54+($B145-1),Fremskrivninger!$A$48:$H$77,8)/1000</f>
        <v>0</v>
      </c>
      <c r="T145" s="309">
        <f>IFERROR('El og plugin hybrid'!S$49/'El og plugin hybrid'!S$15,0)</f>
        <v>0</v>
      </c>
      <c r="U145" s="288">
        <f>V145*'El og plugin hybrid'!U$48*VLOOKUP('El og plugin hybrid'!U$54+($B145-1),Fremskrivninger!$A$48:$H$77,8)/1000</f>
        <v>0</v>
      </c>
      <c r="V145" s="309">
        <f>IFERROR('El og plugin hybrid'!U$49/'El og plugin hybrid'!U$15,0)</f>
        <v>0</v>
      </c>
      <c r="W145" s="288">
        <f>X145*'El og plugin hybrid'!W$48*VLOOKUP('El og plugin hybrid'!W$54+($B145-1),Fremskrivninger!$A$48:$H$77,8)/1000</f>
        <v>0</v>
      </c>
      <c r="X145" s="309">
        <f>IFERROR('El og plugin hybrid'!W$49/'El og plugin hybrid'!W$15,0)</f>
        <v>0</v>
      </c>
    </row>
    <row r="146" spans="1:24">
      <c r="A146" s="308"/>
      <c r="B146" s="282">
        <v>5</v>
      </c>
      <c r="C146" s="282">
        <f t="shared" si="7"/>
        <v>5</v>
      </c>
      <c r="D146" s="282"/>
      <c r="E146" s="288">
        <f>F146*'El og plugin hybrid'!E$48*VLOOKUP('El og plugin hybrid'!E$54+($B146-1),Fremskrivninger!$A$48:$H$77,8)/1000</f>
        <v>0</v>
      </c>
      <c r="F146" s="309">
        <f>IFERROR('El og plugin hybrid'!E$49/'El og plugin hybrid'!E$15,0)</f>
        <v>0</v>
      </c>
      <c r="G146" s="288">
        <f>H146*'El og plugin hybrid'!G$48*VLOOKUP('El og plugin hybrid'!G$54+($B146-1),Fremskrivninger!$A$48:$H$77,8)/1000</f>
        <v>0</v>
      </c>
      <c r="H146" s="309">
        <f>IFERROR('El og plugin hybrid'!G$49/'El og plugin hybrid'!G$15,0)</f>
        <v>0</v>
      </c>
      <c r="I146" s="288">
        <f>J146*'El og plugin hybrid'!I$48*VLOOKUP('El og plugin hybrid'!I$54+($B146-1),Fremskrivninger!$A$48:$H$77,8)/1000</f>
        <v>0</v>
      </c>
      <c r="J146" s="309">
        <f>IFERROR('El og plugin hybrid'!I$49/'El og plugin hybrid'!I$15,0)</f>
        <v>0</v>
      </c>
      <c r="K146" s="288">
        <f>L146*'El og plugin hybrid'!K$48*VLOOKUP('El og plugin hybrid'!K$54+($B146-1),Fremskrivninger!$A$48:$H$77,8)/1000</f>
        <v>0</v>
      </c>
      <c r="L146" s="309">
        <f>IFERROR('El og plugin hybrid'!K$49/'El og plugin hybrid'!K$15,0)</f>
        <v>0</v>
      </c>
      <c r="M146" s="288">
        <f>N146*'El og plugin hybrid'!M$48*VLOOKUP('El og plugin hybrid'!M$54+($B146-1),Fremskrivninger!$A$48:$H$77,8)/1000</f>
        <v>0</v>
      </c>
      <c r="N146" s="309">
        <f>IFERROR('El og plugin hybrid'!M$49/'El og plugin hybrid'!M$15,0)</f>
        <v>0</v>
      </c>
      <c r="O146" s="288">
        <f>P146*'El og plugin hybrid'!O$48*VLOOKUP('El og plugin hybrid'!O$54+($B146-1),Fremskrivninger!$A$48:$H$77,8)/1000</f>
        <v>0</v>
      </c>
      <c r="P146" s="309">
        <f>IFERROR('El og plugin hybrid'!O$49/'El og plugin hybrid'!O$15,0)</f>
        <v>0</v>
      </c>
      <c r="Q146" s="288">
        <f>R146*'El og plugin hybrid'!Q$48*VLOOKUP('El og plugin hybrid'!Q$54+($B146-1),Fremskrivninger!$A$48:$H$77,8)/1000</f>
        <v>0</v>
      </c>
      <c r="R146" s="309">
        <f>IFERROR('El og plugin hybrid'!Q$49/'El og plugin hybrid'!Q$15,0)</f>
        <v>0</v>
      </c>
      <c r="S146" s="288">
        <f>T146*'El og plugin hybrid'!S$48*VLOOKUP('El og plugin hybrid'!S$54+($B146-1),Fremskrivninger!$A$48:$H$77,8)/1000</f>
        <v>0</v>
      </c>
      <c r="T146" s="309">
        <f>IFERROR('El og plugin hybrid'!S$49/'El og plugin hybrid'!S$15,0)</f>
        <v>0</v>
      </c>
      <c r="U146" s="288">
        <f>V146*'El og plugin hybrid'!U$48*VLOOKUP('El og plugin hybrid'!U$54+($B146-1),Fremskrivninger!$A$48:$H$77,8)/1000</f>
        <v>0</v>
      </c>
      <c r="V146" s="309">
        <f>IFERROR('El og plugin hybrid'!U$49/'El og plugin hybrid'!U$15,0)</f>
        <v>0</v>
      </c>
      <c r="W146" s="288">
        <f>X146*'El og plugin hybrid'!W$48*VLOOKUP('El og plugin hybrid'!W$54+($B146-1),Fremskrivninger!$A$48:$H$77,8)/1000</f>
        <v>0</v>
      </c>
      <c r="X146" s="309">
        <f>IFERROR('El og plugin hybrid'!W$49/'El og plugin hybrid'!W$15,0)</f>
        <v>0</v>
      </c>
    </row>
    <row r="147" spans="1:24">
      <c r="A147" s="308"/>
      <c r="B147" s="282">
        <v>6</v>
      </c>
      <c r="C147" s="282">
        <f t="shared" si="7"/>
        <v>6</v>
      </c>
      <c r="D147" s="282"/>
      <c r="E147" s="288">
        <f>F147*'El og plugin hybrid'!E$48*VLOOKUP('El og plugin hybrid'!E$54+($B147-1),Fremskrivninger!$A$48:$H$77,8)/1000</f>
        <v>0</v>
      </c>
      <c r="F147" s="309">
        <f>IFERROR('El og plugin hybrid'!E$49/'El og plugin hybrid'!E$15,0)</f>
        <v>0</v>
      </c>
      <c r="G147" s="288">
        <f>H147*'El og plugin hybrid'!G$48*VLOOKUP('El og plugin hybrid'!G$54+($B147-1),Fremskrivninger!$A$48:$H$77,8)/1000</f>
        <v>0</v>
      </c>
      <c r="H147" s="309">
        <f>IFERROR('El og plugin hybrid'!G$49/'El og plugin hybrid'!G$15,0)</f>
        <v>0</v>
      </c>
      <c r="I147" s="288">
        <f>J147*'El og plugin hybrid'!I$48*VLOOKUP('El og plugin hybrid'!I$54+($B147-1),Fremskrivninger!$A$48:$H$77,8)/1000</f>
        <v>0</v>
      </c>
      <c r="J147" s="309">
        <f>IFERROR('El og plugin hybrid'!I$49/'El og plugin hybrid'!I$15,0)</f>
        <v>0</v>
      </c>
      <c r="K147" s="288">
        <f>L147*'El og plugin hybrid'!K$48*VLOOKUP('El og plugin hybrid'!K$54+($B147-1),Fremskrivninger!$A$48:$H$77,8)/1000</f>
        <v>0</v>
      </c>
      <c r="L147" s="309">
        <f>IFERROR('El og plugin hybrid'!K$49/'El og plugin hybrid'!K$15,0)</f>
        <v>0</v>
      </c>
      <c r="M147" s="288">
        <f>N147*'El og plugin hybrid'!M$48*VLOOKUP('El og plugin hybrid'!M$54+($B147-1),Fremskrivninger!$A$48:$H$77,8)/1000</f>
        <v>0</v>
      </c>
      <c r="N147" s="309">
        <f>IFERROR('El og plugin hybrid'!M$49/'El og plugin hybrid'!M$15,0)</f>
        <v>0</v>
      </c>
      <c r="O147" s="288">
        <f>P147*'El og plugin hybrid'!O$48*VLOOKUP('El og plugin hybrid'!O$54+($B147-1),Fremskrivninger!$A$48:$H$77,8)/1000</f>
        <v>0</v>
      </c>
      <c r="P147" s="309">
        <f>IFERROR('El og plugin hybrid'!O$49/'El og plugin hybrid'!O$15,0)</f>
        <v>0</v>
      </c>
      <c r="Q147" s="288">
        <f>R147*'El og plugin hybrid'!Q$48*VLOOKUP('El og plugin hybrid'!Q$54+($B147-1),Fremskrivninger!$A$48:$H$77,8)/1000</f>
        <v>0</v>
      </c>
      <c r="R147" s="309">
        <f>IFERROR('El og plugin hybrid'!Q$49/'El og plugin hybrid'!Q$15,0)</f>
        <v>0</v>
      </c>
      <c r="S147" s="288">
        <f>T147*'El og plugin hybrid'!S$48*VLOOKUP('El og plugin hybrid'!S$54+($B147-1),Fremskrivninger!$A$48:$H$77,8)/1000</f>
        <v>0</v>
      </c>
      <c r="T147" s="309">
        <f>IFERROR('El og plugin hybrid'!S$49/'El og plugin hybrid'!S$15,0)</f>
        <v>0</v>
      </c>
      <c r="U147" s="288">
        <f>V147*'El og plugin hybrid'!U$48*VLOOKUP('El og plugin hybrid'!U$54+($B147-1),Fremskrivninger!$A$48:$H$77,8)/1000</f>
        <v>0</v>
      </c>
      <c r="V147" s="309">
        <f>IFERROR('El og plugin hybrid'!U$49/'El og plugin hybrid'!U$15,0)</f>
        <v>0</v>
      </c>
      <c r="W147" s="288">
        <f>X147*'El og plugin hybrid'!W$48*VLOOKUP('El og plugin hybrid'!W$54+($B147-1),Fremskrivninger!$A$48:$H$77,8)/1000</f>
        <v>0</v>
      </c>
      <c r="X147" s="309">
        <f>IFERROR('El og plugin hybrid'!W$49/'El og plugin hybrid'!W$15,0)</f>
        <v>0</v>
      </c>
    </row>
    <row r="148" spans="1:24">
      <c r="A148" s="308"/>
      <c r="B148" s="282">
        <v>7</v>
      </c>
      <c r="C148" s="282">
        <f t="shared" si="7"/>
        <v>7</v>
      </c>
      <c r="D148" s="282"/>
      <c r="E148" s="288">
        <f>F148*'El og plugin hybrid'!E$48*VLOOKUP('El og plugin hybrid'!E$54+($B148-1),Fremskrivninger!$A$48:$H$77,8)/1000</f>
        <v>0</v>
      </c>
      <c r="F148" s="309">
        <f>IFERROR('El og plugin hybrid'!E$49/'El og plugin hybrid'!E$15,0)</f>
        <v>0</v>
      </c>
      <c r="G148" s="288">
        <f>H148*'El og plugin hybrid'!G$48*VLOOKUP('El og plugin hybrid'!G$54+($B148-1),Fremskrivninger!$A$48:$H$77,8)/1000</f>
        <v>0</v>
      </c>
      <c r="H148" s="309">
        <f>IFERROR('El og plugin hybrid'!G$49/'El og plugin hybrid'!G$15,0)</f>
        <v>0</v>
      </c>
      <c r="I148" s="288">
        <f>J148*'El og plugin hybrid'!I$48*VLOOKUP('El og plugin hybrid'!I$54+($B148-1),Fremskrivninger!$A$48:$H$77,8)/1000</f>
        <v>0</v>
      </c>
      <c r="J148" s="309">
        <f>IFERROR('El og plugin hybrid'!I$49/'El og plugin hybrid'!I$15,0)</f>
        <v>0</v>
      </c>
      <c r="K148" s="288">
        <f>L148*'El og plugin hybrid'!K$48*VLOOKUP('El og plugin hybrid'!K$54+($B148-1),Fremskrivninger!$A$48:$H$77,8)/1000</f>
        <v>0</v>
      </c>
      <c r="L148" s="309">
        <f>IFERROR('El og plugin hybrid'!K$49/'El og plugin hybrid'!K$15,0)</f>
        <v>0</v>
      </c>
      <c r="M148" s="288">
        <f>N148*'El og plugin hybrid'!M$48*VLOOKUP('El og plugin hybrid'!M$54+($B148-1),Fremskrivninger!$A$48:$H$77,8)/1000</f>
        <v>0</v>
      </c>
      <c r="N148" s="309">
        <f>IFERROR('El og plugin hybrid'!M$49/'El og plugin hybrid'!M$15,0)</f>
        <v>0</v>
      </c>
      <c r="O148" s="288">
        <f>P148*'El og plugin hybrid'!O$48*VLOOKUP('El og plugin hybrid'!O$54+($B148-1),Fremskrivninger!$A$48:$H$77,8)/1000</f>
        <v>0</v>
      </c>
      <c r="P148" s="309">
        <f>IFERROR('El og plugin hybrid'!O$49/'El og plugin hybrid'!O$15,0)</f>
        <v>0</v>
      </c>
      <c r="Q148" s="288">
        <f>R148*'El og plugin hybrid'!Q$48*VLOOKUP('El og plugin hybrid'!Q$54+($B148-1),Fremskrivninger!$A$48:$H$77,8)/1000</f>
        <v>0</v>
      </c>
      <c r="R148" s="309">
        <f>IFERROR('El og plugin hybrid'!Q$49/'El og plugin hybrid'!Q$15,0)</f>
        <v>0</v>
      </c>
      <c r="S148" s="288">
        <f>T148*'El og plugin hybrid'!S$48*VLOOKUP('El og plugin hybrid'!S$54+($B148-1),Fremskrivninger!$A$48:$H$77,8)/1000</f>
        <v>0</v>
      </c>
      <c r="T148" s="309">
        <f>IFERROR('El og plugin hybrid'!S$49/'El og plugin hybrid'!S$15,0)</f>
        <v>0</v>
      </c>
      <c r="U148" s="288">
        <f>V148*'El og plugin hybrid'!U$48*VLOOKUP('El og plugin hybrid'!U$54+($B148-1),Fremskrivninger!$A$48:$H$77,8)/1000</f>
        <v>0</v>
      </c>
      <c r="V148" s="309">
        <f>IFERROR('El og plugin hybrid'!U$49/'El og plugin hybrid'!U$15,0)</f>
        <v>0</v>
      </c>
      <c r="W148" s="288">
        <f>X148*'El og plugin hybrid'!W$48*VLOOKUP('El og plugin hybrid'!W$54+($B148-1),Fremskrivninger!$A$48:$H$77,8)/1000</f>
        <v>0</v>
      </c>
      <c r="X148" s="309">
        <f>IFERROR('El og plugin hybrid'!W$49/'El og plugin hybrid'!W$15,0)</f>
        <v>0</v>
      </c>
    </row>
    <row r="149" spans="1:24">
      <c r="A149" s="308"/>
      <c r="B149" s="282">
        <v>8</v>
      </c>
      <c r="C149" s="282">
        <f t="shared" si="7"/>
        <v>8</v>
      </c>
      <c r="D149" s="282"/>
      <c r="E149" s="288">
        <f>F149*'El og plugin hybrid'!E$48*VLOOKUP('El og plugin hybrid'!E$54+($B149-1),Fremskrivninger!$A$48:$H$77,8)/1000</f>
        <v>0</v>
      </c>
      <c r="F149" s="309">
        <f>IFERROR('El og plugin hybrid'!E$49/'El og plugin hybrid'!E$15,0)</f>
        <v>0</v>
      </c>
      <c r="G149" s="288">
        <f>H149*'El og plugin hybrid'!G$48*VLOOKUP('El og plugin hybrid'!G$54+($B149-1),Fremskrivninger!$A$48:$H$77,8)/1000</f>
        <v>0</v>
      </c>
      <c r="H149" s="309">
        <f>IFERROR('El og plugin hybrid'!G$49/'El og plugin hybrid'!G$15,0)</f>
        <v>0</v>
      </c>
      <c r="I149" s="288">
        <f>J149*'El og plugin hybrid'!I$48*VLOOKUP('El og plugin hybrid'!I$54+($B149-1),Fremskrivninger!$A$48:$H$77,8)/1000</f>
        <v>0</v>
      </c>
      <c r="J149" s="309">
        <f>IFERROR('El og plugin hybrid'!I$49/'El og plugin hybrid'!I$15,0)</f>
        <v>0</v>
      </c>
      <c r="K149" s="288">
        <f>L149*'El og plugin hybrid'!K$48*VLOOKUP('El og plugin hybrid'!K$54+($B149-1),Fremskrivninger!$A$48:$H$77,8)/1000</f>
        <v>0</v>
      </c>
      <c r="L149" s="309">
        <f>IFERROR('El og plugin hybrid'!K$49/'El og plugin hybrid'!K$15,0)</f>
        <v>0</v>
      </c>
      <c r="M149" s="288">
        <f>N149*'El og plugin hybrid'!M$48*VLOOKUP('El og plugin hybrid'!M$54+($B149-1),Fremskrivninger!$A$48:$H$77,8)/1000</f>
        <v>0</v>
      </c>
      <c r="N149" s="309">
        <f>IFERROR('El og plugin hybrid'!M$49/'El og plugin hybrid'!M$15,0)</f>
        <v>0</v>
      </c>
      <c r="O149" s="288">
        <f>P149*'El og plugin hybrid'!O$48*VLOOKUP('El og plugin hybrid'!O$54+($B149-1),Fremskrivninger!$A$48:$H$77,8)/1000</f>
        <v>0</v>
      </c>
      <c r="P149" s="309">
        <f>IFERROR('El og plugin hybrid'!O$49/'El og plugin hybrid'!O$15,0)</f>
        <v>0</v>
      </c>
      <c r="Q149" s="288">
        <f>R149*'El og plugin hybrid'!Q$48*VLOOKUP('El og plugin hybrid'!Q$54+($B149-1),Fremskrivninger!$A$48:$H$77,8)/1000</f>
        <v>0</v>
      </c>
      <c r="R149" s="309">
        <f>IFERROR('El og plugin hybrid'!Q$49/'El og plugin hybrid'!Q$15,0)</f>
        <v>0</v>
      </c>
      <c r="S149" s="288">
        <f>T149*'El og plugin hybrid'!S$48*VLOOKUP('El og plugin hybrid'!S$54+($B149-1),Fremskrivninger!$A$48:$H$77,8)/1000</f>
        <v>0</v>
      </c>
      <c r="T149" s="309">
        <f>IFERROR('El og plugin hybrid'!S$49/'El og plugin hybrid'!S$15,0)</f>
        <v>0</v>
      </c>
      <c r="U149" s="288">
        <f>V149*'El og plugin hybrid'!U$48*VLOOKUP('El og plugin hybrid'!U$54+($B149-1),Fremskrivninger!$A$48:$H$77,8)/1000</f>
        <v>0</v>
      </c>
      <c r="V149" s="309">
        <f>IFERROR('El og plugin hybrid'!U$49/'El og plugin hybrid'!U$15,0)</f>
        <v>0</v>
      </c>
      <c r="W149" s="288">
        <f>X149*'El og plugin hybrid'!W$48*VLOOKUP('El og plugin hybrid'!W$54+($B149-1),Fremskrivninger!$A$48:$H$77,8)/1000</f>
        <v>0</v>
      </c>
      <c r="X149" s="309">
        <f>IFERROR('El og plugin hybrid'!W$49/'El og plugin hybrid'!W$15,0)</f>
        <v>0</v>
      </c>
    </row>
    <row r="150" spans="1:24">
      <c r="A150" s="308"/>
      <c r="B150" s="282">
        <v>9</v>
      </c>
      <c r="C150" s="282">
        <f t="shared" si="7"/>
        <v>9</v>
      </c>
      <c r="D150" s="282"/>
      <c r="E150" s="288">
        <f>F150*'El og plugin hybrid'!E$48*VLOOKUP('El og plugin hybrid'!E$54+($B150-1),Fremskrivninger!$A$48:$H$77,8)/1000</f>
        <v>0</v>
      </c>
      <c r="F150" s="309">
        <f>IFERROR('El og plugin hybrid'!E$49/'El og plugin hybrid'!E$15,0)</f>
        <v>0</v>
      </c>
      <c r="G150" s="288">
        <f>H150*'El og plugin hybrid'!G$48*VLOOKUP('El og plugin hybrid'!G$54+($B150-1),Fremskrivninger!$A$48:$H$77,8)/1000</f>
        <v>0</v>
      </c>
      <c r="H150" s="309">
        <f>IFERROR('El og plugin hybrid'!G$49/'El og plugin hybrid'!G$15,0)</f>
        <v>0</v>
      </c>
      <c r="I150" s="288">
        <f>J150*'El og plugin hybrid'!I$48*VLOOKUP('El og plugin hybrid'!I$54+($B150-1),Fremskrivninger!$A$48:$H$77,8)/1000</f>
        <v>0</v>
      </c>
      <c r="J150" s="309">
        <f>IFERROR('El og plugin hybrid'!I$49/'El og plugin hybrid'!I$15,0)</f>
        <v>0</v>
      </c>
      <c r="K150" s="288">
        <f>L150*'El og plugin hybrid'!K$48*VLOOKUP('El og plugin hybrid'!K$54+($B150-1),Fremskrivninger!$A$48:$H$77,8)/1000</f>
        <v>0</v>
      </c>
      <c r="L150" s="309">
        <f>IFERROR('El og plugin hybrid'!K$49/'El og plugin hybrid'!K$15,0)</f>
        <v>0</v>
      </c>
      <c r="M150" s="288">
        <f>N150*'El og plugin hybrid'!M$48*VLOOKUP('El og plugin hybrid'!M$54+($B150-1),Fremskrivninger!$A$48:$H$77,8)/1000</f>
        <v>0</v>
      </c>
      <c r="N150" s="309">
        <f>IFERROR('El og plugin hybrid'!M$49/'El og plugin hybrid'!M$15,0)</f>
        <v>0</v>
      </c>
      <c r="O150" s="288">
        <f>P150*'El og plugin hybrid'!O$48*VLOOKUP('El og plugin hybrid'!O$54+($B150-1),Fremskrivninger!$A$48:$H$77,8)/1000</f>
        <v>0</v>
      </c>
      <c r="P150" s="309">
        <f>IFERROR('El og plugin hybrid'!O$49/'El og plugin hybrid'!O$15,0)</f>
        <v>0</v>
      </c>
      <c r="Q150" s="288">
        <f>R150*'El og plugin hybrid'!Q$48*VLOOKUP('El og plugin hybrid'!Q$54+($B150-1),Fremskrivninger!$A$48:$H$77,8)/1000</f>
        <v>0</v>
      </c>
      <c r="R150" s="309">
        <f>IFERROR('El og plugin hybrid'!Q$49/'El og plugin hybrid'!Q$15,0)</f>
        <v>0</v>
      </c>
      <c r="S150" s="288">
        <f>T150*'El og plugin hybrid'!S$48*VLOOKUP('El og plugin hybrid'!S$54+($B150-1),Fremskrivninger!$A$48:$H$77,8)/1000</f>
        <v>0</v>
      </c>
      <c r="T150" s="309">
        <f>IFERROR('El og plugin hybrid'!S$49/'El og plugin hybrid'!S$15,0)</f>
        <v>0</v>
      </c>
      <c r="U150" s="288">
        <f>V150*'El og plugin hybrid'!U$48*VLOOKUP('El og plugin hybrid'!U$54+($B150-1),Fremskrivninger!$A$48:$H$77,8)/1000</f>
        <v>0</v>
      </c>
      <c r="V150" s="309">
        <f>IFERROR('El og plugin hybrid'!U$49/'El og plugin hybrid'!U$15,0)</f>
        <v>0</v>
      </c>
      <c r="W150" s="288">
        <f>X150*'El og plugin hybrid'!W$48*VLOOKUP('El og plugin hybrid'!W$54+($B150-1),Fremskrivninger!$A$48:$H$77,8)/1000</f>
        <v>0</v>
      </c>
      <c r="X150" s="309">
        <f>IFERROR('El og plugin hybrid'!W$49/'El og plugin hybrid'!W$15,0)</f>
        <v>0</v>
      </c>
    </row>
    <row r="151" spans="1:24">
      <c r="A151" s="308"/>
      <c r="B151" s="282">
        <v>10</v>
      </c>
      <c r="C151" s="282">
        <f t="shared" si="7"/>
        <v>10</v>
      </c>
      <c r="D151" s="282"/>
      <c r="E151" s="288">
        <f>F151*'El og plugin hybrid'!E$48*VLOOKUP('El og plugin hybrid'!E$54+($B151-1),Fremskrivninger!$A$48:$H$77,8)/1000</f>
        <v>0</v>
      </c>
      <c r="F151" s="309">
        <f>IFERROR('El og plugin hybrid'!E$49/'El og plugin hybrid'!E$15,0)</f>
        <v>0</v>
      </c>
      <c r="G151" s="288">
        <f>H151*'El og plugin hybrid'!G$48*VLOOKUP('El og plugin hybrid'!G$54+($B151-1),Fremskrivninger!$A$48:$H$77,8)/1000</f>
        <v>0</v>
      </c>
      <c r="H151" s="309">
        <f>IFERROR('El og plugin hybrid'!G$49/'El og plugin hybrid'!G$15,0)</f>
        <v>0</v>
      </c>
      <c r="I151" s="288">
        <f>J151*'El og plugin hybrid'!I$48*VLOOKUP('El og plugin hybrid'!I$54+($B151-1),Fremskrivninger!$A$48:$H$77,8)/1000</f>
        <v>0</v>
      </c>
      <c r="J151" s="309">
        <f>IFERROR('El og plugin hybrid'!I$49/'El og plugin hybrid'!I$15,0)</f>
        <v>0</v>
      </c>
      <c r="K151" s="288">
        <f>L151*'El og plugin hybrid'!K$48*VLOOKUP('El og plugin hybrid'!K$54+($B151-1),Fremskrivninger!$A$48:$H$77,8)/1000</f>
        <v>0</v>
      </c>
      <c r="L151" s="309">
        <f>IFERROR('El og plugin hybrid'!K$49/'El og plugin hybrid'!K$15,0)</f>
        <v>0</v>
      </c>
      <c r="M151" s="288">
        <f>N151*'El og plugin hybrid'!M$48*VLOOKUP('El og plugin hybrid'!M$54+($B151-1),Fremskrivninger!$A$48:$H$77,8)/1000</f>
        <v>0</v>
      </c>
      <c r="N151" s="309">
        <f>IFERROR('El og plugin hybrid'!M$49/'El og plugin hybrid'!M$15,0)</f>
        <v>0</v>
      </c>
      <c r="O151" s="288">
        <f>P151*'El og plugin hybrid'!O$48*VLOOKUP('El og plugin hybrid'!O$54+($B151-1),Fremskrivninger!$A$48:$H$77,8)/1000</f>
        <v>0</v>
      </c>
      <c r="P151" s="309">
        <f>IFERROR('El og plugin hybrid'!O$49/'El og plugin hybrid'!O$15,0)</f>
        <v>0</v>
      </c>
      <c r="Q151" s="288">
        <f>R151*'El og plugin hybrid'!Q$48*VLOOKUP('El og plugin hybrid'!Q$54+($B151-1),Fremskrivninger!$A$48:$H$77,8)/1000</f>
        <v>0</v>
      </c>
      <c r="R151" s="309">
        <f>IFERROR('El og plugin hybrid'!Q$49/'El og plugin hybrid'!Q$15,0)</f>
        <v>0</v>
      </c>
      <c r="S151" s="288">
        <f>T151*'El og plugin hybrid'!S$48*VLOOKUP('El og plugin hybrid'!S$54+($B151-1),Fremskrivninger!$A$48:$H$77,8)/1000</f>
        <v>0</v>
      </c>
      <c r="T151" s="309">
        <f>IFERROR('El og plugin hybrid'!S$49/'El og plugin hybrid'!S$15,0)</f>
        <v>0</v>
      </c>
      <c r="U151" s="288">
        <f>V151*'El og plugin hybrid'!U$48*VLOOKUP('El og plugin hybrid'!U$54+($B151-1),Fremskrivninger!$A$48:$H$77,8)/1000</f>
        <v>0</v>
      </c>
      <c r="V151" s="309">
        <f>IFERROR('El og plugin hybrid'!U$49/'El og plugin hybrid'!U$15,0)</f>
        <v>0</v>
      </c>
      <c r="W151" s="288">
        <f>X151*'El og plugin hybrid'!W$48*VLOOKUP('El og plugin hybrid'!W$54+($B151-1),Fremskrivninger!$A$48:$H$77,8)/1000</f>
        <v>0</v>
      </c>
      <c r="X151" s="309">
        <f>IFERROR('El og plugin hybrid'!W$49/'El og plugin hybrid'!W$15,0)</f>
        <v>0</v>
      </c>
    </row>
    <row r="152" spans="1:24">
      <c r="A152" s="308"/>
      <c r="B152" s="282">
        <v>11</v>
      </c>
      <c r="C152" s="282">
        <f t="shared" si="7"/>
        <v>11</v>
      </c>
      <c r="D152" s="282"/>
      <c r="E152" s="288">
        <f>F152*'El og plugin hybrid'!E$48*VLOOKUP('El og plugin hybrid'!E$54+($B152-1),Fremskrivninger!$A$48:$H$77,8)/1000</f>
        <v>0</v>
      </c>
      <c r="F152" s="309">
        <f>IFERROR('El og plugin hybrid'!E$49/'El og plugin hybrid'!E$15,0)</f>
        <v>0</v>
      </c>
      <c r="G152" s="288">
        <f>H152*'El og plugin hybrid'!G$48*VLOOKUP('El og plugin hybrid'!G$54+($B152-1),Fremskrivninger!$A$48:$H$77,8)/1000</f>
        <v>0</v>
      </c>
      <c r="H152" s="309">
        <f>IFERROR('El og plugin hybrid'!G$49/'El og plugin hybrid'!G$15,0)</f>
        <v>0</v>
      </c>
      <c r="I152" s="288">
        <f>J152*'El og plugin hybrid'!I$48*VLOOKUP('El og plugin hybrid'!I$54+($B152-1),Fremskrivninger!$A$48:$H$77,8)/1000</f>
        <v>0</v>
      </c>
      <c r="J152" s="309">
        <f>IFERROR('El og plugin hybrid'!I$49/'El og plugin hybrid'!I$15,0)</f>
        <v>0</v>
      </c>
      <c r="K152" s="288">
        <f>L152*'El og plugin hybrid'!K$48*VLOOKUP('El og plugin hybrid'!K$54+($B152-1),Fremskrivninger!$A$48:$H$77,8)/1000</f>
        <v>0</v>
      </c>
      <c r="L152" s="309">
        <f>IFERROR('El og plugin hybrid'!K$49/'El og plugin hybrid'!K$15,0)</f>
        <v>0</v>
      </c>
      <c r="M152" s="288">
        <f>N152*'El og plugin hybrid'!M$48*VLOOKUP('El og plugin hybrid'!M$54+($B152-1),Fremskrivninger!$A$48:$H$77,8)/1000</f>
        <v>0</v>
      </c>
      <c r="N152" s="309">
        <f>IFERROR('El og plugin hybrid'!M$49/'El og plugin hybrid'!M$15,0)</f>
        <v>0</v>
      </c>
      <c r="O152" s="288">
        <f>P152*'El og plugin hybrid'!O$48*VLOOKUP('El og plugin hybrid'!O$54+($B152-1),Fremskrivninger!$A$48:$H$77,8)/1000</f>
        <v>0</v>
      </c>
      <c r="P152" s="309">
        <f>IFERROR('El og plugin hybrid'!O$49/'El og plugin hybrid'!O$15,0)</f>
        <v>0</v>
      </c>
      <c r="Q152" s="288">
        <f>R152*'El og plugin hybrid'!Q$48*VLOOKUP('El og plugin hybrid'!Q$54+($B152-1),Fremskrivninger!$A$48:$H$77,8)/1000</f>
        <v>0</v>
      </c>
      <c r="R152" s="309">
        <f>IFERROR('El og plugin hybrid'!Q$49/'El og plugin hybrid'!Q$15,0)</f>
        <v>0</v>
      </c>
      <c r="S152" s="288">
        <f>T152*'El og plugin hybrid'!S$48*VLOOKUP('El og plugin hybrid'!S$54+($B152-1),Fremskrivninger!$A$48:$H$77,8)/1000</f>
        <v>0</v>
      </c>
      <c r="T152" s="309">
        <f>IFERROR('El og plugin hybrid'!S$49/'El og plugin hybrid'!S$15,0)</f>
        <v>0</v>
      </c>
      <c r="U152" s="288">
        <f>V152*'El og plugin hybrid'!U$48*VLOOKUP('El og plugin hybrid'!U$54+($B152-1),Fremskrivninger!$A$48:$H$77,8)/1000</f>
        <v>0</v>
      </c>
      <c r="V152" s="309">
        <f>IFERROR('El og plugin hybrid'!U$49/'El og plugin hybrid'!U$15,0)</f>
        <v>0</v>
      </c>
      <c r="W152" s="288">
        <f>X152*'El og plugin hybrid'!W$48*VLOOKUP('El og plugin hybrid'!W$54+($B152-1),Fremskrivninger!$A$48:$H$77,8)/1000</f>
        <v>0</v>
      </c>
      <c r="X152" s="309">
        <f>IFERROR('El og plugin hybrid'!W$49/'El og plugin hybrid'!W$15,0)</f>
        <v>0</v>
      </c>
    </row>
    <row r="153" spans="1:24">
      <c r="A153" s="308"/>
      <c r="B153" s="282">
        <v>12</v>
      </c>
      <c r="C153" s="282">
        <f t="shared" si="7"/>
        <v>12</v>
      </c>
      <c r="D153" s="282"/>
      <c r="E153" s="288">
        <f>F153*'El og plugin hybrid'!E$48*VLOOKUP('El og plugin hybrid'!E$54+($B153-1),Fremskrivninger!$A$48:$H$77,8)/1000</f>
        <v>0</v>
      </c>
      <c r="F153" s="309">
        <f>IFERROR('El og plugin hybrid'!E$49/'El og plugin hybrid'!E$15,0)</f>
        <v>0</v>
      </c>
      <c r="G153" s="288">
        <f>H153*'El og plugin hybrid'!G$48*VLOOKUP('El og plugin hybrid'!G$54+($B153-1),Fremskrivninger!$A$48:$H$77,8)/1000</f>
        <v>0</v>
      </c>
      <c r="H153" s="309">
        <f>IFERROR('El og plugin hybrid'!G$49/'El og plugin hybrid'!G$15,0)</f>
        <v>0</v>
      </c>
      <c r="I153" s="288">
        <f>J153*'El og plugin hybrid'!I$48*VLOOKUP('El og plugin hybrid'!I$54+($B153-1),Fremskrivninger!$A$48:$H$77,8)/1000</f>
        <v>0</v>
      </c>
      <c r="J153" s="309">
        <f>IFERROR('El og plugin hybrid'!I$49/'El og plugin hybrid'!I$15,0)</f>
        <v>0</v>
      </c>
      <c r="K153" s="288">
        <f>L153*'El og plugin hybrid'!K$48*VLOOKUP('El og plugin hybrid'!K$54+($B153-1),Fremskrivninger!$A$48:$H$77,8)/1000</f>
        <v>0</v>
      </c>
      <c r="L153" s="309">
        <f>IFERROR('El og plugin hybrid'!K$49/'El og plugin hybrid'!K$15,0)</f>
        <v>0</v>
      </c>
      <c r="M153" s="288">
        <f>N153*'El og plugin hybrid'!M$48*VLOOKUP('El og plugin hybrid'!M$54+($B153-1),Fremskrivninger!$A$48:$H$77,8)/1000</f>
        <v>0</v>
      </c>
      <c r="N153" s="309">
        <f>IFERROR('El og plugin hybrid'!M$49/'El og plugin hybrid'!M$15,0)</f>
        <v>0</v>
      </c>
      <c r="O153" s="288">
        <f>P153*'El og plugin hybrid'!O$48*VLOOKUP('El og plugin hybrid'!O$54+($B153-1),Fremskrivninger!$A$48:$H$77,8)/1000</f>
        <v>0</v>
      </c>
      <c r="P153" s="309">
        <f>IFERROR('El og plugin hybrid'!O$49/'El og plugin hybrid'!O$15,0)</f>
        <v>0</v>
      </c>
      <c r="Q153" s="288">
        <f>R153*'El og plugin hybrid'!Q$48*VLOOKUP('El og plugin hybrid'!Q$54+($B153-1),Fremskrivninger!$A$48:$H$77,8)/1000</f>
        <v>0</v>
      </c>
      <c r="R153" s="309">
        <f>IFERROR('El og plugin hybrid'!Q$49/'El og plugin hybrid'!Q$15,0)</f>
        <v>0</v>
      </c>
      <c r="S153" s="288">
        <f>T153*'El og plugin hybrid'!S$48*VLOOKUP('El og plugin hybrid'!S$54+($B153-1),Fremskrivninger!$A$48:$H$77,8)/1000</f>
        <v>0</v>
      </c>
      <c r="T153" s="309">
        <f>IFERROR('El og plugin hybrid'!S$49/'El og plugin hybrid'!S$15,0)</f>
        <v>0</v>
      </c>
      <c r="U153" s="288">
        <f>V153*'El og plugin hybrid'!U$48*VLOOKUP('El og plugin hybrid'!U$54+($B153-1),Fremskrivninger!$A$48:$H$77,8)/1000</f>
        <v>0</v>
      </c>
      <c r="V153" s="309">
        <f>IFERROR('El og plugin hybrid'!U$49/'El og plugin hybrid'!U$15,0)</f>
        <v>0</v>
      </c>
      <c r="W153" s="288">
        <f>X153*'El og plugin hybrid'!W$48*VLOOKUP('El og plugin hybrid'!W$54+($B153-1),Fremskrivninger!$A$48:$H$77,8)/1000</f>
        <v>0</v>
      </c>
      <c r="X153" s="309">
        <f>IFERROR('El og plugin hybrid'!W$49/'El og plugin hybrid'!W$15,0)</f>
        <v>0</v>
      </c>
    </row>
    <row r="154" spans="1:24">
      <c r="A154" s="308"/>
      <c r="B154" s="282">
        <v>13</v>
      </c>
      <c r="C154" s="282">
        <f t="shared" si="7"/>
        <v>13</v>
      </c>
      <c r="D154" s="282"/>
      <c r="E154" s="288">
        <f>F154*'El og plugin hybrid'!E$48*VLOOKUP('El og plugin hybrid'!E$54+($B154-1),Fremskrivninger!$A$48:$H$77,8)/1000</f>
        <v>0</v>
      </c>
      <c r="F154" s="309">
        <f>IFERROR('El og plugin hybrid'!E$49/'El og plugin hybrid'!E$15,0)</f>
        <v>0</v>
      </c>
      <c r="G154" s="288">
        <f>H154*'El og plugin hybrid'!G$48*VLOOKUP('El og plugin hybrid'!G$54+($B154-1),Fremskrivninger!$A$48:$H$77,8)/1000</f>
        <v>0</v>
      </c>
      <c r="H154" s="309">
        <f>IFERROR('El og plugin hybrid'!G$49/'El og plugin hybrid'!G$15,0)</f>
        <v>0</v>
      </c>
      <c r="I154" s="288">
        <f>J154*'El og plugin hybrid'!I$48*VLOOKUP('El og plugin hybrid'!I$54+($B154-1),Fremskrivninger!$A$48:$H$77,8)/1000</f>
        <v>0</v>
      </c>
      <c r="J154" s="309">
        <f>IFERROR('El og plugin hybrid'!I$49/'El og plugin hybrid'!I$15,0)</f>
        <v>0</v>
      </c>
      <c r="K154" s="288">
        <f>L154*'El og plugin hybrid'!K$48*VLOOKUP('El og plugin hybrid'!K$54+($B154-1),Fremskrivninger!$A$48:$H$77,8)/1000</f>
        <v>0</v>
      </c>
      <c r="L154" s="309">
        <f>IFERROR('El og plugin hybrid'!K$49/'El og plugin hybrid'!K$15,0)</f>
        <v>0</v>
      </c>
      <c r="M154" s="288">
        <f>N154*'El og plugin hybrid'!M$48*VLOOKUP('El og plugin hybrid'!M$54+($B154-1),Fremskrivninger!$A$48:$H$77,8)/1000</f>
        <v>0</v>
      </c>
      <c r="N154" s="309">
        <f>IFERROR('El og plugin hybrid'!M$49/'El og plugin hybrid'!M$15,0)</f>
        <v>0</v>
      </c>
      <c r="O154" s="288">
        <f>P154*'El og plugin hybrid'!O$48*VLOOKUP('El og plugin hybrid'!O$54+($B154-1),Fremskrivninger!$A$48:$H$77,8)/1000</f>
        <v>0</v>
      </c>
      <c r="P154" s="309">
        <f>IFERROR('El og plugin hybrid'!O$49/'El og plugin hybrid'!O$15,0)</f>
        <v>0</v>
      </c>
      <c r="Q154" s="288">
        <f>R154*'El og plugin hybrid'!Q$48*VLOOKUP('El og plugin hybrid'!Q$54+($B154-1),Fremskrivninger!$A$48:$H$77,8)/1000</f>
        <v>0</v>
      </c>
      <c r="R154" s="309">
        <f>IFERROR('El og plugin hybrid'!Q$49/'El og plugin hybrid'!Q$15,0)</f>
        <v>0</v>
      </c>
      <c r="S154" s="288">
        <f>T154*'El og plugin hybrid'!S$48*VLOOKUP('El og plugin hybrid'!S$54+($B154-1),Fremskrivninger!$A$48:$H$77,8)/1000</f>
        <v>0</v>
      </c>
      <c r="T154" s="309">
        <f>IFERROR('El og plugin hybrid'!S$49/'El og plugin hybrid'!S$15,0)</f>
        <v>0</v>
      </c>
      <c r="U154" s="288">
        <f>V154*'El og plugin hybrid'!U$48*VLOOKUP('El og plugin hybrid'!U$54+($B154-1),Fremskrivninger!$A$48:$H$77,8)/1000</f>
        <v>0</v>
      </c>
      <c r="V154" s="309">
        <f>IFERROR('El og plugin hybrid'!U$49/'El og plugin hybrid'!U$15,0)</f>
        <v>0</v>
      </c>
      <c r="W154" s="288">
        <f>X154*'El og plugin hybrid'!W$48*VLOOKUP('El og plugin hybrid'!W$54+($B154-1),Fremskrivninger!$A$48:$H$77,8)/1000</f>
        <v>0</v>
      </c>
      <c r="X154" s="309">
        <f>IFERROR('El og plugin hybrid'!W$49/'El og plugin hybrid'!W$15,0)</f>
        <v>0</v>
      </c>
    </row>
    <row r="155" spans="1:24">
      <c r="A155" s="308"/>
      <c r="B155" s="282">
        <v>14</v>
      </c>
      <c r="C155" s="282">
        <f t="shared" si="7"/>
        <v>14</v>
      </c>
      <c r="D155" s="282"/>
      <c r="E155" s="288">
        <f>F155*'El og plugin hybrid'!E$48*VLOOKUP('El og plugin hybrid'!E$54+($B155-1),Fremskrivninger!$A$48:$H$77,8)/1000</f>
        <v>0</v>
      </c>
      <c r="F155" s="309">
        <f>IFERROR('El og plugin hybrid'!E$49/'El og plugin hybrid'!E$15,0)</f>
        <v>0</v>
      </c>
      <c r="G155" s="288">
        <f>H155*'El og plugin hybrid'!G$48*VLOOKUP('El og plugin hybrid'!G$54+($B155-1),Fremskrivninger!$A$48:$H$77,8)/1000</f>
        <v>0</v>
      </c>
      <c r="H155" s="309">
        <f>IFERROR('El og plugin hybrid'!G$49/'El og plugin hybrid'!G$15,0)</f>
        <v>0</v>
      </c>
      <c r="I155" s="288">
        <f>J155*'El og plugin hybrid'!I$48*VLOOKUP('El og plugin hybrid'!I$54+($B155-1),Fremskrivninger!$A$48:$H$77,8)/1000</f>
        <v>0</v>
      </c>
      <c r="J155" s="309">
        <f>IFERROR('El og plugin hybrid'!I$49/'El og plugin hybrid'!I$15,0)</f>
        <v>0</v>
      </c>
      <c r="K155" s="288">
        <f>L155*'El og plugin hybrid'!K$48*VLOOKUP('El og plugin hybrid'!K$54+($B155-1),Fremskrivninger!$A$48:$H$77,8)/1000</f>
        <v>0</v>
      </c>
      <c r="L155" s="309">
        <f>IFERROR('El og plugin hybrid'!K$49/'El og plugin hybrid'!K$15,0)</f>
        <v>0</v>
      </c>
      <c r="M155" s="288">
        <f>N155*'El og plugin hybrid'!M$48*VLOOKUP('El og plugin hybrid'!M$54+($B155-1),Fremskrivninger!$A$48:$H$77,8)/1000</f>
        <v>0</v>
      </c>
      <c r="N155" s="309">
        <f>IFERROR('El og plugin hybrid'!M$49/'El og plugin hybrid'!M$15,0)</f>
        <v>0</v>
      </c>
      <c r="O155" s="288">
        <f>P155*'El og plugin hybrid'!O$48*VLOOKUP('El og plugin hybrid'!O$54+($B155-1),Fremskrivninger!$A$48:$H$77,8)/1000</f>
        <v>0</v>
      </c>
      <c r="P155" s="309">
        <f>IFERROR('El og plugin hybrid'!O$49/'El og plugin hybrid'!O$15,0)</f>
        <v>0</v>
      </c>
      <c r="Q155" s="288">
        <f>R155*'El og plugin hybrid'!Q$48*VLOOKUP('El og plugin hybrid'!Q$54+($B155-1),Fremskrivninger!$A$48:$H$77,8)/1000</f>
        <v>0</v>
      </c>
      <c r="R155" s="309">
        <f>IFERROR('El og plugin hybrid'!Q$49/'El og plugin hybrid'!Q$15,0)</f>
        <v>0</v>
      </c>
      <c r="S155" s="288">
        <f>T155*'El og plugin hybrid'!S$48*VLOOKUP('El og plugin hybrid'!S$54+($B155-1),Fremskrivninger!$A$48:$H$77,8)/1000</f>
        <v>0</v>
      </c>
      <c r="T155" s="309">
        <f>IFERROR('El og plugin hybrid'!S$49/'El og plugin hybrid'!S$15,0)</f>
        <v>0</v>
      </c>
      <c r="U155" s="288">
        <f>V155*'El og plugin hybrid'!U$48*VLOOKUP('El og plugin hybrid'!U$54+($B155-1),Fremskrivninger!$A$48:$H$77,8)/1000</f>
        <v>0</v>
      </c>
      <c r="V155" s="309">
        <f>IFERROR('El og plugin hybrid'!U$49/'El og plugin hybrid'!U$15,0)</f>
        <v>0</v>
      </c>
      <c r="W155" s="288">
        <f>X155*'El og plugin hybrid'!W$48*VLOOKUP('El og plugin hybrid'!W$54+($B155-1),Fremskrivninger!$A$48:$H$77,8)/1000</f>
        <v>0</v>
      </c>
      <c r="X155" s="309">
        <f>IFERROR('El og plugin hybrid'!W$49/'El og plugin hybrid'!W$15,0)</f>
        <v>0</v>
      </c>
    </row>
    <row r="156" spans="1:24">
      <c r="A156" s="308"/>
      <c r="B156" s="282">
        <v>15</v>
      </c>
      <c r="C156" s="282">
        <f t="shared" si="7"/>
        <v>15</v>
      </c>
      <c r="D156" s="282"/>
      <c r="E156" s="288">
        <f>F156*'El og plugin hybrid'!E$48*VLOOKUP('El og plugin hybrid'!E$54+($B156-1),Fremskrivninger!$A$48:$H$77,8)/1000</f>
        <v>0</v>
      </c>
      <c r="F156" s="309">
        <f>IFERROR('El og plugin hybrid'!E$49/'El og plugin hybrid'!E$15,0)</f>
        <v>0</v>
      </c>
      <c r="G156" s="288">
        <f>H156*'El og plugin hybrid'!G$48*VLOOKUP('El og plugin hybrid'!G$54+($B156-1),Fremskrivninger!$A$48:$H$77,8)/1000</f>
        <v>0</v>
      </c>
      <c r="H156" s="309">
        <f>IFERROR('El og plugin hybrid'!G$49/'El og plugin hybrid'!G$15,0)</f>
        <v>0</v>
      </c>
      <c r="I156" s="288">
        <f>J156*'El og plugin hybrid'!I$48*VLOOKUP('El og plugin hybrid'!I$54+($B156-1),Fremskrivninger!$A$48:$H$77,8)/1000</f>
        <v>0</v>
      </c>
      <c r="J156" s="309">
        <f>IFERROR('El og plugin hybrid'!I$49/'El og plugin hybrid'!I$15,0)</f>
        <v>0</v>
      </c>
      <c r="K156" s="288">
        <f>L156*'El og plugin hybrid'!K$48*VLOOKUP('El og plugin hybrid'!K$54+($B156-1),Fremskrivninger!$A$48:$H$77,8)/1000</f>
        <v>0</v>
      </c>
      <c r="L156" s="309">
        <f>IFERROR('El og plugin hybrid'!K$49/'El og plugin hybrid'!K$15,0)</f>
        <v>0</v>
      </c>
      <c r="M156" s="288">
        <f>N156*'El og plugin hybrid'!M$48*VLOOKUP('El og plugin hybrid'!M$54+($B156-1),Fremskrivninger!$A$48:$H$77,8)/1000</f>
        <v>0</v>
      </c>
      <c r="N156" s="309">
        <f>IFERROR('El og plugin hybrid'!M$49/'El og plugin hybrid'!M$15,0)</f>
        <v>0</v>
      </c>
      <c r="O156" s="288">
        <f>P156*'El og plugin hybrid'!O$48*VLOOKUP('El og plugin hybrid'!O$54+($B156-1),Fremskrivninger!$A$48:$H$77,8)/1000</f>
        <v>0</v>
      </c>
      <c r="P156" s="309">
        <f>IFERROR('El og plugin hybrid'!O$49/'El og plugin hybrid'!O$15,0)</f>
        <v>0</v>
      </c>
      <c r="Q156" s="288">
        <f>R156*'El og plugin hybrid'!Q$48*VLOOKUP('El og plugin hybrid'!Q$54+($B156-1),Fremskrivninger!$A$48:$H$77,8)/1000</f>
        <v>0</v>
      </c>
      <c r="R156" s="309">
        <f>IFERROR('El og plugin hybrid'!Q$49/'El og plugin hybrid'!Q$15,0)</f>
        <v>0</v>
      </c>
      <c r="S156" s="288">
        <f>T156*'El og plugin hybrid'!S$48*VLOOKUP('El og plugin hybrid'!S$54+($B156-1),Fremskrivninger!$A$48:$H$77,8)/1000</f>
        <v>0</v>
      </c>
      <c r="T156" s="309">
        <f>IFERROR('El og plugin hybrid'!S$49/'El og plugin hybrid'!S$15,0)</f>
        <v>0</v>
      </c>
      <c r="U156" s="288">
        <f>V156*'El og plugin hybrid'!U$48*VLOOKUP('El og plugin hybrid'!U$54+($B156-1),Fremskrivninger!$A$48:$H$77,8)/1000</f>
        <v>0</v>
      </c>
      <c r="V156" s="309">
        <f>IFERROR('El og plugin hybrid'!U$49/'El og plugin hybrid'!U$15,0)</f>
        <v>0</v>
      </c>
      <c r="W156" s="288">
        <f>X156*'El og plugin hybrid'!W$48*VLOOKUP('El og plugin hybrid'!W$54+($B156-1),Fremskrivninger!$A$48:$H$77,8)/1000</f>
        <v>0</v>
      </c>
      <c r="X156" s="309">
        <f>IFERROR('El og plugin hybrid'!W$49/'El og plugin hybrid'!W$15,0)</f>
        <v>0</v>
      </c>
    </row>
    <row r="157" spans="1:24">
      <c r="A157" s="308"/>
      <c r="B157" s="282">
        <v>16</v>
      </c>
      <c r="C157" s="282">
        <f t="shared" si="7"/>
        <v>16</v>
      </c>
      <c r="D157" s="282"/>
      <c r="E157" s="288">
        <f>F157*'El og plugin hybrid'!E$48*VLOOKUP('El og plugin hybrid'!E$54+($B157-1),Fremskrivninger!$A$48:$H$77,8)/1000</f>
        <v>0</v>
      </c>
      <c r="F157" s="309">
        <f>IFERROR('El og plugin hybrid'!E$49/'El og plugin hybrid'!E$15,0)</f>
        <v>0</v>
      </c>
      <c r="G157" s="288">
        <f>H157*'El og plugin hybrid'!G$48*VLOOKUP('El og plugin hybrid'!G$54+($B157-1),Fremskrivninger!$A$48:$H$77,8)/1000</f>
        <v>0</v>
      </c>
      <c r="H157" s="309">
        <f>IFERROR('El og plugin hybrid'!G$49/'El og plugin hybrid'!G$15,0)</f>
        <v>0</v>
      </c>
      <c r="I157" s="288">
        <f>J157*'El og plugin hybrid'!I$48*VLOOKUP('El og plugin hybrid'!I$54+($B157-1),Fremskrivninger!$A$48:$H$77,8)/1000</f>
        <v>0</v>
      </c>
      <c r="J157" s="309">
        <f>IFERROR('El og plugin hybrid'!I$49/'El og plugin hybrid'!I$15,0)</f>
        <v>0</v>
      </c>
      <c r="K157" s="288">
        <f>L157*'El og plugin hybrid'!K$48*VLOOKUP('El og plugin hybrid'!K$54+($B157-1),Fremskrivninger!$A$48:$H$77,8)/1000</f>
        <v>0</v>
      </c>
      <c r="L157" s="309">
        <f>IFERROR('El og plugin hybrid'!K$49/'El og plugin hybrid'!K$15,0)</f>
        <v>0</v>
      </c>
      <c r="M157" s="288">
        <f>N157*'El og plugin hybrid'!M$48*VLOOKUP('El og plugin hybrid'!M$54+($B157-1),Fremskrivninger!$A$48:$H$77,8)/1000</f>
        <v>0</v>
      </c>
      <c r="N157" s="309">
        <f>IFERROR('El og plugin hybrid'!M$49/'El og plugin hybrid'!M$15,0)</f>
        <v>0</v>
      </c>
      <c r="O157" s="288">
        <f>P157*'El og plugin hybrid'!O$48*VLOOKUP('El og plugin hybrid'!O$54+($B157-1),Fremskrivninger!$A$48:$H$77,8)/1000</f>
        <v>0</v>
      </c>
      <c r="P157" s="309">
        <f>IFERROR('El og plugin hybrid'!O$49/'El og plugin hybrid'!O$15,0)</f>
        <v>0</v>
      </c>
      <c r="Q157" s="288">
        <f>R157*'El og plugin hybrid'!Q$48*VLOOKUP('El og plugin hybrid'!Q$54+($B157-1),Fremskrivninger!$A$48:$H$77,8)/1000</f>
        <v>0</v>
      </c>
      <c r="R157" s="309">
        <f>IFERROR('El og plugin hybrid'!Q$49/'El og plugin hybrid'!Q$15,0)</f>
        <v>0</v>
      </c>
      <c r="S157" s="288">
        <f>T157*'El og plugin hybrid'!S$48*VLOOKUP('El og plugin hybrid'!S$54+($B157-1),Fremskrivninger!$A$48:$H$77,8)/1000</f>
        <v>0</v>
      </c>
      <c r="T157" s="309">
        <f>IFERROR('El og plugin hybrid'!S$49/'El og plugin hybrid'!S$15,0)</f>
        <v>0</v>
      </c>
      <c r="U157" s="288">
        <f>V157*'El og plugin hybrid'!U$48*VLOOKUP('El og plugin hybrid'!U$54+($B157-1),Fremskrivninger!$A$48:$H$77,8)/1000</f>
        <v>0</v>
      </c>
      <c r="V157" s="309">
        <f>IFERROR('El og plugin hybrid'!U$49/'El og plugin hybrid'!U$15,0)</f>
        <v>0</v>
      </c>
      <c r="W157" s="288">
        <f>X157*'El og plugin hybrid'!W$48*VLOOKUP('El og plugin hybrid'!W$54+($B157-1),Fremskrivninger!$A$48:$H$77,8)/1000</f>
        <v>0</v>
      </c>
      <c r="X157" s="309">
        <f>IFERROR('El og plugin hybrid'!W$49/'El og plugin hybrid'!W$15,0)</f>
        <v>0</v>
      </c>
    </row>
    <row r="158" spans="1:24">
      <c r="A158" s="308"/>
      <c r="B158" s="282">
        <v>17</v>
      </c>
      <c r="C158" s="282">
        <f t="shared" si="7"/>
        <v>17</v>
      </c>
      <c r="D158" s="282"/>
      <c r="E158" s="288">
        <f>F158*'El og plugin hybrid'!E$48*VLOOKUP('El og plugin hybrid'!E$54+($B158-1),Fremskrivninger!$A$48:$H$77,8)/1000</f>
        <v>0</v>
      </c>
      <c r="F158" s="309">
        <f>IFERROR('El og plugin hybrid'!E$49/'El og plugin hybrid'!E$15,0)</f>
        <v>0</v>
      </c>
      <c r="G158" s="288">
        <f>H158*'El og plugin hybrid'!G$48*VLOOKUP('El og plugin hybrid'!G$54+($B158-1),Fremskrivninger!$A$48:$H$77,8)/1000</f>
        <v>0</v>
      </c>
      <c r="H158" s="309">
        <f>IFERROR('El og plugin hybrid'!G$49/'El og plugin hybrid'!G$15,0)</f>
        <v>0</v>
      </c>
      <c r="I158" s="288">
        <f>J158*'El og plugin hybrid'!I$48*VLOOKUP('El og plugin hybrid'!I$54+($B158-1),Fremskrivninger!$A$48:$H$77,8)/1000</f>
        <v>0</v>
      </c>
      <c r="J158" s="309">
        <f>IFERROR('El og plugin hybrid'!I$49/'El og plugin hybrid'!I$15,0)</f>
        <v>0</v>
      </c>
      <c r="K158" s="288">
        <f>L158*'El og plugin hybrid'!K$48*VLOOKUP('El og plugin hybrid'!K$54+($B158-1),Fremskrivninger!$A$48:$H$77,8)/1000</f>
        <v>0</v>
      </c>
      <c r="L158" s="309">
        <f>IFERROR('El og plugin hybrid'!K$49/'El og plugin hybrid'!K$15,0)</f>
        <v>0</v>
      </c>
      <c r="M158" s="288">
        <f>N158*'El og plugin hybrid'!M$48*VLOOKUP('El og plugin hybrid'!M$54+($B158-1),Fremskrivninger!$A$48:$H$77,8)/1000</f>
        <v>0</v>
      </c>
      <c r="N158" s="309">
        <f>IFERROR('El og plugin hybrid'!M$49/'El og plugin hybrid'!M$15,0)</f>
        <v>0</v>
      </c>
      <c r="O158" s="288">
        <f>P158*'El og plugin hybrid'!O$48*VLOOKUP('El og plugin hybrid'!O$54+($B158-1),Fremskrivninger!$A$48:$H$77,8)/1000</f>
        <v>0</v>
      </c>
      <c r="P158" s="309">
        <f>IFERROR('El og plugin hybrid'!O$49/'El og plugin hybrid'!O$15,0)</f>
        <v>0</v>
      </c>
      <c r="Q158" s="288">
        <f>R158*'El og plugin hybrid'!Q$48*VLOOKUP('El og plugin hybrid'!Q$54+($B158-1),Fremskrivninger!$A$48:$H$77,8)/1000</f>
        <v>0</v>
      </c>
      <c r="R158" s="309">
        <f>IFERROR('El og plugin hybrid'!Q$49/'El og plugin hybrid'!Q$15,0)</f>
        <v>0</v>
      </c>
      <c r="S158" s="288">
        <f>T158*'El og plugin hybrid'!S$48*VLOOKUP('El og plugin hybrid'!S$54+($B158-1),Fremskrivninger!$A$48:$H$77,8)/1000</f>
        <v>0</v>
      </c>
      <c r="T158" s="309">
        <f>IFERROR('El og plugin hybrid'!S$49/'El og plugin hybrid'!S$15,0)</f>
        <v>0</v>
      </c>
      <c r="U158" s="288">
        <f>V158*'El og plugin hybrid'!U$48*VLOOKUP('El og plugin hybrid'!U$54+($B158-1),Fremskrivninger!$A$48:$H$77,8)/1000</f>
        <v>0</v>
      </c>
      <c r="V158" s="309">
        <f>IFERROR('El og plugin hybrid'!U$49/'El og plugin hybrid'!U$15,0)</f>
        <v>0</v>
      </c>
      <c r="W158" s="288">
        <f>X158*'El og plugin hybrid'!W$48*VLOOKUP('El og plugin hybrid'!W$54+($B158-1),Fremskrivninger!$A$48:$H$77,8)/1000</f>
        <v>0</v>
      </c>
      <c r="X158" s="309">
        <f>IFERROR('El og plugin hybrid'!W$49/'El og plugin hybrid'!W$15,0)</f>
        <v>0</v>
      </c>
    </row>
    <row r="159" spans="1:24">
      <c r="A159" s="308"/>
      <c r="B159" s="282">
        <v>18</v>
      </c>
      <c r="C159" s="282">
        <f t="shared" si="7"/>
        <v>18</v>
      </c>
      <c r="D159" s="282"/>
      <c r="E159" s="288">
        <f>F159*'El og plugin hybrid'!E$48*VLOOKUP('El og plugin hybrid'!E$54+($B159-1),Fremskrivninger!$A$48:$H$77,8)/1000</f>
        <v>0</v>
      </c>
      <c r="F159" s="309">
        <f>IFERROR('El og plugin hybrid'!E$49/'El og plugin hybrid'!E$15,0)</f>
        <v>0</v>
      </c>
      <c r="G159" s="288">
        <f>H159*'El og plugin hybrid'!G$48*VLOOKUP('El og plugin hybrid'!G$54+($B159-1),Fremskrivninger!$A$48:$H$77,8)/1000</f>
        <v>0</v>
      </c>
      <c r="H159" s="309">
        <f>IFERROR('El og plugin hybrid'!G$49/'El og plugin hybrid'!G$15,0)</f>
        <v>0</v>
      </c>
      <c r="I159" s="288">
        <f>J159*'El og plugin hybrid'!I$48*VLOOKUP('El og plugin hybrid'!I$54+($B159-1),Fremskrivninger!$A$48:$H$77,8)/1000</f>
        <v>0</v>
      </c>
      <c r="J159" s="309">
        <f>IFERROR('El og plugin hybrid'!I$49/'El og plugin hybrid'!I$15,0)</f>
        <v>0</v>
      </c>
      <c r="K159" s="288">
        <f>L159*'El og plugin hybrid'!K$48*VLOOKUP('El og plugin hybrid'!K$54+($B159-1),Fremskrivninger!$A$48:$H$77,8)/1000</f>
        <v>0</v>
      </c>
      <c r="L159" s="309">
        <f>IFERROR('El og plugin hybrid'!K$49/'El og plugin hybrid'!K$15,0)</f>
        <v>0</v>
      </c>
      <c r="M159" s="288">
        <f>N159*'El og plugin hybrid'!M$48*VLOOKUP('El og plugin hybrid'!M$54+($B159-1),Fremskrivninger!$A$48:$H$77,8)/1000</f>
        <v>0</v>
      </c>
      <c r="N159" s="309">
        <f>IFERROR('El og plugin hybrid'!M$49/'El og plugin hybrid'!M$15,0)</f>
        <v>0</v>
      </c>
      <c r="O159" s="288">
        <f>P159*'El og plugin hybrid'!O$48*VLOOKUP('El og plugin hybrid'!O$54+($B159-1),Fremskrivninger!$A$48:$H$77,8)/1000</f>
        <v>0</v>
      </c>
      <c r="P159" s="309">
        <f>IFERROR('El og plugin hybrid'!O$49/'El og plugin hybrid'!O$15,0)</f>
        <v>0</v>
      </c>
      <c r="Q159" s="288">
        <f>R159*'El og plugin hybrid'!Q$48*VLOOKUP('El og plugin hybrid'!Q$54+($B159-1),Fremskrivninger!$A$48:$H$77,8)/1000</f>
        <v>0</v>
      </c>
      <c r="R159" s="309">
        <f>IFERROR('El og plugin hybrid'!Q$49/'El og plugin hybrid'!Q$15,0)</f>
        <v>0</v>
      </c>
      <c r="S159" s="288">
        <f>T159*'El og plugin hybrid'!S$48*VLOOKUP('El og plugin hybrid'!S$54+($B159-1),Fremskrivninger!$A$48:$H$77,8)/1000</f>
        <v>0</v>
      </c>
      <c r="T159" s="309">
        <f>IFERROR('El og plugin hybrid'!S$49/'El og plugin hybrid'!S$15,0)</f>
        <v>0</v>
      </c>
      <c r="U159" s="288">
        <f>V159*'El og plugin hybrid'!U$48*VLOOKUP('El og plugin hybrid'!U$54+($B159-1),Fremskrivninger!$A$48:$H$77,8)/1000</f>
        <v>0</v>
      </c>
      <c r="V159" s="309">
        <f>IFERROR('El og plugin hybrid'!U$49/'El og plugin hybrid'!U$15,0)</f>
        <v>0</v>
      </c>
      <c r="W159" s="288">
        <f>X159*'El og plugin hybrid'!W$48*VLOOKUP('El og plugin hybrid'!W$54+($B159-1),Fremskrivninger!$A$48:$H$77,8)/1000</f>
        <v>0</v>
      </c>
      <c r="X159" s="309">
        <f>IFERROR('El og plugin hybrid'!W$49/'El og plugin hybrid'!W$15,0)</f>
        <v>0</v>
      </c>
    </row>
    <row r="160" spans="1:24">
      <c r="A160" s="308"/>
      <c r="B160" s="282">
        <v>19</v>
      </c>
      <c r="C160" s="282">
        <f t="shared" si="7"/>
        <v>19</v>
      </c>
      <c r="D160" s="282"/>
      <c r="E160" s="288">
        <f>F160*'El og plugin hybrid'!E$48*VLOOKUP('El og plugin hybrid'!E$54+($B160-1),Fremskrivninger!$A$48:$H$77,8)/1000</f>
        <v>0</v>
      </c>
      <c r="F160" s="309">
        <f>IFERROR('El og plugin hybrid'!E$49/'El og plugin hybrid'!E$15,0)</f>
        <v>0</v>
      </c>
      <c r="G160" s="288">
        <f>H160*'El og plugin hybrid'!G$48*VLOOKUP('El og plugin hybrid'!G$54+($B160-1),Fremskrivninger!$A$48:$H$77,8)/1000</f>
        <v>0</v>
      </c>
      <c r="H160" s="309">
        <f>IFERROR('El og plugin hybrid'!G$49/'El og plugin hybrid'!G$15,0)</f>
        <v>0</v>
      </c>
      <c r="I160" s="288">
        <f>J160*'El og plugin hybrid'!I$48*VLOOKUP('El og plugin hybrid'!I$54+($B160-1),Fremskrivninger!$A$48:$H$77,8)/1000</f>
        <v>0</v>
      </c>
      <c r="J160" s="309">
        <f>IFERROR('El og plugin hybrid'!I$49/'El og plugin hybrid'!I$15,0)</f>
        <v>0</v>
      </c>
      <c r="K160" s="288">
        <f>L160*'El og plugin hybrid'!K$48*VLOOKUP('El og plugin hybrid'!K$54+($B160-1),Fremskrivninger!$A$48:$H$77,8)/1000</f>
        <v>0</v>
      </c>
      <c r="L160" s="309">
        <f>IFERROR('El og plugin hybrid'!K$49/'El og plugin hybrid'!K$15,0)</f>
        <v>0</v>
      </c>
      <c r="M160" s="288">
        <f>N160*'El og plugin hybrid'!M$48*VLOOKUP('El og plugin hybrid'!M$54+($B160-1),Fremskrivninger!$A$48:$H$77,8)/1000</f>
        <v>0</v>
      </c>
      <c r="N160" s="309">
        <f>IFERROR('El og plugin hybrid'!M$49/'El og plugin hybrid'!M$15,0)</f>
        <v>0</v>
      </c>
      <c r="O160" s="288">
        <f>P160*'El og plugin hybrid'!O$48*VLOOKUP('El og plugin hybrid'!O$54+($B160-1),Fremskrivninger!$A$48:$H$77,8)/1000</f>
        <v>0</v>
      </c>
      <c r="P160" s="309">
        <f>IFERROR('El og plugin hybrid'!O$49/'El og plugin hybrid'!O$15,0)</f>
        <v>0</v>
      </c>
      <c r="Q160" s="288">
        <f>R160*'El og plugin hybrid'!Q$48*VLOOKUP('El og plugin hybrid'!Q$54+($B160-1),Fremskrivninger!$A$48:$H$77,8)/1000</f>
        <v>0</v>
      </c>
      <c r="R160" s="309">
        <f>IFERROR('El og plugin hybrid'!Q$49/'El og plugin hybrid'!Q$15,0)</f>
        <v>0</v>
      </c>
      <c r="S160" s="288">
        <f>T160*'El og plugin hybrid'!S$48*VLOOKUP('El og plugin hybrid'!S$54+($B160-1),Fremskrivninger!$A$48:$H$77,8)/1000</f>
        <v>0</v>
      </c>
      <c r="T160" s="309">
        <f>IFERROR('El og plugin hybrid'!S$49/'El og plugin hybrid'!S$15,0)</f>
        <v>0</v>
      </c>
      <c r="U160" s="288">
        <f>V160*'El og plugin hybrid'!U$48*VLOOKUP('El og plugin hybrid'!U$54+($B160-1),Fremskrivninger!$A$48:$H$77,8)/1000</f>
        <v>0</v>
      </c>
      <c r="V160" s="309">
        <f>IFERROR('El og plugin hybrid'!U$49/'El og plugin hybrid'!U$15,0)</f>
        <v>0</v>
      </c>
      <c r="W160" s="288">
        <f>X160*'El og plugin hybrid'!W$48*VLOOKUP('El og plugin hybrid'!W$54+($B160-1),Fremskrivninger!$A$48:$H$77,8)/1000</f>
        <v>0</v>
      </c>
      <c r="X160" s="309">
        <f>IFERROR('El og plugin hybrid'!W$49/'El og plugin hybrid'!W$15,0)</f>
        <v>0</v>
      </c>
    </row>
    <row r="161" spans="1:24">
      <c r="A161" s="311"/>
      <c r="B161" s="287">
        <v>20</v>
      </c>
      <c r="C161" s="287">
        <f t="shared" si="7"/>
        <v>20</v>
      </c>
      <c r="D161" s="287"/>
      <c r="E161" s="288">
        <f>F161*'El og plugin hybrid'!E$48*VLOOKUP('El og plugin hybrid'!E$54+($B161-1),Fremskrivninger!$A$48:$H$77,8)/1000</f>
        <v>0</v>
      </c>
      <c r="F161" s="309">
        <f>IFERROR('El og plugin hybrid'!E$49/'El og plugin hybrid'!E$15,0)</f>
        <v>0</v>
      </c>
      <c r="G161" s="288">
        <f>H161*'El og plugin hybrid'!G$48*VLOOKUP('El og plugin hybrid'!G$54+($B161-1),Fremskrivninger!$A$48:$H$77,8)/1000</f>
        <v>0</v>
      </c>
      <c r="H161" s="309">
        <f>IFERROR('El og plugin hybrid'!G$49/'El og plugin hybrid'!G$15,0)</f>
        <v>0</v>
      </c>
      <c r="I161" s="288">
        <f>J161*'El og plugin hybrid'!I$48*VLOOKUP('El og plugin hybrid'!I$54+($B161-1),Fremskrivninger!$A$48:$H$77,8)/1000</f>
        <v>0</v>
      </c>
      <c r="J161" s="309">
        <f>IFERROR('El og plugin hybrid'!I$49/'El og plugin hybrid'!I$15,0)</f>
        <v>0</v>
      </c>
      <c r="K161" s="288">
        <f>L161*'El og plugin hybrid'!K$48*VLOOKUP('El og plugin hybrid'!K$54+($B161-1),Fremskrivninger!$A$48:$H$77,8)/1000</f>
        <v>0</v>
      </c>
      <c r="L161" s="309">
        <f>IFERROR('El og plugin hybrid'!K$49/'El og plugin hybrid'!K$15,0)</f>
        <v>0</v>
      </c>
      <c r="M161" s="288">
        <f>N161*'El og plugin hybrid'!M$48*VLOOKUP('El og plugin hybrid'!M$54+($B161-1),Fremskrivninger!$A$48:$H$77,8)/1000</f>
        <v>0</v>
      </c>
      <c r="N161" s="309">
        <f>IFERROR('El og plugin hybrid'!M$49/'El og plugin hybrid'!M$15,0)</f>
        <v>0</v>
      </c>
      <c r="O161" s="288">
        <f>P161*'El og plugin hybrid'!O$48*VLOOKUP('El og plugin hybrid'!O$54+($B161-1),Fremskrivninger!$A$48:$H$77,8)/1000</f>
        <v>0</v>
      </c>
      <c r="P161" s="309">
        <f>IFERROR('El og plugin hybrid'!O$49/'El og plugin hybrid'!O$15,0)</f>
        <v>0</v>
      </c>
      <c r="Q161" s="288">
        <f>R161*'El og plugin hybrid'!Q$48*VLOOKUP('El og plugin hybrid'!Q$54+($B161-1),Fremskrivninger!$A$48:$H$77,8)/1000</f>
        <v>0</v>
      </c>
      <c r="R161" s="309">
        <f>IFERROR('El og plugin hybrid'!Q$49/'El og plugin hybrid'!Q$15,0)</f>
        <v>0</v>
      </c>
      <c r="S161" s="288">
        <f>T161*'El og plugin hybrid'!S$48*VLOOKUP('El og plugin hybrid'!S$54+($B161-1),Fremskrivninger!$A$48:$H$77,8)/1000</f>
        <v>0</v>
      </c>
      <c r="T161" s="309">
        <f>IFERROR('El og plugin hybrid'!S$49/'El og plugin hybrid'!S$15,0)</f>
        <v>0</v>
      </c>
      <c r="U161" s="288">
        <f>V161*'El og plugin hybrid'!U$48*VLOOKUP('El og plugin hybrid'!U$54+($B161-1),Fremskrivninger!$A$48:$H$77,8)/1000</f>
        <v>0</v>
      </c>
      <c r="V161" s="309">
        <f>IFERROR('El og plugin hybrid'!U$49/'El og plugin hybrid'!U$15,0)</f>
        <v>0</v>
      </c>
      <c r="W161" s="288">
        <f>X161*'El og plugin hybrid'!W$48*VLOOKUP('El og plugin hybrid'!W$54+($B161-1),Fremskrivninger!$A$48:$H$77,8)/1000</f>
        <v>0</v>
      </c>
      <c r="X161" s="309">
        <f>IFERROR('El og plugin hybrid'!W$49/'El og plugin hybrid'!W$15,0)</f>
        <v>0</v>
      </c>
    </row>
    <row r="163" spans="1:24">
      <c r="A163" s="286" t="s">
        <v>175</v>
      </c>
      <c r="B163" s="305"/>
      <c r="C163" s="305"/>
      <c r="D163" s="305"/>
      <c r="E163" s="305"/>
      <c r="F163" s="305"/>
      <c r="G163" s="305"/>
      <c r="H163" s="305"/>
      <c r="I163" s="305"/>
      <c r="J163" s="305"/>
      <c r="K163" s="305"/>
      <c r="L163" s="305"/>
      <c r="M163" s="305"/>
      <c r="N163" s="305"/>
      <c r="O163" s="305"/>
      <c r="P163" s="305"/>
      <c r="Q163" s="305"/>
      <c r="R163" s="305"/>
      <c r="S163" s="305"/>
      <c r="T163" s="310"/>
      <c r="U163" s="305"/>
      <c r="V163" s="310"/>
      <c r="W163" s="305"/>
      <c r="X163" s="310"/>
    </row>
    <row r="164" spans="1:24" ht="68.25">
      <c r="A164" s="279"/>
      <c r="B164" s="280" t="s">
        <v>20</v>
      </c>
      <c r="C164" s="305"/>
      <c r="D164" s="305" t="s">
        <v>21</v>
      </c>
      <c r="E164" s="281" t="str">
        <f>E141</f>
        <v>PRODUKT 1 EL</v>
      </c>
      <c r="F164" s="306" t="str">
        <f>E164&amp;" - Årligt dieselforbrug (liter/år/produkt)"</f>
        <v>PRODUKT 1 EL - Årligt dieselforbrug (liter/år/produkt)</v>
      </c>
      <c r="G164" s="281" t="str">
        <f>G141</f>
        <v>PRODUKT 2 EL</v>
      </c>
      <c r="H164" s="306" t="str">
        <f>G164&amp;" - Årligt dieselforbrug (liter/år/produkt)"</f>
        <v>PRODUKT 2 EL - Årligt dieselforbrug (liter/år/produkt)</v>
      </c>
      <c r="I164" s="281" t="str">
        <f>I141</f>
        <v>PRODUKT 3 EL</v>
      </c>
      <c r="J164" s="306" t="str">
        <f>I164&amp;" - Årligt dieselforbrug (liter/år/produkt)"</f>
        <v>PRODUKT 3 EL - Årligt dieselforbrug (liter/år/produkt)</v>
      </c>
      <c r="K164" s="281" t="str">
        <f>K141</f>
        <v>PRODUKT 4 EL</v>
      </c>
      <c r="L164" s="306" t="str">
        <f>K164&amp;" - Årligt dieselforbrug (liter/år/produkt)"</f>
        <v>PRODUKT 4 EL - Årligt dieselforbrug (liter/år/produkt)</v>
      </c>
      <c r="M164" s="281" t="str">
        <f>M141</f>
        <v>PRODUKT 5 EL</v>
      </c>
      <c r="N164" s="306" t="str">
        <f>M164&amp;" - Årligt dieselforbrug (liter/år/produkt)"</f>
        <v>PRODUKT 5 EL - Årligt dieselforbrug (liter/år/produkt)</v>
      </c>
      <c r="O164" s="281" t="str">
        <f>O141</f>
        <v>PRODUKT 6 EL</v>
      </c>
      <c r="P164" s="306" t="str">
        <f>O164&amp;" - Årligt dieselforbrug (liter/år/produkt)"</f>
        <v>PRODUKT 6 EL - Årligt dieselforbrug (liter/år/produkt)</v>
      </c>
      <c r="Q164" s="281" t="str">
        <f>Q141</f>
        <v>PRODUKT 7 EL</v>
      </c>
      <c r="R164" s="306" t="str">
        <f>Q164&amp;" - Årligt dieselforbrug (liter/år/produkt)"</f>
        <v>PRODUKT 7 EL - Årligt dieselforbrug (liter/år/produkt)</v>
      </c>
      <c r="S164" s="281" t="str">
        <f>S141</f>
        <v>PRODUKT 8 EL</v>
      </c>
      <c r="T164" s="306" t="str">
        <f>S164&amp;" - Årligt dieselforbrug (liter/år/produkt)"</f>
        <v>PRODUKT 8 EL - Årligt dieselforbrug (liter/år/produkt)</v>
      </c>
      <c r="U164" s="281" t="str">
        <f>U141</f>
        <v>PRODUKT 9 EL</v>
      </c>
      <c r="V164" s="306" t="str">
        <f>U164&amp;" - Årligt dieselforbrug (liter/år/produkt)"</f>
        <v>PRODUKT 9 EL - Årligt dieselforbrug (liter/år/produkt)</v>
      </c>
      <c r="W164" s="281" t="str">
        <f>W141</f>
        <v>PRODUKT 10 EL</v>
      </c>
      <c r="X164" s="306" t="str">
        <f>W164&amp;" - Årligt dieselforbrug (liter/år/produkt)"</f>
        <v>PRODUKT 10 EL - Årligt dieselforbrug (liter/år/produkt)</v>
      </c>
    </row>
    <row r="165" spans="1:24">
      <c r="A165" s="308"/>
      <c r="B165" s="282">
        <v>1</v>
      </c>
      <c r="C165" s="282">
        <f>B165</f>
        <v>1</v>
      </c>
      <c r="D165" s="282"/>
      <c r="E165" s="288">
        <f>F142*'El og plugin hybrid'!E$48*VLOOKUP('El og plugin hybrid'!E$54+($B165-1),Fremskrivninger!$A$92:$H$121,8)/1000</f>
        <v>0</v>
      </c>
      <c r="F165" s="309">
        <f>IFERROR('El og plugin hybrid'!E$49/'El og plugin hybrid'!E$15,0)</f>
        <v>0</v>
      </c>
      <c r="G165" s="288">
        <f>H142*'El og plugin hybrid'!G$48*VLOOKUP('El og plugin hybrid'!G$54+($B165-1),Fremskrivninger!$A$92:$H$121,8)/1000</f>
        <v>0</v>
      </c>
      <c r="H165" s="309">
        <f>IFERROR('El og plugin hybrid'!G$49/'El og plugin hybrid'!G$15,0)</f>
        <v>0</v>
      </c>
      <c r="I165" s="288">
        <f>J142*'El og plugin hybrid'!I$48*VLOOKUP('El og plugin hybrid'!I$54+($B165-1),Fremskrivninger!$A$92:$H$121,8)/1000</f>
        <v>0</v>
      </c>
      <c r="J165" s="309">
        <f>IFERROR('El og plugin hybrid'!I$49/'El og plugin hybrid'!I$15,0)</f>
        <v>0</v>
      </c>
      <c r="K165" s="288">
        <f>L142*'El og plugin hybrid'!K$48*VLOOKUP('El og plugin hybrid'!K$54+($B165-1),Fremskrivninger!$A$92:$H$121,8)/1000</f>
        <v>0</v>
      </c>
      <c r="L165" s="309">
        <f>IFERROR('El og plugin hybrid'!K$49/'El og plugin hybrid'!K$15,0)</f>
        <v>0</v>
      </c>
      <c r="M165" s="288">
        <f>N142*'El og plugin hybrid'!M$48*VLOOKUP('El og plugin hybrid'!M$54+($B165-1),Fremskrivninger!$A$92:$H$121,8)/1000</f>
        <v>0</v>
      </c>
      <c r="N165" s="309">
        <f>IFERROR('El og plugin hybrid'!M$49/'El og plugin hybrid'!M$15,0)</f>
        <v>0</v>
      </c>
      <c r="O165" s="288">
        <f>P142*'El og plugin hybrid'!O$48*VLOOKUP('El og plugin hybrid'!O$54+($B165-1),Fremskrivninger!$A$92:$H$121,8)/1000</f>
        <v>0</v>
      </c>
      <c r="P165" s="309">
        <f>IFERROR('El og plugin hybrid'!O$49/'El og plugin hybrid'!O$15,0)</f>
        <v>0</v>
      </c>
      <c r="Q165" s="288">
        <f>R142*'El og plugin hybrid'!Q$48*VLOOKUP('El og plugin hybrid'!Q$54+($B165-1),Fremskrivninger!$A$92:$H$121,8)/1000</f>
        <v>0</v>
      </c>
      <c r="R165" s="309">
        <f>IFERROR('El og plugin hybrid'!Q$49/'El og plugin hybrid'!Q$15,0)</f>
        <v>0</v>
      </c>
      <c r="S165" s="288">
        <f>T142*'El og plugin hybrid'!S$48*VLOOKUP('El og plugin hybrid'!S$54+($B165-1),Fremskrivninger!$A$92:$H$121,8)/1000</f>
        <v>0</v>
      </c>
      <c r="T165" s="309">
        <f>IFERROR('El og plugin hybrid'!S$49/'El og plugin hybrid'!S$15,0)</f>
        <v>0</v>
      </c>
      <c r="U165" s="288">
        <f>V142*'El og plugin hybrid'!U$48*VLOOKUP('El og plugin hybrid'!U$54+($B165-1),Fremskrivninger!$A$92:$H$121,8)/1000</f>
        <v>0</v>
      </c>
      <c r="V165" s="309">
        <f>IFERROR('El og plugin hybrid'!U$49/'El og plugin hybrid'!U$15,0)</f>
        <v>0</v>
      </c>
      <c r="W165" s="288">
        <f>X142*'El og plugin hybrid'!W$48*VLOOKUP('El og plugin hybrid'!W$54+($B165-1),Fremskrivninger!$A$92:$H$121,8)/1000</f>
        <v>0</v>
      </c>
      <c r="X165" s="309">
        <f>IFERROR('El og plugin hybrid'!W$49/'El og plugin hybrid'!W$15,0)</f>
        <v>0</v>
      </c>
    </row>
    <row r="166" spans="1:24">
      <c r="A166" s="308"/>
      <c r="B166" s="282">
        <v>2</v>
      </c>
      <c r="C166" s="282">
        <f t="shared" ref="C166:C184" si="8">B166</f>
        <v>2</v>
      </c>
      <c r="D166" s="282"/>
      <c r="E166" s="288">
        <f>F143*'El og plugin hybrid'!E$48*VLOOKUP('El og plugin hybrid'!E$54+($B166-1),Fremskrivninger!$A$92:$H$121,8)/1000</f>
        <v>0</v>
      </c>
      <c r="F166" s="309">
        <f>IFERROR('El og plugin hybrid'!E$49/'El og plugin hybrid'!E$15,0)</f>
        <v>0</v>
      </c>
      <c r="G166" s="288">
        <f>H143*'El og plugin hybrid'!G$48*VLOOKUP('El og plugin hybrid'!G$54+($B166-1),Fremskrivninger!$A$92:$H$121,8)/1000</f>
        <v>0</v>
      </c>
      <c r="H166" s="309">
        <f>IFERROR('El og plugin hybrid'!G$49/'El og plugin hybrid'!G$15,0)</f>
        <v>0</v>
      </c>
      <c r="I166" s="288">
        <f>J143*'El og plugin hybrid'!I$48*VLOOKUP('El og plugin hybrid'!I$54+($B166-1),Fremskrivninger!$A$92:$H$121,8)/1000</f>
        <v>0</v>
      </c>
      <c r="J166" s="309">
        <f>IFERROR('El og plugin hybrid'!I$49/'El og plugin hybrid'!I$15,0)</f>
        <v>0</v>
      </c>
      <c r="K166" s="288">
        <f>L143*'El og plugin hybrid'!K$48*VLOOKUP('El og plugin hybrid'!K$54+($B166-1),Fremskrivninger!$A$92:$H$121,8)/1000</f>
        <v>0</v>
      </c>
      <c r="L166" s="309">
        <f>IFERROR('El og plugin hybrid'!K$49/'El og plugin hybrid'!K$15,0)</f>
        <v>0</v>
      </c>
      <c r="M166" s="288">
        <f>N143*'El og plugin hybrid'!M$48*VLOOKUP('El og plugin hybrid'!M$54+($B166-1),Fremskrivninger!$A$92:$H$121,8)/1000</f>
        <v>0</v>
      </c>
      <c r="N166" s="309">
        <f>IFERROR('El og plugin hybrid'!M$49/'El og plugin hybrid'!M$15,0)</f>
        <v>0</v>
      </c>
      <c r="O166" s="288">
        <f>P143*'El og plugin hybrid'!O$48*VLOOKUP('El og plugin hybrid'!O$54+($B166-1),Fremskrivninger!$A$92:$H$121,8)/1000</f>
        <v>0</v>
      </c>
      <c r="P166" s="309">
        <f>IFERROR('El og plugin hybrid'!O$49/'El og plugin hybrid'!O$15,0)</f>
        <v>0</v>
      </c>
      <c r="Q166" s="288">
        <f>R143*'El og plugin hybrid'!Q$48*VLOOKUP('El og plugin hybrid'!Q$54+($B166-1),Fremskrivninger!$A$92:$H$121,8)/1000</f>
        <v>0</v>
      </c>
      <c r="R166" s="309">
        <f>IFERROR('El og plugin hybrid'!Q$49/'El og plugin hybrid'!Q$15,0)</f>
        <v>0</v>
      </c>
      <c r="S166" s="288">
        <f>T143*'El og plugin hybrid'!S$48*VLOOKUP('El og plugin hybrid'!S$54+($B166-1),Fremskrivninger!$A$92:$H$121,8)/1000</f>
        <v>0</v>
      </c>
      <c r="T166" s="309">
        <f>IFERROR('El og plugin hybrid'!S$49/'El og plugin hybrid'!S$15,0)</f>
        <v>0</v>
      </c>
      <c r="U166" s="288">
        <f>V143*'El og plugin hybrid'!U$48*VLOOKUP('El og plugin hybrid'!U$54+($B166-1),Fremskrivninger!$A$92:$H$121,8)/1000</f>
        <v>0</v>
      </c>
      <c r="V166" s="309">
        <f>IFERROR('El og plugin hybrid'!U$49/'El og plugin hybrid'!U$15,0)</f>
        <v>0</v>
      </c>
      <c r="W166" s="288">
        <f>X143*'El og plugin hybrid'!W$48*VLOOKUP('El og plugin hybrid'!W$54+($B166-1),Fremskrivninger!$A$92:$H$121,8)/1000</f>
        <v>0</v>
      </c>
      <c r="X166" s="309">
        <f>IFERROR('El og plugin hybrid'!W$49/'El og plugin hybrid'!W$15,0)</f>
        <v>0</v>
      </c>
    </row>
    <row r="167" spans="1:24">
      <c r="A167" s="308"/>
      <c r="B167" s="282">
        <v>3</v>
      </c>
      <c r="C167" s="282">
        <f t="shared" si="8"/>
        <v>3</v>
      </c>
      <c r="D167" s="282"/>
      <c r="E167" s="288">
        <f>F144*'El og plugin hybrid'!E$48*VLOOKUP('El og plugin hybrid'!E$54+($B167-1),Fremskrivninger!$A$92:$H$121,8)/1000</f>
        <v>0</v>
      </c>
      <c r="F167" s="309">
        <f>IFERROR('El og plugin hybrid'!E$49/'El og plugin hybrid'!E$15,0)</f>
        <v>0</v>
      </c>
      <c r="G167" s="288">
        <f>H144*'El og plugin hybrid'!G$48*VLOOKUP('El og plugin hybrid'!G$54+($B167-1),Fremskrivninger!$A$92:$H$121,8)/1000</f>
        <v>0</v>
      </c>
      <c r="H167" s="309">
        <f>IFERROR('El og plugin hybrid'!G$49/'El og plugin hybrid'!G$15,0)</f>
        <v>0</v>
      </c>
      <c r="I167" s="288">
        <f>J144*'El og plugin hybrid'!I$48*VLOOKUP('El og plugin hybrid'!I$54+($B167-1),Fremskrivninger!$A$92:$H$121,8)/1000</f>
        <v>0</v>
      </c>
      <c r="J167" s="309">
        <f>IFERROR('El og plugin hybrid'!I$49/'El og plugin hybrid'!I$15,0)</f>
        <v>0</v>
      </c>
      <c r="K167" s="288">
        <f>L144*'El og plugin hybrid'!K$48*VLOOKUP('El og plugin hybrid'!K$54+($B167-1),Fremskrivninger!$A$92:$H$121,8)/1000</f>
        <v>0</v>
      </c>
      <c r="L167" s="309">
        <f>IFERROR('El og plugin hybrid'!K$49/'El og plugin hybrid'!K$15,0)</f>
        <v>0</v>
      </c>
      <c r="M167" s="288">
        <f>N144*'El og plugin hybrid'!M$48*VLOOKUP('El og plugin hybrid'!M$54+($B167-1),Fremskrivninger!$A$92:$H$121,8)/1000</f>
        <v>0</v>
      </c>
      <c r="N167" s="309">
        <f>IFERROR('El og plugin hybrid'!M$49/'El og plugin hybrid'!M$15,0)</f>
        <v>0</v>
      </c>
      <c r="O167" s="288">
        <f>P144*'El og plugin hybrid'!O$48*VLOOKUP('El og plugin hybrid'!O$54+($B167-1),Fremskrivninger!$A$92:$H$121,8)/1000</f>
        <v>0</v>
      </c>
      <c r="P167" s="309">
        <f>IFERROR('El og plugin hybrid'!O$49/'El og plugin hybrid'!O$15,0)</f>
        <v>0</v>
      </c>
      <c r="Q167" s="288">
        <f>R144*'El og plugin hybrid'!Q$48*VLOOKUP('El og plugin hybrid'!Q$54+($B167-1),Fremskrivninger!$A$92:$H$121,8)/1000</f>
        <v>0</v>
      </c>
      <c r="R167" s="309">
        <f>IFERROR('El og plugin hybrid'!Q$49/'El og plugin hybrid'!Q$15,0)</f>
        <v>0</v>
      </c>
      <c r="S167" s="288">
        <f>T144*'El og plugin hybrid'!S$48*VLOOKUP('El og plugin hybrid'!S$54+($B167-1),Fremskrivninger!$A$92:$H$121,8)/1000</f>
        <v>0</v>
      </c>
      <c r="T167" s="309">
        <f>IFERROR('El og plugin hybrid'!S$49/'El og plugin hybrid'!S$15,0)</f>
        <v>0</v>
      </c>
      <c r="U167" s="288">
        <f>V144*'El og plugin hybrid'!U$48*VLOOKUP('El og plugin hybrid'!U$54+($B167-1),Fremskrivninger!$A$92:$H$121,8)/1000</f>
        <v>0</v>
      </c>
      <c r="V167" s="309">
        <f>IFERROR('El og plugin hybrid'!U$49/'El og plugin hybrid'!U$15,0)</f>
        <v>0</v>
      </c>
      <c r="W167" s="288">
        <f>X144*'El og plugin hybrid'!W$48*VLOOKUP('El og plugin hybrid'!W$54+($B167-1),Fremskrivninger!$A$92:$H$121,8)/1000</f>
        <v>0</v>
      </c>
      <c r="X167" s="309">
        <f>IFERROR('El og plugin hybrid'!W$49/'El og plugin hybrid'!W$15,0)</f>
        <v>0</v>
      </c>
    </row>
    <row r="168" spans="1:24">
      <c r="A168" s="308"/>
      <c r="B168" s="282">
        <v>4</v>
      </c>
      <c r="C168" s="282">
        <f t="shared" si="8"/>
        <v>4</v>
      </c>
      <c r="D168" s="282"/>
      <c r="E168" s="288">
        <f>F145*'El og plugin hybrid'!E$48*VLOOKUP('El og plugin hybrid'!E$54+($B168-1),Fremskrivninger!$A$92:$H$121,8)/1000</f>
        <v>0</v>
      </c>
      <c r="F168" s="309">
        <f>IFERROR('El og plugin hybrid'!E$49/'El og plugin hybrid'!E$15,0)</f>
        <v>0</v>
      </c>
      <c r="G168" s="288">
        <f>H145*'El og plugin hybrid'!G$48*VLOOKUP('El og plugin hybrid'!G$54+($B168-1),Fremskrivninger!$A$92:$H$121,8)/1000</f>
        <v>0</v>
      </c>
      <c r="H168" s="309">
        <f>IFERROR('El og plugin hybrid'!G$49/'El og plugin hybrid'!G$15,0)</f>
        <v>0</v>
      </c>
      <c r="I168" s="288">
        <f>J145*'El og plugin hybrid'!I$48*VLOOKUP('El og plugin hybrid'!I$54+($B168-1),Fremskrivninger!$A$92:$H$121,8)/1000</f>
        <v>0</v>
      </c>
      <c r="J168" s="309">
        <f>IFERROR('El og plugin hybrid'!I$49/'El og plugin hybrid'!I$15,0)</f>
        <v>0</v>
      </c>
      <c r="K168" s="288">
        <f>L145*'El og plugin hybrid'!K$48*VLOOKUP('El og plugin hybrid'!K$54+($B168-1),Fremskrivninger!$A$92:$H$121,8)/1000</f>
        <v>0</v>
      </c>
      <c r="L168" s="309">
        <f>IFERROR('El og plugin hybrid'!K$49/'El og plugin hybrid'!K$15,0)</f>
        <v>0</v>
      </c>
      <c r="M168" s="288">
        <f>N145*'El og plugin hybrid'!M$48*VLOOKUP('El og plugin hybrid'!M$54+($B168-1),Fremskrivninger!$A$92:$H$121,8)/1000</f>
        <v>0</v>
      </c>
      <c r="N168" s="309">
        <f>IFERROR('El og plugin hybrid'!M$49/'El og plugin hybrid'!M$15,0)</f>
        <v>0</v>
      </c>
      <c r="O168" s="288">
        <f>P145*'El og plugin hybrid'!O$48*VLOOKUP('El og plugin hybrid'!O$54+($B168-1),Fremskrivninger!$A$92:$H$121,8)/1000</f>
        <v>0</v>
      </c>
      <c r="P168" s="309">
        <f>IFERROR('El og plugin hybrid'!O$49/'El og plugin hybrid'!O$15,0)</f>
        <v>0</v>
      </c>
      <c r="Q168" s="288">
        <f>R145*'El og plugin hybrid'!Q$48*VLOOKUP('El og plugin hybrid'!Q$54+($B168-1),Fremskrivninger!$A$92:$H$121,8)/1000</f>
        <v>0</v>
      </c>
      <c r="R168" s="309">
        <f>IFERROR('El og plugin hybrid'!Q$49/'El og plugin hybrid'!Q$15,0)</f>
        <v>0</v>
      </c>
      <c r="S168" s="288">
        <f>T145*'El og plugin hybrid'!S$48*VLOOKUP('El og plugin hybrid'!S$54+($B168-1),Fremskrivninger!$A$92:$H$121,8)/1000</f>
        <v>0</v>
      </c>
      <c r="T168" s="309">
        <f>IFERROR('El og plugin hybrid'!S$49/'El og plugin hybrid'!S$15,0)</f>
        <v>0</v>
      </c>
      <c r="U168" s="288">
        <f>V145*'El og plugin hybrid'!U$48*VLOOKUP('El og plugin hybrid'!U$54+($B168-1),Fremskrivninger!$A$92:$H$121,8)/1000</f>
        <v>0</v>
      </c>
      <c r="V168" s="309">
        <f>IFERROR('El og plugin hybrid'!U$49/'El og plugin hybrid'!U$15,0)</f>
        <v>0</v>
      </c>
      <c r="W168" s="288">
        <f>X145*'El og plugin hybrid'!W$48*VLOOKUP('El og plugin hybrid'!W$54+($B168-1),Fremskrivninger!$A$92:$H$121,8)/1000</f>
        <v>0</v>
      </c>
      <c r="X168" s="309">
        <f>IFERROR('El og plugin hybrid'!W$49/'El og plugin hybrid'!W$15,0)</f>
        <v>0</v>
      </c>
    </row>
    <row r="169" spans="1:24">
      <c r="A169" s="308"/>
      <c r="B169" s="282">
        <v>5</v>
      </c>
      <c r="C169" s="282">
        <f t="shared" si="8"/>
        <v>5</v>
      </c>
      <c r="D169" s="282"/>
      <c r="E169" s="288">
        <f>F146*'El og plugin hybrid'!E$48*VLOOKUP('El og plugin hybrid'!E$54+($B169-1),Fremskrivninger!$A$92:$H$121,8)/1000</f>
        <v>0</v>
      </c>
      <c r="F169" s="309">
        <f>IFERROR('El og plugin hybrid'!E$49/'El og plugin hybrid'!E$15,0)</f>
        <v>0</v>
      </c>
      <c r="G169" s="288">
        <f>H146*'El og plugin hybrid'!G$48*VLOOKUP('El og plugin hybrid'!G$54+($B169-1),Fremskrivninger!$A$92:$H$121,8)/1000</f>
        <v>0</v>
      </c>
      <c r="H169" s="309">
        <f>IFERROR('El og plugin hybrid'!G$49/'El og plugin hybrid'!G$15,0)</f>
        <v>0</v>
      </c>
      <c r="I169" s="288">
        <f>J146*'El og plugin hybrid'!I$48*VLOOKUP('El og plugin hybrid'!I$54+($B169-1),Fremskrivninger!$A$92:$H$121,8)/1000</f>
        <v>0</v>
      </c>
      <c r="J169" s="309">
        <f>IFERROR('El og plugin hybrid'!I$49/'El og plugin hybrid'!I$15,0)</f>
        <v>0</v>
      </c>
      <c r="K169" s="288">
        <f>L146*'El og plugin hybrid'!K$48*VLOOKUP('El og plugin hybrid'!K$54+($B169-1),Fremskrivninger!$A$92:$H$121,8)/1000</f>
        <v>0</v>
      </c>
      <c r="L169" s="309">
        <f>IFERROR('El og plugin hybrid'!K$49/'El og plugin hybrid'!K$15,0)</f>
        <v>0</v>
      </c>
      <c r="M169" s="288">
        <f>N146*'El og plugin hybrid'!M$48*VLOOKUP('El og plugin hybrid'!M$54+($B169-1),Fremskrivninger!$A$92:$H$121,8)/1000</f>
        <v>0</v>
      </c>
      <c r="N169" s="309">
        <f>IFERROR('El og plugin hybrid'!M$49/'El og plugin hybrid'!M$15,0)</f>
        <v>0</v>
      </c>
      <c r="O169" s="288">
        <f>P146*'El og plugin hybrid'!O$48*VLOOKUP('El og plugin hybrid'!O$54+($B169-1),Fremskrivninger!$A$92:$H$121,8)/1000</f>
        <v>0</v>
      </c>
      <c r="P169" s="309">
        <f>IFERROR('El og plugin hybrid'!O$49/'El og plugin hybrid'!O$15,0)</f>
        <v>0</v>
      </c>
      <c r="Q169" s="288">
        <f>R146*'El og plugin hybrid'!Q$48*VLOOKUP('El og plugin hybrid'!Q$54+($B169-1),Fremskrivninger!$A$92:$H$121,8)/1000</f>
        <v>0</v>
      </c>
      <c r="R169" s="309">
        <f>IFERROR('El og plugin hybrid'!Q$49/'El og plugin hybrid'!Q$15,0)</f>
        <v>0</v>
      </c>
      <c r="S169" s="288">
        <f>T146*'El og plugin hybrid'!S$48*VLOOKUP('El og plugin hybrid'!S$54+($B169-1),Fremskrivninger!$A$92:$H$121,8)/1000</f>
        <v>0</v>
      </c>
      <c r="T169" s="309">
        <f>IFERROR('El og plugin hybrid'!S$49/'El og plugin hybrid'!S$15,0)</f>
        <v>0</v>
      </c>
      <c r="U169" s="288">
        <f>V146*'El og plugin hybrid'!U$48*VLOOKUP('El og plugin hybrid'!U$54+($B169-1),Fremskrivninger!$A$92:$H$121,8)/1000</f>
        <v>0</v>
      </c>
      <c r="V169" s="309">
        <f>IFERROR('El og plugin hybrid'!U$49/'El og plugin hybrid'!U$15,0)</f>
        <v>0</v>
      </c>
      <c r="W169" s="288">
        <f>X146*'El og plugin hybrid'!W$48*VLOOKUP('El og plugin hybrid'!W$54+($B169-1),Fremskrivninger!$A$92:$H$121,8)/1000</f>
        <v>0</v>
      </c>
      <c r="X169" s="309">
        <f>IFERROR('El og plugin hybrid'!W$49/'El og plugin hybrid'!W$15,0)</f>
        <v>0</v>
      </c>
    </row>
    <row r="170" spans="1:24">
      <c r="A170" s="308"/>
      <c r="B170" s="282">
        <v>6</v>
      </c>
      <c r="C170" s="282">
        <f t="shared" si="8"/>
        <v>6</v>
      </c>
      <c r="D170" s="282"/>
      <c r="E170" s="288">
        <f>F147*'El og plugin hybrid'!E$48*VLOOKUP('El og plugin hybrid'!E$54+($B170-1),Fremskrivninger!$A$92:$H$121,8)/1000</f>
        <v>0</v>
      </c>
      <c r="F170" s="309">
        <f>IFERROR('El og plugin hybrid'!E$49/'El og plugin hybrid'!E$15,0)</f>
        <v>0</v>
      </c>
      <c r="G170" s="288">
        <f>H147*'El og plugin hybrid'!G$48*VLOOKUP('El og plugin hybrid'!G$54+($B170-1),Fremskrivninger!$A$92:$H$121,8)/1000</f>
        <v>0</v>
      </c>
      <c r="H170" s="309">
        <f>IFERROR('El og plugin hybrid'!G$49/'El og plugin hybrid'!G$15,0)</f>
        <v>0</v>
      </c>
      <c r="I170" s="288">
        <f>J147*'El og plugin hybrid'!I$48*VLOOKUP('El og plugin hybrid'!I$54+($B170-1),Fremskrivninger!$A$92:$H$121,8)/1000</f>
        <v>0</v>
      </c>
      <c r="J170" s="309">
        <f>IFERROR('El og plugin hybrid'!I$49/'El og plugin hybrid'!I$15,0)</f>
        <v>0</v>
      </c>
      <c r="K170" s="288">
        <f>L147*'El og plugin hybrid'!K$48*VLOOKUP('El og plugin hybrid'!K$54+($B170-1),Fremskrivninger!$A$92:$H$121,8)/1000</f>
        <v>0</v>
      </c>
      <c r="L170" s="309">
        <f>IFERROR('El og plugin hybrid'!K$49/'El og plugin hybrid'!K$15,0)</f>
        <v>0</v>
      </c>
      <c r="M170" s="288">
        <f>N147*'El og plugin hybrid'!M$48*VLOOKUP('El og plugin hybrid'!M$54+($B170-1),Fremskrivninger!$A$92:$H$121,8)/1000</f>
        <v>0</v>
      </c>
      <c r="N170" s="309">
        <f>IFERROR('El og plugin hybrid'!M$49/'El og plugin hybrid'!M$15,0)</f>
        <v>0</v>
      </c>
      <c r="O170" s="288">
        <f>P147*'El og plugin hybrid'!O$48*VLOOKUP('El og plugin hybrid'!O$54+($B170-1),Fremskrivninger!$A$92:$H$121,8)/1000</f>
        <v>0</v>
      </c>
      <c r="P170" s="309">
        <f>IFERROR('El og plugin hybrid'!O$49/'El og plugin hybrid'!O$15,0)</f>
        <v>0</v>
      </c>
      <c r="Q170" s="288">
        <f>R147*'El og plugin hybrid'!Q$48*VLOOKUP('El og plugin hybrid'!Q$54+($B170-1),Fremskrivninger!$A$92:$H$121,8)/1000</f>
        <v>0</v>
      </c>
      <c r="R170" s="309">
        <f>IFERROR('El og plugin hybrid'!Q$49/'El og plugin hybrid'!Q$15,0)</f>
        <v>0</v>
      </c>
      <c r="S170" s="288">
        <f>T147*'El og plugin hybrid'!S$48*VLOOKUP('El og plugin hybrid'!S$54+($B170-1),Fremskrivninger!$A$92:$H$121,8)/1000</f>
        <v>0</v>
      </c>
      <c r="T170" s="309">
        <f>IFERROR('El og plugin hybrid'!S$49/'El og plugin hybrid'!S$15,0)</f>
        <v>0</v>
      </c>
      <c r="U170" s="288">
        <f>V147*'El og plugin hybrid'!U$48*VLOOKUP('El og plugin hybrid'!U$54+($B170-1),Fremskrivninger!$A$92:$H$121,8)/1000</f>
        <v>0</v>
      </c>
      <c r="V170" s="309">
        <f>IFERROR('El og plugin hybrid'!U$49/'El og plugin hybrid'!U$15,0)</f>
        <v>0</v>
      </c>
      <c r="W170" s="288">
        <f>X147*'El og plugin hybrid'!W$48*VLOOKUP('El og plugin hybrid'!W$54+($B170-1),Fremskrivninger!$A$92:$H$121,8)/1000</f>
        <v>0</v>
      </c>
      <c r="X170" s="309">
        <f>IFERROR('El og plugin hybrid'!W$49/'El og plugin hybrid'!W$15,0)</f>
        <v>0</v>
      </c>
    </row>
    <row r="171" spans="1:24">
      <c r="A171" s="308"/>
      <c r="B171" s="282">
        <v>7</v>
      </c>
      <c r="C171" s="282">
        <f t="shared" si="8"/>
        <v>7</v>
      </c>
      <c r="D171" s="282"/>
      <c r="E171" s="288">
        <f>F148*'El og plugin hybrid'!E$48*VLOOKUP('El og plugin hybrid'!E$54+($B171-1),Fremskrivninger!$A$92:$H$121,8)/1000</f>
        <v>0</v>
      </c>
      <c r="F171" s="309">
        <f>IFERROR('El og plugin hybrid'!E$49/'El og plugin hybrid'!E$15,0)</f>
        <v>0</v>
      </c>
      <c r="G171" s="288">
        <f>H148*'El og plugin hybrid'!G$48*VLOOKUP('El og plugin hybrid'!G$54+($B171-1),Fremskrivninger!$A$92:$H$121,8)/1000</f>
        <v>0</v>
      </c>
      <c r="H171" s="309">
        <f>IFERROR('El og plugin hybrid'!G$49/'El og plugin hybrid'!G$15,0)</f>
        <v>0</v>
      </c>
      <c r="I171" s="288">
        <f>J148*'El og plugin hybrid'!I$48*VLOOKUP('El og plugin hybrid'!I$54+($B171-1),Fremskrivninger!$A$92:$H$121,8)/1000</f>
        <v>0</v>
      </c>
      <c r="J171" s="309">
        <f>IFERROR('El og plugin hybrid'!I$49/'El og plugin hybrid'!I$15,0)</f>
        <v>0</v>
      </c>
      <c r="K171" s="288">
        <f>L148*'El og plugin hybrid'!K$48*VLOOKUP('El og plugin hybrid'!K$54+($B171-1),Fremskrivninger!$A$92:$H$121,8)/1000</f>
        <v>0</v>
      </c>
      <c r="L171" s="309">
        <f>IFERROR('El og plugin hybrid'!K$49/'El og plugin hybrid'!K$15,0)</f>
        <v>0</v>
      </c>
      <c r="M171" s="288">
        <f>N148*'El og plugin hybrid'!M$48*VLOOKUP('El og plugin hybrid'!M$54+($B171-1),Fremskrivninger!$A$92:$H$121,8)/1000</f>
        <v>0</v>
      </c>
      <c r="N171" s="309">
        <f>IFERROR('El og plugin hybrid'!M$49/'El og plugin hybrid'!M$15,0)</f>
        <v>0</v>
      </c>
      <c r="O171" s="288">
        <f>P148*'El og plugin hybrid'!O$48*VLOOKUP('El og plugin hybrid'!O$54+($B171-1),Fremskrivninger!$A$92:$H$121,8)/1000</f>
        <v>0</v>
      </c>
      <c r="P171" s="309">
        <f>IFERROR('El og plugin hybrid'!O$49/'El og plugin hybrid'!O$15,0)</f>
        <v>0</v>
      </c>
      <c r="Q171" s="288">
        <f>R148*'El og plugin hybrid'!Q$48*VLOOKUP('El og plugin hybrid'!Q$54+($B171-1),Fremskrivninger!$A$92:$H$121,8)/1000</f>
        <v>0</v>
      </c>
      <c r="R171" s="309">
        <f>IFERROR('El og plugin hybrid'!Q$49/'El og plugin hybrid'!Q$15,0)</f>
        <v>0</v>
      </c>
      <c r="S171" s="288">
        <f>T148*'El og plugin hybrid'!S$48*VLOOKUP('El og plugin hybrid'!S$54+($B171-1),Fremskrivninger!$A$92:$H$121,8)/1000</f>
        <v>0</v>
      </c>
      <c r="T171" s="309">
        <f>IFERROR('El og plugin hybrid'!S$49/'El og plugin hybrid'!S$15,0)</f>
        <v>0</v>
      </c>
      <c r="U171" s="288">
        <f>V148*'El og plugin hybrid'!U$48*VLOOKUP('El og plugin hybrid'!U$54+($B171-1),Fremskrivninger!$A$92:$H$121,8)/1000</f>
        <v>0</v>
      </c>
      <c r="V171" s="309">
        <f>IFERROR('El og plugin hybrid'!U$49/'El og plugin hybrid'!U$15,0)</f>
        <v>0</v>
      </c>
      <c r="W171" s="288">
        <f>X148*'El og plugin hybrid'!W$48*VLOOKUP('El og plugin hybrid'!W$54+($B171-1),Fremskrivninger!$A$92:$H$121,8)/1000</f>
        <v>0</v>
      </c>
      <c r="X171" s="309">
        <f>IFERROR('El og plugin hybrid'!W$49/'El og plugin hybrid'!W$15,0)</f>
        <v>0</v>
      </c>
    </row>
    <row r="172" spans="1:24">
      <c r="A172" s="308"/>
      <c r="B172" s="282">
        <v>8</v>
      </c>
      <c r="C172" s="282">
        <f t="shared" si="8"/>
        <v>8</v>
      </c>
      <c r="D172" s="282"/>
      <c r="E172" s="288">
        <f>F149*'El og plugin hybrid'!E$48*VLOOKUP('El og plugin hybrid'!E$54+($B172-1),Fremskrivninger!$A$92:$H$121,8)/1000</f>
        <v>0</v>
      </c>
      <c r="F172" s="309">
        <f>IFERROR('El og plugin hybrid'!E$49/'El og plugin hybrid'!E$15,0)</f>
        <v>0</v>
      </c>
      <c r="G172" s="288">
        <f>H149*'El og plugin hybrid'!G$48*VLOOKUP('El og plugin hybrid'!G$54+($B172-1),Fremskrivninger!$A$92:$H$121,8)/1000</f>
        <v>0</v>
      </c>
      <c r="H172" s="309">
        <f>IFERROR('El og plugin hybrid'!G$49/'El og plugin hybrid'!G$15,0)</f>
        <v>0</v>
      </c>
      <c r="I172" s="288">
        <f>J149*'El og plugin hybrid'!I$48*VLOOKUP('El og plugin hybrid'!I$54+($B172-1),Fremskrivninger!$A$92:$H$121,8)/1000</f>
        <v>0</v>
      </c>
      <c r="J172" s="309">
        <f>IFERROR('El og plugin hybrid'!I$49/'El og plugin hybrid'!I$15,0)</f>
        <v>0</v>
      </c>
      <c r="K172" s="288">
        <f>L149*'El og plugin hybrid'!K$48*VLOOKUP('El og plugin hybrid'!K$54+($B172-1),Fremskrivninger!$A$92:$H$121,8)/1000</f>
        <v>0</v>
      </c>
      <c r="L172" s="309">
        <f>IFERROR('El og plugin hybrid'!K$49/'El og plugin hybrid'!K$15,0)</f>
        <v>0</v>
      </c>
      <c r="M172" s="288">
        <f>N149*'El og plugin hybrid'!M$48*VLOOKUP('El og plugin hybrid'!M$54+($B172-1),Fremskrivninger!$A$92:$H$121,8)/1000</f>
        <v>0</v>
      </c>
      <c r="N172" s="309">
        <f>IFERROR('El og plugin hybrid'!M$49/'El og plugin hybrid'!M$15,0)</f>
        <v>0</v>
      </c>
      <c r="O172" s="288">
        <f>P149*'El og plugin hybrid'!O$48*VLOOKUP('El og plugin hybrid'!O$54+($B172-1),Fremskrivninger!$A$92:$H$121,8)/1000</f>
        <v>0</v>
      </c>
      <c r="P172" s="309">
        <f>IFERROR('El og plugin hybrid'!O$49/'El og plugin hybrid'!O$15,0)</f>
        <v>0</v>
      </c>
      <c r="Q172" s="288">
        <f>R149*'El og plugin hybrid'!Q$48*VLOOKUP('El og plugin hybrid'!Q$54+($B172-1),Fremskrivninger!$A$92:$H$121,8)/1000</f>
        <v>0</v>
      </c>
      <c r="R172" s="309">
        <f>IFERROR('El og plugin hybrid'!Q$49/'El og plugin hybrid'!Q$15,0)</f>
        <v>0</v>
      </c>
      <c r="S172" s="288">
        <f>T149*'El og plugin hybrid'!S$48*VLOOKUP('El og plugin hybrid'!S$54+($B172-1),Fremskrivninger!$A$92:$H$121,8)/1000</f>
        <v>0</v>
      </c>
      <c r="T172" s="309">
        <f>IFERROR('El og plugin hybrid'!S$49/'El og plugin hybrid'!S$15,0)</f>
        <v>0</v>
      </c>
      <c r="U172" s="288">
        <f>V149*'El og plugin hybrid'!U$48*VLOOKUP('El og plugin hybrid'!U$54+($B172-1),Fremskrivninger!$A$92:$H$121,8)/1000</f>
        <v>0</v>
      </c>
      <c r="V172" s="309">
        <f>IFERROR('El og plugin hybrid'!U$49/'El og plugin hybrid'!U$15,0)</f>
        <v>0</v>
      </c>
      <c r="W172" s="288">
        <f>X149*'El og plugin hybrid'!W$48*VLOOKUP('El og plugin hybrid'!W$54+($B172-1),Fremskrivninger!$A$92:$H$121,8)/1000</f>
        <v>0</v>
      </c>
      <c r="X172" s="309">
        <f>IFERROR('El og plugin hybrid'!W$49/'El og plugin hybrid'!W$15,0)</f>
        <v>0</v>
      </c>
    </row>
    <row r="173" spans="1:24">
      <c r="A173" s="308"/>
      <c r="B173" s="282">
        <v>9</v>
      </c>
      <c r="C173" s="282">
        <f t="shared" si="8"/>
        <v>9</v>
      </c>
      <c r="D173" s="282"/>
      <c r="E173" s="288">
        <f>F150*'El og plugin hybrid'!E$48*VLOOKUP('El og plugin hybrid'!E$54+($B173-1),Fremskrivninger!$A$92:$H$121,8)/1000</f>
        <v>0</v>
      </c>
      <c r="F173" s="309">
        <f>IFERROR('El og plugin hybrid'!E$49/'El og plugin hybrid'!E$15,0)</f>
        <v>0</v>
      </c>
      <c r="G173" s="288">
        <f>H150*'El og plugin hybrid'!G$48*VLOOKUP('El og plugin hybrid'!G$54+($B173-1),Fremskrivninger!$A$92:$H$121,8)/1000</f>
        <v>0</v>
      </c>
      <c r="H173" s="309">
        <f>IFERROR('El og plugin hybrid'!G$49/'El og plugin hybrid'!G$15,0)</f>
        <v>0</v>
      </c>
      <c r="I173" s="288">
        <f>J150*'El og plugin hybrid'!I$48*VLOOKUP('El og plugin hybrid'!I$54+($B173-1),Fremskrivninger!$A$92:$H$121,8)/1000</f>
        <v>0</v>
      </c>
      <c r="J173" s="309">
        <f>IFERROR('El og plugin hybrid'!I$49/'El og plugin hybrid'!I$15,0)</f>
        <v>0</v>
      </c>
      <c r="K173" s="288">
        <f>L150*'El og plugin hybrid'!K$48*VLOOKUP('El og plugin hybrid'!K$54+($B173-1),Fremskrivninger!$A$92:$H$121,8)/1000</f>
        <v>0</v>
      </c>
      <c r="L173" s="309">
        <f>IFERROR('El og plugin hybrid'!K$49/'El og plugin hybrid'!K$15,0)</f>
        <v>0</v>
      </c>
      <c r="M173" s="288">
        <f>N150*'El og plugin hybrid'!M$48*VLOOKUP('El og plugin hybrid'!M$54+($B173-1),Fremskrivninger!$A$92:$H$121,8)/1000</f>
        <v>0</v>
      </c>
      <c r="N173" s="309">
        <f>IFERROR('El og plugin hybrid'!M$49/'El og plugin hybrid'!M$15,0)</f>
        <v>0</v>
      </c>
      <c r="O173" s="288">
        <f>P150*'El og plugin hybrid'!O$48*VLOOKUP('El og plugin hybrid'!O$54+($B173-1),Fremskrivninger!$A$92:$H$121,8)/1000</f>
        <v>0</v>
      </c>
      <c r="P173" s="309">
        <f>IFERROR('El og plugin hybrid'!O$49/'El og plugin hybrid'!O$15,0)</f>
        <v>0</v>
      </c>
      <c r="Q173" s="288">
        <f>R150*'El og plugin hybrid'!Q$48*VLOOKUP('El og plugin hybrid'!Q$54+($B173-1),Fremskrivninger!$A$92:$H$121,8)/1000</f>
        <v>0</v>
      </c>
      <c r="R173" s="309">
        <f>IFERROR('El og plugin hybrid'!Q$49/'El og plugin hybrid'!Q$15,0)</f>
        <v>0</v>
      </c>
      <c r="S173" s="288">
        <f>T150*'El og plugin hybrid'!S$48*VLOOKUP('El og plugin hybrid'!S$54+($B173-1),Fremskrivninger!$A$92:$H$121,8)/1000</f>
        <v>0</v>
      </c>
      <c r="T173" s="309">
        <f>IFERROR('El og plugin hybrid'!S$49/'El og plugin hybrid'!S$15,0)</f>
        <v>0</v>
      </c>
      <c r="U173" s="288">
        <f>V150*'El og plugin hybrid'!U$48*VLOOKUP('El og plugin hybrid'!U$54+($B173-1),Fremskrivninger!$A$92:$H$121,8)/1000</f>
        <v>0</v>
      </c>
      <c r="V173" s="309">
        <f>IFERROR('El og plugin hybrid'!U$49/'El og plugin hybrid'!U$15,0)</f>
        <v>0</v>
      </c>
      <c r="W173" s="288">
        <f>X150*'El og plugin hybrid'!W$48*VLOOKUP('El og plugin hybrid'!W$54+($B173-1),Fremskrivninger!$A$92:$H$121,8)/1000</f>
        <v>0</v>
      </c>
      <c r="X173" s="309">
        <f>IFERROR('El og plugin hybrid'!W$49/'El og plugin hybrid'!W$15,0)</f>
        <v>0</v>
      </c>
    </row>
    <row r="174" spans="1:24">
      <c r="A174" s="308"/>
      <c r="B174" s="282">
        <v>10</v>
      </c>
      <c r="C174" s="282">
        <f t="shared" si="8"/>
        <v>10</v>
      </c>
      <c r="D174" s="282"/>
      <c r="E174" s="288">
        <f>F151*'El og plugin hybrid'!E$48*VLOOKUP('El og plugin hybrid'!E$54+($B174-1),Fremskrivninger!$A$92:$H$121,8)/1000</f>
        <v>0</v>
      </c>
      <c r="F174" s="309">
        <f>IFERROR('El og plugin hybrid'!E$49/'El og plugin hybrid'!E$15,0)</f>
        <v>0</v>
      </c>
      <c r="G174" s="288">
        <f>H151*'El og plugin hybrid'!G$48*VLOOKUP('El og plugin hybrid'!G$54+($B174-1),Fremskrivninger!$A$92:$H$121,8)/1000</f>
        <v>0</v>
      </c>
      <c r="H174" s="309">
        <f>IFERROR('El og plugin hybrid'!G$49/'El og plugin hybrid'!G$15,0)</f>
        <v>0</v>
      </c>
      <c r="I174" s="288">
        <f>J151*'El og plugin hybrid'!I$48*VLOOKUP('El og plugin hybrid'!I$54+($B174-1),Fremskrivninger!$A$92:$H$121,8)/1000</f>
        <v>0</v>
      </c>
      <c r="J174" s="309">
        <f>IFERROR('El og plugin hybrid'!I$49/'El og plugin hybrid'!I$15,0)</f>
        <v>0</v>
      </c>
      <c r="K174" s="288">
        <f>L151*'El og plugin hybrid'!K$48*VLOOKUP('El og plugin hybrid'!K$54+($B174-1),Fremskrivninger!$A$92:$H$121,8)/1000</f>
        <v>0</v>
      </c>
      <c r="L174" s="309">
        <f>IFERROR('El og plugin hybrid'!K$49/'El og plugin hybrid'!K$15,0)</f>
        <v>0</v>
      </c>
      <c r="M174" s="288">
        <f>N151*'El og plugin hybrid'!M$48*VLOOKUP('El og plugin hybrid'!M$54+($B174-1),Fremskrivninger!$A$92:$H$121,8)/1000</f>
        <v>0</v>
      </c>
      <c r="N174" s="309">
        <f>IFERROR('El og plugin hybrid'!M$49/'El og plugin hybrid'!M$15,0)</f>
        <v>0</v>
      </c>
      <c r="O174" s="288">
        <f>P151*'El og plugin hybrid'!O$48*VLOOKUP('El og plugin hybrid'!O$54+($B174-1),Fremskrivninger!$A$92:$H$121,8)/1000</f>
        <v>0</v>
      </c>
      <c r="P174" s="309">
        <f>IFERROR('El og plugin hybrid'!O$49/'El og plugin hybrid'!O$15,0)</f>
        <v>0</v>
      </c>
      <c r="Q174" s="288">
        <f>R151*'El og plugin hybrid'!Q$48*VLOOKUP('El og plugin hybrid'!Q$54+($B174-1),Fremskrivninger!$A$92:$H$121,8)/1000</f>
        <v>0</v>
      </c>
      <c r="R174" s="309">
        <f>IFERROR('El og plugin hybrid'!Q$49/'El og plugin hybrid'!Q$15,0)</f>
        <v>0</v>
      </c>
      <c r="S174" s="288">
        <f>T151*'El og plugin hybrid'!S$48*VLOOKUP('El og plugin hybrid'!S$54+($B174-1),Fremskrivninger!$A$92:$H$121,8)/1000</f>
        <v>0</v>
      </c>
      <c r="T174" s="309">
        <f>IFERROR('El og plugin hybrid'!S$49/'El og plugin hybrid'!S$15,0)</f>
        <v>0</v>
      </c>
      <c r="U174" s="288">
        <f>V151*'El og plugin hybrid'!U$48*VLOOKUP('El og plugin hybrid'!U$54+($B174-1),Fremskrivninger!$A$92:$H$121,8)/1000</f>
        <v>0</v>
      </c>
      <c r="V174" s="309">
        <f>IFERROR('El og plugin hybrid'!U$49/'El og plugin hybrid'!U$15,0)</f>
        <v>0</v>
      </c>
      <c r="W174" s="288">
        <f>X151*'El og plugin hybrid'!W$48*VLOOKUP('El og plugin hybrid'!W$54+($B174-1),Fremskrivninger!$A$92:$H$121,8)/1000</f>
        <v>0</v>
      </c>
      <c r="X174" s="309">
        <f>IFERROR('El og plugin hybrid'!W$49/'El og plugin hybrid'!W$15,0)</f>
        <v>0</v>
      </c>
    </row>
    <row r="175" spans="1:24">
      <c r="A175" s="308"/>
      <c r="B175" s="282">
        <v>11</v>
      </c>
      <c r="C175" s="282">
        <f t="shared" si="8"/>
        <v>11</v>
      </c>
      <c r="D175" s="282"/>
      <c r="E175" s="288">
        <f>F152*'El og plugin hybrid'!E$48*VLOOKUP('El og plugin hybrid'!E$54+($B175-1),Fremskrivninger!$A$92:$H$121,8)/1000</f>
        <v>0</v>
      </c>
      <c r="F175" s="309">
        <f>IFERROR('El og plugin hybrid'!E$49/'El og plugin hybrid'!E$15,0)</f>
        <v>0</v>
      </c>
      <c r="G175" s="288">
        <f>H152*'El og plugin hybrid'!G$48*VLOOKUP('El og plugin hybrid'!G$54+($B175-1),Fremskrivninger!$A$92:$H$121,8)/1000</f>
        <v>0</v>
      </c>
      <c r="H175" s="309">
        <f>IFERROR('El og plugin hybrid'!G$49/'El og plugin hybrid'!G$15,0)</f>
        <v>0</v>
      </c>
      <c r="I175" s="288">
        <f>J152*'El og plugin hybrid'!I$48*VLOOKUP('El og plugin hybrid'!I$54+($B175-1),Fremskrivninger!$A$92:$H$121,8)/1000</f>
        <v>0</v>
      </c>
      <c r="J175" s="309">
        <f>IFERROR('El og plugin hybrid'!I$49/'El og plugin hybrid'!I$15,0)</f>
        <v>0</v>
      </c>
      <c r="K175" s="288">
        <f>L152*'El og plugin hybrid'!K$48*VLOOKUP('El og plugin hybrid'!K$54+($B175-1),Fremskrivninger!$A$92:$H$121,8)/1000</f>
        <v>0</v>
      </c>
      <c r="L175" s="309">
        <f>IFERROR('El og plugin hybrid'!K$49/'El og plugin hybrid'!K$15,0)</f>
        <v>0</v>
      </c>
      <c r="M175" s="288">
        <f>N152*'El og plugin hybrid'!M$48*VLOOKUP('El og plugin hybrid'!M$54+($B175-1),Fremskrivninger!$A$92:$H$121,8)/1000</f>
        <v>0</v>
      </c>
      <c r="N175" s="309">
        <f>IFERROR('El og plugin hybrid'!M$49/'El og plugin hybrid'!M$15,0)</f>
        <v>0</v>
      </c>
      <c r="O175" s="288">
        <f>P152*'El og plugin hybrid'!O$48*VLOOKUP('El og plugin hybrid'!O$54+($B175-1),Fremskrivninger!$A$92:$H$121,8)/1000</f>
        <v>0</v>
      </c>
      <c r="P175" s="309">
        <f>IFERROR('El og plugin hybrid'!O$49/'El og plugin hybrid'!O$15,0)</f>
        <v>0</v>
      </c>
      <c r="Q175" s="288">
        <f>R152*'El og plugin hybrid'!Q$48*VLOOKUP('El og plugin hybrid'!Q$54+($B175-1),Fremskrivninger!$A$92:$H$121,8)/1000</f>
        <v>0</v>
      </c>
      <c r="R175" s="309">
        <f>IFERROR('El og plugin hybrid'!Q$49/'El og plugin hybrid'!Q$15,0)</f>
        <v>0</v>
      </c>
      <c r="S175" s="288">
        <f>T152*'El og plugin hybrid'!S$48*VLOOKUP('El og plugin hybrid'!S$54+($B175-1),Fremskrivninger!$A$92:$H$121,8)/1000</f>
        <v>0</v>
      </c>
      <c r="T175" s="309">
        <f>IFERROR('El og plugin hybrid'!S$49/'El og plugin hybrid'!S$15,0)</f>
        <v>0</v>
      </c>
      <c r="U175" s="288">
        <f>V152*'El og plugin hybrid'!U$48*VLOOKUP('El og plugin hybrid'!U$54+($B175-1),Fremskrivninger!$A$92:$H$121,8)/1000</f>
        <v>0</v>
      </c>
      <c r="V175" s="309">
        <f>IFERROR('El og plugin hybrid'!U$49/'El og plugin hybrid'!U$15,0)</f>
        <v>0</v>
      </c>
      <c r="W175" s="288">
        <f>X152*'El og plugin hybrid'!W$48*VLOOKUP('El og plugin hybrid'!W$54+($B175-1),Fremskrivninger!$A$92:$H$121,8)/1000</f>
        <v>0</v>
      </c>
      <c r="X175" s="309">
        <f>IFERROR('El og plugin hybrid'!W$49/'El og plugin hybrid'!W$15,0)</f>
        <v>0</v>
      </c>
    </row>
    <row r="176" spans="1:24">
      <c r="A176" s="308"/>
      <c r="B176" s="282">
        <v>12</v>
      </c>
      <c r="C176" s="282">
        <f t="shared" si="8"/>
        <v>12</v>
      </c>
      <c r="D176" s="282"/>
      <c r="E176" s="288">
        <f>F153*'El og plugin hybrid'!E$48*VLOOKUP('El og plugin hybrid'!E$54+($B176-1),Fremskrivninger!$A$92:$H$121,8)/1000</f>
        <v>0</v>
      </c>
      <c r="F176" s="309">
        <f>IFERROR('El og plugin hybrid'!E$49/'El og plugin hybrid'!E$15,0)</f>
        <v>0</v>
      </c>
      <c r="G176" s="288">
        <f>H153*'El og plugin hybrid'!G$48*VLOOKUP('El og plugin hybrid'!G$54+($B176-1),Fremskrivninger!$A$92:$H$121,8)/1000</f>
        <v>0</v>
      </c>
      <c r="H176" s="309">
        <f>IFERROR('El og plugin hybrid'!G$49/'El og plugin hybrid'!G$15,0)</f>
        <v>0</v>
      </c>
      <c r="I176" s="288">
        <f>J153*'El og plugin hybrid'!I$48*VLOOKUP('El og plugin hybrid'!I$54+($B176-1),Fremskrivninger!$A$92:$H$121,8)/1000</f>
        <v>0</v>
      </c>
      <c r="J176" s="309">
        <f>IFERROR('El og plugin hybrid'!I$49/'El og plugin hybrid'!I$15,0)</f>
        <v>0</v>
      </c>
      <c r="K176" s="288">
        <f>L153*'El og plugin hybrid'!K$48*VLOOKUP('El og plugin hybrid'!K$54+($B176-1),Fremskrivninger!$A$92:$H$121,8)/1000</f>
        <v>0</v>
      </c>
      <c r="L176" s="309">
        <f>IFERROR('El og plugin hybrid'!K$49/'El og plugin hybrid'!K$15,0)</f>
        <v>0</v>
      </c>
      <c r="M176" s="288">
        <f>N153*'El og plugin hybrid'!M$48*VLOOKUP('El og plugin hybrid'!M$54+($B176-1),Fremskrivninger!$A$92:$H$121,8)/1000</f>
        <v>0</v>
      </c>
      <c r="N176" s="309">
        <f>IFERROR('El og plugin hybrid'!M$49/'El og plugin hybrid'!M$15,0)</f>
        <v>0</v>
      </c>
      <c r="O176" s="288">
        <f>P153*'El og plugin hybrid'!O$48*VLOOKUP('El og plugin hybrid'!O$54+($B176-1),Fremskrivninger!$A$92:$H$121,8)/1000</f>
        <v>0</v>
      </c>
      <c r="P176" s="309">
        <f>IFERROR('El og plugin hybrid'!O$49/'El og plugin hybrid'!O$15,0)</f>
        <v>0</v>
      </c>
      <c r="Q176" s="288">
        <f>R153*'El og plugin hybrid'!Q$48*VLOOKUP('El og plugin hybrid'!Q$54+($B176-1),Fremskrivninger!$A$92:$H$121,8)/1000</f>
        <v>0</v>
      </c>
      <c r="R176" s="309">
        <f>IFERROR('El og plugin hybrid'!Q$49/'El og plugin hybrid'!Q$15,0)</f>
        <v>0</v>
      </c>
      <c r="S176" s="288">
        <f>T153*'El og plugin hybrid'!S$48*VLOOKUP('El og plugin hybrid'!S$54+($B176-1),Fremskrivninger!$A$92:$H$121,8)/1000</f>
        <v>0</v>
      </c>
      <c r="T176" s="309">
        <f>IFERROR('El og plugin hybrid'!S$49/'El og plugin hybrid'!S$15,0)</f>
        <v>0</v>
      </c>
      <c r="U176" s="288">
        <f>V153*'El og plugin hybrid'!U$48*VLOOKUP('El og plugin hybrid'!U$54+($B176-1),Fremskrivninger!$A$92:$H$121,8)/1000</f>
        <v>0</v>
      </c>
      <c r="V176" s="309">
        <f>IFERROR('El og plugin hybrid'!U$49/'El og plugin hybrid'!U$15,0)</f>
        <v>0</v>
      </c>
      <c r="W176" s="288">
        <f>X153*'El og plugin hybrid'!W$48*VLOOKUP('El og plugin hybrid'!W$54+($B176-1),Fremskrivninger!$A$92:$H$121,8)/1000</f>
        <v>0</v>
      </c>
      <c r="X176" s="309">
        <f>IFERROR('El og plugin hybrid'!W$49/'El og plugin hybrid'!W$15,0)</f>
        <v>0</v>
      </c>
    </row>
    <row r="177" spans="1:24">
      <c r="A177" s="308"/>
      <c r="B177" s="282">
        <v>13</v>
      </c>
      <c r="C177" s="282">
        <f t="shared" si="8"/>
        <v>13</v>
      </c>
      <c r="D177" s="282"/>
      <c r="E177" s="288">
        <f>F154*'El og plugin hybrid'!E$48*VLOOKUP('El og plugin hybrid'!E$54+($B177-1),Fremskrivninger!$A$92:$H$121,8)/1000</f>
        <v>0</v>
      </c>
      <c r="F177" s="309">
        <f>IFERROR('El og plugin hybrid'!E$49/'El og plugin hybrid'!E$15,0)</f>
        <v>0</v>
      </c>
      <c r="G177" s="288">
        <f>H154*'El og plugin hybrid'!G$48*VLOOKUP('El og plugin hybrid'!G$54+($B177-1),Fremskrivninger!$A$92:$H$121,8)/1000</f>
        <v>0</v>
      </c>
      <c r="H177" s="309">
        <f>IFERROR('El og plugin hybrid'!G$49/'El og plugin hybrid'!G$15,0)</f>
        <v>0</v>
      </c>
      <c r="I177" s="288">
        <f>J154*'El og plugin hybrid'!I$48*VLOOKUP('El og plugin hybrid'!I$54+($B177-1),Fremskrivninger!$A$92:$H$121,8)/1000</f>
        <v>0</v>
      </c>
      <c r="J177" s="309">
        <f>IFERROR('El og plugin hybrid'!I$49/'El og plugin hybrid'!I$15,0)</f>
        <v>0</v>
      </c>
      <c r="K177" s="288">
        <f>L154*'El og plugin hybrid'!K$48*VLOOKUP('El og plugin hybrid'!K$54+($B177-1),Fremskrivninger!$A$92:$H$121,8)/1000</f>
        <v>0</v>
      </c>
      <c r="L177" s="309">
        <f>IFERROR('El og plugin hybrid'!K$49/'El og plugin hybrid'!K$15,0)</f>
        <v>0</v>
      </c>
      <c r="M177" s="288">
        <f>N154*'El og plugin hybrid'!M$48*VLOOKUP('El og plugin hybrid'!M$54+($B177-1),Fremskrivninger!$A$92:$H$121,8)/1000</f>
        <v>0</v>
      </c>
      <c r="N177" s="309">
        <f>IFERROR('El og plugin hybrid'!M$49/'El og plugin hybrid'!M$15,0)</f>
        <v>0</v>
      </c>
      <c r="O177" s="288">
        <f>P154*'El og plugin hybrid'!O$48*VLOOKUP('El og plugin hybrid'!O$54+($B177-1),Fremskrivninger!$A$92:$H$121,8)/1000</f>
        <v>0</v>
      </c>
      <c r="P177" s="309">
        <f>IFERROR('El og plugin hybrid'!O$49/'El og plugin hybrid'!O$15,0)</f>
        <v>0</v>
      </c>
      <c r="Q177" s="288">
        <f>R154*'El og plugin hybrid'!Q$48*VLOOKUP('El og plugin hybrid'!Q$54+($B177-1),Fremskrivninger!$A$92:$H$121,8)/1000</f>
        <v>0</v>
      </c>
      <c r="R177" s="309">
        <f>IFERROR('El og plugin hybrid'!Q$49/'El og plugin hybrid'!Q$15,0)</f>
        <v>0</v>
      </c>
      <c r="S177" s="288">
        <f>T154*'El og plugin hybrid'!S$48*VLOOKUP('El og plugin hybrid'!S$54+($B177-1),Fremskrivninger!$A$92:$H$121,8)/1000</f>
        <v>0</v>
      </c>
      <c r="T177" s="309">
        <f>IFERROR('El og plugin hybrid'!S$49/'El og plugin hybrid'!S$15,0)</f>
        <v>0</v>
      </c>
      <c r="U177" s="288">
        <f>V154*'El og plugin hybrid'!U$48*VLOOKUP('El og plugin hybrid'!U$54+($B177-1),Fremskrivninger!$A$92:$H$121,8)/1000</f>
        <v>0</v>
      </c>
      <c r="V177" s="309">
        <f>IFERROR('El og plugin hybrid'!U$49/'El og plugin hybrid'!U$15,0)</f>
        <v>0</v>
      </c>
      <c r="W177" s="288">
        <f>X154*'El og plugin hybrid'!W$48*VLOOKUP('El og plugin hybrid'!W$54+($B177-1),Fremskrivninger!$A$92:$H$121,8)/1000</f>
        <v>0</v>
      </c>
      <c r="X177" s="309">
        <f>IFERROR('El og plugin hybrid'!W$49/'El og plugin hybrid'!W$15,0)</f>
        <v>0</v>
      </c>
    </row>
    <row r="178" spans="1:24">
      <c r="A178" s="308"/>
      <c r="B178" s="282">
        <v>14</v>
      </c>
      <c r="C178" s="282">
        <f t="shared" si="8"/>
        <v>14</v>
      </c>
      <c r="D178" s="282"/>
      <c r="E178" s="288">
        <f>F155*'El og plugin hybrid'!E$48*VLOOKUP('El og plugin hybrid'!E$54+($B178-1),Fremskrivninger!$A$92:$H$121,8)/1000</f>
        <v>0</v>
      </c>
      <c r="F178" s="309">
        <f>IFERROR('El og plugin hybrid'!E$49/'El og plugin hybrid'!E$15,0)</f>
        <v>0</v>
      </c>
      <c r="G178" s="288">
        <f>H155*'El og plugin hybrid'!G$48*VLOOKUP('El og plugin hybrid'!G$54+($B178-1),Fremskrivninger!$A$92:$H$121,8)/1000</f>
        <v>0</v>
      </c>
      <c r="H178" s="309">
        <f>IFERROR('El og plugin hybrid'!G$49/'El og plugin hybrid'!G$15,0)</f>
        <v>0</v>
      </c>
      <c r="I178" s="288">
        <f>J155*'El og plugin hybrid'!I$48*VLOOKUP('El og plugin hybrid'!I$54+($B178-1),Fremskrivninger!$A$92:$H$121,8)/1000</f>
        <v>0</v>
      </c>
      <c r="J178" s="309">
        <f>IFERROR('El og plugin hybrid'!I$49/'El og plugin hybrid'!I$15,0)</f>
        <v>0</v>
      </c>
      <c r="K178" s="288">
        <f>L155*'El og plugin hybrid'!K$48*VLOOKUP('El og plugin hybrid'!K$54+($B178-1),Fremskrivninger!$A$92:$H$121,8)/1000</f>
        <v>0</v>
      </c>
      <c r="L178" s="309">
        <f>IFERROR('El og plugin hybrid'!K$49/'El og plugin hybrid'!K$15,0)</f>
        <v>0</v>
      </c>
      <c r="M178" s="288">
        <f>N155*'El og plugin hybrid'!M$48*VLOOKUP('El og plugin hybrid'!M$54+($B178-1),Fremskrivninger!$A$92:$H$121,8)/1000</f>
        <v>0</v>
      </c>
      <c r="N178" s="309">
        <f>IFERROR('El og plugin hybrid'!M$49/'El og plugin hybrid'!M$15,0)</f>
        <v>0</v>
      </c>
      <c r="O178" s="288">
        <f>P155*'El og plugin hybrid'!O$48*VLOOKUP('El og plugin hybrid'!O$54+($B178-1),Fremskrivninger!$A$92:$H$121,8)/1000</f>
        <v>0</v>
      </c>
      <c r="P178" s="309">
        <f>IFERROR('El og plugin hybrid'!O$49/'El og plugin hybrid'!O$15,0)</f>
        <v>0</v>
      </c>
      <c r="Q178" s="288">
        <f>R155*'El og plugin hybrid'!Q$48*VLOOKUP('El og plugin hybrid'!Q$54+($B178-1),Fremskrivninger!$A$92:$H$121,8)/1000</f>
        <v>0</v>
      </c>
      <c r="R178" s="309">
        <f>IFERROR('El og plugin hybrid'!Q$49/'El og plugin hybrid'!Q$15,0)</f>
        <v>0</v>
      </c>
      <c r="S178" s="288">
        <f>T155*'El og plugin hybrid'!S$48*VLOOKUP('El og plugin hybrid'!S$54+($B178-1),Fremskrivninger!$A$92:$H$121,8)/1000</f>
        <v>0</v>
      </c>
      <c r="T178" s="309">
        <f>IFERROR('El og plugin hybrid'!S$49/'El og plugin hybrid'!S$15,0)</f>
        <v>0</v>
      </c>
      <c r="U178" s="288">
        <f>V155*'El og plugin hybrid'!U$48*VLOOKUP('El og plugin hybrid'!U$54+($B178-1),Fremskrivninger!$A$92:$H$121,8)/1000</f>
        <v>0</v>
      </c>
      <c r="V178" s="309">
        <f>IFERROR('El og plugin hybrid'!U$49/'El og plugin hybrid'!U$15,0)</f>
        <v>0</v>
      </c>
      <c r="W178" s="288">
        <f>X155*'El og plugin hybrid'!W$48*VLOOKUP('El og plugin hybrid'!W$54+($B178-1),Fremskrivninger!$A$92:$H$121,8)/1000</f>
        <v>0</v>
      </c>
      <c r="X178" s="309">
        <f>IFERROR('El og plugin hybrid'!W$49/'El og plugin hybrid'!W$15,0)</f>
        <v>0</v>
      </c>
    </row>
    <row r="179" spans="1:24">
      <c r="A179" s="308"/>
      <c r="B179" s="282">
        <v>15</v>
      </c>
      <c r="C179" s="282">
        <f t="shared" si="8"/>
        <v>15</v>
      </c>
      <c r="D179" s="282"/>
      <c r="E179" s="288">
        <f>F156*'El og plugin hybrid'!E$48*VLOOKUP('El og plugin hybrid'!E$54+($B179-1),Fremskrivninger!$A$92:$H$121,8)/1000</f>
        <v>0</v>
      </c>
      <c r="F179" s="309">
        <f>IFERROR('El og plugin hybrid'!E$49/'El og plugin hybrid'!E$15,0)</f>
        <v>0</v>
      </c>
      <c r="G179" s="288">
        <f>H156*'El og plugin hybrid'!G$48*VLOOKUP('El og plugin hybrid'!G$54+($B179-1),Fremskrivninger!$A$92:$H$121,8)/1000</f>
        <v>0</v>
      </c>
      <c r="H179" s="309">
        <f>IFERROR('El og plugin hybrid'!G$49/'El og plugin hybrid'!G$15,0)</f>
        <v>0</v>
      </c>
      <c r="I179" s="288">
        <f>J156*'El og plugin hybrid'!I$48*VLOOKUP('El og plugin hybrid'!I$54+($B179-1),Fremskrivninger!$A$92:$H$121,8)/1000</f>
        <v>0</v>
      </c>
      <c r="J179" s="309">
        <f>IFERROR('El og plugin hybrid'!I$49/'El og plugin hybrid'!I$15,0)</f>
        <v>0</v>
      </c>
      <c r="K179" s="288">
        <f>L156*'El og plugin hybrid'!K$48*VLOOKUP('El og plugin hybrid'!K$54+($B179-1),Fremskrivninger!$A$92:$H$121,8)/1000</f>
        <v>0</v>
      </c>
      <c r="L179" s="309">
        <f>IFERROR('El og plugin hybrid'!K$49/'El og plugin hybrid'!K$15,0)</f>
        <v>0</v>
      </c>
      <c r="M179" s="288">
        <f>N156*'El og plugin hybrid'!M$48*VLOOKUP('El og plugin hybrid'!M$54+($B179-1),Fremskrivninger!$A$92:$H$121,8)/1000</f>
        <v>0</v>
      </c>
      <c r="N179" s="309">
        <f>IFERROR('El og plugin hybrid'!M$49/'El og plugin hybrid'!M$15,0)</f>
        <v>0</v>
      </c>
      <c r="O179" s="288">
        <f>P156*'El og plugin hybrid'!O$48*VLOOKUP('El og plugin hybrid'!O$54+($B179-1),Fremskrivninger!$A$92:$H$121,8)/1000</f>
        <v>0</v>
      </c>
      <c r="P179" s="309">
        <f>IFERROR('El og plugin hybrid'!O$49/'El og plugin hybrid'!O$15,0)</f>
        <v>0</v>
      </c>
      <c r="Q179" s="288">
        <f>R156*'El og plugin hybrid'!Q$48*VLOOKUP('El og plugin hybrid'!Q$54+($B179-1),Fremskrivninger!$A$92:$H$121,8)/1000</f>
        <v>0</v>
      </c>
      <c r="R179" s="309">
        <f>IFERROR('El og plugin hybrid'!Q$49/'El og plugin hybrid'!Q$15,0)</f>
        <v>0</v>
      </c>
      <c r="S179" s="288">
        <f>T156*'El og plugin hybrid'!S$48*VLOOKUP('El og plugin hybrid'!S$54+($B179-1),Fremskrivninger!$A$92:$H$121,8)/1000</f>
        <v>0</v>
      </c>
      <c r="T179" s="309">
        <f>IFERROR('El og plugin hybrid'!S$49/'El og plugin hybrid'!S$15,0)</f>
        <v>0</v>
      </c>
      <c r="U179" s="288">
        <f>V156*'El og plugin hybrid'!U$48*VLOOKUP('El og plugin hybrid'!U$54+($B179-1),Fremskrivninger!$A$92:$H$121,8)/1000</f>
        <v>0</v>
      </c>
      <c r="V179" s="309">
        <f>IFERROR('El og plugin hybrid'!U$49/'El og plugin hybrid'!U$15,0)</f>
        <v>0</v>
      </c>
      <c r="W179" s="288">
        <f>X156*'El og plugin hybrid'!W$48*VLOOKUP('El og plugin hybrid'!W$54+($B179-1),Fremskrivninger!$A$92:$H$121,8)/1000</f>
        <v>0</v>
      </c>
      <c r="X179" s="309">
        <f>IFERROR('El og plugin hybrid'!W$49/'El og plugin hybrid'!W$15,0)</f>
        <v>0</v>
      </c>
    </row>
    <row r="180" spans="1:24">
      <c r="A180" s="308"/>
      <c r="B180" s="282">
        <v>16</v>
      </c>
      <c r="C180" s="282">
        <f t="shared" si="8"/>
        <v>16</v>
      </c>
      <c r="D180" s="282"/>
      <c r="E180" s="288">
        <f>F157*'El og plugin hybrid'!E$48*VLOOKUP('El og plugin hybrid'!E$54+($B180-1),Fremskrivninger!$A$92:$H$121,8)/1000</f>
        <v>0</v>
      </c>
      <c r="F180" s="309">
        <f>IFERROR('El og plugin hybrid'!E$49/'El og plugin hybrid'!E$15,0)</f>
        <v>0</v>
      </c>
      <c r="G180" s="288">
        <f>H157*'El og plugin hybrid'!G$48*VLOOKUP('El og plugin hybrid'!G$54+($B180-1),Fremskrivninger!$A$92:$H$121,8)/1000</f>
        <v>0</v>
      </c>
      <c r="H180" s="309">
        <f>IFERROR('El og plugin hybrid'!G$49/'El og plugin hybrid'!G$15,0)</f>
        <v>0</v>
      </c>
      <c r="I180" s="288">
        <f>J157*'El og plugin hybrid'!I$48*VLOOKUP('El og plugin hybrid'!I$54+($B180-1),Fremskrivninger!$A$92:$H$121,8)/1000</f>
        <v>0</v>
      </c>
      <c r="J180" s="309">
        <f>IFERROR('El og plugin hybrid'!I$49/'El og plugin hybrid'!I$15,0)</f>
        <v>0</v>
      </c>
      <c r="K180" s="288">
        <f>L157*'El og plugin hybrid'!K$48*VLOOKUP('El og plugin hybrid'!K$54+($B180-1),Fremskrivninger!$A$92:$H$121,8)/1000</f>
        <v>0</v>
      </c>
      <c r="L180" s="309">
        <f>IFERROR('El og plugin hybrid'!K$49/'El og plugin hybrid'!K$15,0)</f>
        <v>0</v>
      </c>
      <c r="M180" s="288">
        <f>N157*'El og plugin hybrid'!M$48*VLOOKUP('El og plugin hybrid'!M$54+($B180-1),Fremskrivninger!$A$92:$H$121,8)/1000</f>
        <v>0</v>
      </c>
      <c r="N180" s="309">
        <f>IFERROR('El og plugin hybrid'!M$49/'El og plugin hybrid'!M$15,0)</f>
        <v>0</v>
      </c>
      <c r="O180" s="288">
        <f>P157*'El og plugin hybrid'!O$48*VLOOKUP('El og plugin hybrid'!O$54+($B180-1),Fremskrivninger!$A$92:$H$121,8)/1000</f>
        <v>0</v>
      </c>
      <c r="P180" s="309">
        <f>IFERROR('El og plugin hybrid'!O$49/'El og plugin hybrid'!O$15,0)</f>
        <v>0</v>
      </c>
      <c r="Q180" s="288">
        <f>R157*'El og plugin hybrid'!Q$48*VLOOKUP('El og plugin hybrid'!Q$54+($B180-1),Fremskrivninger!$A$92:$H$121,8)/1000</f>
        <v>0</v>
      </c>
      <c r="R180" s="309">
        <f>IFERROR('El og plugin hybrid'!Q$49/'El og plugin hybrid'!Q$15,0)</f>
        <v>0</v>
      </c>
      <c r="S180" s="288">
        <f>T157*'El og plugin hybrid'!S$48*VLOOKUP('El og plugin hybrid'!S$54+($B180-1),Fremskrivninger!$A$92:$H$121,8)/1000</f>
        <v>0</v>
      </c>
      <c r="T180" s="309">
        <f>IFERROR('El og plugin hybrid'!S$49/'El og plugin hybrid'!S$15,0)</f>
        <v>0</v>
      </c>
      <c r="U180" s="288">
        <f>V157*'El og plugin hybrid'!U$48*VLOOKUP('El og plugin hybrid'!U$54+($B180-1),Fremskrivninger!$A$92:$H$121,8)/1000</f>
        <v>0</v>
      </c>
      <c r="V180" s="309">
        <f>IFERROR('El og plugin hybrid'!U$49/'El og plugin hybrid'!U$15,0)</f>
        <v>0</v>
      </c>
      <c r="W180" s="288">
        <f>X157*'El og plugin hybrid'!W$48*VLOOKUP('El og plugin hybrid'!W$54+($B180-1),Fremskrivninger!$A$92:$H$121,8)/1000</f>
        <v>0</v>
      </c>
      <c r="X180" s="309">
        <f>IFERROR('El og plugin hybrid'!W$49/'El og plugin hybrid'!W$15,0)</f>
        <v>0</v>
      </c>
    </row>
    <row r="181" spans="1:24">
      <c r="A181" s="308"/>
      <c r="B181" s="282">
        <v>17</v>
      </c>
      <c r="C181" s="282">
        <f t="shared" si="8"/>
        <v>17</v>
      </c>
      <c r="D181" s="282"/>
      <c r="E181" s="288">
        <f>F158*'El og plugin hybrid'!E$48*VLOOKUP('El og plugin hybrid'!E$54+($B181-1),Fremskrivninger!$A$92:$H$121,8)/1000</f>
        <v>0</v>
      </c>
      <c r="F181" s="309">
        <f>IFERROR('El og plugin hybrid'!E$49/'El og plugin hybrid'!E$15,0)</f>
        <v>0</v>
      </c>
      <c r="G181" s="288">
        <f>H158*'El og plugin hybrid'!G$48*VLOOKUP('El og plugin hybrid'!G$54+($B181-1),Fremskrivninger!$A$92:$H$121,8)/1000</f>
        <v>0</v>
      </c>
      <c r="H181" s="309">
        <f>IFERROR('El og plugin hybrid'!G$49/'El og plugin hybrid'!G$15,0)</f>
        <v>0</v>
      </c>
      <c r="I181" s="288">
        <f>J158*'El og plugin hybrid'!I$48*VLOOKUP('El og plugin hybrid'!I$54+($B181-1),Fremskrivninger!$A$92:$H$121,8)/1000</f>
        <v>0</v>
      </c>
      <c r="J181" s="309">
        <f>IFERROR('El og plugin hybrid'!I$49/'El og plugin hybrid'!I$15,0)</f>
        <v>0</v>
      </c>
      <c r="K181" s="288">
        <f>L158*'El og plugin hybrid'!K$48*VLOOKUP('El og plugin hybrid'!K$54+($B181-1),Fremskrivninger!$A$92:$H$121,8)/1000</f>
        <v>0</v>
      </c>
      <c r="L181" s="309">
        <f>IFERROR('El og plugin hybrid'!K$49/'El og plugin hybrid'!K$15,0)</f>
        <v>0</v>
      </c>
      <c r="M181" s="288">
        <f>N158*'El og plugin hybrid'!M$48*VLOOKUP('El og plugin hybrid'!M$54+($B181-1),Fremskrivninger!$A$92:$H$121,8)/1000</f>
        <v>0</v>
      </c>
      <c r="N181" s="309">
        <f>IFERROR('El og plugin hybrid'!M$49/'El og plugin hybrid'!M$15,0)</f>
        <v>0</v>
      </c>
      <c r="O181" s="288">
        <f>P158*'El og plugin hybrid'!O$48*VLOOKUP('El og plugin hybrid'!O$54+($B181-1),Fremskrivninger!$A$92:$H$121,8)/1000</f>
        <v>0</v>
      </c>
      <c r="P181" s="309">
        <f>IFERROR('El og plugin hybrid'!O$49/'El og plugin hybrid'!O$15,0)</f>
        <v>0</v>
      </c>
      <c r="Q181" s="288">
        <f>R158*'El og plugin hybrid'!Q$48*VLOOKUP('El og plugin hybrid'!Q$54+($B181-1),Fremskrivninger!$A$92:$H$121,8)/1000</f>
        <v>0</v>
      </c>
      <c r="R181" s="309">
        <f>IFERROR('El og plugin hybrid'!Q$49/'El og plugin hybrid'!Q$15,0)</f>
        <v>0</v>
      </c>
      <c r="S181" s="288">
        <f>T158*'El og plugin hybrid'!S$48*VLOOKUP('El og plugin hybrid'!S$54+($B181-1),Fremskrivninger!$A$92:$H$121,8)/1000</f>
        <v>0</v>
      </c>
      <c r="T181" s="309">
        <f>IFERROR('El og plugin hybrid'!S$49/'El og plugin hybrid'!S$15,0)</f>
        <v>0</v>
      </c>
      <c r="U181" s="288">
        <f>V158*'El og plugin hybrid'!U$48*VLOOKUP('El og plugin hybrid'!U$54+($B181-1),Fremskrivninger!$A$92:$H$121,8)/1000</f>
        <v>0</v>
      </c>
      <c r="V181" s="309">
        <f>IFERROR('El og plugin hybrid'!U$49/'El og plugin hybrid'!U$15,0)</f>
        <v>0</v>
      </c>
      <c r="W181" s="288">
        <f>X158*'El og plugin hybrid'!W$48*VLOOKUP('El og plugin hybrid'!W$54+($B181-1),Fremskrivninger!$A$92:$H$121,8)/1000</f>
        <v>0</v>
      </c>
      <c r="X181" s="309">
        <f>IFERROR('El og plugin hybrid'!W$49/'El og plugin hybrid'!W$15,0)</f>
        <v>0</v>
      </c>
    </row>
    <row r="182" spans="1:24">
      <c r="A182" s="308"/>
      <c r="B182" s="282">
        <v>18</v>
      </c>
      <c r="C182" s="282">
        <f t="shared" si="8"/>
        <v>18</v>
      </c>
      <c r="D182" s="282"/>
      <c r="E182" s="288">
        <f>F159*'El og plugin hybrid'!E$48*VLOOKUP('El og plugin hybrid'!E$54+($B182-1),Fremskrivninger!$A$92:$H$121,8)/1000</f>
        <v>0</v>
      </c>
      <c r="F182" s="309">
        <f>IFERROR('El og plugin hybrid'!E$49/'El og plugin hybrid'!E$15,0)</f>
        <v>0</v>
      </c>
      <c r="G182" s="288">
        <f>H159*'El og plugin hybrid'!G$48*VLOOKUP('El og plugin hybrid'!G$54+($B182-1),Fremskrivninger!$A$92:$H$121,8)/1000</f>
        <v>0</v>
      </c>
      <c r="H182" s="309">
        <f>IFERROR('El og plugin hybrid'!G$49/'El og plugin hybrid'!G$15,0)</f>
        <v>0</v>
      </c>
      <c r="I182" s="288">
        <f>J159*'El og plugin hybrid'!I$48*VLOOKUP('El og plugin hybrid'!I$54+($B182-1),Fremskrivninger!$A$92:$H$121,8)/1000</f>
        <v>0</v>
      </c>
      <c r="J182" s="309">
        <f>IFERROR('El og plugin hybrid'!I$49/'El og plugin hybrid'!I$15,0)</f>
        <v>0</v>
      </c>
      <c r="K182" s="288">
        <f>L159*'El og plugin hybrid'!K$48*VLOOKUP('El og plugin hybrid'!K$54+($B182-1),Fremskrivninger!$A$92:$H$121,8)/1000</f>
        <v>0</v>
      </c>
      <c r="L182" s="309">
        <f>IFERROR('El og plugin hybrid'!K$49/'El og plugin hybrid'!K$15,0)</f>
        <v>0</v>
      </c>
      <c r="M182" s="288">
        <f>N159*'El og plugin hybrid'!M$48*VLOOKUP('El og plugin hybrid'!M$54+($B182-1),Fremskrivninger!$A$92:$H$121,8)/1000</f>
        <v>0</v>
      </c>
      <c r="N182" s="309">
        <f>IFERROR('El og plugin hybrid'!M$49/'El og plugin hybrid'!M$15,0)</f>
        <v>0</v>
      </c>
      <c r="O182" s="288">
        <f>P159*'El og plugin hybrid'!O$48*VLOOKUP('El og plugin hybrid'!O$54+($B182-1),Fremskrivninger!$A$92:$H$121,8)/1000</f>
        <v>0</v>
      </c>
      <c r="P182" s="309">
        <f>IFERROR('El og plugin hybrid'!O$49/'El og plugin hybrid'!O$15,0)</f>
        <v>0</v>
      </c>
      <c r="Q182" s="288">
        <f>R159*'El og plugin hybrid'!Q$48*VLOOKUP('El og plugin hybrid'!Q$54+($B182-1),Fremskrivninger!$A$92:$H$121,8)/1000</f>
        <v>0</v>
      </c>
      <c r="R182" s="309">
        <f>IFERROR('El og plugin hybrid'!Q$49/'El og plugin hybrid'!Q$15,0)</f>
        <v>0</v>
      </c>
      <c r="S182" s="288">
        <f>T159*'El og plugin hybrid'!S$48*VLOOKUP('El og plugin hybrid'!S$54+($B182-1),Fremskrivninger!$A$92:$H$121,8)/1000</f>
        <v>0</v>
      </c>
      <c r="T182" s="309">
        <f>IFERROR('El og plugin hybrid'!S$49/'El og plugin hybrid'!S$15,0)</f>
        <v>0</v>
      </c>
      <c r="U182" s="288">
        <f>V159*'El og plugin hybrid'!U$48*VLOOKUP('El og plugin hybrid'!U$54+($B182-1),Fremskrivninger!$A$92:$H$121,8)/1000</f>
        <v>0</v>
      </c>
      <c r="V182" s="309">
        <f>IFERROR('El og plugin hybrid'!U$49/'El og plugin hybrid'!U$15,0)</f>
        <v>0</v>
      </c>
      <c r="W182" s="288">
        <f>X159*'El og plugin hybrid'!W$48*VLOOKUP('El og plugin hybrid'!W$54+($B182-1),Fremskrivninger!$A$92:$H$121,8)/1000</f>
        <v>0</v>
      </c>
      <c r="X182" s="309">
        <f>IFERROR('El og plugin hybrid'!W$49/'El og plugin hybrid'!W$15,0)</f>
        <v>0</v>
      </c>
    </row>
    <row r="183" spans="1:24">
      <c r="A183" s="308"/>
      <c r="B183" s="282">
        <v>19</v>
      </c>
      <c r="C183" s="282">
        <f t="shared" si="8"/>
        <v>19</v>
      </c>
      <c r="D183" s="282"/>
      <c r="E183" s="288">
        <f>F160*'El og plugin hybrid'!E$48*VLOOKUP('El og plugin hybrid'!E$54+($B183-1),Fremskrivninger!$A$92:$H$121,8)/1000</f>
        <v>0</v>
      </c>
      <c r="F183" s="309">
        <f>IFERROR('El og plugin hybrid'!E$49/'El og plugin hybrid'!E$15,0)</f>
        <v>0</v>
      </c>
      <c r="G183" s="288">
        <f>H160*'El og plugin hybrid'!G$48*VLOOKUP('El og plugin hybrid'!G$54+($B183-1),Fremskrivninger!$A$92:$H$121,8)/1000</f>
        <v>0</v>
      </c>
      <c r="H183" s="309">
        <f>IFERROR('El og plugin hybrid'!G$49/'El og plugin hybrid'!G$15,0)</f>
        <v>0</v>
      </c>
      <c r="I183" s="288">
        <f>J160*'El og plugin hybrid'!I$48*VLOOKUP('El og plugin hybrid'!I$54+($B183-1),Fremskrivninger!$A$92:$H$121,8)/1000</f>
        <v>0</v>
      </c>
      <c r="J183" s="309">
        <f>IFERROR('El og plugin hybrid'!I$49/'El og plugin hybrid'!I$15,0)</f>
        <v>0</v>
      </c>
      <c r="K183" s="288">
        <f>L160*'El og plugin hybrid'!K$48*VLOOKUP('El og plugin hybrid'!K$54+($B183-1),Fremskrivninger!$A$92:$H$121,8)/1000</f>
        <v>0</v>
      </c>
      <c r="L183" s="309">
        <f>IFERROR('El og plugin hybrid'!K$49/'El og plugin hybrid'!K$15,0)</f>
        <v>0</v>
      </c>
      <c r="M183" s="288">
        <f>N160*'El og plugin hybrid'!M$48*VLOOKUP('El og plugin hybrid'!M$54+($B183-1),Fremskrivninger!$A$92:$H$121,8)/1000</f>
        <v>0</v>
      </c>
      <c r="N183" s="309">
        <f>IFERROR('El og plugin hybrid'!M$49/'El og plugin hybrid'!M$15,0)</f>
        <v>0</v>
      </c>
      <c r="O183" s="288">
        <f>P160*'El og plugin hybrid'!O$48*VLOOKUP('El og plugin hybrid'!O$54+($B183-1),Fremskrivninger!$A$92:$H$121,8)/1000</f>
        <v>0</v>
      </c>
      <c r="P183" s="309">
        <f>IFERROR('El og plugin hybrid'!O$49/'El og plugin hybrid'!O$15,0)</f>
        <v>0</v>
      </c>
      <c r="Q183" s="288">
        <f>R160*'El og plugin hybrid'!Q$48*VLOOKUP('El og plugin hybrid'!Q$54+($B183-1),Fremskrivninger!$A$92:$H$121,8)/1000</f>
        <v>0</v>
      </c>
      <c r="R183" s="309">
        <f>IFERROR('El og plugin hybrid'!Q$49/'El og plugin hybrid'!Q$15,0)</f>
        <v>0</v>
      </c>
      <c r="S183" s="288">
        <f>T160*'El og plugin hybrid'!S$48*VLOOKUP('El og plugin hybrid'!S$54+($B183-1),Fremskrivninger!$A$92:$H$121,8)/1000</f>
        <v>0</v>
      </c>
      <c r="T183" s="309">
        <f>IFERROR('El og plugin hybrid'!S$49/'El og plugin hybrid'!S$15,0)</f>
        <v>0</v>
      </c>
      <c r="U183" s="288">
        <f>V160*'El og plugin hybrid'!U$48*VLOOKUP('El og plugin hybrid'!U$54+($B183-1),Fremskrivninger!$A$92:$H$121,8)/1000</f>
        <v>0</v>
      </c>
      <c r="V183" s="309">
        <f>IFERROR('El og plugin hybrid'!U$49/'El og plugin hybrid'!U$15,0)</f>
        <v>0</v>
      </c>
      <c r="W183" s="288">
        <f>X160*'El og plugin hybrid'!W$48*VLOOKUP('El og plugin hybrid'!W$54+($B183-1),Fremskrivninger!$A$92:$H$121,8)/1000</f>
        <v>0</v>
      </c>
      <c r="X183" s="309">
        <f>IFERROR('El og plugin hybrid'!W$49/'El og plugin hybrid'!W$15,0)</f>
        <v>0</v>
      </c>
    </row>
    <row r="184" spans="1:24">
      <c r="A184" s="311"/>
      <c r="B184" s="287">
        <v>20</v>
      </c>
      <c r="C184" s="287">
        <f t="shared" si="8"/>
        <v>20</v>
      </c>
      <c r="D184" s="287"/>
      <c r="E184" s="288">
        <f>F161*'El og plugin hybrid'!E$48*VLOOKUP('El og plugin hybrid'!E$54+($B184-1),Fremskrivninger!$A$92:$H$121,8)/1000</f>
        <v>0</v>
      </c>
      <c r="F184" s="309">
        <f>IFERROR('El og plugin hybrid'!E$49/'El og plugin hybrid'!E$15,0)</f>
        <v>0</v>
      </c>
      <c r="G184" s="288">
        <f>H161*'El og plugin hybrid'!G$48*VLOOKUP('El og plugin hybrid'!G$54+($B184-1),Fremskrivninger!$A$92:$H$121,8)/1000</f>
        <v>0</v>
      </c>
      <c r="H184" s="309">
        <f>IFERROR('El og plugin hybrid'!G$49/'El og plugin hybrid'!G$15,0)</f>
        <v>0</v>
      </c>
      <c r="I184" s="288">
        <f>J161*'El og plugin hybrid'!I$48*VLOOKUP('El og plugin hybrid'!I$54+($B184-1),Fremskrivninger!$A$92:$H$121,8)/1000</f>
        <v>0</v>
      </c>
      <c r="J184" s="309">
        <f>IFERROR('El og plugin hybrid'!I$49/'El og plugin hybrid'!I$15,0)</f>
        <v>0</v>
      </c>
      <c r="K184" s="288">
        <f>L161*'El og plugin hybrid'!K$48*VLOOKUP('El og plugin hybrid'!K$54+($B184-1),Fremskrivninger!$A$92:$H$121,8)/1000</f>
        <v>0</v>
      </c>
      <c r="L184" s="309">
        <f>IFERROR('El og plugin hybrid'!K$49/'El og plugin hybrid'!K$15,0)</f>
        <v>0</v>
      </c>
      <c r="M184" s="288">
        <f>N161*'El og plugin hybrid'!M$48*VLOOKUP('El og plugin hybrid'!M$54+($B184-1),Fremskrivninger!$A$92:$H$121,8)/1000</f>
        <v>0</v>
      </c>
      <c r="N184" s="309">
        <f>IFERROR('El og plugin hybrid'!M$49/'El og plugin hybrid'!M$15,0)</f>
        <v>0</v>
      </c>
      <c r="O184" s="288">
        <f>P161*'El og plugin hybrid'!O$48*VLOOKUP('El og plugin hybrid'!O$54+($B184-1),Fremskrivninger!$A$92:$H$121,8)/1000</f>
        <v>0</v>
      </c>
      <c r="P184" s="309">
        <f>IFERROR('El og plugin hybrid'!O$49/'El og plugin hybrid'!O$15,0)</f>
        <v>0</v>
      </c>
      <c r="Q184" s="288">
        <f>R161*'El og plugin hybrid'!Q$48*VLOOKUP('El og plugin hybrid'!Q$54+($B184-1),Fremskrivninger!$A$92:$H$121,8)/1000</f>
        <v>0</v>
      </c>
      <c r="R184" s="309">
        <f>IFERROR('El og plugin hybrid'!Q$49/'El og plugin hybrid'!Q$15,0)</f>
        <v>0</v>
      </c>
      <c r="S184" s="288">
        <f>T161*'El og plugin hybrid'!S$48*VLOOKUP('El og plugin hybrid'!S$54+($B184-1),Fremskrivninger!$A$92:$H$121,8)/1000</f>
        <v>0</v>
      </c>
      <c r="T184" s="309">
        <f>IFERROR('El og plugin hybrid'!S$49/'El og plugin hybrid'!S$15,0)</f>
        <v>0</v>
      </c>
      <c r="U184" s="288">
        <f>V161*'El og plugin hybrid'!U$48*VLOOKUP('El og plugin hybrid'!U$54+($B184-1),Fremskrivninger!$A$92:$H$121,8)/1000</f>
        <v>0</v>
      </c>
      <c r="V184" s="309">
        <f>IFERROR('El og plugin hybrid'!U$49/'El og plugin hybrid'!U$15,0)</f>
        <v>0</v>
      </c>
      <c r="W184" s="288">
        <f>X161*'El og plugin hybrid'!W$48*VLOOKUP('El og plugin hybrid'!W$54+($B184-1),Fremskrivninger!$A$92:$H$121,8)/1000</f>
        <v>0</v>
      </c>
      <c r="X184" s="309">
        <f>IFERROR('El og plugin hybrid'!W$49/'El og plugin hybrid'!W$15,0)</f>
        <v>0</v>
      </c>
    </row>
    <row r="185" spans="1:24">
      <c r="A185" s="286" t="s">
        <v>80</v>
      </c>
      <c r="B185" s="312"/>
      <c r="C185" s="312"/>
      <c r="D185" s="312"/>
      <c r="E185" s="312"/>
      <c r="F185" s="312"/>
      <c r="G185" s="312"/>
      <c r="H185" s="312"/>
      <c r="I185" s="312"/>
      <c r="J185" s="312"/>
      <c r="K185" s="312"/>
      <c r="L185" s="312"/>
      <c r="M185" s="312"/>
      <c r="N185" s="312"/>
      <c r="O185" s="312"/>
      <c r="P185" s="312"/>
      <c r="Q185" s="312"/>
      <c r="R185" s="312"/>
      <c r="S185" s="312"/>
      <c r="T185" s="310"/>
      <c r="U185" s="312"/>
      <c r="V185" s="310"/>
      <c r="W185" s="312"/>
      <c r="X185" s="310"/>
    </row>
    <row r="186" spans="1:24" ht="68.25">
      <c r="A186" s="279"/>
      <c r="B186" s="300" t="s">
        <v>20</v>
      </c>
      <c r="C186" s="312"/>
      <c r="D186" s="312" t="s">
        <v>21</v>
      </c>
      <c r="E186" s="301" t="str">
        <f>E141&amp;" - Samfundsøkonomiske omkostninger (kr.)"</f>
        <v>PRODUKT 1 EL - Samfundsøkonomiske omkostninger (kr.)</v>
      </c>
      <c r="F186" s="313" t="str">
        <f>E141&amp;" - Samlet udledning i tons Co2e"</f>
        <v>PRODUKT 1 EL - Samlet udledning i tons Co2e</v>
      </c>
      <c r="G186" s="301" t="str">
        <f>G141&amp;" - Samfundsøkonomiske omkostninger (kr.)"</f>
        <v>PRODUKT 2 EL - Samfundsøkonomiske omkostninger (kr.)</v>
      </c>
      <c r="H186" s="313" t="str">
        <f>G141&amp;" - Samlet udledning i tons Co2e"</f>
        <v>PRODUKT 2 EL - Samlet udledning i tons Co2e</v>
      </c>
      <c r="I186" s="301" t="str">
        <f>I141&amp;" - Samfundsøkonomiske omkostninger (kr.)"</f>
        <v>PRODUKT 3 EL - Samfundsøkonomiske omkostninger (kr.)</v>
      </c>
      <c r="J186" s="313" t="str">
        <f>I141&amp;" - Samlet udledning i tons Co2e"</f>
        <v>PRODUKT 3 EL - Samlet udledning i tons Co2e</v>
      </c>
      <c r="K186" s="301" t="str">
        <f>K141&amp;" - Samfundsøkonomiske omkostninger (kr.)"</f>
        <v>PRODUKT 4 EL - Samfundsøkonomiske omkostninger (kr.)</v>
      </c>
      <c r="L186" s="313" t="str">
        <f>K141&amp;" - Samlet udledning i tons Co2e"</f>
        <v>PRODUKT 4 EL - Samlet udledning i tons Co2e</v>
      </c>
      <c r="M186" s="301" t="str">
        <f>M141&amp;" - Samfundsøkonomiske omkostninger (kr.)"</f>
        <v>PRODUKT 5 EL - Samfundsøkonomiske omkostninger (kr.)</v>
      </c>
      <c r="N186" s="313" t="str">
        <f>M141&amp;" - Samlet udledning i tons Co2e"</f>
        <v>PRODUKT 5 EL - Samlet udledning i tons Co2e</v>
      </c>
      <c r="O186" s="301" t="str">
        <f>O141&amp;" - Samfundsøkonomiske omkostninger (kr.)"</f>
        <v>PRODUKT 6 EL - Samfundsøkonomiske omkostninger (kr.)</v>
      </c>
      <c r="P186" s="313" t="str">
        <f>O141&amp;" - Samlet udledning i tons Co2e"</f>
        <v>PRODUKT 6 EL - Samlet udledning i tons Co2e</v>
      </c>
      <c r="Q186" s="301" t="str">
        <f>Q141&amp;" - Samfundsøkonomiske omkostninger (kr.)"</f>
        <v>PRODUKT 7 EL - Samfundsøkonomiske omkostninger (kr.)</v>
      </c>
      <c r="R186" s="313" t="str">
        <f>Q141&amp;" - Samlet udledning i tons Co2e"</f>
        <v>PRODUKT 7 EL - Samlet udledning i tons Co2e</v>
      </c>
      <c r="S186" s="301" t="str">
        <f>S141&amp;" - Samfundsøkonomiske omkostninger (kr.)"</f>
        <v>PRODUKT 8 EL - Samfundsøkonomiske omkostninger (kr.)</v>
      </c>
      <c r="T186" s="313" t="str">
        <f>S141&amp;" - Samlet udledning i tons Co2e"</f>
        <v>PRODUKT 8 EL - Samlet udledning i tons Co2e</v>
      </c>
      <c r="U186" s="301" t="str">
        <f>U141&amp;" - Samfundsøkonomiske omkostninger (kr.)"</f>
        <v>PRODUKT 9 EL - Samfundsøkonomiske omkostninger (kr.)</v>
      </c>
      <c r="V186" s="313" t="str">
        <f>U141&amp;" - Samlet udledning i tons Co2e"</f>
        <v>PRODUKT 9 EL - Samlet udledning i tons Co2e</v>
      </c>
      <c r="W186" s="301" t="str">
        <f>W141&amp;" - Samfundsøkonomiske omkostninger (kr.)"</f>
        <v>PRODUKT 10 EL - Samfundsøkonomiske omkostninger (kr.)</v>
      </c>
      <c r="X186" s="313" t="str">
        <f>W141&amp;" - Samlet udledning i tons Co2e"</f>
        <v>PRODUKT 10 EL - Samlet udledning i tons Co2e</v>
      </c>
    </row>
    <row r="187" spans="1:24">
      <c r="A187" s="308"/>
      <c r="B187" s="302">
        <v>1</v>
      </c>
      <c r="C187" s="302">
        <f>B187</f>
        <v>1</v>
      </c>
      <c r="D187" s="302"/>
      <c r="E187" s="500">
        <f>F187*IF('El og plugin hybrid'!E$29="nej",0,IF('El og plugin hybrid'!E$41="ja",'El og plugin hybrid'!E$42,'El og plugin hybrid'!E$43))*(1+'El og plugin hybrid'!E$56)^-$C187</f>
        <v>0</v>
      </c>
      <c r="F187" s="314">
        <f>IF('El og plugin hybrid'!E$65="el",E119,IF('El og plugin hybrid'!E$65="plugin hybrid benzin",E119+E142,IF('El og plugin hybrid'!E$65="plugin hybrid diesel",E119+E165,0)))</f>
        <v>0</v>
      </c>
      <c r="G187" s="500">
        <f>H187*IF('El og plugin hybrid'!G$29="nej",0,IF('El og plugin hybrid'!G$41="ja",'El og plugin hybrid'!G$42,'El og plugin hybrid'!G$43))*(1+'El og plugin hybrid'!G$56)^-$C187</f>
        <v>0</v>
      </c>
      <c r="H187" s="314">
        <f>IF('El og plugin hybrid'!G$65="el",G119,IF('El og plugin hybrid'!G$65="plugin hybrid benzin",G119+G142,IF('El og plugin hybrid'!G$65="plugin hybrid diesel",G119+G165,0)))</f>
        <v>0</v>
      </c>
      <c r="I187" s="500">
        <f>J187*IF('El og plugin hybrid'!I$29="nej",0,IF('El og plugin hybrid'!I$41="ja",'El og plugin hybrid'!I$42,'El og plugin hybrid'!I$43))*(1+'El og plugin hybrid'!I$56)^-$C187</f>
        <v>0</v>
      </c>
      <c r="J187" s="314">
        <f>IF('El og plugin hybrid'!I$65="el",I119,IF('El og plugin hybrid'!I$65="plugin hybrid benzin",I119+I142,IF('El og plugin hybrid'!I$65="plugin hybrid diesel",I119+I165,0)))</f>
        <v>0</v>
      </c>
      <c r="K187" s="500">
        <f>L187*IF('El og plugin hybrid'!K$29="nej",0,IF('El og plugin hybrid'!K$41="ja",'El og plugin hybrid'!K$42,'El og plugin hybrid'!K$43))*(1+'El og plugin hybrid'!K$56)^-$C187</f>
        <v>0</v>
      </c>
      <c r="L187" s="314">
        <f>IF('El og plugin hybrid'!K$65="el",K119,IF('El og plugin hybrid'!K$65="plugin hybrid benzin",K119+K142,IF('El og plugin hybrid'!K$65="plugin hybrid diesel",K119+K165,0)))</f>
        <v>0</v>
      </c>
      <c r="M187" s="500">
        <f>N187*IF('El og plugin hybrid'!M$29="nej",0,IF('El og plugin hybrid'!M$41="ja",'El og plugin hybrid'!M$42,'El og plugin hybrid'!M$43))*(1+'El og plugin hybrid'!M$56)^-$C187</f>
        <v>0</v>
      </c>
      <c r="N187" s="314">
        <f>IF('El og plugin hybrid'!M$65="el",M119,IF('El og plugin hybrid'!M$65="plugin hybrid benzin",M119+M142,IF('El og plugin hybrid'!M$65="plugin hybrid diesel",M119+M165,0)))</f>
        <v>0</v>
      </c>
      <c r="O187" s="500">
        <f>P187*IF('El og plugin hybrid'!O$29="nej",0,IF('El og plugin hybrid'!O$41="ja",'El og plugin hybrid'!O$42,'El og plugin hybrid'!O$43))*(1+'El og plugin hybrid'!O$56)^-$C187</f>
        <v>0</v>
      </c>
      <c r="P187" s="314">
        <f>IF('El og plugin hybrid'!O$65="el",O119,IF('El og plugin hybrid'!O$65="plugin hybrid benzin",O119+O142,IF('El og plugin hybrid'!O$65="plugin hybrid diesel",O119+O165,0)))</f>
        <v>0</v>
      </c>
      <c r="Q187" s="500">
        <f>R187*IF('El og plugin hybrid'!Q$29="nej",0,IF('El og plugin hybrid'!Q$41="ja",'El og plugin hybrid'!Q$42,'El og plugin hybrid'!Q$43))*(1+'El og plugin hybrid'!Q$56)^-$C187</f>
        <v>0</v>
      </c>
      <c r="R187" s="314">
        <f>IF('El og plugin hybrid'!Q$65="el",Q119,IF('El og plugin hybrid'!Q$65="plugin hybrid benzin",Q119+Q142,IF('El og plugin hybrid'!Q$65="plugin hybrid diesel",Q119+Q165,0)))</f>
        <v>0</v>
      </c>
      <c r="S187" s="500">
        <f>T187*IF('El og plugin hybrid'!S$29="nej",0,IF('El og plugin hybrid'!S$41="ja",'El og plugin hybrid'!S$42,'El og plugin hybrid'!S$43))*(1+'El og plugin hybrid'!S$56)^-$C187</f>
        <v>0</v>
      </c>
      <c r="T187" s="314">
        <f>IF('El og plugin hybrid'!S$65="el",S119,IF('El og plugin hybrid'!S$65="plugin hybrid benzin",S119+S142,IF('El og plugin hybrid'!S$65="plugin hybrid diesel",S119+S165,0)))</f>
        <v>0</v>
      </c>
      <c r="U187" s="500">
        <f>V187*IF('El og plugin hybrid'!U$29="nej",0,IF('El og plugin hybrid'!U$41="ja",'El og plugin hybrid'!U$42,'El og plugin hybrid'!U$43))*(1+'El og plugin hybrid'!U$56)^-$C187</f>
        <v>0</v>
      </c>
      <c r="V187" s="314">
        <f>IF('El og plugin hybrid'!U$65="el",U119,IF('El og plugin hybrid'!U$65="plugin hybrid benzin",U119+U142,IF('El og plugin hybrid'!U$65="plugin hybrid diesel",U119+U165,0)))</f>
        <v>0</v>
      </c>
      <c r="W187" s="500">
        <f>X187*IF('El og plugin hybrid'!W$29="nej",0,IF('El og plugin hybrid'!W$41="ja",'El og plugin hybrid'!W$42,'El og plugin hybrid'!W$43))*(1+'El og plugin hybrid'!W$56)^-$C187</f>
        <v>0</v>
      </c>
      <c r="X187" s="314">
        <f>IF('El og plugin hybrid'!W$65="el",W119,IF('El og plugin hybrid'!W$65="plugin hybrid benzin",W119+W142,IF('El og plugin hybrid'!W$65="plugin hybrid diesel",W119+W165,0)))</f>
        <v>0</v>
      </c>
    </row>
    <row r="188" spans="1:24">
      <c r="A188" s="308"/>
      <c r="B188" s="302">
        <v>2</v>
      </c>
      <c r="C188" s="302">
        <f t="shared" ref="C188:C206" si="9">B188</f>
        <v>2</v>
      </c>
      <c r="D188" s="302"/>
      <c r="E188" s="500">
        <f>F188*IF('El og plugin hybrid'!E$29="nej",0,IF('El og plugin hybrid'!E$41="ja",'El og plugin hybrid'!E$42,'El og plugin hybrid'!E$43))*(1+'El og plugin hybrid'!E$56)^-$C188</f>
        <v>0</v>
      </c>
      <c r="F188" s="314">
        <f>IF('El og plugin hybrid'!E$65="el",E120,IF('El og plugin hybrid'!E$65="plugin hybrid benzin",E120+E143,IF('El og plugin hybrid'!E$65="plugin hybrid diesel",E120+E166,0)))</f>
        <v>0</v>
      </c>
      <c r="G188" s="500">
        <f>H188*IF('El og plugin hybrid'!G$29="nej",0,IF('El og plugin hybrid'!G$41="ja",'El og plugin hybrid'!G$42,'El og plugin hybrid'!G$43))*(1+'El og plugin hybrid'!G$56)^-$C188</f>
        <v>0</v>
      </c>
      <c r="H188" s="314">
        <f>IF('El og plugin hybrid'!G$65="el",G120,IF('El og plugin hybrid'!G$65="plugin hybrid benzin",G120+G143,IF('El og plugin hybrid'!G$65="plugin hybrid diesel",G120+G166,0)))</f>
        <v>0</v>
      </c>
      <c r="I188" s="500">
        <f>J188*IF('El og plugin hybrid'!I$29="nej",0,IF('El og plugin hybrid'!I$41="ja",'El og plugin hybrid'!I$42,'El og plugin hybrid'!I$43))*(1+'El og plugin hybrid'!I$56)^-$C188</f>
        <v>0</v>
      </c>
      <c r="J188" s="314">
        <f>IF('El og plugin hybrid'!I$65="el",I120,IF('El og plugin hybrid'!I$65="plugin hybrid benzin",I120+I143,IF('El og plugin hybrid'!I$65="plugin hybrid diesel",I120+I166,0)))</f>
        <v>0</v>
      </c>
      <c r="K188" s="500">
        <f>L188*IF('El og plugin hybrid'!K$29="nej",0,IF('El og plugin hybrid'!K$41="ja",'El og plugin hybrid'!K$42,'El og plugin hybrid'!K$43))*(1+'El og plugin hybrid'!K$56)^-$C188</f>
        <v>0</v>
      </c>
      <c r="L188" s="314">
        <f>IF('El og plugin hybrid'!K$65="el",K120,IF('El og plugin hybrid'!K$65="plugin hybrid benzin",K120+K143,IF('El og plugin hybrid'!K$65="plugin hybrid diesel",K120+K166,0)))</f>
        <v>0</v>
      </c>
      <c r="M188" s="500">
        <f>N188*IF('El og plugin hybrid'!M$29="nej",0,IF('El og plugin hybrid'!M$41="ja",'El og plugin hybrid'!M$42,'El og plugin hybrid'!M$43))*(1+'El og plugin hybrid'!M$56)^-$C188</f>
        <v>0</v>
      </c>
      <c r="N188" s="314">
        <f>IF('El og plugin hybrid'!M$65="el",M120,IF('El og plugin hybrid'!M$65="plugin hybrid benzin",M120+M143,IF('El og plugin hybrid'!M$65="plugin hybrid diesel",M120+M166,0)))</f>
        <v>0</v>
      </c>
      <c r="O188" s="500">
        <f>P188*IF('El og plugin hybrid'!O$29="nej",0,IF('El og plugin hybrid'!O$41="ja",'El og plugin hybrid'!O$42,'El og plugin hybrid'!O$43))*(1+'El og plugin hybrid'!O$56)^-$C188</f>
        <v>0</v>
      </c>
      <c r="P188" s="314">
        <f>IF('El og plugin hybrid'!O$65="el",O120,IF('El og plugin hybrid'!O$65="plugin hybrid benzin",O120+O143,IF('El og plugin hybrid'!O$65="plugin hybrid diesel",O120+O166,0)))</f>
        <v>0</v>
      </c>
      <c r="Q188" s="500">
        <f>R188*IF('El og plugin hybrid'!Q$29="nej",0,IF('El og plugin hybrid'!Q$41="ja",'El og plugin hybrid'!Q$42,'El og plugin hybrid'!Q$43))*(1+'El og plugin hybrid'!Q$56)^-$C188</f>
        <v>0</v>
      </c>
      <c r="R188" s="314">
        <f>IF('El og plugin hybrid'!Q$65="el",Q120,IF('El og plugin hybrid'!Q$65="plugin hybrid benzin",Q120+Q143,IF('El og plugin hybrid'!Q$65="plugin hybrid diesel",Q120+Q166,0)))</f>
        <v>0</v>
      </c>
      <c r="S188" s="500">
        <f>T188*IF('El og plugin hybrid'!S$29="nej",0,IF('El og plugin hybrid'!S$41="ja",'El og plugin hybrid'!S$42,'El og plugin hybrid'!S$43))*(1+'El og plugin hybrid'!S$56)^-$C188</f>
        <v>0</v>
      </c>
      <c r="T188" s="314">
        <f>IF('El og plugin hybrid'!S$65="el",S120,IF('El og plugin hybrid'!S$65="plugin hybrid benzin",S120+S143,IF('El og plugin hybrid'!S$65="plugin hybrid diesel",S120+S166,0)))</f>
        <v>0</v>
      </c>
      <c r="U188" s="500">
        <f>V188*IF('El og plugin hybrid'!U$29="nej",0,IF('El og plugin hybrid'!U$41="ja",'El og plugin hybrid'!U$42,'El og plugin hybrid'!U$43))*(1+'El og plugin hybrid'!U$56)^-$C188</f>
        <v>0</v>
      </c>
      <c r="V188" s="314">
        <f>IF('El og plugin hybrid'!U$65="el",U120,IF('El og plugin hybrid'!U$65="plugin hybrid benzin",U120+U143,IF('El og plugin hybrid'!U$65="plugin hybrid diesel",U120+U166,0)))</f>
        <v>0</v>
      </c>
      <c r="W188" s="500">
        <f>X188*IF('El og plugin hybrid'!W$29="nej",0,IF('El og plugin hybrid'!W$41="ja",'El og plugin hybrid'!W$42,'El og plugin hybrid'!W$43))*(1+'El og plugin hybrid'!W$56)^-$C188</f>
        <v>0</v>
      </c>
      <c r="X188" s="314">
        <f>IF('El og plugin hybrid'!W$65="el",W120,IF('El og plugin hybrid'!W$65="plugin hybrid benzin",W120+W143,IF('El og plugin hybrid'!W$65="plugin hybrid diesel",W120+W166,0)))</f>
        <v>0</v>
      </c>
    </row>
    <row r="189" spans="1:24">
      <c r="A189" s="308"/>
      <c r="B189" s="302">
        <v>3</v>
      </c>
      <c r="C189" s="302">
        <f t="shared" si="9"/>
        <v>3</v>
      </c>
      <c r="D189" s="302"/>
      <c r="E189" s="500">
        <f>F189*IF('El og plugin hybrid'!E$29="nej",0,IF('El og plugin hybrid'!E$41="ja",'El og plugin hybrid'!E$42,'El og plugin hybrid'!E$43))*(1+'El og plugin hybrid'!E$56)^-$C189</f>
        <v>0</v>
      </c>
      <c r="F189" s="314">
        <f>IF('El og plugin hybrid'!E$65="el",E121,IF('El og plugin hybrid'!E$65="plugin hybrid benzin",E121+E144,IF('El og plugin hybrid'!E$65="plugin hybrid diesel",E121+E167,0)))</f>
        <v>0</v>
      </c>
      <c r="G189" s="500">
        <f>H189*IF('El og plugin hybrid'!G$29="nej",0,IF('El og plugin hybrid'!G$41="ja",'El og plugin hybrid'!G$42,'El og plugin hybrid'!G$43))*(1+'El og plugin hybrid'!G$56)^-$C189</f>
        <v>0</v>
      </c>
      <c r="H189" s="314">
        <f>IF('El og plugin hybrid'!G$65="el",G121,IF('El og plugin hybrid'!G$65="plugin hybrid benzin",G121+G144,IF('El og plugin hybrid'!G$65="plugin hybrid diesel",G121+G167,0)))</f>
        <v>0</v>
      </c>
      <c r="I189" s="500">
        <f>J189*IF('El og plugin hybrid'!I$29="nej",0,IF('El og plugin hybrid'!I$41="ja",'El og plugin hybrid'!I$42,'El og plugin hybrid'!I$43))*(1+'El og plugin hybrid'!I$56)^-$C189</f>
        <v>0</v>
      </c>
      <c r="J189" s="314">
        <f>IF('El og plugin hybrid'!I$65="el",I121,IF('El og plugin hybrid'!I$65="plugin hybrid benzin",I121+I144,IF('El og plugin hybrid'!I$65="plugin hybrid diesel",I121+I167,0)))</f>
        <v>0</v>
      </c>
      <c r="K189" s="500">
        <f>L189*IF('El og plugin hybrid'!K$29="nej",0,IF('El og plugin hybrid'!K$41="ja",'El og plugin hybrid'!K$42,'El og plugin hybrid'!K$43))*(1+'El og plugin hybrid'!K$56)^-$C189</f>
        <v>0</v>
      </c>
      <c r="L189" s="314">
        <f>IF('El og plugin hybrid'!K$65="el",K121,IF('El og plugin hybrid'!K$65="plugin hybrid benzin",K121+K144,IF('El og plugin hybrid'!K$65="plugin hybrid diesel",K121+K167,0)))</f>
        <v>0</v>
      </c>
      <c r="M189" s="500">
        <f>N189*IF('El og plugin hybrid'!M$29="nej",0,IF('El og plugin hybrid'!M$41="ja",'El og plugin hybrid'!M$42,'El og plugin hybrid'!M$43))*(1+'El og plugin hybrid'!M$56)^-$C189</f>
        <v>0</v>
      </c>
      <c r="N189" s="314">
        <f>IF('El og plugin hybrid'!M$65="el",M121,IF('El og plugin hybrid'!M$65="plugin hybrid benzin",M121+M144,IF('El og plugin hybrid'!M$65="plugin hybrid diesel",M121+M167,0)))</f>
        <v>0</v>
      </c>
      <c r="O189" s="500">
        <f>P189*IF('El og plugin hybrid'!O$29="nej",0,IF('El og plugin hybrid'!O$41="ja",'El og plugin hybrid'!O$42,'El og plugin hybrid'!O$43))*(1+'El og plugin hybrid'!O$56)^-$C189</f>
        <v>0</v>
      </c>
      <c r="P189" s="314">
        <f>IF('El og plugin hybrid'!O$65="el",O121,IF('El og plugin hybrid'!O$65="plugin hybrid benzin",O121+O144,IF('El og plugin hybrid'!O$65="plugin hybrid diesel",O121+O167,0)))</f>
        <v>0</v>
      </c>
      <c r="Q189" s="500">
        <f>R189*IF('El og plugin hybrid'!Q$29="nej",0,IF('El og plugin hybrid'!Q$41="ja",'El og plugin hybrid'!Q$42,'El og plugin hybrid'!Q$43))*(1+'El og plugin hybrid'!Q$56)^-$C189</f>
        <v>0</v>
      </c>
      <c r="R189" s="314">
        <f>IF('El og plugin hybrid'!Q$65="el",Q121,IF('El og plugin hybrid'!Q$65="plugin hybrid benzin",Q121+Q144,IF('El og plugin hybrid'!Q$65="plugin hybrid diesel",Q121+Q167,0)))</f>
        <v>0</v>
      </c>
      <c r="S189" s="500">
        <f>T189*IF('El og plugin hybrid'!S$29="nej",0,IF('El og plugin hybrid'!S$41="ja",'El og plugin hybrid'!S$42,'El og plugin hybrid'!S$43))*(1+'El og plugin hybrid'!S$56)^-$C189</f>
        <v>0</v>
      </c>
      <c r="T189" s="314">
        <f>IF('El og plugin hybrid'!S$65="el",S121,IF('El og plugin hybrid'!S$65="plugin hybrid benzin",S121+S144,IF('El og plugin hybrid'!S$65="plugin hybrid diesel",S121+S167,0)))</f>
        <v>0</v>
      </c>
      <c r="U189" s="500">
        <f>V189*IF('El og plugin hybrid'!U$29="nej",0,IF('El og plugin hybrid'!U$41="ja",'El og plugin hybrid'!U$42,'El og plugin hybrid'!U$43))*(1+'El og plugin hybrid'!U$56)^-$C189</f>
        <v>0</v>
      </c>
      <c r="V189" s="314">
        <f>IF('El og plugin hybrid'!U$65="el",U121,IF('El og plugin hybrid'!U$65="plugin hybrid benzin",U121+U144,IF('El og plugin hybrid'!U$65="plugin hybrid diesel",U121+U167,0)))</f>
        <v>0</v>
      </c>
      <c r="W189" s="500">
        <f>X189*IF('El og plugin hybrid'!W$29="nej",0,IF('El og plugin hybrid'!W$41="ja",'El og plugin hybrid'!W$42,'El og plugin hybrid'!W$43))*(1+'El og plugin hybrid'!W$56)^-$C189</f>
        <v>0</v>
      </c>
      <c r="X189" s="314">
        <f>IF('El og plugin hybrid'!W$65="el",W121,IF('El og plugin hybrid'!W$65="plugin hybrid benzin",W121+W144,IF('El og plugin hybrid'!W$65="plugin hybrid diesel",W121+W167,0)))</f>
        <v>0</v>
      </c>
    </row>
    <row r="190" spans="1:24">
      <c r="A190" s="308"/>
      <c r="B190" s="302">
        <v>4</v>
      </c>
      <c r="C190" s="302">
        <f t="shared" si="9"/>
        <v>4</v>
      </c>
      <c r="D190" s="302"/>
      <c r="E190" s="500">
        <f>F190*IF('El og plugin hybrid'!E$29="nej",0,IF('El og plugin hybrid'!E$41="ja",'El og plugin hybrid'!E$42,'El og plugin hybrid'!E$43))*(1+'El og plugin hybrid'!E$56)^-$C190</f>
        <v>0</v>
      </c>
      <c r="F190" s="314">
        <f>IF('El og plugin hybrid'!E$65="el",E122,IF('El og plugin hybrid'!E$65="plugin hybrid benzin",E122+E145,IF('El og plugin hybrid'!E$65="plugin hybrid diesel",E122+E168,0)))</f>
        <v>0</v>
      </c>
      <c r="G190" s="500">
        <f>H190*IF('El og plugin hybrid'!G$29="nej",0,IF('El og plugin hybrid'!G$41="ja",'El og plugin hybrid'!G$42,'El og plugin hybrid'!G$43))*(1+'El og plugin hybrid'!G$56)^-$C190</f>
        <v>0</v>
      </c>
      <c r="H190" s="314">
        <f>IF('El og plugin hybrid'!G$65="el",G122,IF('El og plugin hybrid'!G$65="plugin hybrid benzin",G122+G145,IF('El og plugin hybrid'!G$65="plugin hybrid diesel",G122+G168,0)))</f>
        <v>0</v>
      </c>
      <c r="I190" s="500">
        <f>J190*IF('El og plugin hybrid'!I$29="nej",0,IF('El og plugin hybrid'!I$41="ja",'El og plugin hybrid'!I$42,'El og plugin hybrid'!I$43))*(1+'El og plugin hybrid'!I$56)^-$C190</f>
        <v>0</v>
      </c>
      <c r="J190" s="314">
        <f>IF('El og plugin hybrid'!I$65="el",I122,IF('El og plugin hybrid'!I$65="plugin hybrid benzin",I122+I145,IF('El og plugin hybrid'!I$65="plugin hybrid diesel",I122+I168,0)))</f>
        <v>0</v>
      </c>
      <c r="K190" s="500">
        <f>L190*IF('El og plugin hybrid'!K$29="nej",0,IF('El og plugin hybrid'!K$41="ja",'El og plugin hybrid'!K$42,'El og plugin hybrid'!K$43))*(1+'El og plugin hybrid'!K$56)^-$C190</f>
        <v>0</v>
      </c>
      <c r="L190" s="314">
        <f>IF('El og plugin hybrid'!K$65="el",K122,IF('El og plugin hybrid'!K$65="plugin hybrid benzin",K122+K145,IF('El og plugin hybrid'!K$65="plugin hybrid diesel",K122+K168,0)))</f>
        <v>0</v>
      </c>
      <c r="M190" s="500">
        <f>N190*IF('El og plugin hybrid'!M$29="nej",0,IF('El og plugin hybrid'!M$41="ja",'El og plugin hybrid'!M$42,'El og plugin hybrid'!M$43))*(1+'El og plugin hybrid'!M$56)^-$C190</f>
        <v>0</v>
      </c>
      <c r="N190" s="314">
        <f>IF('El og plugin hybrid'!M$65="el",M122,IF('El og plugin hybrid'!M$65="plugin hybrid benzin",M122+M145,IF('El og plugin hybrid'!M$65="plugin hybrid diesel",M122+M168,0)))</f>
        <v>0</v>
      </c>
      <c r="O190" s="500">
        <f>P190*IF('El og plugin hybrid'!O$29="nej",0,IF('El og plugin hybrid'!O$41="ja",'El og plugin hybrid'!O$42,'El og plugin hybrid'!O$43))*(1+'El og plugin hybrid'!O$56)^-$C190</f>
        <v>0</v>
      </c>
      <c r="P190" s="314">
        <f>IF('El og plugin hybrid'!O$65="el",O122,IF('El og plugin hybrid'!O$65="plugin hybrid benzin",O122+O145,IF('El og plugin hybrid'!O$65="plugin hybrid diesel",O122+O168,0)))</f>
        <v>0</v>
      </c>
      <c r="Q190" s="500">
        <f>R190*IF('El og plugin hybrid'!Q$29="nej",0,IF('El og plugin hybrid'!Q$41="ja",'El og plugin hybrid'!Q$42,'El og plugin hybrid'!Q$43))*(1+'El og plugin hybrid'!Q$56)^-$C190</f>
        <v>0</v>
      </c>
      <c r="R190" s="314">
        <f>IF('El og plugin hybrid'!Q$65="el",Q122,IF('El og plugin hybrid'!Q$65="plugin hybrid benzin",Q122+Q145,IF('El og plugin hybrid'!Q$65="plugin hybrid diesel",Q122+Q168,0)))</f>
        <v>0</v>
      </c>
      <c r="S190" s="500">
        <f>T190*IF('El og plugin hybrid'!S$29="nej",0,IF('El og plugin hybrid'!S$41="ja",'El og plugin hybrid'!S$42,'El og plugin hybrid'!S$43))*(1+'El og plugin hybrid'!S$56)^-$C190</f>
        <v>0</v>
      </c>
      <c r="T190" s="314">
        <f>IF('El og plugin hybrid'!S$65="el",S122,IF('El og plugin hybrid'!S$65="plugin hybrid benzin",S122+S145,IF('El og plugin hybrid'!S$65="plugin hybrid diesel",S122+S168,0)))</f>
        <v>0</v>
      </c>
      <c r="U190" s="500">
        <f>V190*IF('El og plugin hybrid'!U$29="nej",0,IF('El og plugin hybrid'!U$41="ja",'El og plugin hybrid'!U$42,'El og plugin hybrid'!U$43))*(1+'El og plugin hybrid'!U$56)^-$C190</f>
        <v>0</v>
      </c>
      <c r="V190" s="314">
        <f>IF('El og plugin hybrid'!U$65="el",U122,IF('El og plugin hybrid'!U$65="plugin hybrid benzin",U122+U145,IF('El og plugin hybrid'!U$65="plugin hybrid diesel",U122+U168,0)))</f>
        <v>0</v>
      </c>
      <c r="W190" s="500">
        <f>X190*IF('El og plugin hybrid'!W$29="nej",0,IF('El og plugin hybrid'!W$41="ja",'El og plugin hybrid'!W$42,'El og plugin hybrid'!W$43))*(1+'El og plugin hybrid'!W$56)^-$C190</f>
        <v>0</v>
      </c>
      <c r="X190" s="314">
        <f>IF('El og plugin hybrid'!W$65="el",W122,IF('El og plugin hybrid'!W$65="plugin hybrid benzin",W122+W145,IF('El og plugin hybrid'!W$65="plugin hybrid diesel",W122+W168,0)))</f>
        <v>0</v>
      </c>
    </row>
    <row r="191" spans="1:24">
      <c r="A191" s="308"/>
      <c r="B191" s="302">
        <v>5</v>
      </c>
      <c r="C191" s="302">
        <f t="shared" si="9"/>
        <v>5</v>
      </c>
      <c r="D191" s="302"/>
      <c r="E191" s="500">
        <f>F191*IF('El og plugin hybrid'!E$29="nej",0,IF('El og plugin hybrid'!E$41="ja",'El og plugin hybrid'!E$42,'El og plugin hybrid'!E$43))*(1+'El og plugin hybrid'!E$56)^-$C191</f>
        <v>0</v>
      </c>
      <c r="F191" s="314">
        <f>IF('El og plugin hybrid'!E$65="el",E123,IF('El og plugin hybrid'!E$65="plugin hybrid benzin",E123+E146,IF('El og plugin hybrid'!E$65="plugin hybrid diesel",E123+E169,0)))</f>
        <v>0</v>
      </c>
      <c r="G191" s="500">
        <f>H191*IF('El og plugin hybrid'!G$29="nej",0,IF('El og plugin hybrid'!G$41="ja",'El og plugin hybrid'!G$42,'El og plugin hybrid'!G$43))*(1+'El og plugin hybrid'!G$56)^-$C191</f>
        <v>0</v>
      </c>
      <c r="H191" s="314">
        <f>IF('El og plugin hybrid'!G$65="el",G123,IF('El og plugin hybrid'!G$65="plugin hybrid benzin",G123+G146,IF('El og plugin hybrid'!G$65="plugin hybrid diesel",G123+G169,0)))</f>
        <v>0</v>
      </c>
      <c r="I191" s="500">
        <f>J191*IF('El og plugin hybrid'!I$29="nej",0,IF('El og plugin hybrid'!I$41="ja",'El og plugin hybrid'!I$42,'El og plugin hybrid'!I$43))*(1+'El og plugin hybrid'!I$56)^-$C191</f>
        <v>0</v>
      </c>
      <c r="J191" s="314">
        <f>IF('El og plugin hybrid'!I$65="el",I123,IF('El og plugin hybrid'!I$65="plugin hybrid benzin",I123+I146,IF('El og plugin hybrid'!I$65="plugin hybrid diesel",I123+I169,0)))</f>
        <v>0</v>
      </c>
      <c r="K191" s="500">
        <f>L191*IF('El og plugin hybrid'!K$29="nej",0,IF('El og plugin hybrid'!K$41="ja",'El og plugin hybrid'!K$42,'El og plugin hybrid'!K$43))*(1+'El og plugin hybrid'!K$56)^-$C191</f>
        <v>0</v>
      </c>
      <c r="L191" s="314">
        <f>IF('El og plugin hybrid'!K$65="el",K123,IF('El og plugin hybrid'!K$65="plugin hybrid benzin",K123+K146,IF('El og plugin hybrid'!K$65="plugin hybrid diesel",K123+K169,0)))</f>
        <v>0</v>
      </c>
      <c r="M191" s="500">
        <f>N191*IF('El og plugin hybrid'!M$29="nej",0,IF('El og plugin hybrid'!M$41="ja",'El og plugin hybrid'!M$42,'El og plugin hybrid'!M$43))*(1+'El og plugin hybrid'!M$56)^-$C191</f>
        <v>0</v>
      </c>
      <c r="N191" s="314">
        <f>IF('El og plugin hybrid'!M$65="el",M123,IF('El og plugin hybrid'!M$65="plugin hybrid benzin",M123+M146,IF('El og plugin hybrid'!M$65="plugin hybrid diesel",M123+M169,0)))</f>
        <v>0</v>
      </c>
      <c r="O191" s="500">
        <f>P191*IF('El og plugin hybrid'!O$29="nej",0,IF('El og plugin hybrid'!O$41="ja",'El og plugin hybrid'!O$42,'El og plugin hybrid'!O$43))*(1+'El og plugin hybrid'!O$56)^-$C191</f>
        <v>0</v>
      </c>
      <c r="P191" s="314">
        <f>IF('El og plugin hybrid'!O$65="el",O123,IF('El og plugin hybrid'!O$65="plugin hybrid benzin",O123+O146,IF('El og plugin hybrid'!O$65="plugin hybrid diesel",O123+O169,0)))</f>
        <v>0</v>
      </c>
      <c r="Q191" s="500">
        <f>R191*IF('El og plugin hybrid'!Q$29="nej",0,IF('El og plugin hybrid'!Q$41="ja",'El og plugin hybrid'!Q$42,'El og plugin hybrid'!Q$43))*(1+'El og plugin hybrid'!Q$56)^-$C191</f>
        <v>0</v>
      </c>
      <c r="R191" s="314">
        <f>IF('El og plugin hybrid'!Q$65="el",Q123,IF('El og plugin hybrid'!Q$65="plugin hybrid benzin",Q123+Q146,IF('El og plugin hybrid'!Q$65="plugin hybrid diesel",Q123+Q169,0)))</f>
        <v>0</v>
      </c>
      <c r="S191" s="500">
        <f>T191*IF('El og plugin hybrid'!S$29="nej",0,IF('El og plugin hybrid'!S$41="ja",'El og plugin hybrid'!S$42,'El og plugin hybrid'!S$43))*(1+'El og plugin hybrid'!S$56)^-$C191</f>
        <v>0</v>
      </c>
      <c r="T191" s="314">
        <f>IF('El og plugin hybrid'!S$65="el",S123,IF('El og plugin hybrid'!S$65="plugin hybrid benzin",S123+S146,IF('El og plugin hybrid'!S$65="plugin hybrid diesel",S123+S169,0)))</f>
        <v>0</v>
      </c>
      <c r="U191" s="500">
        <f>V191*IF('El og plugin hybrid'!U$29="nej",0,IF('El og plugin hybrid'!U$41="ja",'El og plugin hybrid'!U$42,'El og plugin hybrid'!U$43))*(1+'El og plugin hybrid'!U$56)^-$C191</f>
        <v>0</v>
      </c>
      <c r="V191" s="314">
        <f>IF('El og plugin hybrid'!U$65="el",U123,IF('El og plugin hybrid'!U$65="plugin hybrid benzin",U123+U146,IF('El og plugin hybrid'!U$65="plugin hybrid diesel",U123+U169,0)))</f>
        <v>0</v>
      </c>
      <c r="W191" s="500">
        <f>X191*IF('El og plugin hybrid'!W$29="nej",0,IF('El og plugin hybrid'!W$41="ja",'El og plugin hybrid'!W$42,'El og plugin hybrid'!W$43))*(1+'El og plugin hybrid'!W$56)^-$C191</f>
        <v>0</v>
      </c>
      <c r="X191" s="314">
        <f>IF('El og plugin hybrid'!W$65="el",W123,IF('El og plugin hybrid'!W$65="plugin hybrid benzin",W123+W146,IF('El og plugin hybrid'!W$65="plugin hybrid diesel",W123+W169,0)))</f>
        <v>0</v>
      </c>
    </row>
    <row r="192" spans="1:24">
      <c r="A192" s="308"/>
      <c r="B192" s="302">
        <v>6</v>
      </c>
      <c r="C192" s="302">
        <f t="shared" si="9"/>
        <v>6</v>
      </c>
      <c r="D192" s="302"/>
      <c r="E192" s="500">
        <f>F192*IF('El og plugin hybrid'!E$29="nej",0,IF('El og plugin hybrid'!E$41="ja",'El og plugin hybrid'!E$42,'El og plugin hybrid'!E$43))*(1+'El og plugin hybrid'!E$56)^-$C192</f>
        <v>0</v>
      </c>
      <c r="F192" s="314">
        <f>IF('El og plugin hybrid'!E$65="el",E124,IF('El og plugin hybrid'!E$65="plugin hybrid benzin",E124+E147,IF('El og plugin hybrid'!E$65="plugin hybrid diesel",E124+E170,0)))</f>
        <v>0</v>
      </c>
      <c r="G192" s="500">
        <f>H192*IF('El og plugin hybrid'!G$29="nej",0,IF('El og plugin hybrid'!G$41="ja",'El og plugin hybrid'!G$42,'El og plugin hybrid'!G$43))*(1+'El og plugin hybrid'!G$56)^-$C192</f>
        <v>0</v>
      </c>
      <c r="H192" s="314">
        <f>IF('El og plugin hybrid'!G$65="el",G124,IF('El og plugin hybrid'!G$65="plugin hybrid benzin",G124+G147,IF('El og plugin hybrid'!G$65="plugin hybrid diesel",G124+G170,0)))</f>
        <v>0</v>
      </c>
      <c r="I192" s="500">
        <f>J192*IF('El og plugin hybrid'!I$29="nej",0,IF('El og plugin hybrid'!I$41="ja",'El og plugin hybrid'!I$42,'El og plugin hybrid'!I$43))*(1+'El og plugin hybrid'!I$56)^-$C192</f>
        <v>0</v>
      </c>
      <c r="J192" s="314">
        <f>IF('El og plugin hybrid'!I$65="el",I124,IF('El og plugin hybrid'!I$65="plugin hybrid benzin",I124+I147,IF('El og plugin hybrid'!I$65="plugin hybrid diesel",I124+I170,0)))</f>
        <v>0</v>
      </c>
      <c r="K192" s="500">
        <f>L192*IF('El og plugin hybrid'!K$29="nej",0,IF('El og plugin hybrid'!K$41="ja",'El og plugin hybrid'!K$42,'El og plugin hybrid'!K$43))*(1+'El og plugin hybrid'!K$56)^-$C192</f>
        <v>0</v>
      </c>
      <c r="L192" s="314">
        <f>IF('El og plugin hybrid'!K$65="el",K124,IF('El og plugin hybrid'!K$65="plugin hybrid benzin",K124+K147,IF('El og plugin hybrid'!K$65="plugin hybrid diesel",K124+K170,0)))</f>
        <v>0</v>
      </c>
      <c r="M192" s="500">
        <f>N192*IF('El og plugin hybrid'!M$29="nej",0,IF('El og plugin hybrid'!M$41="ja",'El og plugin hybrid'!M$42,'El og plugin hybrid'!M$43))*(1+'El og plugin hybrid'!M$56)^-$C192</f>
        <v>0</v>
      </c>
      <c r="N192" s="314">
        <f>IF('El og plugin hybrid'!M$65="el",M124,IF('El og plugin hybrid'!M$65="plugin hybrid benzin",M124+M147,IF('El og plugin hybrid'!M$65="plugin hybrid diesel",M124+M170,0)))</f>
        <v>0</v>
      </c>
      <c r="O192" s="500">
        <f>P192*IF('El og plugin hybrid'!O$29="nej",0,IF('El og plugin hybrid'!O$41="ja",'El og plugin hybrid'!O$42,'El og plugin hybrid'!O$43))*(1+'El og plugin hybrid'!O$56)^-$C192</f>
        <v>0</v>
      </c>
      <c r="P192" s="314">
        <f>IF('El og plugin hybrid'!O$65="el",O124,IF('El og plugin hybrid'!O$65="plugin hybrid benzin",O124+O147,IF('El og plugin hybrid'!O$65="plugin hybrid diesel",O124+O170,0)))</f>
        <v>0</v>
      </c>
      <c r="Q192" s="500">
        <f>R192*IF('El og plugin hybrid'!Q$29="nej",0,IF('El og plugin hybrid'!Q$41="ja",'El og plugin hybrid'!Q$42,'El og plugin hybrid'!Q$43))*(1+'El og plugin hybrid'!Q$56)^-$C192</f>
        <v>0</v>
      </c>
      <c r="R192" s="314">
        <f>IF('El og plugin hybrid'!Q$65="el",Q124,IF('El og plugin hybrid'!Q$65="plugin hybrid benzin",Q124+Q147,IF('El og plugin hybrid'!Q$65="plugin hybrid diesel",Q124+Q170,0)))</f>
        <v>0</v>
      </c>
      <c r="S192" s="500">
        <f>T192*IF('El og plugin hybrid'!S$29="nej",0,IF('El og plugin hybrid'!S$41="ja",'El og plugin hybrid'!S$42,'El og plugin hybrid'!S$43))*(1+'El og plugin hybrid'!S$56)^-$C192</f>
        <v>0</v>
      </c>
      <c r="T192" s="314">
        <f>IF('El og plugin hybrid'!S$65="el",S124,IF('El og plugin hybrid'!S$65="plugin hybrid benzin",S124+S147,IF('El og plugin hybrid'!S$65="plugin hybrid diesel",S124+S170,0)))</f>
        <v>0</v>
      </c>
      <c r="U192" s="500">
        <f>V192*IF('El og plugin hybrid'!U$29="nej",0,IF('El og plugin hybrid'!U$41="ja",'El og plugin hybrid'!U$42,'El og plugin hybrid'!U$43))*(1+'El og plugin hybrid'!U$56)^-$C192</f>
        <v>0</v>
      </c>
      <c r="V192" s="314">
        <f>IF('El og plugin hybrid'!U$65="el",U124,IF('El og plugin hybrid'!U$65="plugin hybrid benzin",U124+U147,IF('El og plugin hybrid'!U$65="plugin hybrid diesel",U124+U170,0)))</f>
        <v>0</v>
      </c>
      <c r="W192" s="500">
        <f>X192*IF('El og plugin hybrid'!W$29="nej",0,IF('El og plugin hybrid'!W$41="ja",'El og plugin hybrid'!W$42,'El og plugin hybrid'!W$43))*(1+'El og plugin hybrid'!W$56)^-$C192</f>
        <v>0</v>
      </c>
      <c r="X192" s="314">
        <f>IF('El og plugin hybrid'!W$65="el",W124,IF('El og plugin hybrid'!W$65="plugin hybrid benzin",W124+W147,IF('El og plugin hybrid'!W$65="plugin hybrid diesel",W124+W170,0)))</f>
        <v>0</v>
      </c>
    </row>
    <row r="193" spans="1:24">
      <c r="A193" s="308"/>
      <c r="B193" s="302">
        <v>7</v>
      </c>
      <c r="C193" s="302">
        <f t="shared" si="9"/>
        <v>7</v>
      </c>
      <c r="D193" s="302"/>
      <c r="E193" s="500">
        <f>F193*IF('El og plugin hybrid'!E$29="nej",0,IF('El og plugin hybrid'!E$41="ja",'El og plugin hybrid'!E$42,'El og plugin hybrid'!E$43))*(1+'El og plugin hybrid'!E$56)^-$C193</f>
        <v>0</v>
      </c>
      <c r="F193" s="314">
        <f>IF('El og plugin hybrid'!E$65="el",E125,IF('El og plugin hybrid'!E$65="plugin hybrid benzin",E125+E148,IF('El og plugin hybrid'!E$65="plugin hybrid diesel",E125+E171,0)))</f>
        <v>0</v>
      </c>
      <c r="G193" s="500">
        <f>H193*IF('El og plugin hybrid'!G$29="nej",0,IF('El og plugin hybrid'!G$41="ja",'El og plugin hybrid'!G$42,'El og plugin hybrid'!G$43))*(1+'El og plugin hybrid'!G$56)^-$C193</f>
        <v>0</v>
      </c>
      <c r="H193" s="314">
        <f>IF('El og plugin hybrid'!G$65="el",G125,IF('El og plugin hybrid'!G$65="plugin hybrid benzin",G125+G148,IF('El og plugin hybrid'!G$65="plugin hybrid diesel",G125+G171,0)))</f>
        <v>0</v>
      </c>
      <c r="I193" s="500">
        <f>J193*IF('El og plugin hybrid'!I$29="nej",0,IF('El og plugin hybrid'!I$41="ja",'El og plugin hybrid'!I$42,'El og plugin hybrid'!I$43))*(1+'El og plugin hybrid'!I$56)^-$C193</f>
        <v>0</v>
      </c>
      <c r="J193" s="314">
        <f>IF('El og plugin hybrid'!I$65="el",I125,IF('El og plugin hybrid'!I$65="plugin hybrid benzin",I125+I148,IF('El og plugin hybrid'!I$65="plugin hybrid diesel",I125+I171,0)))</f>
        <v>0</v>
      </c>
      <c r="K193" s="500">
        <f>L193*IF('El og plugin hybrid'!K$29="nej",0,IF('El og plugin hybrid'!K$41="ja",'El og plugin hybrid'!K$42,'El og plugin hybrid'!K$43))*(1+'El og plugin hybrid'!K$56)^-$C193</f>
        <v>0</v>
      </c>
      <c r="L193" s="314">
        <f>IF('El og plugin hybrid'!K$65="el",K125,IF('El og plugin hybrid'!K$65="plugin hybrid benzin",K125+K148,IF('El og plugin hybrid'!K$65="plugin hybrid diesel",K125+K171,0)))</f>
        <v>0</v>
      </c>
      <c r="M193" s="500">
        <f>N193*IF('El og plugin hybrid'!M$29="nej",0,IF('El og plugin hybrid'!M$41="ja",'El og plugin hybrid'!M$42,'El og plugin hybrid'!M$43))*(1+'El og plugin hybrid'!M$56)^-$C193</f>
        <v>0</v>
      </c>
      <c r="N193" s="314">
        <f>IF('El og plugin hybrid'!M$65="el",M125,IF('El og plugin hybrid'!M$65="plugin hybrid benzin",M125+M148,IF('El og plugin hybrid'!M$65="plugin hybrid diesel",M125+M171,0)))</f>
        <v>0</v>
      </c>
      <c r="O193" s="500">
        <f>P193*IF('El og plugin hybrid'!O$29="nej",0,IF('El og plugin hybrid'!O$41="ja",'El og plugin hybrid'!O$42,'El og plugin hybrid'!O$43))*(1+'El og plugin hybrid'!O$56)^-$C193</f>
        <v>0</v>
      </c>
      <c r="P193" s="314">
        <f>IF('El og plugin hybrid'!O$65="el",O125,IF('El og plugin hybrid'!O$65="plugin hybrid benzin",O125+O148,IF('El og plugin hybrid'!O$65="plugin hybrid diesel",O125+O171,0)))</f>
        <v>0</v>
      </c>
      <c r="Q193" s="500">
        <f>R193*IF('El og plugin hybrid'!Q$29="nej",0,IF('El og plugin hybrid'!Q$41="ja",'El og plugin hybrid'!Q$42,'El og plugin hybrid'!Q$43))*(1+'El og plugin hybrid'!Q$56)^-$C193</f>
        <v>0</v>
      </c>
      <c r="R193" s="314">
        <f>IF('El og plugin hybrid'!Q$65="el",Q125,IF('El og plugin hybrid'!Q$65="plugin hybrid benzin",Q125+Q148,IF('El og plugin hybrid'!Q$65="plugin hybrid diesel",Q125+Q171,0)))</f>
        <v>0</v>
      </c>
      <c r="S193" s="500">
        <f>T193*IF('El og plugin hybrid'!S$29="nej",0,IF('El og plugin hybrid'!S$41="ja",'El og plugin hybrid'!S$42,'El og plugin hybrid'!S$43))*(1+'El og plugin hybrid'!S$56)^-$C193</f>
        <v>0</v>
      </c>
      <c r="T193" s="314">
        <f>IF('El og plugin hybrid'!S$65="el",S125,IF('El og plugin hybrid'!S$65="plugin hybrid benzin",S125+S148,IF('El og plugin hybrid'!S$65="plugin hybrid diesel",S125+S171,0)))</f>
        <v>0</v>
      </c>
      <c r="U193" s="500">
        <f>V193*IF('El og plugin hybrid'!U$29="nej",0,IF('El og plugin hybrid'!U$41="ja",'El og plugin hybrid'!U$42,'El og plugin hybrid'!U$43))*(1+'El og plugin hybrid'!U$56)^-$C193</f>
        <v>0</v>
      </c>
      <c r="V193" s="314">
        <f>IF('El og plugin hybrid'!U$65="el",U125,IF('El og plugin hybrid'!U$65="plugin hybrid benzin",U125+U148,IF('El og plugin hybrid'!U$65="plugin hybrid diesel",U125+U171,0)))</f>
        <v>0</v>
      </c>
      <c r="W193" s="500">
        <f>X193*IF('El og plugin hybrid'!W$29="nej",0,IF('El og plugin hybrid'!W$41="ja",'El og plugin hybrid'!W$42,'El og plugin hybrid'!W$43))*(1+'El og plugin hybrid'!W$56)^-$C193</f>
        <v>0</v>
      </c>
      <c r="X193" s="314">
        <f>IF('El og plugin hybrid'!W$65="el",W125,IF('El og plugin hybrid'!W$65="plugin hybrid benzin",W125+W148,IF('El og plugin hybrid'!W$65="plugin hybrid diesel",W125+W171,0)))</f>
        <v>0</v>
      </c>
    </row>
    <row r="194" spans="1:24">
      <c r="A194" s="308"/>
      <c r="B194" s="302">
        <v>8</v>
      </c>
      <c r="C194" s="302">
        <f t="shared" si="9"/>
        <v>8</v>
      </c>
      <c r="D194" s="302"/>
      <c r="E194" s="500">
        <f>F194*IF('El og plugin hybrid'!E$29="nej",0,IF('El og plugin hybrid'!E$41="ja",'El og plugin hybrid'!E$42,'El og plugin hybrid'!E$43))*(1+'El og plugin hybrid'!E$56)^-$C194</f>
        <v>0</v>
      </c>
      <c r="F194" s="314">
        <f>IF('El og plugin hybrid'!E$65="el",E126,IF('El og plugin hybrid'!E$65="plugin hybrid benzin",E126+E149,IF('El og plugin hybrid'!E$65="plugin hybrid diesel",E126+E172,0)))</f>
        <v>0</v>
      </c>
      <c r="G194" s="500">
        <f>H194*IF('El og plugin hybrid'!G$29="nej",0,IF('El og plugin hybrid'!G$41="ja",'El og plugin hybrid'!G$42,'El og plugin hybrid'!G$43))*(1+'El og plugin hybrid'!G$56)^-$C194</f>
        <v>0</v>
      </c>
      <c r="H194" s="314">
        <f>IF('El og plugin hybrid'!G$65="el",G126,IF('El og plugin hybrid'!G$65="plugin hybrid benzin",G126+G149,IF('El og plugin hybrid'!G$65="plugin hybrid diesel",G126+G172,0)))</f>
        <v>0</v>
      </c>
      <c r="I194" s="500">
        <f>J194*IF('El og plugin hybrid'!I$29="nej",0,IF('El og plugin hybrid'!I$41="ja",'El og plugin hybrid'!I$42,'El og plugin hybrid'!I$43))*(1+'El og plugin hybrid'!I$56)^-$C194</f>
        <v>0</v>
      </c>
      <c r="J194" s="314">
        <f>IF('El og plugin hybrid'!I$65="el",I126,IF('El og plugin hybrid'!I$65="plugin hybrid benzin",I126+I149,IF('El og plugin hybrid'!I$65="plugin hybrid diesel",I126+I172,0)))</f>
        <v>0</v>
      </c>
      <c r="K194" s="500">
        <f>L194*IF('El og plugin hybrid'!K$29="nej",0,IF('El og plugin hybrid'!K$41="ja",'El og plugin hybrid'!K$42,'El og plugin hybrid'!K$43))*(1+'El og plugin hybrid'!K$56)^-$C194</f>
        <v>0</v>
      </c>
      <c r="L194" s="314">
        <f>IF('El og plugin hybrid'!K$65="el",K126,IF('El og plugin hybrid'!K$65="plugin hybrid benzin",K126+K149,IF('El og plugin hybrid'!K$65="plugin hybrid diesel",K126+K172,0)))</f>
        <v>0</v>
      </c>
      <c r="M194" s="500">
        <f>N194*IF('El og plugin hybrid'!M$29="nej",0,IF('El og plugin hybrid'!M$41="ja",'El og plugin hybrid'!M$42,'El og plugin hybrid'!M$43))*(1+'El og plugin hybrid'!M$56)^-$C194</f>
        <v>0</v>
      </c>
      <c r="N194" s="314">
        <f>IF('El og plugin hybrid'!M$65="el",M126,IF('El og plugin hybrid'!M$65="plugin hybrid benzin",M126+M149,IF('El og plugin hybrid'!M$65="plugin hybrid diesel",M126+M172,0)))</f>
        <v>0</v>
      </c>
      <c r="O194" s="500">
        <f>P194*IF('El og plugin hybrid'!O$29="nej",0,IF('El og plugin hybrid'!O$41="ja",'El og plugin hybrid'!O$42,'El og plugin hybrid'!O$43))*(1+'El og plugin hybrid'!O$56)^-$C194</f>
        <v>0</v>
      </c>
      <c r="P194" s="314">
        <f>IF('El og plugin hybrid'!O$65="el",O126,IF('El og plugin hybrid'!O$65="plugin hybrid benzin",O126+O149,IF('El og plugin hybrid'!O$65="plugin hybrid diesel",O126+O172,0)))</f>
        <v>0</v>
      </c>
      <c r="Q194" s="500">
        <f>R194*IF('El og plugin hybrid'!Q$29="nej",0,IF('El og plugin hybrid'!Q$41="ja",'El og plugin hybrid'!Q$42,'El og plugin hybrid'!Q$43))*(1+'El og plugin hybrid'!Q$56)^-$C194</f>
        <v>0</v>
      </c>
      <c r="R194" s="314">
        <f>IF('El og plugin hybrid'!Q$65="el",Q126,IF('El og plugin hybrid'!Q$65="plugin hybrid benzin",Q126+Q149,IF('El og plugin hybrid'!Q$65="plugin hybrid diesel",Q126+Q172,0)))</f>
        <v>0</v>
      </c>
      <c r="S194" s="500">
        <f>T194*IF('El og plugin hybrid'!S$29="nej",0,IF('El og plugin hybrid'!S$41="ja",'El og plugin hybrid'!S$42,'El og plugin hybrid'!S$43))*(1+'El og plugin hybrid'!S$56)^-$C194</f>
        <v>0</v>
      </c>
      <c r="T194" s="314">
        <f>IF('El og plugin hybrid'!S$65="el",S126,IF('El og plugin hybrid'!S$65="plugin hybrid benzin",S126+S149,IF('El og plugin hybrid'!S$65="plugin hybrid diesel",S126+S172,0)))</f>
        <v>0</v>
      </c>
      <c r="U194" s="500">
        <f>V194*IF('El og plugin hybrid'!U$29="nej",0,IF('El og plugin hybrid'!U$41="ja",'El og plugin hybrid'!U$42,'El og plugin hybrid'!U$43))*(1+'El og plugin hybrid'!U$56)^-$C194</f>
        <v>0</v>
      </c>
      <c r="V194" s="314">
        <f>IF('El og plugin hybrid'!U$65="el",U126,IF('El og plugin hybrid'!U$65="plugin hybrid benzin",U126+U149,IF('El og plugin hybrid'!U$65="plugin hybrid diesel",U126+U172,0)))</f>
        <v>0</v>
      </c>
      <c r="W194" s="500">
        <f>X194*IF('El og plugin hybrid'!W$29="nej",0,IF('El og plugin hybrid'!W$41="ja",'El og plugin hybrid'!W$42,'El og plugin hybrid'!W$43))*(1+'El og plugin hybrid'!W$56)^-$C194</f>
        <v>0</v>
      </c>
      <c r="X194" s="314">
        <f>IF('El og plugin hybrid'!W$65="el",W126,IF('El og plugin hybrid'!W$65="plugin hybrid benzin",W126+W149,IF('El og plugin hybrid'!W$65="plugin hybrid diesel",W126+W172,0)))</f>
        <v>0</v>
      </c>
    </row>
    <row r="195" spans="1:24">
      <c r="A195" s="308"/>
      <c r="B195" s="302">
        <v>9</v>
      </c>
      <c r="C195" s="302">
        <f t="shared" si="9"/>
        <v>9</v>
      </c>
      <c r="D195" s="302"/>
      <c r="E195" s="500">
        <f>F195*IF('El og plugin hybrid'!E$29="nej",0,IF('El og plugin hybrid'!E$41="ja",'El og plugin hybrid'!E$42,'El og plugin hybrid'!E$43))*(1+'El og plugin hybrid'!E$56)^-$C195</f>
        <v>0</v>
      </c>
      <c r="F195" s="314">
        <f>IF('El og plugin hybrid'!E$65="el",E127,IF('El og plugin hybrid'!E$65="plugin hybrid benzin",E127+E150,IF('El og plugin hybrid'!E$65="plugin hybrid diesel",E127+E173,0)))</f>
        <v>0</v>
      </c>
      <c r="G195" s="500">
        <f>H195*IF('El og plugin hybrid'!G$29="nej",0,IF('El og plugin hybrid'!G$41="ja",'El og plugin hybrid'!G$42,'El og plugin hybrid'!G$43))*(1+'El og plugin hybrid'!G$56)^-$C195</f>
        <v>0</v>
      </c>
      <c r="H195" s="314">
        <f>IF('El og plugin hybrid'!G$65="el",G127,IF('El og plugin hybrid'!G$65="plugin hybrid benzin",G127+G150,IF('El og plugin hybrid'!G$65="plugin hybrid diesel",G127+G173,0)))</f>
        <v>0</v>
      </c>
      <c r="I195" s="500">
        <f>J195*IF('El og plugin hybrid'!I$29="nej",0,IF('El og plugin hybrid'!I$41="ja",'El og plugin hybrid'!I$42,'El og plugin hybrid'!I$43))*(1+'El og plugin hybrid'!I$56)^-$C195</f>
        <v>0</v>
      </c>
      <c r="J195" s="314">
        <f>IF('El og plugin hybrid'!I$65="el",I127,IF('El og plugin hybrid'!I$65="plugin hybrid benzin",I127+I150,IF('El og plugin hybrid'!I$65="plugin hybrid diesel",I127+I173,0)))</f>
        <v>0</v>
      </c>
      <c r="K195" s="500">
        <f>L195*IF('El og plugin hybrid'!K$29="nej",0,IF('El og plugin hybrid'!K$41="ja",'El og plugin hybrid'!K$42,'El og plugin hybrid'!K$43))*(1+'El og plugin hybrid'!K$56)^-$C195</f>
        <v>0</v>
      </c>
      <c r="L195" s="314">
        <f>IF('El og plugin hybrid'!K$65="el",K127,IF('El og plugin hybrid'!K$65="plugin hybrid benzin",K127+K150,IF('El og plugin hybrid'!K$65="plugin hybrid diesel",K127+K173,0)))</f>
        <v>0</v>
      </c>
      <c r="M195" s="500">
        <f>N195*IF('El og plugin hybrid'!M$29="nej",0,IF('El og plugin hybrid'!M$41="ja",'El og plugin hybrid'!M$42,'El og plugin hybrid'!M$43))*(1+'El og plugin hybrid'!M$56)^-$C195</f>
        <v>0</v>
      </c>
      <c r="N195" s="314">
        <f>IF('El og plugin hybrid'!M$65="el",M127,IF('El og plugin hybrid'!M$65="plugin hybrid benzin",M127+M150,IF('El og plugin hybrid'!M$65="plugin hybrid diesel",M127+M173,0)))</f>
        <v>0</v>
      </c>
      <c r="O195" s="500">
        <f>P195*IF('El og plugin hybrid'!O$29="nej",0,IF('El og plugin hybrid'!O$41="ja",'El og plugin hybrid'!O$42,'El og plugin hybrid'!O$43))*(1+'El og plugin hybrid'!O$56)^-$C195</f>
        <v>0</v>
      </c>
      <c r="P195" s="314">
        <f>IF('El og plugin hybrid'!O$65="el",O127,IF('El og plugin hybrid'!O$65="plugin hybrid benzin",O127+O150,IF('El og plugin hybrid'!O$65="plugin hybrid diesel",O127+O173,0)))</f>
        <v>0</v>
      </c>
      <c r="Q195" s="500">
        <f>R195*IF('El og plugin hybrid'!Q$29="nej",0,IF('El og plugin hybrid'!Q$41="ja",'El og plugin hybrid'!Q$42,'El og plugin hybrid'!Q$43))*(1+'El og plugin hybrid'!Q$56)^-$C195</f>
        <v>0</v>
      </c>
      <c r="R195" s="314">
        <f>IF('El og plugin hybrid'!Q$65="el",Q127,IF('El og plugin hybrid'!Q$65="plugin hybrid benzin",Q127+Q150,IF('El og plugin hybrid'!Q$65="plugin hybrid diesel",Q127+Q173,0)))</f>
        <v>0</v>
      </c>
      <c r="S195" s="500">
        <f>T195*IF('El og plugin hybrid'!S$29="nej",0,IF('El og plugin hybrid'!S$41="ja",'El og plugin hybrid'!S$42,'El og plugin hybrid'!S$43))*(1+'El og plugin hybrid'!S$56)^-$C195</f>
        <v>0</v>
      </c>
      <c r="T195" s="314">
        <f>IF('El og plugin hybrid'!S$65="el",S127,IF('El og plugin hybrid'!S$65="plugin hybrid benzin",S127+S150,IF('El og plugin hybrid'!S$65="plugin hybrid diesel",S127+S173,0)))</f>
        <v>0</v>
      </c>
      <c r="U195" s="500">
        <f>V195*IF('El og plugin hybrid'!U$29="nej",0,IF('El og plugin hybrid'!U$41="ja",'El og plugin hybrid'!U$42,'El og plugin hybrid'!U$43))*(1+'El og plugin hybrid'!U$56)^-$C195</f>
        <v>0</v>
      </c>
      <c r="V195" s="314">
        <f>IF('El og plugin hybrid'!U$65="el",U127,IF('El og plugin hybrid'!U$65="plugin hybrid benzin",U127+U150,IF('El og plugin hybrid'!U$65="plugin hybrid diesel",U127+U173,0)))</f>
        <v>0</v>
      </c>
      <c r="W195" s="500">
        <f>X195*IF('El og plugin hybrid'!W$29="nej",0,IF('El og plugin hybrid'!W$41="ja",'El og plugin hybrid'!W$42,'El og plugin hybrid'!W$43))*(1+'El og plugin hybrid'!W$56)^-$C195</f>
        <v>0</v>
      </c>
      <c r="X195" s="314">
        <f>IF('El og plugin hybrid'!W$65="el",W127,IF('El og plugin hybrid'!W$65="plugin hybrid benzin",W127+W150,IF('El og plugin hybrid'!W$65="plugin hybrid diesel",W127+W173,0)))</f>
        <v>0</v>
      </c>
    </row>
    <row r="196" spans="1:24">
      <c r="A196" s="308"/>
      <c r="B196" s="302">
        <v>10</v>
      </c>
      <c r="C196" s="302">
        <f t="shared" si="9"/>
        <v>10</v>
      </c>
      <c r="D196" s="302"/>
      <c r="E196" s="500">
        <f>F196*IF('El og plugin hybrid'!E$29="nej",0,IF('El og plugin hybrid'!E$41="ja",'El og plugin hybrid'!E$42,'El og plugin hybrid'!E$43))*(1+'El og plugin hybrid'!E$56)^-$C196</f>
        <v>0</v>
      </c>
      <c r="F196" s="314">
        <f>IF('El og plugin hybrid'!E$65="el",E128,IF('El og plugin hybrid'!E$65="plugin hybrid benzin",E128+E151,IF('El og plugin hybrid'!E$65="plugin hybrid diesel",E128+E174,0)))</f>
        <v>0</v>
      </c>
      <c r="G196" s="500">
        <f>H196*IF('El og plugin hybrid'!G$29="nej",0,IF('El og plugin hybrid'!G$41="ja",'El og plugin hybrid'!G$42,'El og plugin hybrid'!G$43))*(1+'El og plugin hybrid'!G$56)^-$C196</f>
        <v>0</v>
      </c>
      <c r="H196" s="314">
        <f>IF('El og plugin hybrid'!G$65="el",G128,IF('El og plugin hybrid'!G$65="plugin hybrid benzin",G128+G151,IF('El og plugin hybrid'!G$65="plugin hybrid diesel",G128+G174,0)))</f>
        <v>0</v>
      </c>
      <c r="I196" s="500">
        <f>J196*IF('El og plugin hybrid'!I$29="nej",0,IF('El og plugin hybrid'!I$41="ja",'El og plugin hybrid'!I$42,'El og plugin hybrid'!I$43))*(1+'El og plugin hybrid'!I$56)^-$C196</f>
        <v>0</v>
      </c>
      <c r="J196" s="314">
        <f>IF('El og plugin hybrid'!I$65="el",I128,IF('El og plugin hybrid'!I$65="plugin hybrid benzin",I128+I151,IF('El og plugin hybrid'!I$65="plugin hybrid diesel",I128+I174,0)))</f>
        <v>0</v>
      </c>
      <c r="K196" s="500">
        <f>L196*IF('El og plugin hybrid'!K$29="nej",0,IF('El og plugin hybrid'!K$41="ja",'El og plugin hybrid'!K$42,'El og plugin hybrid'!K$43))*(1+'El og plugin hybrid'!K$56)^-$C196</f>
        <v>0</v>
      </c>
      <c r="L196" s="314">
        <f>IF('El og plugin hybrid'!K$65="el",K128,IF('El og plugin hybrid'!K$65="plugin hybrid benzin",K128+K151,IF('El og plugin hybrid'!K$65="plugin hybrid diesel",K128+K174,0)))</f>
        <v>0</v>
      </c>
      <c r="M196" s="500">
        <f>N196*IF('El og plugin hybrid'!M$29="nej",0,IF('El og plugin hybrid'!M$41="ja",'El og plugin hybrid'!M$42,'El og plugin hybrid'!M$43))*(1+'El og plugin hybrid'!M$56)^-$C196</f>
        <v>0</v>
      </c>
      <c r="N196" s="314">
        <f>IF('El og plugin hybrid'!M$65="el",M128,IF('El og plugin hybrid'!M$65="plugin hybrid benzin",M128+M151,IF('El og plugin hybrid'!M$65="plugin hybrid diesel",M128+M174,0)))</f>
        <v>0</v>
      </c>
      <c r="O196" s="500">
        <f>P196*IF('El og plugin hybrid'!O$29="nej",0,IF('El og plugin hybrid'!O$41="ja",'El og plugin hybrid'!O$42,'El og plugin hybrid'!O$43))*(1+'El og plugin hybrid'!O$56)^-$C196</f>
        <v>0</v>
      </c>
      <c r="P196" s="314">
        <f>IF('El og plugin hybrid'!O$65="el",O128,IF('El og plugin hybrid'!O$65="plugin hybrid benzin",O128+O151,IF('El og plugin hybrid'!O$65="plugin hybrid diesel",O128+O174,0)))</f>
        <v>0</v>
      </c>
      <c r="Q196" s="500">
        <f>R196*IF('El og plugin hybrid'!Q$29="nej",0,IF('El og plugin hybrid'!Q$41="ja",'El og plugin hybrid'!Q$42,'El og plugin hybrid'!Q$43))*(1+'El og plugin hybrid'!Q$56)^-$C196</f>
        <v>0</v>
      </c>
      <c r="R196" s="314">
        <f>IF('El og plugin hybrid'!Q$65="el",Q128,IF('El og plugin hybrid'!Q$65="plugin hybrid benzin",Q128+Q151,IF('El og plugin hybrid'!Q$65="plugin hybrid diesel",Q128+Q174,0)))</f>
        <v>0</v>
      </c>
      <c r="S196" s="500">
        <f>T196*IF('El og plugin hybrid'!S$29="nej",0,IF('El og plugin hybrid'!S$41="ja",'El og plugin hybrid'!S$42,'El og plugin hybrid'!S$43))*(1+'El og plugin hybrid'!S$56)^-$C196</f>
        <v>0</v>
      </c>
      <c r="T196" s="314">
        <f>IF('El og plugin hybrid'!S$65="el",S128,IF('El og plugin hybrid'!S$65="plugin hybrid benzin",S128+S151,IF('El og plugin hybrid'!S$65="plugin hybrid diesel",S128+S174,0)))</f>
        <v>0</v>
      </c>
      <c r="U196" s="500">
        <f>V196*IF('El og plugin hybrid'!U$29="nej",0,IF('El og plugin hybrid'!U$41="ja",'El og plugin hybrid'!U$42,'El og plugin hybrid'!U$43))*(1+'El og plugin hybrid'!U$56)^-$C196</f>
        <v>0</v>
      </c>
      <c r="V196" s="314">
        <f>IF('El og plugin hybrid'!U$65="el",U128,IF('El og plugin hybrid'!U$65="plugin hybrid benzin",U128+U151,IF('El og plugin hybrid'!U$65="plugin hybrid diesel",U128+U174,0)))</f>
        <v>0</v>
      </c>
      <c r="W196" s="500">
        <f>X196*IF('El og plugin hybrid'!W$29="nej",0,IF('El og plugin hybrid'!W$41="ja",'El og plugin hybrid'!W$42,'El og plugin hybrid'!W$43))*(1+'El og plugin hybrid'!W$56)^-$C196</f>
        <v>0</v>
      </c>
      <c r="X196" s="314">
        <f>IF('El og plugin hybrid'!W$65="el",W128,IF('El og plugin hybrid'!W$65="plugin hybrid benzin",W128+W151,IF('El og plugin hybrid'!W$65="plugin hybrid diesel",W128+W174,0)))</f>
        <v>0</v>
      </c>
    </row>
    <row r="197" spans="1:24">
      <c r="A197" s="308"/>
      <c r="B197" s="302">
        <v>11</v>
      </c>
      <c r="C197" s="302">
        <f t="shared" si="9"/>
        <v>11</v>
      </c>
      <c r="D197" s="302"/>
      <c r="E197" s="500">
        <f>F197*IF('El og plugin hybrid'!E$29="nej",0,IF('El og plugin hybrid'!E$41="ja",'El og plugin hybrid'!E$42,'El og plugin hybrid'!E$43))*(1+'El og plugin hybrid'!E$56)^-$C197</f>
        <v>0</v>
      </c>
      <c r="F197" s="314">
        <f>IF('El og plugin hybrid'!E$65="el",E129,IF('El og plugin hybrid'!E$65="plugin hybrid benzin",E129+E152,IF('El og plugin hybrid'!E$65="plugin hybrid diesel",E129+E175,0)))</f>
        <v>0</v>
      </c>
      <c r="G197" s="500">
        <f>H197*IF('El og plugin hybrid'!G$29="nej",0,IF('El og plugin hybrid'!G$41="ja",'El og plugin hybrid'!G$42,'El og plugin hybrid'!G$43))*(1+'El og plugin hybrid'!G$56)^-$C197</f>
        <v>0</v>
      </c>
      <c r="H197" s="314">
        <f>IF('El og plugin hybrid'!G$65="el",G129,IF('El og plugin hybrid'!G$65="plugin hybrid benzin",G129+G152,IF('El og plugin hybrid'!G$65="plugin hybrid diesel",G129+G175,0)))</f>
        <v>0</v>
      </c>
      <c r="I197" s="500">
        <f>J197*IF('El og plugin hybrid'!I$29="nej",0,IF('El og plugin hybrid'!I$41="ja",'El og plugin hybrid'!I$42,'El og plugin hybrid'!I$43))*(1+'El og plugin hybrid'!I$56)^-$C197</f>
        <v>0</v>
      </c>
      <c r="J197" s="314">
        <f>IF('El og plugin hybrid'!I$65="el",I129,IF('El og plugin hybrid'!I$65="plugin hybrid benzin",I129+I152,IF('El og plugin hybrid'!I$65="plugin hybrid diesel",I129+I175,0)))</f>
        <v>0</v>
      </c>
      <c r="K197" s="500">
        <f>L197*IF('El og plugin hybrid'!K$29="nej",0,IF('El og plugin hybrid'!K$41="ja",'El og plugin hybrid'!K$42,'El og plugin hybrid'!K$43))*(1+'El og plugin hybrid'!K$56)^-$C197</f>
        <v>0</v>
      </c>
      <c r="L197" s="314">
        <f>IF('El og plugin hybrid'!K$65="el",K129,IF('El og plugin hybrid'!K$65="plugin hybrid benzin",K129+K152,IF('El og plugin hybrid'!K$65="plugin hybrid diesel",K129+K175,0)))</f>
        <v>0</v>
      </c>
      <c r="M197" s="500">
        <f>N197*IF('El og plugin hybrid'!M$29="nej",0,IF('El og plugin hybrid'!M$41="ja",'El og plugin hybrid'!M$42,'El og plugin hybrid'!M$43))*(1+'El og plugin hybrid'!M$56)^-$C197</f>
        <v>0</v>
      </c>
      <c r="N197" s="314">
        <f>IF('El og plugin hybrid'!M$65="el",M129,IF('El og plugin hybrid'!M$65="plugin hybrid benzin",M129+M152,IF('El og plugin hybrid'!M$65="plugin hybrid diesel",M129+M175,0)))</f>
        <v>0</v>
      </c>
      <c r="O197" s="500">
        <f>P197*IF('El og plugin hybrid'!O$29="nej",0,IF('El og plugin hybrid'!O$41="ja",'El og plugin hybrid'!O$42,'El og plugin hybrid'!O$43))*(1+'El og plugin hybrid'!O$56)^-$C197</f>
        <v>0</v>
      </c>
      <c r="P197" s="314">
        <f>IF('El og plugin hybrid'!O$65="el",O129,IF('El og plugin hybrid'!O$65="plugin hybrid benzin",O129+O152,IF('El og plugin hybrid'!O$65="plugin hybrid diesel",O129+O175,0)))</f>
        <v>0</v>
      </c>
      <c r="Q197" s="500">
        <f>R197*IF('El og plugin hybrid'!Q$29="nej",0,IF('El og plugin hybrid'!Q$41="ja",'El og plugin hybrid'!Q$42,'El og plugin hybrid'!Q$43))*(1+'El og plugin hybrid'!Q$56)^-$C197</f>
        <v>0</v>
      </c>
      <c r="R197" s="314">
        <f>IF('El og plugin hybrid'!Q$65="el",Q129,IF('El og plugin hybrid'!Q$65="plugin hybrid benzin",Q129+Q152,IF('El og plugin hybrid'!Q$65="plugin hybrid diesel",Q129+Q175,0)))</f>
        <v>0</v>
      </c>
      <c r="S197" s="500">
        <f>T197*IF('El og plugin hybrid'!S$29="nej",0,IF('El og plugin hybrid'!S$41="ja",'El og plugin hybrid'!S$42,'El og plugin hybrid'!S$43))*(1+'El og plugin hybrid'!S$56)^-$C197</f>
        <v>0</v>
      </c>
      <c r="T197" s="314">
        <f>IF('El og plugin hybrid'!S$65="el",S129,IF('El og plugin hybrid'!S$65="plugin hybrid benzin",S129+S152,IF('El og plugin hybrid'!S$65="plugin hybrid diesel",S129+S175,0)))</f>
        <v>0</v>
      </c>
      <c r="U197" s="500">
        <f>V197*IF('El og plugin hybrid'!U$29="nej",0,IF('El og plugin hybrid'!U$41="ja",'El og plugin hybrid'!U$42,'El og plugin hybrid'!U$43))*(1+'El og plugin hybrid'!U$56)^-$C197</f>
        <v>0</v>
      </c>
      <c r="V197" s="314">
        <f>IF('El og plugin hybrid'!U$65="el",U129,IF('El og plugin hybrid'!U$65="plugin hybrid benzin",U129+U152,IF('El og plugin hybrid'!U$65="plugin hybrid diesel",U129+U175,0)))</f>
        <v>0</v>
      </c>
      <c r="W197" s="500">
        <f>X197*IF('El og plugin hybrid'!W$29="nej",0,IF('El og plugin hybrid'!W$41="ja",'El og plugin hybrid'!W$42,'El og plugin hybrid'!W$43))*(1+'El og plugin hybrid'!W$56)^-$C197</f>
        <v>0</v>
      </c>
      <c r="X197" s="314">
        <f>IF('El og plugin hybrid'!W$65="el",W129,IF('El og plugin hybrid'!W$65="plugin hybrid benzin",W129+W152,IF('El og plugin hybrid'!W$65="plugin hybrid diesel",W129+W175,0)))</f>
        <v>0</v>
      </c>
    </row>
    <row r="198" spans="1:24">
      <c r="A198" s="308"/>
      <c r="B198" s="302">
        <v>12</v>
      </c>
      <c r="C198" s="302">
        <f t="shared" si="9"/>
        <v>12</v>
      </c>
      <c r="D198" s="302"/>
      <c r="E198" s="500">
        <f>F198*IF('El og plugin hybrid'!E$29="nej",0,IF('El og plugin hybrid'!E$41="ja",'El og plugin hybrid'!E$42,'El og plugin hybrid'!E$43))*(1+'El og plugin hybrid'!E$56)^-$C198</f>
        <v>0</v>
      </c>
      <c r="F198" s="314">
        <f>IF('El og plugin hybrid'!E$65="el",E130,IF('El og plugin hybrid'!E$65="plugin hybrid benzin",E130+E153,IF('El og plugin hybrid'!E$65="plugin hybrid diesel",E130+E176,0)))</f>
        <v>0</v>
      </c>
      <c r="G198" s="500">
        <f>H198*IF('El og plugin hybrid'!G$29="nej",0,IF('El og plugin hybrid'!G$41="ja",'El og plugin hybrid'!G$42,'El og plugin hybrid'!G$43))*(1+'El og plugin hybrid'!G$56)^-$C198</f>
        <v>0</v>
      </c>
      <c r="H198" s="314">
        <f>IF('El og plugin hybrid'!G$65="el",G130,IF('El og plugin hybrid'!G$65="plugin hybrid benzin",G130+G153,IF('El og plugin hybrid'!G$65="plugin hybrid diesel",G130+G176,0)))</f>
        <v>0</v>
      </c>
      <c r="I198" s="500">
        <f>J198*IF('El og plugin hybrid'!I$29="nej",0,IF('El og plugin hybrid'!I$41="ja",'El og plugin hybrid'!I$42,'El og plugin hybrid'!I$43))*(1+'El og plugin hybrid'!I$56)^-$C198</f>
        <v>0</v>
      </c>
      <c r="J198" s="314">
        <f>IF('El og plugin hybrid'!I$65="el",I130,IF('El og plugin hybrid'!I$65="plugin hybrid benzin",I130+I153,IF('El og plugin hybrid'!I$65="plugin hybrid diesel",I130+I176,0)))</f>
        <v>0</v>
      </c>
      <c r="K198" s="500">
        <f>L198*IF('El og plugin hybrid'!K$29="nej",0,IF('El og plugin hybrid'!K$41="ja",'El og plugin hybrid'!K$42,'El og plugin hybrid'!K$43))*(1+'El og plugin hybrid'!K$56)^-$C198</f>
        <v>0</v>
      </c>
      <c r="L198" s="314">
        <f>IF('El og plugin hybrid'!K$65="el",K130,IF('El og plugin hybrid'!K$65="plugin hybrid benzin",K130+K153,IF('El og plugin hybrid'!K$65="plugin hybrid diesel",K130+K176,0)))</f>
        <v>0</v>
      </c>
      <c r="M198" s="500">
        <f>N198*IF('El og plugin hybrid'!M$29="nej",0,IF('El og plugin hybrid'!M$41="ja",'El og plugin hybrid'!M$42,'El og plugin hybrid'!M$43))*(1+'El og plugin hybrid'!M$56)^-$C198</f>
        <v>0</v>
      </c>
      <c r="N198" s="314">
        <f>IF('El og plugin hybrid'!M$65="el",M130,IF('El og plugin hybrid'!M$65="plugin hybrid benzin",M130+M153,IF('El og plugin hybrid'!M$65="plugin hybrid diesel",M130+M176,0)))</f>
        <v>0</v>
      </c>
      <c r="O198" s="500">
        <f>P198*IF('El og plugin hybrid'!O$29="nej",0,IF('El og plugin hybrid'!O$41="ja",'El og plugin hybrid'!O$42,'El og plugin hybrid'!O$43))*(1+'El og plugin hybrid'!O$56)^-$C198</f>
        <v>0</v>
      </c>
      <c r="P198" s="314">
        <f>IF('El og plugin hybrid'!O$65="el",O130,IF('El og plugin hybrid'!O$65="plugin hybrid benzin",O130+O153,IF('El og plugin hybrid'!O$65="plugin hybrid diesel",O130+O176,0)))</f>
        <v>0</v>
      </c>
      <c r="Q198" s="500">
        <f>R198*IF('El og plugin hybrid'!Q$29="nej",0,IF('El og plugin hybrid'!Q$41="ja",'El og plugin hybrid'!Q$42,'El og plugin hybrid'!Q$43))*(1+'El og plugin hybrid'!Q$56)^-$C198</f>
        <v>0</v>
      </c>
      <c r="R198" s="314">
        <f>IF('El og plugin hybrid'!Q$65="el",Q130,IF('El og plugin hybrid'!Q$65="plugin hybrid benzin",Q130+Q153,IF('El og plugin hybrid'!Q$65="plugin hybrid diesel",Q130+Q176,0)))</f>
        <v>0</v>
      </c>
      <c r="S198" s="500">
        <f>T198*IF('El og plugin hybrid'!S$29="nej",0,IF('El og plugin hybrid'!S$41="ja",'El og plugin hybrid'!S$42,'El og plugin hybrid'!S$43))*(1+'El og plugin hybrid'!S$56)^-$C198</f>
        <v>0</v>
      </c>
      <c r="T198" s="314">
        <f>IF('El og plugin hybrid'!S$65="el",S130,IF('El og plugin hybrid'!S$65="plugin hybrid benzin",S130+S153,IF('El og plugin hybrid'!S$65="plugin hybrid diesel",S130+S176,0)))</f>
        <v>0</v>
      </c>
      <c r="U198" s="500">
        <f>V198*IF('El og plugin hybrid'!U$29="nej",0,IF('El og plugin hybrid'!U$41="ja",'El og plugin hybrid'!U$42,'El og plugin hybrid'!U$43))*(1+'El og plugin hybrid'!U$56)^-$C198</f>
        <v>0</v>
      </c>
      <c r="V198" s="314">
        <f>IF('El og plugin hybrid'!U$65="el",U130,IF('El og plugin hybrid'!U$65="plugin hybrid benzin",U130+U153,IF('El og plugin hybrid'!U$65="plugin hybrid diesel",U130+U176,0)))</f>
        <v>0</v>
      </c>
      <c r="W198" s="500">
        <f>X198*IF('El og plugin hybrid'!W$29="nej",0,IF('El og plugin hybrid'!W$41="ja",'El og plugin hybrid'!W$42,'El og plugin hybrid'!W$43))*(1+'El og plugin hybrid'!W$56)^-$C198</f>
        <v>0</v>
      </c>
      <c r="X198" s="314">
        <f>IF('El og plugin hybrid'!W$65="el",W130,IF('El og plugin hybrid'!W$65="plugin hybrid benzin",W130+W153,IF('El og plugin hybrid'!W$65="plugin hybrid diesel",W130+W176,0)))</f>
        <v>0</v>
      </c>
    </row>
    <row r="199" spans="1:24">
      <c r="A199" s="308"/>
      <c r="B199" s="302">
        <v>13</v>
      </c>
      <c r="C199" s="302">
        <f t="shared" si="9"/>
        <v>13</v>
      </c>
      <c r="D199" s="302"/>
      <c r="E199" s="500">
        <f>F199*IF('El og plugin hybrid'!E$29="nej",0,IF('El og plugin hybrid'!E$41="ja",'El og plugin hybrid'!E$42,'El og plugin hybrid'!E$43))*(1+'El og plugin hybrid'!E$56)^-$C199</f>
        <v>0</v>
      </c>
      <c r="F199" s="314">
        <f>IF('El og plugin hybrid'!E$65="el",E131,IF('El og plugin hybrid'!E$65="plugin hybrid benzin",E131+E154,IF('El og plugin hybrid'!E$65="plugin hybrid diesel",E131+E177,0)))</f>
        <v>0</v>
      </c>
      <c r="G199" s="500">
        <f>H199*IF('El og plugin hybrid'!G$29="nej",0,IF('El og plugin hybrid'!G$41="ja",'El og plugin hybrid'!G$42,'El og plugin hybrid'!G$43))*(1+'El og plugin hybrid'!G$56)^-$C199</f>
        <v>0</v>
      </c>
      <c r="H199" s="314">
        <f>IF('El og plugin hybrid'!G$65="el",G131,IF('El og plugin hybrid'!G$65="plugin hybrid benzin",G131+G154,IF('El og plugin hybrid'!G$65="plugin hybrid diesel",G131+G177,0)))</f>
        <v>0</v>
      </c>
      <c r="I199" s="500">
        <f>J199*IF('El og plugin hybrid'!I$29="nej",0,IF('El og plugin hybrid'!I$41="ja",'El og plugin hybrid'!I$42,'El og plugin hybrid'!I$43))*(1+'El og plugin hybrid'!I$56)^-$C199</f>
        <v>0</v>
      </c>
      <c r="J199" s="314">
        <f>IF('El og plugin hybrid'!I$65="el",I131,IF('El og plugin hybrid'!I$65="plugin hybrid benzin",I131+I154,IF('El og plugin hybrid'!I$65="plugin hybrid diesel",I131+I177,0)))</f>
        <v>0</v>
      </c>
      <c r="K199" s="500">
        <f>L199*IF('El og plugin hybrid'!K$29="nej",0,IF('El og plugin hybrid'!K$41="ja",'El og plugin hybrid'!K$42,'El og plugin hybrid'!K$43))*(1+'El og plugin hybrid'!K$56)^-$C199</f>
        <v>0</v>
      </c>
      <c r="L199" s="314">
        <f>IF('El og plugin hybrid'!K$65="el",K131,IF('El og plugin hybrid'!K$65="plugin hybrid benzin",K131+K154,IF('El og plugin hybrid'!K$65="plugin hybrid diesel",K131+K177,0)))</f>
        <v>0</v>
      </c>
      <c r="M199" s="500">
        <f>N199*IF('El og plugin hybrid'!M$29="nej",0,IF('El og plugin hybrid'!M$41="ja",'El og plugin hybrid'!M$42,'El og plugin hybrid'!M$43))*(1+'El og plugin hybrid'!M$56)^-$C199</f>
        <v>0</v>
      </c>
      <c r="N199" s="314">
        <f>IF('El og plugin hybrid'!M$65="el",M131,IF('El og plugin hybrid'!M$65="plugin hybrid benzin",M131+M154,IF('El og plugin hybrid'!M$65="plugin hybrid diesel",M131+M177,0)))</f>
        <v>0</v>
      </c>
      <c r="O199" s="500">
        <f>P199*IF('El og plugin hybrid'!O$29="nej",0,IF('El og plugin hybrid'!O$41="ja",'El og plugin hybrid'!O$42,'El og plugin hybrid'!O$43))*(1+'El og plugin hybrid'!O$56)^-$C199</f>
        <v>0</v>
      </c>
      <c r="P199" s="314">
        <f>IF('El og plugin hybrid'!O$65="el",O131,IF('El og plugin hybrid'!O$65="plugin hybrid benzin",O131+O154,IF('El og plugin hybrid'!O$65="plugin hybrid diesel",O131+O177,0)))</f>
        <v>0</v>
      </c>
      <c r="Q199" s="500">
        <f>R199*IF('El og plugin hybrid'!Q$29="nej",0,IF('El og plugin hybrid'!Q$41="ja",'El og plugin hybrid'!Q$42,'El og plugin hybrid'!Q$43))*(1+'El og plugin hybrid'!Q$56)^-$C199</f>
        <v>0</v>
      </c>
      <c r="R199" s="314">
        <f>IF('El og plugin hybrid'!Q$65="el",Q131,IF('El og plugin hybrid'!Q$65="plugin hybrid benzin",Q131+Q154,IF('El og plugin hybrid'!Q$65="plugin hybrid diesel",Q131+Q177,0)))</f>
        <v>0</v>
      </c>
      <c r="S199" s="500">
        <f>T199*IF('El og plugin hybrid'!S$29="nej",0,IF('El og plugin hybrid'!S$41="ja",'El og plugin hybrid'!S$42,'El og plugin hybrid'!S$43))*(1+'El og plugin hybrid'!S$56)^-$C199</f>
        <v>0</v>
      </c>
      <c r="T199" s="314">
        <f>IF('El og plugin hybrid'!S$65="el",S131,IF('El og plugin hybrid'!S$65="plugin hybrid benzin",S131+S154,IF('El og plugin hybrid'!S$65="plugin hybrid diesel",S131+S177,0)))</f>
        <v>0</v>
      </c>
      <c r="U199" s="500">
        <f>V199*IF('El og plugin hybrid'!U$29="nej",0,IF('El og plugin hybrid'!U$41="ja",'El og plugin hybrid'!U$42,'El og plugin hybrid'!U$43))*(1+'El og plugin hybrid'!U$56)^-$C199</f>
        <v>0</v>
      </c>
      <c r="V199" s="314">
        <f>IF('El og plugin hybrid'!U$65="el",U131,IF('El og plugin hybrid'!U$65="plugin hybrid benzin",U131+U154,IF('El og plugin hybrid'!U$65="plugin hybrid diesel",U131+U177,0)))</f>
        <v>0</v>
      </c>
      <c r="W199" s="500">
        <f>X199*IF('El og plugin hybrid'!W$29="nej",0,IF('El og plugin hybrid'!W$41="ja",'El og plugin hybrid'!W$42,'El og plugin hybrid'!W$43))*(1+'El og plugin hybrid'!W$56)^-$C199</f>
        <v>0</v>
      </c>
      <c r="X199" s="314">
        <f>IF('El og plugin hybrid'!W$65="el",W131,IF('El og plugin hybrid'!W$65="plugin hybrid benzin",W131+W154,IF('El og plugin hybrid'!W$65="plugin hybrid diesel",W131+W177,0)))</f>
        <v>0</v>
      </c>
    </row>
    <row r="200" spans="1:24">
      <c r="A200" s="308"/>
      <c r="B200" s="302">
        <v>14</v>
      </c>
      <c r="C200" s="302">
        <f t="shared" si="9"/>
        <v>14</v>
      </c>
      <c r="D200" s="302"/>
      <c r="E200" s="500">
        <f>F200*IF('El og plugin hybrid'!E$29="nej",0,IF('El og plugin hybrid'!E$41="ja",'El og plugin hybrid'!E$42,'El og plugin hybrid'!E$43))*(1+'El og plugin hybrid'!E$56)^-$C200</f>
        <v>0</v>
      </c>
      <c r="F200" s="314">
        <f>IF('El og plugin hybrid'!E$65="el",E132,IF('El og plugin hybrid'!E$65="plugin hybrid benzin",E132+E155,IF('El og plugin hybrid'!E$65="plugin hybrid diesel",E132+E178,0)))</f>
        <v>0</v>
      </c>
      <c r="G200" s="500">
        <f>H200*IF('El og plugin hybrid'!G$29="nej",0,IF('El og plugin hybrid'!G$41="ja",'El og plugin hybrid'!G$42,'El og plugin hybrid'!G$43))*(1+'El og plugin hybrid'!G$56)^-$C200</f>
        <v>0</v>
      </c>
      <c r="H200" s="314">
        <f>IF('El og plugin hybrid'!G$65="el",G132,IF('El og plugin hybrid'!G$65="plugin hybrid benzin",G132+G155,IF('El og plugin hybrid'!G$65="plugin hybrid diesel",G132+G178,0)))</f>
        <v>0</v>
      </c>
      <c r="I200" s="500">
        <f>J200*IF('El og plugin hybrid'!I$29="nej",0,IF('El og plugin hybrid'!I$41="ja",'El og plugin hybrid'!I$42,'El og plugin hybrid'!I$43))*(1+'El og plugin hybrid'!I$56)^-$C200</f>
        <v>0</v>
      </c>
      <c r="J200" s="314">
        <f>IF('El og plugin hybrid'!I$65="el",I132,IF('El og plugin hybrid'!I$65="plugin hybrid benzin",I132+I155,IF('El og plugin hybrid'!I$65="plugin hybrid diesel",I132+I178,0)))</f>
        <v>0</v>
      </c>
      <c r="K200" s="500">
        <f>L200*IF('El og plugin hybrid'!K$29="nej",0,IF('El og plugin hybrid'!K$41="ja",'El og plugin hybrid'!K$42,'El og plugin hybrid'!K$43))*(1+'El og plugin hybrid'!K$56)^-$C200</f>
        <v>0</v>
      </c>
      <c r="L200" s="314">
        <f>IF('El og plugin hybrid'!K$65="el",K132,IF('El og plugin hybrid'!K$65="plugin hybrid benzin",K132+K155,IF('El og plugin hybrid'!K$65="plugin hybrid diesel",K132+K178,0)))</f>
        <v>0</v>
      </c>
      <c r="M200" s="500">
        <f>N200*IF('El og plugin hybrid'!M$29="nej",0,IF('El og plugin hybrid'!M$41="ja",'El og plugin hybrid'!M$42,'El og plugin hybrid'!M$43))*(1+'El og plugin hybrid'!M$56)^-$C200</f>
        <v>0</v>
      </c>
      <c r="N200" s="314">
        <f>IF('El og plugin hybrid'!M$65="el",M132,IF('El og plugin hybrid'!M$65="plugin hybrid benzin",M132+M155,IF('El og plugin hybrid'!M$65="plugin hybrid diesel",M132+M178,0)))</f>
        <v>0</v>
      </c>
      <c r="O200" s="500">
        <f>P200*IF('El og plugin hybrid'!O$29="nej",0,IF('El og plugin hybrid'!O$41="ja",'El og plugin hybrid'!O$42,'El og plugin hybrid'!O$43))*(1+'El og plugin hybrid'!O$56)^-$C200</f>
        <v>0</v>
      </c>
      <c r="P200" s="314">
        <f>IF('El og plugin hybrid'!O$65="el",O132,IF('El og plugin hybrid'!O$65="plugin hybrid benzin",O132+O155,IF('El og plugin hybrid'!O$65="plugin hybrid diesel",O132+O178,0)))</f>
        <v>0</v>
      </c>
      <c r="Q200" s="500">
        <f>R200*IF('El og plugin hybrid'!Q$29="nej",0,IF('El og plugin hybrid'!Q$41="ja",'El og plugin hybrid'!Q$42,'El og plugin hybrid'!Q$43))*(1+'El og plugin hybrid'!Q$56)^-$C200</f>
        <v>0</v>
      </c>
      <c r="R200" s="314">
        <f>IF('El og plugin hybrid'!Q$65="el",Q132,IF('El og plugin hybrid'!Q$65="plugin hybrid benzin",Q132+Q155,IF('El og plugin hybrid'!Q$65="plugin hybrid diesel",Q132+Q178,0)))</f>
        <v>0</v>
      </c>
      <c r="S200" s="500">
        <f>T200*IF('El og plugin hybrid'!S$29="nej",0,IF('El og plugin hybrid'!S$41="ja",'El og plugin hybrid'!S$42,'El og plugin hybrid'!S$43))*(1+'El og plugin hybrid'!S$56)^-$C200</f>
        <v>0</v>
      </c>
      <c r="T200" s="314">
        <f>IF('El og plugin hybrid'!S$65="el",S132,IF('El og plugin hybrid'!S$65="plugin hybrid benzin",S132+S155,IF('El og plugin hybrid'!S$65="plugin hybrid diesel",S132+S178,0)))</f>
        <v>0</v>
      </c>
      <c r="U200" s="500">
        <f>V200*IF('El og plugin hybrid'!U$29="nej",0,IF('El og plugin hybrid'!U$41="ja",'El og plugin hybrid'!U$42,'El og plugin hybrid'!U$43))*(1+'El og plugin hybrid'!U$56)^-$C200</f>
        <v>0</v>
      </c>
      <c r="V200" s="314">
        <f>IF('El og plugin hybrid'!U$65="el",U132,IF('El og plugin hybrid'!U$65="plugin hybrid benzin",U132+U155,IF('El og plugin hybrid'!U$65="plugin hybrid diesel",U132+U178,0)))</f>
        <v>0</v>
      </c>
      <c r="W200" s="500">
        <f>X200*IF('El og plugin hybrid'!W$29="nej",0,IF('El og plugin hybrid'!W$41="ja",'El og plugin hybrid'!W$42,'El og plugin hybrid'!W$43))*(1+'El og plugin hybrid'!W$56)^-$C200</f>
        <v>0</v>
      </c>
      <c r="X200" s="314">
        <f>IF('El og plugin hybrid'!W$65="el",W132,IF('El og plugin hybrid'!W$65="plugin hybrid benzin",W132+W155,IF('El og plugin hybrid'!W$65="plugin hybrid diesel",W132+W178,0)))</f>
        <v>0</v>
      </c>
    </row>
    <row r="201" spans="1:24">
      <c r="A201" s="308"/>
      <c r="B201" s="302">
        <v>15</v>
      </c>
      <c r="C201" s="302">
        <f t="shared" si="9"/>
        <v>15</v>
      </c>
      <c r="D201" s="302"/>
      <c r="E201" s="500">
        <f>F201*IF('El og plugin hybrid'!E$29="nej",0,IF('El og plugin hybrid'!E$41="ja",'El og plugin hybrid'!E$42,'El og plugin hybrid'!E$43))*(1+'El og plugin hybrid'!E$56)^-$C201</f>
        <v>0</v>
      </c>
      <c r="F201" s="314">
        <f>IF('El og plugin hybrid'!E$65="el",E133,IF('El og plugin hybrid'!E$65="plugin hybrid benzin",E133+E156,IF('El og plugin hybrid'!E$65="plugin hybrid diesel",E133+E179,0)))</f>
        <v>0</v>
      </c>
      <c r="G201" s="500">
        <f>H201*IF('El og plugin hybrid'!G$29="nej",0,IF('El og plugin hybrid'!G$41="ja",'El og plugin hybrid'!G$42,'El og plugin hybrid'!G$43))*(1+'El og plugin hybrid'!G$56)^-$C201</f>
        <v>0</v>
      </c>
      <c r="H201" s="314">
        <f>IF('El og plugin hybrid'!G$65="el",G133,IF('El og plugin hybrid'!G$65="plugin hybrid benzin",G133+G156,IF('El og plugin hybrid'!G$65="plugin hybrid diesel",G133+G179,0)))</f>
        <v>0</v>
      </c>
      <c r="I201" s="500">
        <f>J201*IF('El og plugin hybrid'!I$29="nej",0,IF('El og plugin hybrid'!I$41="ja",'El og plugin hybrid'!I$42,'El og plugin hybrid'!I$43))*(1+'El og plugin hybrid'!I$56)^-$C201</f>
        <v>0</v>
      </c>
      <c r="J201" s="314">
        <f>IF('El og plugin hybrid'!I$65="el",I133,IF('El og plugin hybrid'!I$65="plugin hybrid benzin",I133+I156,IF('El og plugin hybrid'!I$65="plugin hybrid diesel",I133+I179,0)))</f>
        <v>0</v>
      </c>
      <c r="K201" s="500">
        <f>L201*IF('El og plugin hybrid'!K$29="nej",0,IF('El og plugin hybrid'!K$41="ja",'El og plugin hybrid'!K$42,'El og plugin hybrid'!K$43))*(1+'El og plugin hybrid'!K$56)^-$C201</f>
        <v>0</v>
      </c>
      <c r="L201" s="314">
        <f>IF('El og plugin hybrid'!K$65="el",K133,IF('El og plugin hybrid'!K$65="plugin hybrid benzin",K133+K156,IF('El og plugin hybrid'!K$65="plugin hybrid diesel",K133+K179,0)))</f>
        <v>0</v>
      </c>
      <c r="M201" s="500">
        <f>N201*IF('El og plugin hybrid'!M$29="nej",0,IF('El og plugin hybrid'!M$41="ja",'El og plugin hybrid'!M$42,'El og plugin hybrid'!M$43))*(1+'El og plugin hybrid'!M$56)^-$C201</f>
        <v>0</v>
      </c>
      <c r="N201" s="314">
        <f>IF('El og plugin hybrid'!M$65="el",M133,IF('El og plugin hybrid'!M$65="plugin hybrid benzin",M133+M156,IF('El og plugin hybrid'!M$65="plugin hybrid diesel",M133+M179,0)))</f>
        <v>0</v>
      </c>
      <c r="O201" s="500">
        <f>P201*IF('El og plugin hybrid'!O$29="nej",0,IF('El og plugin hybrid'!O$41="ja",'El og plugin hybrid'!O$42,'El og plugin hybrid'!O$43))*(1+'El og plugin hybrid'!O$56)^-$C201</f>
        <v>0</v>
      </c>
      <c r="P201" s="314">
        <f>IF('El og plugin hybrid'!O$65="el",O133,IF('El og plugin hybrid'!O$65="plugin hybrid benzin",O133+O156,IF('El og plugin hybrid'!O$65="plugin hybrid diesel",O133+O179,0)))</f>
        <v>0</v>
      </c>
      <c r="Q201" s="500">
        <f>R201*IF('El og plugin hybrid'!Q$29="nej",0,IF('El og plugin hybrid'!Q$41="ja",'El og plugin hybrid'!Q$42,'El og plugin hybrid'!Q$43))*(1+'El og plugin hybrid'!Q$56)^-$C201</f>
        <v>0</v>
      </c>
      <c r="R201" s="314">
        <f>IF('El og plugin hybrid'!Q$65="el",Q133,IF('El og plugin hybrid'!Q$65="plugin hybrid benzin",Q133+Q156,IF('El og plugin hybrid'!Q$65="plugin hybrid diesel",Q133+Q179,0)))</f>
        <v>0</v>
      </c>
      <c r="S201" s="500">
        <f>T201*IF('El og plugin hybrid'!S$29="nej",0,IF('El og plugin hybrid'!S$41="ja",'El og plugin hybrid'!S$42,'El og plugin hybrid'!S$43))*(1+'El og plugin hybrid'!S$56)^-$C201</f>
        <v>0</v>
      </c>
      <c r="T201" s="314">
        <f>IF('El og plugin hybrid'!S$65="el",S133,IF('El og plugin hybrid'!S$65="plugin hybrid benzin",S133+S156,IF('El og plugin hybrid'!S$65="plugin hybrid diesel",S133+S179,0)))</f>
        <v>0</v>
      </c>
      <c r="U201" s="500">
        <f>V201*IF('El og plugin hybrid'!U$29="nej",0,IF('El og plugin hybrid'!U$41="ja",'El og plugin hybrid'!U$42,'El og plugin hybrid'!U$43))*(1+'El og plugin hybrid'!U$56)^-$C201</f>
        <v>0</v>
      </c>
      <c r="V201" s="314">
        <f>IF('El og plugin hybrid'!U$65="el",U133,IF('El og plugin hybrid'!U$65="plugin hybrid benzin",U133+U156,IF('El og plugin hybrid'!U$65="plugin hybrid diesel",U133+U179,0)))</f>
        <v>0</v>
      </c>
      <c r="W201" s="500">
        <f>X201*IF('El og plugin hybrid'!W$29="nej",0,IF('El og plugin hybrid'!W$41="ja",'El og plugin hybrid'!W$42,'El og plugin hybrid'!W$43))*(1+'El og plugin hybrid'!W$56)^-$C201</f>
        <v>0</v>
      </c>
      <c r="X201" s="314">
        <f>IF('El og plugin hybrid'!W$65="el",W133,IF('El og plugin hybrid'!W$65="plugin hybrid benzin",W133+W156,IF('El og plugin hybrid'!W$65="plugin hybrid diesel",W133+W179,0)))</f>
        <v>0</v>
      </c>
    </row>
    <row r="202" spans="1:24">
      <c r="A202" s="308"/>
      <c r="B202" s="302">
        <v>16</v>
      </c>
      <c r="C202" s="302">
        <f t="shared" si="9"/>
        <v>16</v>
      </c>
      <c r="D202" s="302"/>
      <c r="E202" s="500">
        <f>F202*IF('El og plugin hybrid'!E$29="nej",0,IF('El og plugin hybrid'!E$41="ja",'El og plugin hybrid'!E$42,'El og plugin hybrid'!E$43))*(1+'El og plugin hybrid'!E$56)^-$C202</f>
        <v>0</v>
      </c>
      <c r="F202" s="314">
        <f>IF('El og plugin hybrid'!E$65="el",E134,IF('El og plugin hybrid'!E$65="plugin hybrid benzin",E134+E157,IF('El og plugin hybrid'!E$65="plugin hybrid diesel",E134+E180,0)))</f>
        <v>0</v>
      </c>
      <c r="G202" s="500">
        <f>H202*IF('El og plugin hybrid'!G$29="nej",0,IF('El og plugin hybrid'!G$41="ja",'El og plugin hybrid'!G$42,'El og plugin hybrid'!G$43))*(1+'El og plugin hybrid'!G$56)^-$C202</f>
        <v>0</v>
      </c>
      <c r="H202" s="314">
        <f>IF('El og plugin hybrid'!G$65="el",G134,IF('El og plugin hybrid'!G$65="plugin hybrid benzin",G134+G157,IF('El og plugin hybrid'!G$65="plugin hybrid diesel",G134+G180,0)))</f>
        <v>0</v>
      </c>
      <c r="I202" s="500">
        <f>J202*IF('El og plugin hybrid'!I$29="nej",0,IF('El og plugin hybrid'!I$41="ja",'El og plugin hybrid'!I$42,'El og plugin hybrid'!I$43))*(1+'El og plugin hybrid'!I$56)^-$C202</f>
        <v>0</v>
      </c>
      <c r="J202" s="314">
        <f>IF('El og plugin hybrid'!I$65="el",I134,IF('El og plugin hybrid'!I$65="plugin hybrid benzin",I134+I157,IF('El og plugin hybrid'!I$65="plugin hybrid diesel",I134+I180,0)))</f>
        <v>0</v>
      </c>
      <c r="K202" s="500">
        <f>L202*IF('El og plugin hybrid'!K$29="nej",0,IF('El og plugin hybrid'!K$41="ja",'El og plugin hybrid'!K$42,'El og plugin hybrid'!K$43))*(1+'El og plugin hybrid'!K$56)^-$C202</f>
        <v>0</v>
      </c>
      <c r="L202" s="314">
        <f>IF('El og plugin hybrid'!K$65="el",K134,IF('El og plugin hybrid'!K$65="plugin hybrid benzin",K134+K157,IF('El og plugin hybrid'!K$65="plugin hybrid diesel",K134+K180,0)))</f>
        <v>0</v>
      </c>
      <c r="M202" s="500">
        <f>N202*IF('El og plugin hybrid'!M$29="nej",0,IF('El og plugin hybrid'!M$41="ja",'El og plugin hybrid'!M$42,'El og plugin hybrid'!M$43))*(1+'El og plugin hybrid'!M$56)^-$C202</f>
        <v>0</v>
      </c>
      <c r="N202" s="314">
        <f>IF('El og plugin hybrid'!M$65="el",M134,IF('El og plugin hybrid'!M$65="plugin hybrid benzin",M134+M157,IF('El og plugin hybrid'!M$65="plugin hybrid diesel",M134+M180,0)))</f>
        <v>0</v>
      </c>
      <c r="O202" s="500">
        <f>P202*IF('El og plugin hybrid'!O$29="nej",0,IF('El og plugin hybrid'!O$41="ja",'El og plugin hybrid'!O$42,'El og plugin hybrid'!O$43))*(1+'El og plugin hybrid'!O$56)^-$C202</f>
        <v>0</v>
      </c>
      <c r="P202" s="314">
        <f>IF('El og plugin hybrid'!O$65="el",O134,IF('El og plugin hybrid'!O$65="plugin hybrid benzin",O134+O157,IF('El og plugin hybrid'!O$65="plugin hybrid diesel",O134+O180,0)))</f>
        <v>0</v>
      </c>
      <c r="Q202" s="500">
        <f>R202*IF('El og plugin hybrid'!Q$29="nej",0,IF('El og plugin hybrid'!Q$41="ja",'El og plugin hybrid'!Q$42,'El og plugin hybrid'!Q$43))*(1+'El og plugin hybrid'!Q$56)^-$C202</f>
        <v>0</v>
      </c>
      <c r="R202" s="314">
        <f>IF('El og plugin hybrid'!Q$65="el",Q134,IF('El og plugin hybrid'!Q$65="plugin hybrid benzin",Q134+Q157,IF('El og plugin hybrid'!Q$65="plugin hybrid diesel",Q134+Q180,0)))</f>
        <v>0</v>
      </c>
      <c r="S202" s="500">
        <f>T202*IF('El og plugin hybrid'!S$29="nej",0,IF('El og plugin hybrid'!S$41="ja",'El og plugin hybrid'!S$42,'El og plugin hybrid'!S$43))*(1+'El og plugin hybrid'!S$56)^-$C202</f>
        <v>0</v>
      </c>
      <c r="T202" s="314">
        <f>IF('El og plugin hybrid'!S$65="el",S134,IF('El og plugin hybrid'!S$65="plugin hybrid benzin",S134+S157,IF('El og plugin hybrid'!S$65="plugin hybrid diesel",S134+S180,0)))</f>
        <v>0</v>
      </c>
      <c r="U202" s="500">
        <f>V202*IF('El og plugin hybrid'!U$29="nej",0,IF('El og plugin hybrid'!U$41="ja",'El og plugin hybrid'!U$42,'El og plugin hybrid'!U$43))*(1+'El og plugin hybrid'!U$56)^-$C202</f>
        <v>0</v>
      </c>
      <c r="V202" s="314">
        <f>IF('El og plugin hybrid'!U$65="el",U134,IF('El og plugin hybrid'!U$65="plugin hybrid benzin",U134+U157,IF('El og plugin hybrid'!U$65="plugin hybrid diesel",U134+U180,0)))</f>
        <v>0</v>
      </c>
      <c r="W202" s="500">
        <f>X202*IF('El og plugin hybrid'!W$29="nej",0,IF('El og plugin hybrid'!W$41="ja",'El og plugin hybrid'!W$42,'El og plugin hybrid'!W$43))*(1+'El og plugin hybrid'!W$56)^-$C202</f>
        <v>0</v>
      </c>
      <c r="X202" s="314">
        <f>IF('El og plugin hybrid'!W$65="el",W134,IF('El og plugin hybrid'!W$65="plugin hybrid benzin",W134+W157,IF('El og plugin hybrid'!W$65="plugin hybrid diesel",W134+W180,0)))</f>
        <v>0</v>
      </c>
    </row>
    <row r="203" spans="1:24">
      <c r="A203" s="308"/>
      <c r="B203" s="302">
        <v>17</v>
      </c>
      <c r="C203" s="302">
        <f t="shared" si="9"/>
        <v>17</v>
      </c>
      <c r="D203" s="302"/>
      <c r="E203" s="500">
        <f>F203*IF('El og plugin hybrid'!E$29="nej",0,IF('El og plugin hybrid'!E$41="ja",'El og plugin hybrid'!E$42,'El og plugin hybrid'!E$43))*(1+'El og plugin hybrid'!E$56)^-$C203</f>
        <v>0</v>
      </c>
      <c r="F203" s="314">
        <f>IF('El og plugin hybrid'!E$65="el",E135,IF('El og plugin hybrid'!E$65="plugin hybrid benzin",E135+E158,IF('El og plugin hybrid'!E$65="plugin hybrid diesel",E135+E181,0)))</f>
        <v>0</v>
      </c>
      <c r="G203" s="500">
        <f>H203*IF('El og plugin hybrid'!G$29="nej",0,IF('El og plugin hybrid'!G$41="ja",'El og plugin hybrid'!G$42,'El og plugin hybrid'!G$43))*(1+'El og plugin hybrid'!G$56)^-$C203</f>
        <v>0</v>
      </c>
      <c r="H203" s="314">
        <f>IF('El og plugin hybrid'!G$65="el",G135,IF('El og plugin hybrid'!G$65="plugin hybrid benzin",G135+G158,IF('El og plugin hybrid'!G$65="plugin hybrid diesel",G135+G181,0)))</f>
        <v>0</v>
      </c>
      <c r="I203" s="500">
        <f>J203*IF('El og plugin hybrid'!I$29="nej",0,IF('El og plugin hybrid'!I$41="ja",'El og plugin hybrid'!I$42,'El og plugin hybrid'!I$43))*(1+'El og plugin hybrid'!I$56)^-$C203</f>
        <v>0</v>
      </c>
      <c r="J203" s="314">
        <f>IF('El og plugin hybrid'!I$65="el",I135,IF('El og plugin hybrid'!I$65="plugin hybrid benzin",I135+I158,IF('El og plugin hybrid'!I$65="plugin hybrid diesel",I135+I181,0)))</f>
        <v>0</v>
      </c>
      <c r="K203" s="500">
        <f>L203*IF('El og plugin hybrid'!K$29="nej",0,IF('El og plugin hybrid'!K$41="ja",'El og plugin hybrid'!K$42,'El og plugin hybrid'!K$43))*(1+'El og plugin hybrid'!K$56)^-$C203</f>
        <v>0</v>
      </c>
      <c r="L203" s="314">
        <f>IF('El og plugin hybrid'!K$65="el",K135,IF('El og plugin hybrid'!K$65="plugin hybrid benzin",K135+K158,IF('El og plugin hybrid'!K$65="plugin hybrid diesel",K135+K181,0)))</f>
        <v>0</v>
      </c>
      <c r="M203" s="500">
        <f>N203*IF('El og plugin hybrid'!M$29="nej",0,IF('El og plugin hybrid'!M$41="ja",'El og plugin hybrid'!M$42,'El og plugin hybrid'!M$43))*(1+'El og plugin hybrid'!M$56)^-$C203</f>
        <v>0</v>
      </c>
      <c r="N203" s="314">
        <f>IF('El og plugin hybrid'!M$65="el",M135,IF('El og plugin hybrid'!M$65="plugin hybrid benzin",M135+M158,IF('El og plugin hybrid'!M$65="plugin hybrid diesel",M135+M181,0)))</f>
        <v>0</v>
      </c>
      <c r="O203" s="500">
        <f>P203*IF('El og plugin hybrid'!O$29="nej",0,IF('El og plugin hybrid'!O$41="ja",'El og plugin hybrid'!O$42,'El og plugin hybrid'!O$43))*(1+'El og plugin hybrid'!O$56)^-$C203</f>
        <v>0</v>
      </c>
      <c r="P203" s="314">
        <f>IF('El og plugin hybrid'!O$65="el",O135,IF('El og plugin hybrid'!O$65="plugin hybrid benzin",O135+O158,IF('El og plugin hybrid'!O$65="plugin hybrid diesel",O135+O181,0)))</f>
        <v>0</v>
      </c>
      <c r="Q203" s="500">
        <f>R203*IF('El og plugin hybrid'!Q$29="nej",0,IF('El og plugin hybrid'!Q$41="ja",'El og plugin hybrid'!Q$42,'El og plugin hybrid'!Q$43))*(1+'El og plugin hybrid'!Q$56)^-$C203</f>
        <v>0</v>
      </c>
      <c r="R203" s="314">
        <f>IF('El og plugin hybrid'!Q$65="el",Q135,IF('El og plugin hybrid'!Q$65="plugin hybrid benzin",Q135+Q158,IF('El og plugin hybrid'!Q$65="plugin hybrid diesel",Q135+Q181,0)))</f>
        <v>0</v>
      </c>
      <c r="S203" s="500">
        <f>T203*IF('El og plugin hybrid'!S$29="nej",0,IF('El og plugin hybrid'!S$41="ja",'El og plugin hybrid'!S$42,'El og plugin hybrid'!S$43))*(1+'El og plugin hybrid'!S$56)^-$C203</f>
        <v>0</v>
      </c>
      <c r="T203" s="314">
        <f>IF('El og plugin hybrid'!S$65="el",S135,IF('El og plugin hybrid'!S$65="plugin hybrid benzin",S135+S158,IF('El og plugin hybrid'!S$65="plugin hybrid diesel",S135+S181,0)))</f>
        <v>0</v>
      </c>
      <c r="U203" s="500">
        <f>V203*IF('El og plugin hybrid'!U$29="nej",0,IF('El og plugin hybrid'!U$41="ja",'El og plugin hybrid'!U$42,'El og plugin hybrid'!U$43))*(1+'El og plugin hybrid'!U$56)^-$C203</f>
        <v>0</v>
      </c>
      <c r="V203" s="314">
        <f>IF('El og plugin hybrid'!U$65="el",U135,IF('El og plugin hybrid'!U$65="plugin hybrid benzin",U135+U158,IF('El og plugin hybrid'!U$65="plugin hybrid diesel",U135+U181,0)))</f>
        <v>0</v>
      </c>
      <c r="W203" s="500">
        <f>X203*IF('El og plugin hybrid'!W$29="nej",0,IF('El og plugin hybrid'!W$41="ja",'El og plugin hybrid'!W$42,'El og plugin hybrid'!W$43))*(1+'El og plugin hybrid'!W$56)^-$C203</f>
        <v>0</v>
      </c>
      <c r="X203" s="314">
        <f>IF('El og plugin hybrid'!W$65="el",W135,IF('El og plugin hybrid'!W$65="plugin hybrid benzin",W135+W158,IF('El og plugin hybrid'!W$65="plugin hybrid diesel",W135+W181,0)))</f>
        <v>0</v>
      </c>
    </row>
    <row r="204" spans="1:24">
      <c r="A204" s="308"/>
      <c r="B204" s="302">
        <v>18</v>
      </c>
      <c r="C204" s="302">
        <f t="shared" si="9"/>
        <v>18</v>
      </c>
      <c r="D204" s="302"/>
      <c r="E204" s="500">
        <f>F204*IF('El og plugin hybrid'!E$29="nej",0,IF('El og plugin hybrid'!E$41="ja",'El og plugin hybrid'!E$42,'El og plugin hybrid'!E$43))*(1+'El og plugin hybrid'!E$56)^-$C204</f>
        <v>0</v>
      </c>
      <c r="F204" s="314">
        <f>IF('El og plugin hybrid'!E$65="el",E136,IF('El og plugin hybrid'!E$65="plugin hybrid benzin",E136+E159,IF('El og plugin hybrid'!E$65="plugin hybrid diesel",E136+E182,0)))</f>
        <v>0</v>
      </c>
      <c r="G204" s="500">
        <f>H204*IF('El og plugin hybrid'!G$29="nej",0,IF('El og plugin hybrid'!G$41="ja",'El og plugin hybrid'!G$42,'El og plugin hybrid'!G$43))*(1+'El og plugin hybrid'!G$56)^-$C204</f>
        <v>0</v>
      </c>
      <c r="H204" s="314">
        <f>IF('El og plugin hybrid'!G$65="el",G136,IF('El og plugin hybrid'!G$65="plugin hybrid benzin",G136+G159,IF('El og plugin hybrid'!G$65="plugin hybrid diesel",G136+G182,0)))</f>
        <v>0</v>
      </c>
      <c r="I204" s="500">
        <f>J204*IF('El og plugin hybrid'!I$29="nej",0,IF('El og plugin hybrid'!I$41="ja",'El og plugin hybrid'!I$42,'El og plugin hybrid'!I$43))*(1+'El og plugin hybrid'!I$56)^-$C204</f>
        <v>0</v>
      </c>
      <c r="J204" s="314">
        <f>IF('El og plugin hybrid'!I$65="el",I136,IF('El og plugin hybrid'!I$65="plugin hybrid benzin",I136+I159,IF('El og plugin hybrid'!I$65="plugin hybrid diesel",I136+I182,0)))</f>
        <v>0</v>
      </c>
      <c r="K204" s="500">
        <f>L204*IF('El og plugin hybrid'!K$29="nej",0,IF('El og plugin hybrid'!K$41="ja",'El og plugin hybrid'!K$42,'El og plugin hybrid'!K$43))*(1+'El og plugin hybrid'!K$56)^-$C204</f>
        <v>0</v>
      </c>
      <c r="L204" s="314">
        <f>IF('El og plugin hybrid'!K$65="el",K136,IF('El og plugin hybrid'!K$65="plugin hybrid benzin",K136+K159,IF('El og plugin hybrid'!K$65="plugin hybrid diesel",K136+K182,0)))</f>
        <v>0</v>
      </c>
      <c r="M204" s="500">
        <f>N204*IF('El og plugin hybrid'!M$29="nej",0,IF('El og plugin hybrid'!M$41="ja",'El og plugin hybrid'!M$42,'El og plugin hybrid'!M$43))*(1+'El og plugin hybrid'!M$56)^-$C204</f>
        <v>0</v>
      </c>
      <c r="N204" s="314">
        <f>IF('El og plugin hybrid'!M$65="el",M136,IF('El og plugin hybrid'!M$65="plugin hybrid benzin",M136+M159,IF('El og plugin hybrid'!M$65="plugin hybrid diesel",M136+M182,0)))</f>
        <v>0</v>
      </c>
      <c r="O204" s="500">
        <f>P204*IF('El og plugin hybrid'!O$29="nej",0,IF('El og plugin hybrid'!O$41="ja",'El og plugin hybrid'!O$42,'El og plugin hybrid'!O$43))*(1+'El og plugin hybrid'!O$56)^-$C204</f>
        <v>0</v>
      </c>
      <c r="P204" s="314">
        <f>IF('El og plugin hybrid'!O$65="el",O136,IF('El og plugin hybrid'!O$65="plugin hybrid benzin",O136+O159,IF('El og plugin hybrid'!O$65="plugin hybrid diesel",O136+O182,0)))</f>
        <v>0</v>
      </c>
      <c r="Q204" s="500">
        <f>R204*IF('El og plugin hybrid'!Q$29="nej",0,IF('El og plugin hybrid'!Q$41="ja",'El og plugin hybrid'!Q$42,'El og plugin hybrid'!Q$43))*(1+'El og plugin hybrid'!Q$56)^-$C204</f>
        <v>0</v>
      </c>
      <c r="R204" s="314">
        <f>IF('El og plugin hybrid'!Q$65="el",Q136,IF('El og plugin hybrid'!Q$65="plugin hybrid benzin",Q136+Q159,IF('El og plugin hybrid'!Q$65="plugin hybrid diesel",Q136+Q182,0)))</f>
        <v>0</v>
      </c>
      <c r="S204" s="500">
        <f>T204*IF('El og plugin hybrid'!S$29="nej",0,IF('El og plugin hybrid'!S$41="ja",'El og plugin hybrid'!S$42,'El og plugin hybrid'!S$43))*(1+'El og plugin hybrid'!S$56)^-$C204</f>
        <v>0</v>
      </c>
      <c r="T204" s="314">
        <f>IF('El og plugin hybrid'!S$65="el",S136,IF('El og plugin hybrid'!S$65="plugin hybrid benzin",S136+S159,IF('El og plugin hybrid'!S$65="plugin hybrid diesel",S136+S182,0)))</f>
        <v>0</v>
      </c>
      <c r="U204" s="500">
        <f>V204*IF('El og plugin hybrid'!U$29="nej",0,IF('El og plugin hybrid'!U$41="ja",'El og plugin hybrid'!U$42,'El og plugin hybrid'!U$43))*(1+'El og plugin hybrid'!U$56)^-$C204</f>
        <v>0</v>
      </c>
      <c r="V204" s="314">
        <f>IF('El og plugin hybrid'!U$65="el",U136,IF('El og plugin hybrid'!U$65="plugin hybrid benzin",U136+U159,IF('El og plugin hybrid'!U$65="plugin hybrid diesel",U136+U182,0)))</f>
        <v>0</v>
      </c>
      <c r="W204" s="500">
        <f>X204*IF('El og plugin hybrid'!W$29="nej",0,IF('El og plugin hybrid'!W$41="ja",'El og plugin hybrid'!W$42,'El og plugin hybrid'!W$43))*(1+'El og plugin hybrid'!W$56)^-$C204</f>
        <v>0</v>
      </c>
      <c r="X204" s="314">
        <f>IF('El og plugin hybrid'!W$65="el",W136,IF('El og plugin hybrid'!W$65="plugin hybrid benzin",W136+W159,IF('El og plugin hybrid'!W$65="plugin hybrid diesel",W136+W182,0)))</f>
        <v>0</v>
      </c>
    </row>
    <row r="205" spans="1:24">
      <c r="A205" s="308"/>
      <c r="B205" s="302">
        <v>19</v>
      </c>
      <c r="C205" s="302">
        <f t="shared" si="9"/>
        <v>19</v>
      </c>
      <c r="D205" s="302"/>
      <c r="E205" s="500">
        <f>F205*IF('El og plugin hybrid'!E$29="nej",0,IF('El og plugin hybrid'!E$41="ja",'El og plugin hybrid'!E$42,'El og plugin hybrid'!E$43))*(1+'El og plugin hybrid'!E$56)^-$C205</f>
        <v>0</v>
      </c>
      <c r="F205" s="314">
        <f>IF('El og plugin hybrid'!E$65="el",E137,IF('El og plugin hybrid'!E$65="plugin hybrid benzin",E137+E160,IF('El og plugin hybrid'!E$65="plugin hybrid diesel",E137+E183,0)))</f>
        <v>0</v>
      </c>
      <c r="G205" s="500">
        <f>H205*IF('El og plugin hybrid'!G$29="nej",0,IF('El og plugin hybrid'!G$41="ja",'El og plugin hybrid'!G$42,'El og plugin hybrid'!G$43))*(1+'El og plugin hybrid'!G$56)^-$C205</f>
        <v>0</v>
      </c>
      <c r="H205" s="314">
        <f>IF('El og plugin hybrid'!G$65="el",G137,IF('El og plugin hybrid'!G$65="plugin hybrid benzin",G137+G160,IF('El og plugin hybrid'!G$65="plugin hybrid diesel",G137+G183,0)))</f>
        <v>0</v>
      </c>
      <c r="I205" s="500">
        <f>J205*IF('El og plugin hybrid'!I$29="nej",0,IF('El og plugin hybrid'!I$41="ja",'El og plugin hybrid'!I$42,'El og plugin hybrid'!I$43))*(1+'El og plugin hybrid'!I$56)^-$C205</f>
        <v>0</v>
      </c>
      <c r="J205" s="314">
        <f>IF('El og plugin hybrid'!I$65="el",I137,IF('El og plugin hybrid'!I$65="plugin hybrid benzin",I137+I160,IF('El og plugin hybrid'!I$65="plugin hybrid diesel",I137+I183,0)))</f>
        <v>0</v>
      </c>
      <c r="K205" s="500">
        <f>L205*IF('El og plugin hybrid'!K$29="nej",0,IF('El og plugin hybrid'!K$41="ja",'El og plugin hybrid'!K$42,'El og plugin hybrid'!K$43))*(1+'El og plugin hybrid'!K$56)^-$C205</f>
        <v>0</v>
      </c>
      <c r="L205" s="314">
        <f>IF('El og plugin hybrid'!K$65="el",K137,IF('El og plugin hybrid'!K$65="plugin hybrid benzin",K137+K160,IF('El og plugin hybrid'!K$65="plugin hybrid diesel",K137+K183,0)))</f>
        <v>0</v>
      </c>
      <c r="M205" s="500">
        <f>N205*IF('El og plugin hybrid'!M$29="nej",0,IF('El og plugin hybrid'!M$41="ja",'El og plugin hybrid'!M$42,'El og plugin hybrid'!M$43))*(1+'El og plugin hybrid'!M$56)^-$C205</f>
        <v>0</v>
      </c>
      <c r="N205" s="314">
        <f>IF('El og plugin hybrid'!M$65="el",M137,IF('El og plugin hybrid'!M$65="plugin hybrid benzin",M137+M160,IF('El og plugin hybrid'!M$65="plugin hybrid diesel",M137+M183,0)))</f>
        <v>0</v>
      </c>
      <c r="O205" s="500">
        <f>P205*IF('El og plugin hybrid'!O$29="nej",0,IF('El og plugin hybrid'!O$41="ja",'El og plugin hybrid'!O$42,'El og plugin hybrid'!O$43))*(1+'El og plugin hybrid'!O$56)^-$C205</f>
        <v>0</v>
      </c>
      <c r="P205" s="314">
        <f>IF('El og plugin hybrid'!O$65="el",O137,IF('El og plugin hybrid'!O$65="plugin hybrid benzin",O137+O160,IF('El og plugin hybrid'!O$65="plugin hybrid diesel",O137+O183,0)))</f>
        <v>0</v>
      </c>
      <c r="Q205" s="500">
        <f>R205*IF('El og plugin hybrid'!Q$29="nej",0,IF('El og plugin hybrid'!Q$41="ja",'El og plugin hybrid'!Q$42,'El og plugin hybrid'!Q$43))*(1+'El og plugin hybrid'!Q$56)^-$C205</f>
        <v>0</v>
      </c>
      <c r="R205" s="314">
        <f>IF('El og plugin hybrid'!Q$65="el",Q137,IF('El og plugin hybrid'!Q$65="plugin hybrid benzin",Q137+Q160,IF('El og plugin hybrid'!Q$65="plugin hybrid diesel",Q137+Q183,0)))</f>
        <v>0</v>
      </c>
      <c r="S205" s="500">
        <f>T205*IF('El og plugin hybrid'!S$29="nej",0,IF('El og plugin hybrid'!S$41="ja",'El og plugin hybrid'!S$42,'El og plugin hybrid'!S$43))*(1+'El og plugin hybrid'!S$56)^-$C205</f>
        <v>0</v>
      </c>
      <c r="T205" s="314">
        <f>IF('El og plugin hybrid'!S$65="el",S137,IF('El og plugin hybrid'!S$65="plugin hybrid benzin",S137+S160,IF('El og plugin hybrid'!S$65="plugin hybrid diesel",S137+S183,0)))</f>
        <v>0</v>
      </c>
      <c r="U205" s="500">
        <f>V205*IF('El og plugin hybrid'!U$29="nej",0,IF('El og plugin hybrid'!U$41="ja",'El og plugin hybrid'!U$42,'El og plugin hybrid'!U$43))*(1+'El og plugin hybrid'!U$56)^-$C205</f>
        <v>0</v>
      </c>
      <c r="V205" s="314">
        <f>IF('El og plugin hybrid'!U$65="el",U137,IF('El og plugin hybrid'!U$65="plugin hybrid benzin",U137+U160,IF('El og plugin hybrid'!U$65="plugin hybrid diesel",U137+U183,0)))</f>
        <v>0</v>
      </c>
      <c r="W205" s="500">
        <f>X205*IF('El og plugin hybrid'!W$29="nej",0,IF('El og plugin hybrid'!W$41="ja",'El og plugin hybrid'!W$42,'El og plugin hybrid'!W$43))*(1+'El og plugin hybrid'!W$56)^-$C205</f>
        <v>0</v>
      </c>
      <c r="X205" s="314">
        <f>IF('El og plugin hybrid'!W$65="el",W137,IF('El og plugin hybrid'!W$65="plugin hybrid benzin",W137+W160,IF('El og plugin hybrid'!W$65="plugin hybrid diesel",W137+W183,0)))</f>
        <v>0</v>
      </c>
    </row>
    <row r="206" spans="1:24">
      <c r="A206" s="311"/>
      <c r="B206" s="287">
        <v>20</v>
      </c>
      <c r="C206" s="287">
        <f t="shared" si="9"/>
        <v>20</v>
      </c>
      <c r="D206" s="287"/>
      <c r="E206" s="500">
        <f>F206*IF('El og plugin hybrid'!E$29="nej",0,IF('El og plugin hybrid'!E$41="ja",'El og plugin hybrid'!E$42,'El og plugin hybrid'!E$43))*(1+'El og plugin hybrid'!E$56)^-$C206</f>
        <v>0</v>
      </c>
      <c r="F206" s="314">
        <f>IF('El og plugin hybrid'!E$65="el",E138,IF('El og plugin hybrid'!E$65="plugin hybrid benzin",E138+E161,IF('El og plugin hybrid'!E$65="plugin hybrid diesel",E138+E184,0)))</f>
        <v>0</v>
      </c>
      <c r="G206" s="500">
        <f>H206*IF('El og plugin hybrid'!G$29="nej",0,IF('El og plugin hybrid'!G$41="ja",'El og plugin hybrid'!G$42,'El og plugin hybrid'!G$43))*(1+'El og plugin hybrid'!G$56)^-$C206</f>
        <v>0</v>
      </c>
      <c r="H206" s="314">
        <f>IF('El og plugin hybrid'!G$65="el",G138,IF('El og plugin hybrid'!G$65="plugin hybrid benzin",G138+G161,IF('El og plugin hybrid'!G$65="plugin hybrid diesel",G138+G184,0)))</f>
        <v>0</v>
      </c>
      <c r="I206" s="500">
        <f>J206*IF('El og plugin hybrid'!I$29="nej",0,IF('El og plugin hybrid'!I$41="ja",'El og plugin hybrid'!I$42,'El og plugin hybrid'!I$43))*(1+'El og plugin hybrid'!I$56)^-$C206</f>
        <v>0</v>
      </c>
      <c r="J206" s="314">
        <f>IF('El og plugin hybrid'!I$65="el",I138,IF('El og plugin hybrid'!I$65="plugin hybrid benzin",I138+I161,IF('El og plugin hybrid'!I$65="plugin hybrid diesel",I138+I184,0)))</f>
        <v>0</v>
      </c>
      <c r="K206" s="500">
        <f>L206*IF('El og plugin hybrid'!K$29="nej",0,IF('El og plugin hybrid'!K$41="ja",'El og plugin hybrid'!K$42,'El og plugin hybrid'!K$43))*(1+'El og plugin hybrid'!K$56)^-$C206</f>
        <v>0</v>
      </c>
      <c r="L206" s="314">
        <f>IF('El og plugin hybrid'!K$65="el",K138,IF('El og plugin hybrid'!K$65="plugin hybrid benzin",K138+K161,IF('El og plugin hybrid'!K$65="plugin hybrid diesel",K138+K184,0)))</f>
        <v>0</v>
      </c>
      <c r="M206" s="500">
        <f>N206*IF('El og plugin hybrid'!M$29="nej",0,IF('El og plugin hybrid'!M$41="ja",'El og plugin hybrid'!M$42,'El og plugin hybrid'!M$43))*(1+'El og plugin hybrid'!M$56)^-$C206</f>
        <v>0</v>
      </c>
      <c r="N206" s="314">
        <f>IF('El og plugin hybrid'!M$65="el",M138,IF('El og plugin hybrid'!M$65="plugin hybrid benzin",M138+M161,IF('El og plugin hybrid'!M$65="plugin hybrid diesel",M138+M184,0)))</f>
        <v>0</v>
      </c>
      <c r="O206" s="500">
        <f>P206*IF('El og plugin hybrid'!O$29="nej",0,IF('El og plugin hybrid'!O$41="ja",'El og plugin hybrid'!O$42,'El og plugin hybrid'!O$43))*(1+'El og plugin hybrid'!O$56)^-$C206</f>
        <v>0</v>
      </c>
      <c r="P206" s="314">
        <f>IF('El og plugin hybrid'!O$65="el",O138,IF('El og plugin hybrid'!O$65="plugin hybrid benzin",O138+O161,IF('El og plugin hybrid'!O$65="plugin hybrid diesel",O138+O184,0)))</f>
        <v>0</v>
      </c>
      <c r="Q206" s="500">
        <f>R206*IF('El og plugin hybrid'!Q$29="nej",0,IF('El og plugin hybrid'!Q$41="ja",'El og plugin hybrid'!Q$42,'El og plugin hybrid'!Q$43))*(1+'El og plugin hybrid'!Q$56)^-$C206</f>
        <v>0</v>
      </c>
      <c r="R206" s="314">
        <f>IF('El og plugin hybrid'!Q$65="el",Q138,IF('El og plugin hybrid'!Q$65="plugin hybrid benzin",Q138+Q161,IF('El og plugin hybrid'!Q$65="plugin hybrid diesel",Q138+Q184,0)))</f>
        <v>0</v>
      </c>
      <c r="S206" s="500">
        <f>T206*IF('El og plugin hybrid'!S$29="nej",0,IF('El og plugin hybrid'!S$41="ja",'El og plugin hybrid'!S$42,'El og plugin hybrid'!S$43))*(1+'El og plugin hybrid'!S$56)^-$C206</f>
        <v>0</v>
      </c>
      <c r="T206" s="314">
        <f>IF('El og plugin hybrid'!S$65="el",S138,IF('El og plugin hybrid'!S$65="plugin hybrid benzin",S138+S161,IF('El og plugin hybrid'!S$65="plugin hybrid diesel",S138+S184,0)))</f>
        <v>0</v>
      </c>
      <c r="U206" s="500">
        <f>V206*IF('El og plugin hybrid'!U$29="nej",0,IF('El og plugin hybrid'!U$41="ja",'El og plugin hybrid'!U$42,'El og plugin hybrid'!U$43))*(1+'El og plugin hybrid'!U$56)^-$C206</f>
        <v>0</v>
      </c>
      <c r="V206" s="314">
        <f>IF('El og plugin hybrid'!U$65="el",U138,IF('El og plugin hybrid'!U$65="plugin hybrid benzin",U138+U161,IF('El og plugin hybrid'!U$65="plugin hybrid diesel",U138+U184,0)))</f>
        <v>0</v>
      </c>
      <c r="W206" s="500">
        <f>X206*IF('El og plugin hybrid'!W$29="nej",0,IF('El og plugin hybrid'!W$41="ja",'El og plugin hybrid'!W$42,'El og plugin hybrid'!W$43))*(1+'El og plugin hybrid'!W$56)^-$C206</f>
        <v>0</v>
      </c>
      <c r="X206" s="314">
        <f>IF('El og plugin hybrid'!W$65="el",W138,IF('El og plugin hybrid'!W$65="plugin hybrid benzin",W138+W161,IF('El og plugin hybrid'!W$65="plugin hybrid diesel",W138+W184,0)))</f>
        <v>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87852-4099-49EF-8D9B-9CA2FD4D6F60}">
  <sheetPr codeName="Sheet7">
    <tabColor rgb="FF92D050"/>
    <pageSetUpPr autoPageBreaks="0"/>
  </sheetPr>
  <dimension ref="A2:AL170"/>
  <sheetViews>
    <sheetView showGridLines="0" topLeftCell="A16" zoomScaleNormal="100" zoomScaleSheetLayoutView="80" zoomScalePageLayoutView="80" workbookViewId="0"/>
  </sheetViews>
  <sheetFormatPr defaultColWidth="0" defaultRowHeight="15"/>
  <cols>
    <col min="1" max="1" width="4.140625" style="350" customWidth="1"/>
    <col min="2" max="2" width="4.140625" style="442" customWidth="1"/>
    <col min="3" max="3" width="70" style="350" customWidth="1"/>
    <col min="4" max="4" width="23.7109375" style="443" customWidth="1"/>
    <col min="5" max="5" width="17.7109375" style="350" customWidth="1"/>
    <col min="6" max="6" width="4.7109375" style="350" customWidth="1"/>
    <col min="7" max="7" width="18" style="350" customWidth="1"/>
    <col min="8" max="8" width="4.7109375" style="350" customWidth="1"/>
    <col min="9" max="9" width="17.7109375" style="350" customWidth="1"/>
    <col min="10" max="10" width="4.7109375" style="350" customWidth="1"/>
    <col min="11" max="11" width="17.7109375" style="350" customWidth="1"/>
    <col min="12" max="12" width="4.7109375" style="350" customWidth="1"/>
    <col min="13" max="13" width="17.42578125" style="350" customWidth="1"/>
    <col min="14" max="14" width="4.7109375" style="350" customWidth="1"/>
    <col min="15" max="15" width="18" style="350" customWidth="1"/>
    <col min="16" max="17" width="4.7109375" style="350" customWidth="1"/>
    <col min="18" max="18" width="6" style="350" customWidth="1"/>
    <col min="19" max="19" width="3.7109375" style="350" customWidth="1"/>
    <col min="20" max="20" width="36.85546875" style="350" customWidth="1"/>
    <col min="21" max="23" width="8.85546875" style="350" customWidth="1"/>
    <col min="24" max="24" width="39.28515625" style="350" customWidth="1"/>
    <col min="25" max="25" width="8.85546875" style="350" customWidth="1"/>
    <col min="26" max="38" width="0" style="350" hidden="1" customWidth="1"/>
    <col min="39" max="16384" width="8.85546875" style="350" hidden="1"/>
  </cols>
  <sheetData>
    <row r="2" spans="1:38" ht="26.25" customHeight="1">
      <c r="A2" s="346"/>
      <c r="B2" s="347" t="s">
        <v>114</v>
      </c>
      <c r="C2" s="346"/>
      <c r="D2" s="348"/>
      <c r="E2" s="349"/>
      <c r="F2" s="349"/>
      <c r="G2" s="349"/>
      <c r="H2" s="349"/>
      <c r="I2" s="349"/>
      <c r="J2" s="349"/>
      <c r="K2" s="349"/>
      <c r="L2" s="349"/>
      <c r="M2" s="349"/>
      <c r="N2" s="349"/>
      <c r="O2" s="349"/>
      <c r="P2" s="346"/>
      <c r="Q2" s="346"/>
      <c r="R2" s="349"/>
      <c r="T2" s="346"/>
      <c r="U2" s="346"/>
      <c r="V2" s="346"/>
      <c r="W2" s="346"/>
      <c r="X2" s="346"/>
    </row>
    <row r="3" spans="1:38" s="357" customFormat="1" ht="27.75">
      <c r="A3" s="351"/>
      <c r="B3" s="352" t="s">
        <v>231</v>
      </c>
      <c r="C3" s="353"/>
      <c r="D3" s="354"/>
      <c r="E3" s="355"/>
      <c r="F3" s="355"/>
      <c r="G3" s="355"/>
      <c r="H3" s="355"/>
      <c r="I3" s="355"/>
      <c r="J3" s="355"/>
      <c r="K3" s="355"/>
      <c r="L3" s="355"/>
      <c r="M3" s="355"/>
      <c r="N3" s="355"/>
      <c r="O3" s="355"/>
      <c r="P3" s="353"/>
      <c r="Q3" s="353"/>
      <c r="R3" s="355"/>
      <c r="S3" s="356"/>
      <c r="T3" s="353"/>
      <c r="U3" s="353"/>
      <c r="V3" s="353"/>
      <c r="W3" s="353"/>
      <c r="X3" s="353"/>
      <c r="Y3" s="356"/>
      <c r="Z3" s="356"/>
      <c r="AA3" s="356"/>
      <c r="AB3" s="356"/>
      <c r="AC3" s="356"/>
      <c r="AD3" s="356"/>
      <c r="AE3" s="356"/>
      <c r="AF3" s="356"/>
      <c r="AG3" s="356"/>
      <c r="AH3" s="356"/>
      <c r="AI3" s="356"/>
      <c r="AJ3" s="356"/>
      <c r="AK3" s="356"/>
      <c r="AL3" s="356"/>
    </row>
    <row r="4" spans="1:38" s="363" customFormat="1" ht="43.5" customHeight="1">
      <c r="A4" s="358"/>
      <c r="B4" s="359" t="s">
        <v>115</v>
      </c>
      <c r="C4" s="358"/>
      <c r="D4" s="360"/>
      <c r="E4" s="361"/>
      <c r="F4" s="361"/>
      <c r="G4" s="361"/>
      <c r="H4" s="361"/>
      <c r="I4" s="361"/>
      <c r="J4" s="361"/>
      <c r="K4" s="361"/>
      <c r="L4" s="361"/>
      <c r="M4" s="361"/>
      <c r="N4" s="361"/>
      <c r="O4" s="361"/>
      <c r="P4" s="358"/>
      <c r="Q4" s="358"/>
      <c r="R4" s="361"/>
      <c r="S4" s="362"/>
      <c r="T4" s="358"/>
      <c r="U4" s="358"/>
      <c r="V4" s="358"/>
      <c r="W4" s="358"/>
      <c r="X4" s="358"/>
      <c r="Y4" s="362"/>
      <c r="Z4" s="362"/>
      <c r="AA4" s="362"/>
      <c r="AB4" s="362"/>
      <c r="AC4" s="362"/>
      <c r="AD4" s="362"/>
      <c r="AE4" s="362"/>
      <c r="AF4" s="362"/>
      <c r="AG4" s="362"/>
      <c r="AH4" s="362"/>
      <c r="AI4" s="362"/>
      <c r="AJ4" s="362"/>
      <c r="AK4" s="362"/>
      <c r="AL4" s="362"/>
    </row>
    <row r="5" spans="1:38" s="363" customFormat="1" ht="18">
      <c r="A5" s="358"/>
      <c r="B5" s="359"/>
      <c r="C5" s="358"/>
      <c r="D5" s="360"/>
      <c r="E5" s="361"/>
      <c r="F5" s="361"/>
      <c r="G5" s="361"/>
      <c r="H5" s="361"/>
      <c r="I5" s="361"/>
      <c r="J5" s="361"/>
      <c r="K5" s="361"/>
      <c r="L5" s="361"/>
      <c r="M5" s="361"/>
      <c r="N5" s="361"/>
      <c r="O5" s="361"/>
      <c r="P5" s="358"/>
      <c r="Q5" s="358"/>
      <c r="R5" s="361"/>
      <c r="S5" s="362"/>
      <c r="T5" s="358"/>
      <c r="U5" s="358"/>
      <c r="V5" s="358"/>
      <c r="W5" s="358"/>
      <c r="X5" s="358"/>
      <c r="Y5" s="362"/>
      <c r="Z5" s="362"/>
      <c r="AA5" s="362"/>
      <c r="AB5" s="362"/>
      <c r="AC5" s="362"/>
      <c r="AD5" s="362"/>
      <c r="AE5" s="362"/>
      <c r="AF5" s="362"/>
      <c r="AG5" s="362"/>
      <c r="AH5" s="362"/>
      <c r="AI5" s="362"/>
      <c r="AJ5" s="362"/>
      <c r="AK5" s="362"/>
      <c r="AL5" s="362"/>
    </row>
    <row r="6" spans="1:38">
      <c r="A6" s="346"/>
      <c r="B6" s="364"/>
      <c r="C6" s="346"/>
      <c r="D6" s="348"/>
      <c r="E6" s="349"/>
      <c r="F6" s="349"/>
      <c r="G6" s="349"/>
      <c r="H6" s="349"/>
      <c r="I6" s="349"/>
      <c r="J6" s="349"/>
      <c r="K6" s="349"/>
      <c r="L6" s="349"/>
      <c r="M6" s="349"/>
      <c r="N6" s="349"/>
      <c r="O6" s="349"/>
      <c r="P6" s="346"/>
      <c r="Q6" s="346"/>
      <c r="R6" s="349"/>
      <c r="S6" s="365"/>
      <c r="T6" s="346"/>
      <c r="U6" s="346"/>
      <c r="V6" s="346"/>
      <c r="W6" s="346"/>
      <c r="X6" s="346"/>
      <c r="Y6" s="365"/>
      <c r="Z6" s="365"/>
      <c r="AA6" s="365"/>
      <c r="AB6" s="365"/>
      <c r="AC6" s="365"/>
      <c r="AD6" s="365"/>
      <c r="AE6" s="365"/>
      <c r="AF6" s="365"/>
      <c r="AG6" s="365"/>
      <c r="AH6" s="365"/>
      <c r="AI6" s="365"/>
      <c r="AJ6" s="365"/>
      <c r="AK6" s="365"/>
      <c r="AL6" s="365"/>
    </row>
    <row r="7" spans="1:38" ht="18">
      <c r="A7" s="346"/>
      <c r="B7" s="366"/>
      <c r="C7" s="367"/>
      <c r="D7" s="367"/>
      <c r="E7" s="367"/>
      <c r="F7" s="368"/>
      <c r="G7" s="368"/>
      <c r="H7" s="368"/>
      <c r="I7" s="368"/>
      <c r="J7" s="368"/>
      <c r="K7" s="368"/>
      <c r="L7" s="368"/>
      <c r="M7" s="368"/>
      <c r="N7" s="368"/>
      <c r="O7" s="368"/>
      <c r="P7" s="368"/>
      <c r="Q7" s="369"/>
      <c r="R7" s="349"/>
      <c r="S7" s="365"/>
      <c r="T7" s="346"/>
      <c r="U7" s="346"/>
      <c r="V7" s="346"/>
      <c r="W7" s="346"/>
      <c r="X7" s="346"/>
      <c r="Y7" s="365"/>
      <c r="Z7" s="365"/>
      <c r="AA7" s="365"/>
      <c r="AB7" s="365"/>
      <c r="AC7" s="365"/>
      <c r="AD7" s="365"/>
      <c r="AE7" s="365"/>
      <c r="AF7" s="365"/>
      <c r="AG7" s="365"/>
      <c r="AH7" s="365"/>
      <c r="AI7" s="365"/>
      <c r="AJ7" s="365"/>
      <c r="AK7" s="365"/>
      <c r="AL7" s="365"/>
    </row>
    <row r="8" spans="1:38" s="357" customFormat="1" ht="18">
      <c r="A8" s="353"/>
      <c r="B8" s="370"/>
      <c r="C8" s="371" t="s">
        <v>116</v>
      </c>
      <c r="D8" s="372"/>
      <c r="E8" s="550" t="s">
        <v>118</v>
      </c>
      <c r="F8" s="550"/>
      <c r="G8" s="550"/>
      <c r="H8" s="550"/>
      <c r="I8" s="550"/>
      <c r="J8" s="372"/>
      <c r="K8" s="550" t="s">
        <v>119</v>
      </c>
      <c r="L8" s="550"/>
      <c r="M8" s="550"/>
      <c r="N8" s="550"/>
      <c r="O8" s="550"/>
      <c r="P8" s="373"/>
      <c r="Q8" s="374"/>
      <c r="R8" s="355"/>
      <c r="S8" s="356"/>
      <c r="T8" s="353"/>
      <c r="U8" s="353"/>
      <c r="V8" s="353"/>
      <c r="W8" s="353"/>
      <c r="X8" s="353"/>
      <c r="Y8" s="356"/>
      <c r="Z8" s="356"/>
      <c r="AA8" s="356"/>
      <c r="AB8" s="356"/>
      <c r="AC8" s="356"/>
      <c r="AD8" s="356"/>
      <c r="AE8" s="356"/>
      <c r="AF8" s="356"/>
      <c r="AG8" s="356"/>
      <c r="AH8" s="356"/>
      <c r="AI8" s="356"/>
      <c r="AJ8" s="356"/>
      <c r="AK8" s="356"/>
      <c r="AL8" s="356"/>
    </row>
    <row r="9" spans="1:38" s="357" customFormat="1" ht="18">
      <c r="A9" s="353"/>
      <c r="B9" s="370"/>
      <c r="C9" s="375" t="s">
        <v>117</v>
      </c>
      <c r="D9" s="372"/>
      <c r="E9" s="524"/>
      <c r="F9" s="488"/>
      <c r="G9" s="488"/>
      <c r="H9" s="488"/>
      <c r="I9" s="488"/>
      <c r="J9" s="373"/>
      <c r="K9" s="524"/>
      <c r="L9" s="488"/>
      <c r="M9" s="488"/>
      <c r="N9" s="488"/>
      <c r="O9" s="488"/>
      <c r="P9" s="373"/>
      <c r="Q9" s="374"/>
      <c r="R9" s="355"/>
      <c r="S9" s="356"/>
      <c r="T9" s="353"/>
      <c r="U9" s="353"/>
      <c r="V9" s="353"/>
      <c r="W9" s="353"/>
      <c r="X9" s="353"/>
      <c r="Y9" s="356"/>
      <c r="Z9" s="356"/>
      <c r="AA9" s="356"/>
      <c r="AB9" s="356"/>
      <c r="AC9" s="356"/>
      <c r="AD9" s="356"/>
      <c r="AE9" s="356"/>
      <c r="AF9" s="356"/>
      <c r="AG9" s="356"/>
      <c r="AH9" s="356"/>
      <c r="AI9" s="356"/>
      <c r="AJ9" s="356"/>
      <c r="AK9" s="356"/>
      <c r="AL9" s="356"/>
    </row>
    <row r="10" spans="1:38" s="357" customFormat="1" ht="18">
      <c r="A10" s="353"/>
      <c r="B10" s="370"/>
      <c r="C10" s="375"/>
      <c r="D10" s="372"/>
      <c r="E10" s="488" t="s">
        <v>178</v>
      </c>
      <c r="F10" s="488"/>
      <c r="G10" s="488" t="s">
        <v>179</v>
      </c>
      <c r="H10" s="488"/>
      <c r="I10" s="488" t="s">
        <v>180</v>
      </c>
      <c r="J10" s="373"/>
      <c r="K10" s="488" t="s">
        <v>178</v>
      </c>
      <c r="L10" s="488"/>
      <c r="M10" s="488" t="s">
        <v>179</v>
      </c>
      <c r="N10" s="488"/>
      <c r="O10" s="488" t="s">
        <v>180</v>
      </c>
      <c r="P10" s="373"/>
      <c r="Q10" s="374"/>
      <c r="R10" s="355"/>
      <c r="S10" s="356"/>
      <c r="T10" s="353"/>
      <c r="U10" s="353"/>
      <c r="V10" s="353"/>
      <c r="W10" s="353"/>
      <c r="X10" s="353"/>
      <c r="Y10" s="356"/>
      <c r="Z10" s="356"/>
      <c r="AA10" s="356"/>
      <c r="AB10" s="356"/>
      <c r="AC10" s="356"/>
      <c r="AD10" s="356"/>
      <c r="AE10" s="356"/>
      <c r="AF10" s="356"/>
      <c r="AG10" s="356"/>
      <c r="AH10" s="356"/>
      <c r="AI10" s="356"/>
      <c r="AJ10" s="356"/>
      <c r="AK10" s="356"/>
      <c r="AL10" s="356"/>
    </row>
    <row r="11" spans="1:38" s="357" customFormat="1" ht="18">
      <c r="A11" s="353"/>
      <c r="B11" s="370"/>
      <c r="C11" s="377"/>
      <c r="D11" s="372"/>
      <c r="E11" s="524"/>
      <c r="F11" s="488"/>
      <c r="G11" s="488"/>
      <c r="H11" s="488"/>
      <c r="I11" s="488"/>
      <c r="J11" s="373"/>
      <c r="K11" s="524"/>
      <c r="L11" s="488"/>
      <c r="M11" s="488"/>
      <c r="N11" s="488"/>
      <c r="O11" s="488"/>
      <c r="P11" s="373"/>
      <c r="Q11" s="374"/>
      <c r="R11" s="355"/>
      <c r="S11" s="356"/>
      <c r="T11" s="353"/>
      <c r="U11" s="353"/>
      <c r="V11" s="353"/>
      <c r="W11" s="353"/>
      <c r="X11" s="353"/>
      <c r="Y11" s="356"/>
      <c r="Z11" s="356"/>
      <c r="AA11" s="356"/>
      <c r="AB11" s="356"/>
      <c r="AC11" s="356"/>
      <c r="AD11" s="356"/>
      <c r="AE11" s="356"/>
      <c r="AF11" s="356"/>
      <c r="AG11" s="356"/>
      <c r="AH11" s="356"/>
      <c r="AI11" s="356"/>
      <c r="AJ11" s="356"/>
      <c r="AK11" s="356"/>
      <c r="AL11" s="356"/>
    </row>
    <row r="12" spans="1:38">
      <c r="A12" s="346"/>
      <c r="B12" s="378"/>
      <c r="C12" s="379" t="s">
        <v>5</v>
      </c>
      <c r="D12" s="380" t="s">
        <v>181</v>
      </c>
      <c r="E12" s="89" t="e">
        <f>INDEX('Benzin - diesel - hybrid'!$E$8:$W$77,1,MATCH($E$28,'Benzin - diesel - hybrid'!$E$77:$W$77,0))</f>
        <v>#NUM!</v>
      </c>
      <c r="F12" s="489"/>
      <c r="G12" s="89" t="e">
        <f>INDEX('Benzin - diesel - hybrid'!$E$8:$W$77,1,MATCH($G$28,'Benzin - diesel - hybrid'!$E$77:$W$77,0))</f>
        <v>#NUM!</v>
      </c>
      <c r="H12" s="489"/>
      <c r="I12" s="89" t="e">
        <f>INDEX('Benzin - diesel - hybrid'!$E$8:$W$77,1,MATCH($I$28,'Benzin - diesel - hybrid'!$E$77:$W$77,0))</f>
        <v>#NUM!</v>
      </c>
      <c r="J12" s="381"/>
      <c r="K12" s="89" t="e">
        <f>INDEX('El og plugin hybrid'!$E$8:$X$100,1,MATCH(K$28,'El og plugin hybrid'!$E$100:$W$100,0))</f>
        <v>#NUM!</v>
      </c>
      <c r="L12" s="489"/>
      <c r="M12" s="89" t="e">
        <f>INDEX('El og plugin hybrid'!$E$8:$X$100,1,MATCH(M$28,'El og plugin hybrid'!$E$100:$W$100,0))</f>
        <v>#NUM!</v>
      </c>
      <c r="N12" s="489"/>
      <c r="O12" s="89" t="e">
        <f>INDEX('El og plugin hybrid'!$E$8:$X$100,1,MATCH(O$28,'El og plugin hybrid'!$E$100:$W$100,0))</f>
        <v>#NUM!</v>
      </c>
      <c r="P12" s="382"/>
      <c r="Q12" s="383"/>
      <c r="R12" s="349"/>
      <c r="S12" s="365"/>
      <c r="T12" s="346"/>
      <c r="U12" s="346"/>
      <c r="V12" s="346"/>
      <c r="W12" s="346"/>
      <c r="X12" s="346"/>
      <c r="Y12" s="365"/>
      <c r="Z12" s="365"/>
      <c r="AA12" s="365"/>
      <c r="AB12" s="365"/>
      <c r="AC12" s="365"/>
      <c r="AD12" s="365"/>
      <c r="AE12" s="365"/>
      <c r="AF12" s="365"/>
      <c r="AG12" s="365"/>
      <c r="AH12" s="365"/>
      <c r="AI12" s="365"/>
      <c r="AJ12" s="365"/>
      <c r="AK12" s="365"/>
      <c r="AL12" s="365"/>
    </row>
    <row r="13" spans="1:38">
      <c r="A13" s="346"/>
      <c r="B13" s="378"/>
      <c r="C13" s="384" t="s">
        <v>33</v>
      </c>
      <c r="D13" s="380" t="s">
        <v>181</v>
      </c>
      <c r="E13" s="89" t="e">
        <f>HLOOKUP(E$12,'Benzin - diesel - hybrid'!$E$8:$X$79,2)</f>
        <v>#NUM!</v>
      </c>
      <c r="F13" s="489"/>
      <c r="G13" s="89" t="e">
        <f>HLOOKUP(G$12,'Benzin - diesel - hybrid'!$E$8:$X$79,2)</f>
        <v>#NUM!</v>
      </c>
      <c r="H13" s="489"/>
      <c r="I13" s="89" t="e">
        <f>HLOOKUP(I$12,'Benzin - diesel - hybrid'!$E$8:$X$79,2)</f>
        <v>#NUM!</v>
      </c>
      <c r="J13" s="381"/>
      <c r="K13" s="89" t="e">
        <f>HLOOKUP(K$12,'El og plugin hybrid'!$E$8:$X$100,2)</f>
        <v>#NUM!</v>
      </c>
      <c r="L13" s="489"/>
      <c r="M13" s="89" t="e">
        <f>HLOOKUP(M$12,'El og plugin hybrid'!$E$8:$X$100,2)</f>
        <v>#NUM!</v>
      </c>
      <c r="N13" s="489"/>
      <c r="O13" s="89" t="e">
        <f>HLOOKUP(O$12,'El og plugin hybrid'!$E$8:$X$100,2)</f>
        <v>#NUM!</v>
      </c>
      <c r="P13" s="382"/>
      <c r="Q13" s="383"/>
      <c r="R13" s="349"/>
      <c r="S13" s="365"/>
      <c r="T13" s="346"/>
      <c r="U13" s="346"/>
      <c r="V13" s="346"/>
      <c r="W13" s="346"/>
      <c r="X13" s="346"/>
      <c r="Y13" s="365"/>
      <c r="Z13" s="365"/>
      <c r="AA13" s="365"/>
      <c r="AB13" s="365"/>
      <c r="AC13" s="365"/>
      <c r="AD13" s="365"/>
      <c r="AE13" s="365"/>
      <c r="AF13" s="365"/>
      <c r="AG13" s="365"/>
      <c r="AH13" s="365"/>
      <c r="AI13" s="365"/>
      <c r="AJ13" s="365"/>
      <c r="AK13" s="365"/>
      <c r="AL13" s="365"/>
    </row>
    <row r="14" spans="1:38">
      <c r="A14" s="346"/>
      <c r="B14" s="378"/>
      <c r="C14" s="384" t="s">
        <v>34</v>
      </c>
      <c r="D14" s="380" t="s">
        <v>181</v>
      </c>
      <c r="E14" s="89" t="e">
        <f>HLOOKUP(E$12,'Benzin - diesel - hybrid'!$E$8:$X$79,3)</f>
        <v>#NUM!</v>
      </c>
      <c r="F14" s="489"/>
      <c r="G14" s="89" t="e">
        <f>HLOOKUP(G$12,'Benzin - diesel - hybrid'!$E$8:$X$79,3)</f>
        <v>#NUM!</v>
      </c>
      <c r="H14" s="489"/>
      <c r="I14" s="89" t="e">
        <f>HLOOKUP(I$12,'Benzin - diesel - hybrid'!$E$8:$X$79,3)</f>
        <v>#NUM!</v>
      </c>
      <c r="J14" s="381"/>
      <c r="K14" s="89" t="e">
        <f>HLOOKUP(K$12,'El og plugin hybrid'!$E$8:$X$100,3)</f>
        <v>#NUM!</v>
      </c>
      <c r="L14" s="489"/>
      <c r="M14" s="89" t="e">
        <f>HLOOKUP(M$12,'El og plugin hybrid'!$E$8:$X$100,3)</f>
        <v>#NUM!</v>
      </c>
      <c r="N14" s="489"/>
      <c r="O14" s="89" t="e">
        <f>HLOOKUP(O$12,'El og plugin hybrid'!$E$8:$X$100,3)</f>
        <v>#NUM!</v>
      </c>
      <c r="P14" s="382"/>
      <c r="Q14" s="383"/>
      <c r="R14" s="349"/>
      <c r="S14" s="365"/>
      <c r="T14" s="346"/>
      <c r="U14" s="346"/>
      <c r="V14" s="346"/>
      <c r="W14" s="346"/>
      <c r="X14" s="346"/>
      <c r="Y14" s="365"/>
      <c r="Z14" s="365"/>
      <c r="AA14" s="365"/>
      <c r="AB14" s="365"/>
      <c r="AC14" s="365"/>
      <c r="AD14" s="365"/>
      <c r="AE14" s="365"/>
      <c r="AF14" s="365"/>
      <c r="AG14" s="365"/>
      <c r="AH14" s="365"/>
      <c r="AI14" s="365"/>
      <c r="AJ14" s="365"/>
      <c r="AK14" s="365"/>
      <c r="AL14" s="365"/>
    </row>
    <row r="15" spans="1:38">
      <c r="A15" s="346"/>
      <c r="B15" s="378"/>
      <c r="C15" s="384"/>
      <c r="D15" s="380"/>
      <c r="E15" s="489"/>
      <c r="F15" s="489"/>
      <c r="G15" s="489"/>
      <c r="H15" s="489"/>
      <c r="I15" s="489"/>
      <c r="J15" s="381"/>
      <c r="K15" s="489"/>
      <c r="L15" s="489"/>
      <c r="M15" s="489"/>
      <c r="N15" s="489"/>
      <c r="O15" s="489"/>
      <c r="P15" s="382"/>
      <c r="Q15" s="383"/>
      <c r="R15" s="349"/>
      <c r="S15" s="365"/>
      <c r="T15" s="346"/>
      <c r="U15" s="346"/>
      <c r="V15" s="346"/>
      <c r="W15" s="346"/>
      <c r="X15" s="346"/>
      <c r="Y15" s="365"/>
      <c r="Z15" s="365"/>
      <c r="AA15" s="365"/>
      <c r="AB15" s="365"/>
      <c r="AC15" s="365"/>
      <c r="AD15" s="365"/>
      <c r="AE15" s="365"/>
      <c r="AF15" s="365"/>
      <c r="AG15" s="365"/>
      <c r="AH15" s="365"/>
      <c r="AI15" s="365"/>
      <c r="AJ15" s="365"/>
      <c r="AK15" s="365"/>
      <c r="AL15" s="365"/>
    </row>
    <row r="16" spans="1:38">
      <c r="A16" s="346"/>
      <c r="B16" s="378"/>
      <c r="C16" s="384"/>
      <c r="D16" s="380"/>
      <c r="E16" s="489"/>
      <c r="F16" s="489"/>
      <c r="G16" s="489"/>
      <c r="H16" s="489"/>
      <c r="I16" s="489"/>
      <c r="J16" s="381"/>
      <c r="K16" s="489"/>
      <c r="L16" s="489"/>
      <c r="M16" s="489"/>
      <c r="N16" s="489"/>
      <c r="O16" s="489"/>
      <c r="P16" s="382"/>
      <c r="Q16" s="383"/>
      <c r="R16" s="349"/>
      <c r="S16" s="365"/>
      <c r="T16" s="346"/>
      <c r="U16" s="346"/>
      <c r="V16" s="346"/>
      <c r="W16" s="346"/>
      <c r="X16" s="346"/>
      <c r="Y16" s="365"/>
      <c r="Z16" s="365"/>
      <c r="AA16" s="365"/>
      <c r="AB16" s="365"/>
      <c r="AC16" s="365"/>
      <c r="AD16" s="365"/>
      <c r="AE16" s="365"/>
      <c r="AF16" s="365"/>
      <c r="AG16" s="365"/>
      <c r="AH16" s="365"/>
      <c r="AI16" s="365"/>
      <c r="AJ16" s="365"/>
      <c r="AK16" s="365"/>
      <c r="AL16" s="365"/>
    </row>
    <row r="17" spans="1:38" ht="14.1" customHeight="1">
      <c r="A17" s="346"/>
      <c r="B17" s="385"/>
      <c r="C17" s="386"/>
      <c r="D17" s="387"/>
      <c r="E17" s="388"/>
      <c r="F17" s="388"/>
      <c r="G17" s="388"/>
      <c r="H17" s="388"/>
      <c r="I17" s="388"/>
      <c r="J17" s="388"/>
      <c r="K17" s="388"/>
      <c r="L17" s="388"/>
      <c r="M17" s="388"/>
      <c r="N17" s="388"/>
      <c r="O17" s="388"/>
      <c r="P17" s="386"/>
      <c r="Q17" s="389"/>
      <c r="R17" s="349"/>
      <c r="S17" s="365"/>
      <c r="T17" s="346"/>
      <c r="U17" s="346"/>
      <c r="V17" s="346"/>
      <c r="W17" s="346"/>
      <c r="X17" s="346"/>
      <c r="Y17" s="365"/>
      <c r="Z17" s="365"/>
      <c r="AA17" s="365"/>
      <c r="AB17" s="365"/>
      <c r="AC17" s="365"/>
      <c r="AD17" s="365"/>
      <c r="AE17" s="365"/>
      <c r="AF17" s="365"/>
      <c r="AG17" s="365"/>
      <c r="AH17" s="365"/>
      <c r="AI17" s="365"/>
      <c r="AJ17" s="365"/>
      <c r="AK17" s="365"/>
      <c r="AL17" s="365"/>
    </row>
    <row r="18" spans="1:38" ht="19.149999999999999" customHeight="1">
      <c r="A18" s="390"/>
      <c r="B18" s="391"/>
      <c r="C18" s="392"/>
      <c r="D18" s="393"/>
      <c r="E18" s="394"/>
      <c r="F18" s="394"/>
      <c r="G18" s="394"/>
      <c r="H18" s="394"/>
      <c r="I18" s="394"/>
      <c r="J18" s="394"/>
      <c r="K18" s="394"/>
      <c r="L18" s="394"/>
      <c r="M18" s="394"/>
      <c r="N18" s="394"/>
      <c r="O18" s="394"/>
      <c r="P18" s="392"/>
      <c r="Q18" s="395"/>
      <c r="R18" s="349"/>
      <c r="S18" s="365"/>
      <c r="T18" s="346"/>
      <c r="U18" s="346"/>
      <c r="V18" s="346"/>
      <c r="W18" s="346"/>
      <c r="X18" s="346"/>
      <c r="Y18" s="365"/>
      <c r="Z18" s="365"/>
      <c r="AA18" s="365"/>
      <c r="AB18" s="365"/>
      <c r="AC18" s="365"/>
      <c r="AD18" s="365"/>
      <c r="AE18" s="365"/>
      <c r="AF18" s="365"/>
      <c r="AG18" s="365"/>
      <c r="AH18" s="365"/>
      <c r="AI18" s="365"/>
      <c r="AJ18" s="365"/>
      <c r="AK18" s="365"/>
      <c r="AL18" s="365"/>
    </row>
    <row r="19" spans="1:38" ht="18" customHeight="1">
      <c r="A19" s="390"/>
      <c r="B19" s="396"/>
      <c r="C19" s="397" t="s">
        <v>121</v>
      </c>
      <c r="D19" s="398"/>
      <c r="E19" s="399"/>
      <c r="F19" s="399"/>
      <c r="G19" s="399"/>
      <c r="H19" s="399"/>
      <c r="I19" s="399"/>
      <c r="J19" s="399"/>
      <c r="K19" s="399"/>
      <c r="L19" s="399"/>
      <c r="M19" s="399"/>
      <c r="N19" s="399"/>
      <c r="O19" s="399"/>
      <c r="P19" s="400"/>
      <c r="Q19" s="401"/>
      <c r="R19" s="349"/>
      <c r="S19" s="365"/>
      <c r="T19" s="346"/>
      <c r="U19" s="346"/>
      <c r="V19" s="346"/>
      <c r="W19" s="346"/>
      <c r="X19" s="346"/>
      <c r="Y19" s="365"/>
      <c r="Z19" s="365"/>
      <c r="AA19" s="365"/>
      <c r="AB19" s="365"/>
      <c r="AC19" s="365"/>
      <c r="AD19" s="365"/>
      <c r="AE19" s="365"/>
      <c r="AF19" s="365"/>
      <c r="AG19" s="365"/>
      <c r="AH19" s="365"/>
      <c r="AI19" s="365"/>
      <c r="AJ19" s="365"/>
      <c r="AK19" s="365"/>
      <c r="AL19" s="365"/>
    </row>
    <row r="20" spans="1:38" ht="3" customHeight="1">
      <c r="A20" s="390"/>
      <c r="B20" s="402"/>
      <c r="C20" s="399"/>
      <c r="D20" s="403"/>
      <c r="E20" s="399"/>
      <c r="F20" s="399"/>
      <c r="G20" s="399"/>
      <c r="H20" s="399"/>
      <c r="I20" s="399"/>
      <c r="J20" s="399"/>
      <c r="K20" s="399"/>
      <c r="L20" s="399"/>
      <c r="M20" s="399"/>
      <c r="N20" s="399"/>
      <c r="O20" s="399"/>
      <c r="P20" s="400"/>
      <c r="Q20" s="401"/>
      <c r="R20" s="349"/>
      <c r="S20" s="365"/>
      <c r="T20" s="346"/>
      <c r="U20" s="346"/>
      <c r="V20" s="346"/>
      <c r="W20" s="346"/>
      <c r="X20" s="346"/>
      <c r="Y20" s="365"/>
      <c r="Z20" s="365"/>
      <c r="AA20" s="365"/>
      <c r="AB20" s="365"/>
      <c r="AC20" s="365"/>
      <c r="AD20" s="365"/>
      <c r="AE20" s="365"/>
      <c r="AF20" s="365"/>
      <c r="AG20" s="365"/>
      <c r="AH20" s="365"/>
      <c r="AI20" s="365"/>
      <c r="AJ20" s="365"/>
      <c r="AK20" s="365"/>
      <c r="AL20" s="365"/>
    </row>
    <row r="21" spans="1:38" ht="12" customHeight="1">
      <c r="A21" s="390"/>
      <c r="B21" s="404"/>
      <c r="C21" s="229" t="s">
        <v>184</v>
      </c>
      <c r="D21" s="229" t="s">
        <v>14</v>
      </c>
      <c r="E21" s="528" t="e">
        <f>HLOOKUP(E$12,'Benzin - diesel - hybrid'!$E$8:$X$79,64)</f>
        <v>#NUM!</v>
      </c>
      <c r="F21" s="529"/>
      <c r="G21" s="528" t="e">
        <f>HLOOKUP(G$12,'Benzin - diesel - hybrid'!$E$8:$X$79,64)</f>
        <v>#NUM!</v>
      </c>
      <c r="H21" s="529"/>
      <c r="I21" s="528" t="e">
        <f>HLOOKUP(I$12,'Benzin - diesel - hybrid'!$E$8:$X$79,64)</f>
        <v>#NUM!</v>
      </c>
      <c r="J21" s="529"/>
      <c r="K21" s="528" t="e">
        <f>HLOOKUP(K$12,'El og plugin hybrid'!$E$8:$X$100,86)</f>
        <v>#NUM!</v>
      </c>
      <c r="L21" s="529"/>
      <c r="M21" s="528" t="e">
        <f>HLOOKUP(M$12,'El og plugin hybrid'!$E$8:$X$100,86)</f>
        <v>#NUM!</v>
      </c>
      <c r="N21" s="529"/>
      <c r="O21" s="528" t="e">
        <f>HLOOKUP(O$12,'El og plugin hybrid'!$E$8:$X$100,86)</f>
        <v>#NUM!</v>
      </c>
      <c r="P21" s="405"/>
      <c r="Q21" s="401"/>
      <c r="R21" s="349"/>
      <c r="S21" s="365"/>
      <c r="T21" s="346"/>
      <c r="U21" s="346"/>
      <c r="V21" s="346"/>
      <c r="W21" s="346"/>
      <c r="X21" s="346"/>
      <c r="Y21" s="365"/>
      <c r="Z21" s="365"/>
      <c r="AA21" s="365"/>
      <c r="AB21" s="365"/>
      <c r="AC21" s="365"/>
      <c r="AD21" s="365"/>
      <c r="AE21" s="365"/>
      <c r="AF21" s="365"/>
      <c r="AG21" s="365"/>
      <c r="AH21" s="365"/>
      <c r="AI21" s="365"/>
      <c r="AJ21" s="365"/>
      <c r="AK21" s="365"/>
      <c r="AL21" s="365"/>
    </row>
    <row r="22" spans="1:38" ht="12" customHeight="1">
      <c r="A22" s="390"/>
      <c r="B22" s="404"/>
      <c r="C22" s="229" t="s">
        <v>185</v>
      </c>
      <c r="D22" s="229" t="s">
        <v>14</v>
      </c>
      <c r="E22" s="528">
        <v>0</v>
      </c>
      <c r="F22" s="529"/>
      <c r="G22" s="528">
        <v>0</v>
      </c>
      <c r="H22" s="529"/>
      <c r="I22" s="528">
        <v>0</v>
      </c>
      <c r="J22" s="529"/>
      <c r="K22" s="528" t="e">
        <f>HLOOKUP(K$12,'El og plugin hybrid'!$E$8:$X$100,87)</f>
        <v>#NUM!</v>
      </c>
      <c r="L22" s="529"/>
      <c r="M22" s="528" t="e">
        <f>HLOOKUP(M$12,'El og plugin hybrid'!$E$8:$X$100,87)</f>
        <v>#NUM!</v>
      </c>
      <c r="N22" s="529"/>
      <c r="O22" s="528" t="e">
        <f>HLOOKUP(O$12,'El og plugin hybrid'!$E$8:$X$100,87)</f>
        <v>#NUM!</v>
      </c>
      <c r="P22" s="405"/>
      <c r="Q22" s="401"/>
      <c r="R22" s="349"/>
      <c r="S22" s="365"/>
      <c r="T22" s="346"/>
      <c r="U22" s="346"/>
      <c r="V22" s="346"/>
      <c r="W22" s="346"/>
      <c r="X22" s="346"/>
      <c r="Y22" s="365"/>
      <c r="Z22" s="365"/>
      <c r="AA22" s="365"/>
      <c r="AB22" s="365"/>
      <c r="AC22" s="365"/>
      <c r="AD22" s="365"/>
      <c r="AE22" s="365"/>
      <c r="AF22" s="365"/>
      <c r="AG22" s="365"/>
      <c r="AH22" s="365"/>
      <c r="AI22" s="365"/>
      <c r="AJ22" s="365"/>
      <c r="AK22" s="365"/>
      <c r="AL22" s="365"/>
    </row>
    <row r="23" spans="1:38" ht="12" customHeight="1">
      <c r="A23" s="390"/>
      <c r="B23" s="404"/>
      <c r="C23" s="229" t="s">
        <v>17</v>
      </c>
      <c r="D23" s="229" t="s">
        <v>14</v>
      </c>
      <c r="E23" s="528" t="e">
        <f>HLOOKUP(E$12,'Benzin - diesel - hybrid'!$E$8:$X$79,65)</f>
        <v>#NUM!</v>
      </c>
      <c r="F23" s="529"/>
      <c r="G23" s="528" t="e">
        <f>HLOOKUP(G$12,'Benzin - diesel - hybrid'!$E$8:$X$79,65)</f>
        <v>#NUM!</v>
      </c>
      <c r="H23" s="529"/>
      <c r="I23" s="528" t="e">
        <f>HLOOKUP(I$12,'Benzin - diesel - hybrid'!$E$8:$X$79,65)</f>
        <v>#NUM!</v>
      </c>
      <c r="J23" s="529"/>
      <c r="K23" s="528" t="e">
        <f>HLOOKUP(K$12,'El og plugin hybrid'!$E$8:$X$100,88)</f>
        <v>#NUM!</v>
      </c>
      <c r="L23" s="529"/>
      <c r="M23" s="528" t="e">
        <f>HLOOKUP(M$12,'El og plugin hybrid'!$E$8:$X$100,88)</f>
        <v>#NUM!</v>
      </c>
      <c r="N23" s="529"/>
      <c r="O23" s="528" t="e">
        <f>HLOOKUP(O$12,'El og plugin hybrid'!$E$8:$X$100,88)</f>
        <v>#NUM!</v>
      </c>
      <c r="P23" s="405"/>
      <c r="Q23" s="401"/>
      <c r="R23" s="349"/>
      <c r="S23" s="365"/>
      <c r="T23" s="346"/>
      <c r="U23" s="346"/>
      <c r="V23" s="346"/>
      <c r="W23" s="346"/>
      <c r="X23" s="346"/>
      <c r="Y23" s="365"/>
      <c r="Z23" s="365"/>
      <c r="AA23" s="365"/>
      <c r="AB23" s="365"/>
      <c r="AC23" s="365"/>
      <c r="AD23" s="365"/>
      <c r="AE23" s="365"/>
      <c r="AF23" s="365"/>
      <c r="AG23" s="365"/>
      <c r="AH23" s="365"/>
      <c r="AI23" s="365"/>
      <c r="AJ23" s="365"/>
      <c r="AK23" s="365"/>
      <c r="AL23" s="365"/>
    </row>
    <row r="24" spans="1:38" ht="12" customHeight="1">
      <c r="A24" s="390"/>
      <c r="B24" s="404"/>
      <c r="C24" s="229" t="s">
        <v>25</v>
      </c>
      <c r="D24" s="229" t="s">
        <v>14</v>
      </c>
      <c r="E24" s="528" t="e">
        <f>HLOOKUP(E$12,'Benzin - diesel - hybrid'!$E$8:$X$79,66)</f>
        <v>#NUM!</v>
      </c>
      <c r="F24" s="529"/>
      <c r="G24" s="528" t="e">
        <f>HLOOKUP(G$12,'Benzin - diesel - hybrid'!$E$8:$X$79,66)</f>
        <v>#NUM!</v>
      </c>
      <c r="H24" s="529"/>
      <c r="I24" s="528" t="e">
        <f>HLOOKUP(I$12,'Benzin - diesel - hybrid'!$E$8:$X$79,66)</f>
        <v>#NUM!</v>
      </c>
      <c r="J24" s="529"/>
      <c r="K24" s="528" t="e">
        <f>HLOOKUP(K$12,'El og plugin hybrid'!$E$8:$X$100,89)</f>
        <v>#NUM!</v>
      </c>
      <c r="L24" s="529"/>
      <c r="M24" s="528" t="e">
        <f>HLOOKUP(M$12,'El og plugin hybrid'!$E$8:$X$100,89)</f>
        <v>#NUM!</v>
      </c>
      <c r="N24" s="529"/>
      <c r="O24" s="528" t="e">
        <f>HLOOKUP(O$12,'El og plugin hybrid'!$E$8:$X$100,89)</f>
        <v>#NUM!</v>
      </c>
      <c r="P24" s="405"/>
      <c r="Q24" s="401"/>
      <c r="R24" s="349"/>
      <c r="S24" s="365"/>
      <c r="T24" s="346"/>
      <c r="U24" s="346"/>
      <c r="V24" s="346"/>
      <c r="W24" s="346"/>
      <c r="X24" s="346"/>
      <c r="Y24" s="365"/>
      <c r="Z24" s="365"/>
      <c r="AA24" s="365"/>
      <c r="AB24" s="365"/>
      <c r="AC24" s="365"/>
      <c r="AD24" s="365"/>
      <c r="AE24" s="365"/>
      <c r="AF24" s="365"/>
      <c r="AG24" s="365"/>
      <c r="AH24" s="365"/>
      <c r="AI24" s="365"/>
      <c r="AJ24" s="365"/>
      <c r="AK24" s="365"/>
      <c r="AL24" s="365"/>
    </row>
    <row r="25" spans="1:38" ht="12" customHeight="1">
      <c r="A25" s="390"/>
      <c r="B25" s="404"/>
      <c r="C25" s="229" t="s">
        <v>182</v>
      </c>
      <c r="D25" s="229" t="s">
        <v>14</v>
      </c>
      <c r="E25" s="528" t="e">
        <f>HLOOKUP(E$12,'Benzin - diesel - hybrid'!$E$8:$X$79,67)</f>
        <v>#NUM!</v>
      </c>
      <c r="F25" s="529"/>
      <c r="G25" s="528" t="e">
        <f>HLOOKUP(G$12,'Benzin - diesel - hybrid'!$E$8:$X$79,67)</f>
        <v>#NUM!</v>
      </c>
      <c r="H25" s="529"/>
      <c r="I25" s="528" t="e">
        <f>HLOOKUP(I$12,'Benzin - diesel - hybrid'!$E$8:$X$79,67)</f>
        <v>#NUM!</v>
      </c>
      <c r="J25" s="529"/>
      <c r="K25" s="528" t="e">
        <f>HLOOKUP(K$12,'El og plugin hybrid'!$E$8:$X$100,90)</f>
        <v>#NUM!</v>
      </c>
      <c r="L25" s="529"/>
      <c r="M25" s="528" t="e">
        <f>HLOOKUP(M$12,'El og plugin hybrid'!$E$8:$X$100,90)</f>
        <v>#NUM!</v>
      </c>
      <c r="N25" s="529"/>
      <c r="O25" s="528" t="e">
        <f>HLOOKUP(O$12,'El og plugin hybrid'!$E$8:$X$100,90)</f>
        <v>#NUM!</v>
      </c>
      <c r="P25" s="405"/>
      <c r="Q25" s="401"/>
      <c r="R25" s="349"/>
      <c r="S25" s="365"/>
      <c r="T25" s="346"/>
      <c r="U25" s="346"/>
      <c r="V25" s="346"/>
      <c r="W25" s="346"/>
      <c r="X25" s="346"/>
      <c r="Y25" s="365"/>
      <c r="Z25" s="365"/>
      <c r="AA25" s="365"/>
      <c r="AB25" s="365"/>
      <c r="AC25" s="365"/>
      <c r="AD25" s="365"/>
      <c r="AE25" s="365"/>
      <c r="AF25" s="365"/>
      <c r="AG25" s="365"/>
      <c r="AH25" s="365"/>
      <c r="AI25" s="365"/>
      <c r="AJ25" s="365"/>
      <c r="AK25" s="365"/>
      <c r="AL25" s="365"/>
    </row>
    <row r="26" spans="1:38" ht="12" customHeight="1">
      <c r="A26" s="390"/>
      <c r="B26" s="404"/>
      <c r="C26" s="229"/>
      <c r="D26" s="229"/>
      <c r="E26" s="530"/>
      <c r="F26" s="531"/>
      <c r="G26" s="530"/>
      <c r="H26" s="531"/>
      <c r="I26" s="530"/>
      <c r="J26" s="531"/>
      <c r="K26" s="530"/>
      <c r="L26" s="531"/>
      <c r="M26" s="530"/>
      <c r="N26" s="531"/>
      <c r="O26" s="530"/>
      <c r="P26" s="407"/>
      <c r="Q26" s="401"/>
      <c r="R26" s="349"/>
      <c r="S26" s="365"/>
      <c r="T26" s="346"/>
      <c r="U26" s="346"/>
      <c r="V26" s="346"/>
      <c r="W26" s="346"/>
      <c r="X26" s="346"/>
      <c r="Y26" s="365"/>
      <c r="Z26" s="365"/>
      <c r="AA26" s="365"/>
      <c r="AB26" s="365"/>
      <c r="AC26" s="365"/>
      <c r="AD26" s="365"/>
      <c r="AE26" s="365"/>
      <c r="AF26" s="365"/>
      <c r="AG26" s="365"/>
      <c r="AH26" s="365"/>
      <c r="AI26" s="365"/>
      <c r="AJ26" s="365"/>
      <c r="AK26" s="365"/>
      <c r="AL26" s="365"/>
    </row>
    <row r="27" spans="1:38" ht="18" customHeight="1">
      <c r="A27" s="390"/>
      <c r="B27" s="404"/>
      <c r="C27" s="229" t="s">
        <v>49</v>
      </c>
      <c r="D27" s="229" t="s">
        <v>14</v>
      </c>
      <c r="E27" s="528" t="e">
        <f>HLOOKUP(E$12,'Benzin - diesel - hybrid'!$E$8:$X$79,69)</f>
        <v>#NUM!</v>
      </c>
      <c r="F27" s="532"/>
      <c r="G27" s="528" t="e">
        <f>HLOOKUP(G$12,'Benzin - diesel - hybrid'!$E$8:$X$79,69)</f>
        <v>#NUM!</v>
      </c>
      <c r="H27" s="532"/>
      <c r="I27" s="528" t="e">
        <f>HLOOKUP(I$12,'Benzin - diesel - hybrid'!$E$8:$X$79,69)</f>
        <v>#NUM!</v>
      </c>
      <c r="J27" s="532"/>
      <c r="K27" s="528" t="e">
        <f>HLOOKUP(K$12,'El og plugin hybrid'!$E$8:$X$100,92)</f>
        <v>#NUM!</v>
      </c>
      <c r="L27" s="532"/>
      <c r="M27" s="528" t="e">
        <f>HLOOKUP(M$12,'El og plugin hybrid'!$E$8:$X$100,92)</f>
        <v>#NUM!</v>
      </c>
      <c r="N27" s="532"/>
      <c r="O27" s="528" t="e">
        <f>HLOOKUP(O$12,'El og plugin hybrid'!$E$8:$X$100,92)</f>
        <v>#NUM!</v>
      </c>
      <c r="P27" s="410"/>
      <c r="Q27" s="401"/>
      <c r="R27" s="349"/>
      <c r="S27" s="365"/>
      <c r="T27" s="346"/>
      <c r="U27" s="346"/>
      <c r="V27" s="346"/>
      <c r="W27" s="346"/>
      <c r="X27" s="346"/>
      <c r="Y27" s="365"/>
      <c r="Z27" s="365"/>
      <c r="AA27" s="365"/>
      <c r="AB27" s="365"/>
      <c r="AC27" s="365"/>
      <c r="AD27" s="365"/>
      <c r="AE27" s="365"/>
      <c r="AF27" s="365"/>
      <c r="AG27" s="365"/>
      <c r="AH27" s="365"/>
      <c r="AI27" s="365"/>
      <c r="AJ27" s="365"/>
      <c r="AK27" s="365"/>
      <c r="AL27" s="365"/>
    </row>
    <row r="28" spans="1:38" ht="18" customHeight="1">
      <c r="A28" s="390"/>
      <c r="B28" s="404"/>
      <c r="C28" s="229" t="s">
        <v>28</v>
      </c>
      <c r="D28" s="229" t="s">
        <v>29</v>
      </c>
      <c r="E28" s="530" t="e">
        <f>SMALL('Benzin - diesel - hybrid'!$E$77:$W$77,COUNTIF('Benzin - diesel - hybrid'!$E$77:$W$77,0)+1)</f>
        <v>#NUM!</v>
      </c>
      <c r="F28" s="533"/>
      <c r="G28" s="530" t="e">
        <f>SMALL('Benzin - diesel - hybrid'!$E$77:$W$77,COUNTIF('Benzin - diesel - hybrid'!$E$77:$W$77,0)+2)</f>
        <v>#NUM!</v>
      </c>
      <c r="H28" s="533"/>
      <c r="I28" s="530" t="e">
        <f>SMALL('Benzin - diesel - hybrid'!$E$77:$W$77,COUNTIF('Benzin - diesel - hybrid'!$E$77:$W$77,0)+3)</f>
        <v>#NUM!</v>
      </c>
      <c r="J28" s="533"/>
      <c r="K28" s="530" t="e">
        <f>SMALL('El og plugin hybrid'!$E$100:$W$100,COUNTIF('El og plugin hybrid'!$E$100:$W$100,0)+1)</f>
        <v>#NUM!</v>
      </c>
      <c r="L28" s="533"/>
      <c r="M28" s="530" t="e">
        <f>SMALL('El og plugin hybrid'!$E$100:$W$100,COUNTIF('El og plugin hybrid'!$E$100:$W$100,0)+2)</f>
        <v>#NUM!</v>
      </c>
      <c r="N28" s="533"/>
      <c r="O28" s="530" t="e">
        <f>SMALL('El og plugin hybrid'!$E$100:$W$100,COUNTIF('El og plugin hybrid'!$E$100:$W$100,0)+3)</f>
        <v>#NUM!</v>
      </c>
      <c r="P28" s="412"/>
      <c r="Q28" s="401"/>
      <c r="R28" s="349"/>
      <c r="S28" s="365"/>
      <c r="T28" s="346"/>
      <c r="U28" s="346"/>
      <c r="V28" s="346"/>
      <c r="W28" s="346"/>
      <c r="X28" s="346"/>
      <c r="Y28" s="365"/>
      <c r="Z28" s="365"/>
      <c r="AA28" s="365"/>
      <c r="AB28" s="365"/>
      <c r="AC28" s="365"/>
      <c r="AD28" s="365"/>
      <c r="AE28" s="365"/>
      <c r="AF28" s="365"/>
      <c r="AG28" s="365"/>
      <c r="AH28" s="365"/>
      <c r="AI28" s="365"/>
      <c r="AJ28" s="365"/>
      <c r="AK28" s="365"/>
      <c r="AL28" s="365"/>
    </row>
    <row r="29" spans="1:38" ht="18" customHeight="1">
      <c r="A29" s="390"/>
      <c r="B29" s="404"/>
      <c r="C29" s="229"/>
      <c r="D29" s="229"/>
      <c r="E29" s="132"/>
      <c r="F29" s="411"/>
      <c r="G29" s="411"/>
      <c r="H29" s="411"/>
      <c r="I29" s="411"/>
      <c r="J29" s="411"/>
      <c r="K29" s="411"/>
      <c r="L29" s="411"/>
      <c r="M29" s="411"/>
      <c r="N29" s="411"/>
      <c r="O29" s="413"/>
      <c r="P29" s="412"/>
      <c r="Q29" s="401"/>
      <c r="R29" s="349"/>
      <c r="S29" s="365"/>
      <c r="T29" s="346"/>
      <c r="U29" s="346"/>
      <c r="V29" s="346"/>
      <c r="W29" s="346"/>
      <c r="X29" s="346"/>
      <c r="Y29" s="365"/>
      <c r="Z29" s="365"/>
      <c r="AA29" s="365"/>
      <c r="AB29" s="365"/>
      <c r="AC29" s="365"/>
      <c r="AD29" s="365"/>
      <c r="AE29" s="365"/>
      <c r="AF29" s="365"/>
      <c r="AG29" s="365"/>
      <c r="AH29" s="365"/>
      <c r="AI29" s="365"/>
      <c r="AJ29" s="365"/>
      <c r="AK29" s="365"/>
      <c r="AL29" s="365"/>
    </row>
    <row r="30" spans="1:38" ht="18" customHeight="1">
      <c r="A30" s="390"/>
      <c r="B30" s="404"/>
      <c r="C30" s="229" t="s">
        <v>215</v>
      </c>
      <c r="D30" s="229" t="s">
        <v>183</v>
      </c>
      <c r="E30" s="518" t="e">
        <f>HLOOKUP(E$12,'Benzin - diesel - hybrid'!$E$8:$X$79,72)</f>
        <v>#NUM!</v>
      </c>
      <c r="F30" s="519"/>
      <c r="G30" s="518" t="e">
        <f>HLOOKUP(G$12,'Benzin - diesel - hybrid'!$E$8:$X$79,72)</f>
        <v>#NUM!</v>
      </c>
      <c r="H30" s="519"/>
      <c r="I30" s="518" t="e">
        <f>HLOOKUP(I$12,'Benzin - diesel - hybrid'!$E$8:$X$79,72)</f>
        <v>#NUM!</v>
      </c>
      <c r="J30" s="519"/>
      <c r="K30" s="518" t="e">
        <f>HLOOKUP(K$12,'El og plugin hybrid'!$E$8:$X$104,95)</f>
        <v>#NUM!</v>
      </c>
      <c r="L30" s="519"/>
      <c r="M30" s="518" t="e">
        <f>HLOOKUP(M$12,'El og plugin hybrid'!$E$8:$X$104,95)</f>
        <v>#NUM!</v>
      </c>
      <c r="N30" s="519"/>
      <c r="O30" s="518" t="e">
        <f>HLOOKUP(O$12,'El og plugin hybrid'!$E$8:$X$104,95)</f>
        <v>#NUM!</v>
      </c>
      <c r="P30" s="409"/>
      <c r="Q30" s="401"/>
      <c r="R30" s="349"/>
      <c r="S30" s="365"/>
      <c r="T30" s="346"/>
      <c r="U30" s="346"/>
      <c r="V30" s="346"/>
      <c r="W30" s="346"/>
      <c r="X30" s="346"/>
      <c r="Y30" s="365"/>
      <c r="Z30" s="365"/>
      <c r="AA30" s="365"/>
      <c r="AB30" s="365"/>
      <c r="AC30" s="365"/>
      <c r="AD30" s="365"/>
      <c r="AE30" s="365"/>
      <c r="AF30" s="365"/>
      <c r="AG30" s="365"/>
      <c r="AH30" s="365"/>
      <c r="AI30" s="365"/>
      <c r="AJ30" s="365"/>
      <c r="AK30" s="365"/>
      <c r="AL30" s="365"/>
    </row>
    <row r="31" spans="1:38" ht="18" customHeight="1">
      <c r="A31" s="390"/>
      <c r="B31" s="404"/>
      <c r="C31" s="408"/>
      <c r="D31" s="414"/>
      <c r="E31" s="415"/>
      <c r="F31" s="416"/>
      <c r="G31" s="416"/>
      <c r="H31" s="416"/>
      <c r="I31" s="416"/>
      <c r="J31" s="416"/>
      <c r="K31" s="416"/>
      <c r="L31" s="416"/>
      <c r="M31" s="416"/>
      <c r="N31" s="416"/>
      <c r="O31" s="415"/>
      <c r="P31" s="409"/>
      <c r="Q31" s="401"/>
      <c r="R31" s="349"/>
      <c r="S31" s="365"/>
      <c r="T31" s="346"/>
      <c r="U31" s="346"/>
      <c r="V31" s="346"/>
      <c r="W31" s="346"/>
      <c r="X31" s="346"/>
      <c r="Y31" s="365"/>
      <c r="Z31" s="365"/>
      <c r="AA31" s="365"/>
      <c r="AB31" s="365"/>
      <c r="AC31" s="365"/>
      <c r="AD31" s="365"/>
      <c r="AE31" s="365"/>
      <c r="AF31" s="365"/>
      <c r="AG31" s="365"/>
      <c r="AH31" s="365"/>
      <c r="AI31" s="365"/>
      <c r="AJ31" s="365"/>
      <c r="AK31" s="365"/>
      <c r="AL31" s="365"/>
    </row>
    <row r="32" spans="1:38" ht="18" customHeight="1">
      <c r="A32" s="390"/>
      <c r="B32" s="404"/>
      <c r="C32" s="408"/>
      <c r="D32" s="414"/>
      <c r="E32" s="415"/>
      <c r="F32" s="416"/>
      <c r="G32" s="416"/>
      <c r="H32" s="416"/>
      <c r="I32" s="416"/>
      <c r="J32" s="416"/>
      <c r="K32" s="416"/>
      <c r="L32" s="416"/>
      <c r="M32" s="416"/>
      <c r="N32" s="416"/>
      <c r="O32" s="415"/>
      <c r="P32" s="409"/>
      <c r="Q32" s="401"/>
      <c r="R32" s="349"/>
      <c r="S32" s="365"/>
      <c r="T32" s="346"/>
      <c r="U32" s="346"/>
      <c r="V32" s="346"/>
      <c r="W32" s="346"/>
      <c r="X32" s="346"/>
      <c r="Y32" s="365"/>
      <c r="Z32" s="365"/>
      <c r="AA32" s="365"/>
      <c r="AB32" s="365"/>
      <c r="AC32" s="365"/>
      <c r="AD32" s="365"/>
      <c r="AE32" s="365"/>
      <c r="AF32" s="365"/>
      <c r="AG32" s="365"/>
      <c r="AH32" s="365"/>
      <c r="AI32" s="365"/>
      <c r="AJ32" s="365"/>
      <c r="AK32" s="365"/>
      <c r="AL32" s="365"/>
    </row>
    <row r="33" spans="1:38" ht="18" customHeight="1">
      <c r="A33" s="390"/>
      <c r="B33" s="404"/>
      <c r="C33" s="408"/>
      <c r="D33" s="414"/>
      <c r="E33" s="415"/>
      <c r="F33" s="416"/>
      <c r="G33" s="416"/>
      <c r="H33" s="416"/>
      <c r="I33" s="416"/>
      <c r="J33" s="416"/>
      <c r="K33" s="416"/>
      <c r="L33" s="416"/>
      <c r="M33" s="416"/>
      <c r="N33" s="416"/>
      <c r="O33" s="415"/>
      <c r="P33" s="409"/>
      <c r="Q33" s="401"/>
      <c r="R33" s="349"/>
      <c r="S33" s="365"/>
      <c r="T33" s="346"/>
      <c r="U33" s="346"/>
      <c r="V33" s="346"/>
      <c r="W33" s="346"/>
      <c r="X33" s="346"/>
      <c r="Y33" s="365"/>
      <c r="Z33" s="365"/>
      <c r="AA33" s="365"/>
      <c r="AB33" s="365"/>
      <c r="AC33" s="365"/>
      <c r="AD33" s="365"/>
      <c r="AE33" s="365"/>
      <c r="AF33" s="365"/>
      <c r="AG33" s="365"/>
      <c r="AH33" s="365"/>
      <c r="AI33" s="365"/>
      <c r="AJ33" s="365"/>
      <c r="AK33" s="365"/>
      <c r="AL33" s="365"/>
    </row>
    <row r="34" spans="1:38" ht="18.75" customHeight="1">
      <c r="A34" s="390"/>
      <c r="B34" s="404"/>
      <c r="C34" s="408"/>
      <c r="D34" s="414"/>
      <c r="E34" s="415"/>
      <c r="F34" s="416"/>
      <c r="G34" s="416"/>
      <c r="H34" s="416"/>
      <c r="I34" s="416"/>
      <c r="J34" s="416"/>
      <c r="K34" s="416"/>
      <c r="L34" s="416"/>
      <c r="M34" s="416"/>
      <c r="N34" s="416"/>
      <c r="O34" s="415"/>
      <c r="P34" s="409"/>
      <c r="Q34" s="401"/>
      <c r="R34" s="349"/>
      <c r="S34" s="365"/>
      <c r="T34" s="346"/>
      <c r="U34" s="346"/>
      <c r="V34" s="346"/>
      <c r="W34" s="346"/>
      <c r="X34" s="346"/>
      <c r="Y34" s="365"/>
      <c r="Z34" s="365"/>
      <c r="AA34" s="365"/>
      <c r="AB34" s="365"/>
      <c r="AC34" s="365"/>
      <c r="AD34" s="365"/>
      <c r="AE34" s="365"/>
      <c r="AF34" s="365"/>
      <c r="AG34" s="365"/>
      <c r="AH34" s="365"/>
      <c r="AI34" s="365"/>
      <c r="AJ34" s="365"/>
      <c r="AK34" s="365"/>
      <c r="AL34" s="365"/>
    </row>
    <row r="35" spans="1:38" ht="18" customHeight="1">
      <c r="A35" s="390"/>
      <c r="B35" s="404"/>
      <c r="C35" s="408"/>
      <c r="D35" s="414"/>
      <c r="E35" s="415"/>
      <c r="F35" s="416"/>
      <c r="G35" s="416"/>
      <c r="H35" s="416"/>
      <c r="I35" s="416"/>
      <c r="J35" s="416"/>
      <c r="K35" s="416"/>
      <c r="L35" s="416"/>
      <c r="M35" s="416"/>
      <c r="N35" s="416"/>
      <c r="O35" s="415"/>
      <c r="P35" s="409"/>
      <c r="Q35" s="401"/>
      <c r="R35" s="349"/>
      <c r="S35" s="365"/>
      <c r="T35" s="346"/>
      <c r="U35" s="346"/>
      <c r="V35" s="346"/>
      <c r="W35" s="346"/>
      <c r="X35" s="346"/>
      <c r="Y35" s="365"/>
      <c r="Z35" s="365"/>
      <c r="AA35" s="365"/>
      <c r="AB35" s="365"/>
      <c r="AC35" s="365"/>
      <c r="AD35" s="365"/>
      <c r="AE35" s="365"/>
      <c r="AF35" s="365"/>
      <c r="AG35" s="365"/>
      <c r="AH35" s="365"/>
      <c r="AI35" s="365"/>
      <c r="AJ35" s="365"/>
      <c r="AK35" s="365"/>
      <c r="AL35" s="365"/>
    </row>
    <row r="36" spans="1:38" ht="18" customHeight="1">
      <c r="A36" s="390"/>
      <c r="B36" s="404"/>
      <c r="C36" s="408"/>
      <c r="D36" s="414"/>
      <c r="E36" s="415"/>
      <c r="F36" s="416"/>
      <c r="G36" s="416"/>
      <c r="H36" s="416"/>
      <c r="I36" s="416"/>
      <c r="J36" s="416"/>
      <c r="K36" s="416"/>
      <c r="L36" s="416"/>
      <c r="M36" s="416"/>
      <c r="N36" s="416"/>
      <c r="O36" s="415"/>
      <c r="P36" s="409"/>
      <c r="Q36" s="401"/>
      <c r="R36" s="349"/>
      <c r="S36" s="365"/>
      <c r="T36" s="346"/>
      <c r="U36" s="346"/>
      <c r="V36" s="346"/>
      <c r="W36" s="346"/>
      <c r="X36" s="346"/>
      <c r="Y36" s="365"/>
      <c r="Z36" s="365"/>
      <c r="AA36" s="365"/>
      <c r="AB36" s="365"/>
      <c r="AC36" s="365"/>
      <c r="AD36" s="365"/>
      <c r="AE36" s="365"/>
      <c r="AF36" s="365"/>
      <c r="AG36" s="365"/>
      <c r="AH36" s="365"/>
      <c r="AI36" s="365"/>
      <c r="AJ36" s="365"/>
      <c r="AK36" s="365"/>
      <c r="AL36" s="365"/>
    </row>
    <row r="37" spans="1:38" ht="18" customHeight="1">
      <c r="A37" s="390"/>
      <c r="B37" s="404"/>
      <c r="C37" s="408"/>
      <c r="D37" s="414"/>
      <c r="E37" s="415"/>
      <c r="F37" s="416"/>
      <c r="G37" s="416"/>
      <c r="H37" s="416"/>
      <c r="I37" s="416"/>
      <c r="J37" s="416"/>
      <c r="K37" s="416"/>
      <c r="L37" s="416"/>
      <c r="M37" s="416"/>
      <c r="N37" s="416"/>
      <c r="O37" s="415"/>
      <c r="P37" s="409"/>
      <c r="Q37" s="401"/>
      <c r="R37" s="349"/>
      <c r="S37" s="365"/>
      <c r="T37" s="346"/>
      <c r="U37" s="346"/>
      <c r="V37" s="346"/>
      <c r="W37" s="346"/>
      <c r="X37" s="346"/>
      <c r="Y37" s="365"/>
      <c r="Z37" s="365"/>
      <c r="AA37" s="365"/>
      <c r="AB37" s="365"/>
      <c r="AC37" s="365"/>
      <c r="AD37" s="365"/>
      <c r="AE37" s="365"/>
      <c r="AF37" s="365"/>
      <c r="AG37" s="365"/>
      <c r="AH37" s="365"/>
      <c r="AI37" s="365"/>
      <c r="AJ37" s="365"/>
      <c r="AK37" s="365"/>
      <c r="AL37" s="365"/>
    </row>
    <row r="38" spans="1:38" ht="18" customHeight="1">
      <c r="A38" s="390"/>
      <c r="B38" s="404"/>
      <c r="C38" s="408"/>
      <c r="D38" s="414"/>
      <c r="E38" s="415"/>
      <c r="F38" s="416"/>
      <c r="G38" s="416"/>
      <c r="H38" s="416"/>
      <c r="I38" s="416"/>
      <c r="J38" s="416"/>
      <c r="K38" s="416"/>
      <c r="L38" s="416"/>
      <c r="M38" s="416"/>
      <c r="N38" s="416"/>
      <c r="O38" s="415"/>
      <c r="P38" s="409"/>
      <c r="Q38" s="401"/>
      <c r="R38" s="349"/>
      <c r="S38" s="365"/>
      <c r="T38" s="346"/>
      <c r="U38" s="346"/>
      <c r="V38" s="346"/>
      <c r="W38" s="346"/>
      <c r="X38" s="346"/>
      <c r="Y38" s="365"/>
      <c r="Z38" s="365"/>
      <c r="AA38" s="365"/>
      <c r="AB38" s="365"/>
      <c r="AC38" s="365"/>
      <c r="AD38" s="365"/>
      <c r="AE38" s="365"/>
      <c r="AF38" s="365"/>
      <c r="AG38" s="365"/>
      <c r="AH38" s="365"/>
      <c r="AI38" s="365"/>
      <c r="AJ38" s="365"/>
      <c r="AK38" s="365"/>
      <c r="AL38" s="365"/>
    </row>
    <row r="39" spans="1:38" ht="18" customHeight="1">
      <c r="A39" s="390"/>
      <c r="B39" s="404"/>
      <c r="C39" s="408"/>
      <c r="D39" s="414"/>
      <c r="E39" s="415"/>
      <c r="F39" s="416"/>
      <c r="G39" s="416"/>
      <c r="H39" s="416"/>
      <c r="I39" s="416"/>
      <c r="J39" s="416"/>
      <c r="K39" s="416"/>
      <c r="L39" s="416"/>
      <c r="M39" s="416"/>
      <c r="N39" s="416"/>
      <c r="O39" s="415"/>
      <c r="P39" s="409"/>
      <c r="Q39" s="401"/>
      <c r="R39" s="349"/>
      <c r="S39" s="365"/>
      <c r="T39" s="346"/>
      <c r="U39" s="346"/>
      <c r="V39" s="346"/>
      <c r="W39" s="346"/>
      <c r="X39" s="346"/>
      <c r="Y39" s="365"/>
      <c r="Z39" s="365"/>
      <c r="AA39" s="365"/>
      <c r="AB39" s="365"/>
      <c r="AC39" s="365"/>
      <c r="AD39" s="365"/>
      <c r="AE39" s="365"/>
      <c r="AF39" s="365"/>
      <c r="AG39" s="365"/>
      <c r="AH39" s="365"/>
      <c r="AI39" s="365"/>
      <c r="AJ39" s="365"/>
      <c r="AK39" s="365"/>
      <c r="AL39" s="365"/>
    </row>
    <row r="40" spans="1:38" ht="18" customHeight="1">
      <c r="A40" s="390"/>
      <c r="B40" s="404"/>
      <c r="C40" s="406"/>
      <c r="D40" s="417"/>
      <c r="E40" s="418"/>
      <c r="F40" s="418"/>
      <c r="G40" s="418"/>
      <c r="H40" s="418"/>
      <c r="I40" s="418"/>
      <c r="J40" s="418"/>
      <c r="K40" s="418"/>
      <c r="L40" s="418"/>
      <c r="M40" s="418"/>
      <c r="N40" s="418"/>
      <c r="O40" s="418"/>
      <c r="P40" s="400"/>
      <c r="Q40" s="401"/>
      <c r="R40" s="349"/>
      <c r="S40" s="365"/>
      <c r="T40" s="346"/>
      <c r="U40" s="346"/>
      <c r="V40" s="346"/>
      <c r="W40" s="346"/>
      <c r="X40" s="346"/>
      <c r="Y40" s="365"/>
      <c r="Z40" s="365"/>
      <c r="AA40" s="365"/>
      <c r="AB40" s="365"/>
      <c r="AC40" s="365"/>
      <c r="AD40" s="365"/>
      <c r="AE40" s="365"/>
      <c r="AF40" s="365"/>
      <c r="AG40" s="365"/>
      <c r="AH40" s="365"/>
      <c r="AI40" s="365"/>
      <c r="AJ40" s="365"/>
      <c r="AK40" s="365"/>
      <c r="AL40" s="365"/>
    </row>
    <row r="41" spans="1:38" s="424" customFormat="1">
      <c r="A41" s="419"/>
      <c r="B41" s="420"/>
      <c r="C41" s="421"/>
      <c r="D41" s="422"/>
      <c r="E41" s="421"/>
      <c r="F41" s="421"/>
      <c r="G41" s="421"/>
      <c r="H41" s="421"/>
      <c r="I41" s="421"/>
      <c r="J41" s="421"/>
      <c r="K41" s="421"/>
      <c r="L41" s="421"/>
      <c r="M41" s="421"/>
      <c r="N41" s="421"/>
      <c r="O41" s="421"/>
      <c r="P41" s="421"/>
      <c r="Q41" s="423"/>
      <c r="R41" s="419"/>
      <c r="T41" s="425"/>
      <c r="U41" s="425"/>
      <c r="V41" s="425"/>
      <c r="W41" s="425"/>
      <c r="X41" s="425"/>
    </row>
    <row r="42" spans="1:38" s="424" customFormat="1">
      <c r="A42" s="425"/>
      <c r="B42" s="426"/>
      <c r="C42" s="427"/>
      <c r="D42" s="427"/>
      <c r="E42" s="427"/>
      <c r="F42" s="427"/>
      <c r="G42" s="427"/>
      <c r="H42" s="427"/>
      <c r="I42" s="427"/>
      <c r="J42" s="427"/>
      <c r="K42" s="427"/>
      <c r="L42" s="427"/>
      <c r="M42" s="427"/>
      <c r="N42" s="427"/>
      <c r="O42" s="427"/>
      <c r="P42" s="427"/>
      <c r="Q42" s="423"/>
      <c r="R42" s="419"/>
      <c r="T42" s="425"/>
      <c r="U42" s="425"/>
      <c r="V42" s="425"/>
      <c r="W42" s="425"/>
      <c r="X42" s="425"/>
    </row>
    <row r="43" spans="1:38" s="424" customFormat="1">
      <c r="A43" s="425"/>
      <c r="B43" s="426"/>
      <c r="C43" s="427"/>
      <c r="D43" s="427"/>
      <c r="E43" s="427"/>
      <c r="F43" s="427"/>
      <c r="G43" s="427"/>
      <c r="H43" s="427"/>
      <c r="I43" s="427"/>
      <c r="J43" s="427"/>
      <c r="K43" s="427"/>
      <c r="L43" s="427"/>
      <c r="M43" s="427"/>
      <c r="N43" s="427"/>
      <c r="O43" s="427"/>
      <c r="P43" s="427"/>
      <c r="Q43" s="423"/>
      <c r="R43" s="419"/>
      <c r="T43" s="425"/>
      <c r="U43" s="425"/>
      <c r="V43" s="425"/>
      <c r="W43" s="425"/>
      <c r="X43" s="425"/>
    </row>
    <row r="44" spans="1:38" s="424" customFormat="1">
      <c r="A44" s="425"/>
      <c r="B44" s="426"/>
      <c r="C44" s="427"/>
      <c r="D44" s="427"/>
      <c r="E44" s="427"/>
      <c r="F44" s="427"/>
      <c r="G44" s="427"/>
      <c r="H44" s="427"/>
      <c r="I44" s="427"/>
      <c r="J44" s="427"/>
      <c r="K44" s="427"/>
      <c r="L44" s="427"/>
      <c r="M44" s="427"/>
      <c r="N44" s="427"/>
      <c r="O44" s="427"/>
      <c r="P44" s="427"/>
      <c r="Q44" s="423"/>
      <c r="R44" s="419"/>
      <c r="T44" s="425"/>
      <c r="U44" s="425"/>
      <c r="V44" s="425"/>
      <c r="W44" s="425"/>
      <c r="X44" s="425"/>
    </row>
    <row r="45" spans="1:38" s="424" customFormat="1">
      <c r="A45" s="425"/>
      <c r="B45" s="426"/>
      <c r="C45" s="427"/>
      <c r="D45" s="427"/>
      <c r="E45" s="427"/>
      <c r="F45" s="427"/>
      <c r="G45" s="427"/>
      <c r="H45" s="427"/>
      <c r="I45" s="427"/>
      <c r="J45" s="427"/>
      <c r="K45" s="427"/>
      <c r="L45" s="427"/>
      <c r="M45" s="427"/>
      <c r="N45" s="427"/>
      <c r="O45" s="427"/>
      <c r="P45" s="427"/>
      <c r="Q45" s="423"/>
      <c r="R45" s="419"/>
      <c r="T45" s="425"/>
      <c r="U45" s="425"/>
      <c r="V45" s="425"/>
      <c r="W45" s="425"/>
      <c r="X45" s="425"/>
    </row>
    <row r="46" spans="1:38" s="424" customFormat="1">
      <c r="A46" s="425"/>
      <c r="B46" s="426"/>
      <c r="C46" s="427"/>
      <c r="D46" s="427"/>
      <c r="E46" s="427"/>
      <c r="F46" s="427"/>
      <c r="G46" s="427"/>
      <c r="H46" s="427"/>
      <c r="I46" s="427"/>
      <c r="J46" s="427"/>
      <c r="K46" s="427"/>
      <c r="L46" s="427"/>
      <c r="M46" s="427"/>
      <c r="N46" s="427"/>
      <c r="O46" s="427"/>
      <c r="P46" s="427"/>
      <c r="Q46" s="423"/>
      <c r="R46" s="419"/>
      <c r="T46" s="425"/>
      <c r="U46" s="425"/>
      <c r="V46" s="425"/>
      <c r="W46" s="425"/>
      <c r="X46" s="425"/>
    </row>
    <row r="47" spans="1:38" s="424" customFormat="1">
      <c r="A47" s="425"/>
      <c r="B47" s="426"/>
      <c r="C47" s="427"/>
      <c r="D47" s="427"/>
      <c r="E47" s="427"/>
      <c r="F47" s="427"/>
      <c r="G47" s="427"/>
      <c r="H47" s="427"/>
      <c r="I47" s="427"/>
      <c r="J47" s="427"/>
      <c r="K47" s="427"/>
      <c r="L47" s="427"/>
      <c r="M47" s="427"/>
      <c r="N47" s="427"/>
      <c r="O47" s="427"/>
      <c r="P47" s="427"/>
      <c r="Q47" s="428"/>
      <c r="R47" s="419"/>
      <c r="T47" s="425"/>
      <c r="U47" s="425"/>
      <c r="V47" s="425"/>
      <c r="W47" s="425"/>
      <c r="X47" s="425"/>
    </row>
    <row r="48" spans="1:38" s="424" customFormat="1">
      <c r="A48" s="425"/>
      <c r="B48" s="426"/>
      <c r="C48" s="427"/>
      <c r="D48" s="427"/>
      <c r="E48" s="427"/>
      <c r="F48" s="427"/>
      <c r="G48" s="427"/>
      <c r="H48" s="427"/>
      <c r="I48" s="427"/>
      <c r="J48" s="427"/>
      <c r="K48" s="427"/>
      <c r="L48" s="427"/>
      <c r="M48" s="427"/>
      <c r="N48" s="427"/>
      <c r="O48" s="427"/>
      <c r="P48" s="427"/>
      <c r="Q48" s="428"/>
      <c r="R48" s="419"/>
      <c r="T48" s="425"/>
      <c r="U48" s="425"/>
      <c r="V48" s="425"/>
      <c r="W48" s="425"/>
      <c r="X48" s="425"/>
    </row>
    <row r="49" spans="1:24" s="424" customFormat="1">
      <c r="A49" s="425"/>
      <c r="B49" s="426"/>
      <c r="C49" s="427"/>
      <c r="D49" s="427"/>
      <c r="E49" s="427"/>
      <c r="F49" s="427"/>
      <c r="G49" s="427"/>
      <c r="H49" s="427"/>
      <c r="I49" s="427"/>
      <c r="J49" s="427"/>
      <c r="K49" s="427"/>
      <c r="L49" s="427"/>
      <c r="M49" s="427"/>
      <c r="N49" s="427"/>
      <c r="O49" s="427"/>
      <c r="P49" s="427"/>
      <c r="Q49" s="428"/>
      <c r="R49" s="419"/>
      <c r="T49" s="425"/>
      <c r="U49" s="425"/>
      <c r="V49" s="425"/>
      <c r="W49" s="425"/>
      <c r="X49" s="425"/>
    </row>
    <row r="50" spans="1:24" s="424" customFormat="1">
      <c r="A50" s="425"/>
      <c r="B50" s="426"/>
      <c r="C50" s="427"/>
      <c r="D50" s="427"/>
      <c r="E50" s="427"/>
      <c r="F50" s="427"/>
      <c r="G50" s="427"/>
      <c r="H50" s="427"/>
      <c r="I50" s="427"/>
      <c r="J50" s="427"/>
      <c r="K50" s="427"/>
      <c r="L50" s="427"/>
      <c r="M50" s="427"/>
      <c r="N50" s="427"/>
      <c r="O50" s="427"/>
      <c r="P50" s="427"/>
      <c r="Q50" s="428"/>
      <c r="R50" s="419"/>
      <c r="T50" s="425"/>
      <c r="U50" s="425"/>
      <c r="V50" s="425"/>
      <c r="W50" s="425"/>
      <c r="X50" s="425"/>
    </row>
    <row r="51" spans="1:24" s="424" customFormat="1">
      <c r="A51" s="425"/>
      <c r="B51" s="426"/>
      <c r="C51" s="427"/>
      <c r="D51" s="427"/>
      <c r="E51" s="427"/>
      <c r="F51" s="427"/>
      <c r="G51" s="427"/>
      <c r="H51" s="427"/>
      <c r="I51" s="427"/>
      <c r="J51" s="427"/>
      <c r="K51" s="427"/>
      <c r="L51" s="427"/>
      <c r="M51" s="427"/>
      <c r="N51" s="427"/>
      <c r="O51" s="427"/>
      <c r="P51" s="427"/>
      <c r="Q51" s="428"/>
      <c r="R51" s="419"/>
      <c r="T51" s="425"/>
      <c r="U51" s="425"/>
      <c r="V51" s="425"/>
      <c r="W51" s="425"/>
      <c r="X51" s="425"/>
    </row>
    <row r="52" spans="1:24" s="424" customFormat="1">
      <c r="A52" s="425"/>
      <c r="B52" s="426"/>
      <c r="C52" s="427"/>
      <c r="D52" s="427"/>
      <c r="E52" s="427"/>
      <c r="F52" s="427"/>
      <c r="G52" s="427"/>
      <c r="H52" s="427"/>
      <c r="I52" s="427"/>
      <c r="J52" s="427"/>
      <c r="K52" s="427"/>
      <c r="L52" s="427"/>
      <c r="M52" s="427"/>
      <c r="N52" s="427"/>
      <c r="O52" s="427"/>
      <c r="P52" s="427"/>
      <c r="Q52" s="428"/>
      <c r="R52" s="419"/>
      <c r="T52" s="425"/>
      <c r="U52" s="425"/>
      <c r="V52" s="425"/>
      <c r="W52" s="425"/>
      <c r="X52" s="425"/>
    </row>
    <row r="53" spans="1:24" s="424" customFormat="1">
      <c r="A53" s="425"/>
      <c r="B53" s="426"/>
      <c r="C53" s="427"/>
      <c r="D53" s="427"/>
      <c r="E53" s="427"/>
      <c r="F53" s="427"/>
      <c r="G53" s="427"/>
      <c r="H53" s="427"/>
      <c r="I53" s="427"/>
      <c r="J53" s="427"/>
      <c r="K53" s="427"/>
      <c r="L53" s="427"/>
      <c r="M53" s="427"/>
      <c r="N53" s="427"/>
      <c r="O53" s="427"/>
      <c r="P53" s="427"/>
      <c r="Q53" s="428"/>
      <c r="R53" s="419"/>
      <c r="T53" s="425"/>
      <c r="U53" s="425"/>
      <c r="V53" s="425"/>
      <c r="W53" s="425"/>
      <c r="X53" s="425"/>
    </row>
    <row r="54" spans="1:24" s="424" customFormat="1">
      <c r="A54" s="425"/>
      <c r="B54" s="426"/>
      <c r="C54" s="427"/>
      <c r="D54" s="427"/>
      <c r="E54" s="427"/>
      <c r="F54" s="427"/>
      <c r="G54" s="427"/>
      <c r="H54" s="427"/>
      <c r="I54" s="427"/>
      <c r="J54" s="427"/>
      <c r="K54" s="427"/>
      <c r="L54" s="427"/>
      <c r="M54" s="427"/>
      <c r="N54" s="427"/>
      <c r="O54" s="427"/>
      <c r="P54" s="427"/>
      <c r="Q54" s="428"/>
      <c r="R54" s="419"/>
      <c r="T54" s="425"/>
      <c r="U54" s="425"/>
      <c r="V54" s="425"/>
      <c r="W54" s="425"/>
      <c r="X54" s="425"/>
    </row>
    <row r="55" spans="1:24" s="424" customFormat="1">
      <c r="A55" s="425"/>
      <c r="B55" s="426"/>
      <c r="C55" s="427"/>
      <c r="D55" s="427"/>
      <c r="E55" s="427"/>
      <c r="F55" s="427"/>
      <c r="G55" s="427"/>
      <c r="H55" s="427"/>
      <c r="I55" s="427"/>
      <c r="J55" s="427"/>
      <c r="K55" s="427"/>
      <c r="L55" s="427"/>
      <c r="M55" s="427"/>
      <c r="N55" s="427"/>
      <c r="O55" s="427"/>
      <c r="P55" s="427"/>
      <c r="Q55" s="428"/>
      <c r="R55" s="419"/>
      <c r="T55" s="425"/>
      <c r="U55" s="425"/>
      <c r="V55" s="425"/>
      <c r="W55" s="425"/>
      <c r="X55" s="425"/>
    </row>
    <row r="56" spans="1:24" s="424" customFormat="1">
      <c r="A56" s="425"/>
      <c r="B56" s="426"/>
      <c r="C56" s="427"/>
      <c r="D56" s="427"/>
      <c r="E56" s="427"/>
      <c r="F56" s="427"/>
      <c r="G56" s="427"/>
      <c r="H56" s="427"/>
      <c r="I56" s="427"/>
      <c r="J56" s="427"/>
      <c r="K56" s="427"/>
      <c r="L56" s="427"/>
      <c r="M56" s="427"/>
      <c r="N56" s="427"/>
      <c r="O56" s="427"/>
      <c r="P56" s="427"/>
      <c r="Q56" s="428"/>
      <c r="R56" s="419"/>
      <c r="T56" s="425"/>
      <c r="U56" s="425"/>
      <c r="V56" s="425"/>
      <c r="W56" s="425"/>
      <c r="X56" s="425"/>
    </row>
    <row r="57" spans="1:24" s="424" customFormat="1" ht="126.75" customHeight="1">
      <c r="A57" s="425"/>
      <c r="B57" s="429"/>
      <c r="C57" s="430"/>
      <c r="D57" s="430"/>
      <c r="E57" s="430"/>
      <c r="F57" s="430"/>
      <c r="G57" s="430"/>
      <c r="H57" s="430"/>
      <c r="I57" s="430"/>
      <c r="J57" s="430"/>
      <c r="K57" s="430"/>
      <c r="L57" s="430"/>
      <c r="M57" s="430"/>
      <c r="N57" s="430"/>
      <c r="O57" s="430"/>
      <c r="P57" s="430"/>
      <c r="Q57" s="431"/>
      <c r="R57" s="419"/>
      <c r="T57" s="425"/>
      <c r="U57" s="425"/>
      <c r="V57" s="425"/>
      <c r="W57" s="425"/>
      <c r="X57" s="425"/>
    </row>
    <row r="58" spans="1:24" s="424" customFormat="1">
      <c r="A58" s="425"/>
      <c r="B58" s="425"/>
      <c r="C58" s="425"/>
      <c r="D58" s="425"/>
      <c r="E58" s="425"/>
      <c r="F58" s="425"/>
      <c r="G58" s="425"/>
      <c r="H58" s="425"/>
      <c r="I58" s="425"/>
      <c r="J58" s="425"/>
      <c r="K58" s="425"/>
      <c r="L58" s="425"/>
      <c r="M58" s="425"/>
      <c r="N58" s="425"/>
      <c r="O58" s="425"/>
      <c r="P58" s="425"/>
      <c r="Q58" s="432"/>
      <c r="R58" s="419"/>
      <c r="T58" s="425"/>
      <c r="U58" s="425"/>
      <c r="V58" s="425"/>
      <c r="W58" s="425"/>
      <c r="X58" s="425"/>
    </row>
    <row r="59" spans="1:24" s="424" customFormat="1">
      <c r="A59" s="425"/>
      <c r="B59" s="425"/>
      <c r="C59" s="425"/>
      <c r="D59" s="425"/>
      <c r="E59" s="425"/>
      <c r="F59" s="425"/>
      <c r="G59" s="425"/>
      <c r="H59" s="425"/>
      <c r="I59" s="425"/>
      <c r="J59" s="425"/>
      <c r="K59" s="425"/>
      <c r="L59" s="425"/>
      <c r="M59" s="425"/>
      <c r="N59" s="425"/>
      <c r="O59" s="425"/>
      <c r="P59" s="425"/>
      <c r="Q59" s="432"/>
      <c r="R59" s="419"/>
      <c r="T59" s="425"/>
      <c r="U59" s="425"/>
      <c r="V59" s="425"/>
      <c r="W59" s="425"/>
      <c r="X59" s="425"/>
    </row>
    <row r="60" spans="1:24" s="424" customFormat="1">
      <c r="Q60" s="433"/>
      <c r="R60" s="434"/>
    </row>
    <row r="61" spans="1:24" s="424" customFormat="1">
      <c r="Q61" s="433"/>
      <c r="R61" s="434"/>
    </row>
    <row r="62" spans="1:24" s="424" customFormat="1"/>
    <row r="63" spans="1:24" s="424" customFormat="1"/>
    <row r="64" spans="1:24" s="424" customFormat="1">
      <c r="Q64" s="435"/>
    </row>
    <row r="65" spans="2:4" s="424" customFormat="1"/>
    <row r="66" spans="2:4" s="424" customFormat="1"/>
    <row r="67" spans="2:4" s="424" customFormat="1"/>
    <row r="68" spans="2:4" s="424" customFormat="1"/>
    <row r="69" spans="2:4" s="424" customFormat="1"/>
    <row r="70" spans="2:4" s="424" customFormat="1"/>
    <row r="71" spans="2:4" s="424" customFormat="1"/>
    <row r="72" spans="2:4" s="424" customFormat="1"/>
    <row r="73" spans="2:4" s="424" customFormat="1"/>
    <row r="74" spans="2:4" s="424" customFormat="1"/>
    <row r="75" spans="2:4" s="424" customFormat="1"/>
    <row r="76" spans="2:4" s="424" customFormat="1"/>
    <row r="77" spans="2:4" s="424" customFormat="1"/>
    <row r="78" spans="2:4" s="424" customFormat="1"/>
    <row r="79" spans="2:4" s="424" customFormat="1"/>
    <row r="80" spans="2:4" s="424" customFormat="1">
      <c r="B80" s="436"/>
      <c r="D80" s="437"/>
    </row>
    <row r="81" spans="2:24" s="424" customFormat="1">
      <c r="B81" s="436"/>
      <c r="D81" s="437"/>
    </row>
    <row r="82" spans="2:24" s="424" customFormat="1">
      <c r="B82" s="436"/>
      <c r="D82" s="437"/>
    </row>
    <row r="83" spans="2:24" s="424" customFormat="1">
      <c r="B83" s="436"/>
      <c r="D83" s="437"/>
    </row>
    <row r="84" spans="2:24" s="424" customFormat="1">
      <c r="B84" s="436"/>
      <c r="D84" s="437"/>
    </row>
    <row r="85" spans="2:24" s="424" customFormat="1">
      <c r="B85" s="436"/>
      <c r="D85" s="437"/>
    </row>
    <row r="86" spans="2:24" s="424" customFormat="1">
      <c r="B86" s="436"/>
      <c r="D86" s="437"/>
    </row>
    <row r="87" spans="2:24" s="424" customFormat="1">
      <c r="B87" s="436"/>
      <c r="D87" s="437"/>
    </row>
    <row r="88" spans="2:24" s="424" customFormat="1">
      <c r="B88" s="436"/>
      <c r="D88" s="437"/>
    </row>
    <row r="89" spans="2:24" s="424" customFormat="1">
      <c r="B89" s="436"/>
      <c r="C89" s="520"/>
      <c r="D89" s="521"/>
      <c r="E89" s="520"/>
      <c r="F89" s="520"/>
      <c r="G89" s="520"/>
      <c r="H89" s="520"/>
      <c r="I89" s="520"/>
      <c r="J89" s="520"/>
      <c r="K89" s="520"/>
      <c r="L89" s="520"/>
      <c r="M89" s="520"/>
      <c r="N89" s="520"/>
      <c r="O89" s="520"/>
      <c r="P89" s="520"/>
      <c r="Q89" s="520"/>
      <c r="R89" s="520"/>
      <c r="S89" s="520"/>
      <c r="T89" s="520"/>
      <c r="U89" s="520"/>
      <c r="V89" s="520"/>
      <c r="W89" s="520"/>
      <c r="X89" s="520"/>
    </row>
    <row r="90" spans="2:24" s="424" customFormat="1">
      <c r="B90" s="436"/>
      <c r="C90" s="520"/>
      <c r="D90" s="521"/>
      <c r="E90" s="520"/>
      <c r="F90" s="520"/>
      <c r="G90" s="520"/>
      <c r="H90" s="520"/>
      <c r="I90" s="520"/>
      <c r="J90" s="520"/>
      <c r="K90" s="520"/>
      <c r="L90" s="520"/>
      <c r="M90" s="520"/>
      <c r="N90" s="520"/>
      <c r="O90" s="520"/>
      <c r="P90" s="520"/>
      <c r="Q90" s="520"/>
      <c r="R90" s="520"/>
      <c r="S90" s="520"/>
      <c r="T90" s="520"/>
      <c r="U90" s="520"/>
      <c r="V90" s="520"/>
      <c r="W90" s="520"/>
      <c r="X90" s="520"/>
    </row>
    <row r="91" spans="2:24" s="424" customFormat="1">
      <c r="B91" s="436"/>
      <c r="C91" s="520"/>
      <c r="D91" s="521"/>
      <c r="E91" s="520"/>
      <c r="F91" s="520"/>
      <c r="G91" s="520"/>
      <c r="H91" s="520"/>
      <c r="I91" s="520"/>
      <c r="J91" s="520"/>
      <c r="K91" s="520"/>
      <c r="L91" s="520"/>
      <c r="M91" s="520"/>
      <c r="N91" s="520"/>
      <c r="O91" s="520"/>
      <c r="P91" s="520"/>
      <c r="Q91" s="520"/>
      <c r="R91" s="520"/>
      <c r="S91" s="520"/>
      <c r="T91" s="520"/>
      <c r="U91" s="520"/>
      <c r="V91" s="520"/>
      <c r="W91" s="520"/>
      <c r="X91" s="520"/>
    </row>
    <row r="92" spans="2:24" s="424" customFormat="1">
      <c r="B92" s="436"/>
      <c r="C92" s="520"/>
      <c r="D92" s="521"/>
      <c r="E92" s="520"/>
      <c r="F92" s="520"/>
      <c r="G92" s="520"/>
      <c r="H92" s="520"/>
      <c r="I92" s="520"/>
      <c r="J92" s="520"/>
      <c r="K92" s="520"/>
      <c r="L92" s="520"/>
      <c r="M92" s="520"/>
      <c r="N92" s="520"/>
      <c r="O92" s="520"/>
      <c r="P92" s="520"/>
      <c r="Q92" s="520"/>
      <c r="R92" s="520"/>
      <c r="S92" s="520"/>
      <c r="T92" s="520"/>
      <c r="U92" s="520"/>
      <c r="V92" s="520"/>
      <c r="W92" s="520"/>
      <c r="X92" s="520"/>
    </row>
    <row r="93" spans="2:24" s="424" customFormat="1">
      <c r="B93" s="436"/>
      <c r="C93" s="520"/>
      <c r="D93" s="521"/>
      <c r="E93" s="520"/>
      <c r="F93" s="520"/>
      <c r="G93" s="520"/>
      <c r="H93" s="520"/>
      <c r="I93" s="520"/>
      <c r="J93" s="520"/>
      <c r="K93" s="520"/>
      <c r="L93" s="520"/>
      <c r="M93" s="520"/>
      <c r="N93" s="520"/>
      <c r="O93" s="520"/>
      <c r="P93" s="520"/>
      <c r="Q93" s="520"/>
      <c r="R93" s="520"/>
      <c r="S93" s="520"/>
      <c r="T93" s="520"/>
      <c r="U93" s="520"/>
      <c r="V93" s="520"/>
      <c r="W93" s="520"/>
      <c r="X93" s="520"/>
    </row>
    <row r="94" spans="2:24" s="424" customFormat="1">
      <c r="B94" s="436"/>
      <c r="C94" s="520"/>
      <c r="D94" s="521"/>
      <c r="E94" s="520"/>
      <c r="F94" s="520"/>
      <c r="G94" s="520"/>
      <c r="H94" s="520"/>
      <c r="I94" s="520"/>
      <c r="J94" s="520"/>
      <c r="K94" s="520"/>
      <c r="L94" s="520"/>
      <c r="M94" s="520"/>
      <c r="N94" s="520"/>
      <c r="O94" s="520"/>
      <c r="P94" s="520"/>
      <c r="Q94" s="520"/>
      <c r="R94" s="520"/>
      <c r="S94" s="520"/>
      <c r="T94" s="520"/>
      <c r="U94" s="520"/>
      <c r="V94" s="520"/>
      <c r="W94" s="520"/>
      <c r="X94" s="520"/>
    </row>
    <row r="95" spans="2:24" s="424" customFormat="1">
      <c r="B95" s="436"/>
      <c r="C95" s="520"/>
      <c r="D95" s="521"/>
      <c r="E95" s="520"/>
      <c r="F95" s="520"/>
      <c r="G95" s="520"/>
      <c r="H95" s="520"/>
      <c r="I95" s="520"/>
      <c r="J95" s="520"/>
      <c r="K95" s="520"/>
      <c r="L95" s="520"/>
      <c r="M95" s="520"/>
      <c r="N95" s="520"/>
      <c r="O95" s="520"/>
      <c r="P95" s="520"/>
      <c r="Q95" s="520"/>
      <c r="R95" s="520"/>
      <c r="S95" s="520"/>
      <c r="T95" s="520"/>
      <c r="U95" s="520"/>
      <c r="V95" s="520"/>
      <c r="W95" s="520"/>
      <c r="X95" s="520"/>
    </row>
    <row r="96" spans="2:24" s="424" customFormat="1">
      <c r="B96" s="436"/>
      <c r="C96" s="438"/>
      <c r="D96" s="440" t="s">
        <v>122</v>
      </c>
      <c r="E96" s="438"/>
      <c r="F96" s="438"/>
      <c r="G96" s="438"/>
      <c r="H96" s="438"/>
      <c r="I96" s="438"/>
      <c r="J96" s="438"/>
      <c r="K96" s="438"/>
      <c r="L96" s="438"/>
      <c r="M96" s="438"/>
      <c r="N96" s="438"/>
      <c r="O96" s="438"/>
      <c r="P96" s="520"/>
      <c r="Q96" s="520"/>
      <c r="R96" s="520"/>
      <c r="S96" s="520"/>
      <c r="T96" s="520"/>
      <c r="U96" s="520"/>
      <c r="V96" s="520"/>
      <c r="W96" s="520"/>
      <c r="X96" s="520"/>
    </row>
    <row r="97" spans="2:24" s="424" customFormat="1">
      <c r="B97" s="436"/>
      <c r="C97" s="438"/>
      <c r="D97" s="439"/>
      <c r="E97" s="438"/>
      <c r="F97" s="438"/>
      <c r="G97" s="438"/>
      <c r="H97" s="438"/>
      <c r="I97" s="438"/>
      <c r="J97" s="438"/>
      <c r="K97" s="438"/>
      <c r="L97" s="438"/>
      <c r="M97" s="438"/>
      <c r="N97" s="438"/>
      <c r="O97" s="438"/>
      <c r="P97" s="520"/>
      <c r="Q97" s="520"/>
      <c r="R97" s="520"/>
      <c r="S97" s="520"/>
      <c r="T97" s="520"/>
      <c r="U97" s="520"/>
      <c r="V97" s="520"/>
      <c r="W97" s="520"/>
      <c r="X97" s="520"/>
    </row>
    <row r="98" spans="2:24" s="424" customFormat="1">
      <c r="B98" s="436"/>
      <c r="C98" s="438"/>
      <c r="D98" s="439"/>
      <c r="E98" s="438"/>
      <c r="F98" s="438"/>
      <c r="G98" s="438"/>
      <c r="H98" s="438"/>
      <c r="I98" s="438"/>
      <c r="J98" s="438"/>
      <c r="K98" s="438"/>
      <c r="L98" s="438"/>
      <c r="M98" s="438"/>
      <c r="N98" s="438"/>
      <c r="O98" s="438"/>
      <c r="P98" s="520"/>
      <c r="Q98" s="520"/>
      <c r="R98" s="520"/>
      <c r="S98" s="520"/>
      <c r="T98" s="520"/>
      <c r="U98" s="520"/>
      <c r="V98" s="520"/>
      <c r="W98" s="520"/>
      <c r="X98" s="520"/>
    </row>
    <row r="99" spans="2:24" s="424" customFormat="1">
      <c r="B99" s="436"/>
      <c r="C99" s="438" t="s">
        <v>123</v>
      </c>
      <c r="D99" s="439"/>
      <c r="E99" s="441" t="e">
        <f>$E$12</f>
        <v>#NUM!</v>
      </c>
      <c r="F99" s="441"/>
      <c r="G99" s="441" t="e">
        <f>$G$12</f>
        <v>#NUM!</v>
      </c>
      <c r="H99" s="441"/>
      <c r="I99" s="441" t="e">
        <f>$I$12</f>
        <v>#NUM!</v>
      </c>
      <c r="J99" s="441"/>
      <c r="K99" s="441" t="e">
        <f>$K$12</f>
        <v>#NUM!</v>
      </c>
      <c r="L99" s="441"/>
      <c r="M99" s="441" t="e">
        <f>$M$12</f>
        <v>#NUM!</v>
      </c>
      <c r="N99" s="441"/>
      <c r="O99" s="441" t="e">
        <f>$O$12</f>
        <v>#NUM!</v>
      </c>
      <c r="P99" s="522"/>
      <c r="Q99" s="520"/>
      <c r="R99" s="520"/>
      <c r="S99" s="520"/>
      <c r="T99" s="520"/>
      <c r="U99" s="520"/>
      <c r="V99" s="520"/>
      <c r="W99" s="520"/>
      <c r="X99" s="520"/>
    </row>
    <row r="100" spans="2:24" s="424" customFormat="1">
      <c r="B100" s="436"/>
      <c r="C100" s="438"/>
      <c r="D100" s="439"/>
      <c r="E100" s="441" t="e">
        <f>HLOOKUP(E$99,'IB - B&amp;D&amp;H'!$E$25:$W$45,2)</f>
        <v>#NUM!</v>
      </c>
      <c r="F100" s="438"/>
      <c r="G100" s="441" t="e">
        <f>HLOOKUP(G$99,'IB - B&amp;D&amp;H'!$E$25:$W$45,2)</f>
        <v>#NUM!</v>
      </c>
      <c r="H100" s="438"/>
      <c r="I100" s="441" t="e">
        <f>HLOOKUP(I$99,'IB - B&amp;D&amp;H'!$E$25:$W$45,2)</f>
        <v>#NUM!</v>
      </c>
      <c r="J100" s="438"/>
      <c r="K100" s="441" t="e">
        <f>HLOOKUP(K$99,'IB - E&amp;PH'!$E$25:$W$45,2)</f>
        <v>#NUM!</v>
      </c>
      <c r="L100" s="438"/>
      <c r="M100" s="441" t="e">
        <f>HLOOKUP(M$99,'IB - E&amp;PH'!$E$25:$W$45,2)</f>
        <v>#NUM!</v>
      </c>
      <c r="N100" s="438"/>
      <c r="O100" s="441" t="e">
        <f>HLOOKUP(O$99,'IB - E&amp;PH'!$E$25:$W$45,2)</f>
        <v>#NUM!</v>
      </c>
      <c r="P100" s="520"/>
      <c r="Q100" s="520"/>
      <c r="R100" s="520"/>
      <c r="S100" s="520"/>
      <c r="T100" s="520"/>
      <c r="U100" s="520"/>
      <c r="V100" s="520"/>
      <c r="W100" s="520"/>
      <c r="X100" s="520"/>
    </row>
    <row r="101" spans="2:24" s="424" customFormat="1">
      <c r="B101" s="436"/>
      <c r="C101" s="438"/>
      <c r="D101" s="439"/>
      <c r="E101" s="441" t="e">
        <f>HLOOKUP(E$99,'IB - B&amp;D&amp;H'!$E$25:$W$45,3)</f>
        <v>#NUM!</v>
      </c>
      <c r="F101" s="438"/>
      <c r="G101" s="441" t="e">
        <f>HLOOKUP(G$99,'IB - B&amp;D&amp;H'!$E$25:$W$45,3)</f>
        <v>#NUM!</v>
      </c>
      <c r="H101" s="438"/>
      <c r="I101" s="441" t="e">
        <f>HLOOKUP(I$99,'IB - B&amp;D&amp;H'!$E$25:$W$45,3)</f>
        <v>#NUM!</v>
      </c>
      <c r="J101" s="438"/>
      <c r="K101" s="441" t="e">
        <f>HLOOKUP(K$99,'IB - E&amp;PH'!$E$25:$W$45,3)</f>
        <v>#NUM!</v>
      </c>
      <c r="L101" s="438"/>
      <c r="M101" s="441" t="e">
        <f>HLOOKUP(M$99,'IB - E&amp;PH'!$E$25:$W$45,3)</f>
        <v>#NUM!</v>
      </c>
      <c r="N101" s="438"/>
      <c r="O101" s="441" t="e">
        <f>HLOOKUP(O$99,'IB - E&amp;PH'!$E$25:$W$45,3)</f>
        <v>#NUM!</v>
      </c>
      <c r="P101" s="520"/>
      <c r="Q101" s="520"/>
      <c r="R101" s="520"/>
      <c r="S101" s="520"/>
      <c r="T101" s="520"/>
      <c r="U101" s="520"/>
      <c r="V101" s="520"/>
      <c r="W101" s="520"/>
      <c r="X101" s="520"/>
    </row>
    <row r="102" spans="2:24" s="424" customFormat="1">
      <c r="B102" s="436"/>
      <c r="C102" s="438"/>
      <c r="D102" s="439"/>
      <c r="E102" s="441" t="e">
        <f>HLOOKUP(E$99,'IB - B&amp;D&amp;H'!$E$25:$W$45,4)</f>
        <v>#NUM!</v>
      </c>
      <c r="F102" s="438"/>
      <c r="G102" s="441" t="e">
        <f>HLOOKUP(G$99,'IB - B&amp;D&amp;H'!$E$25:$W$45,4)</f>
        <v>#NUM!</v>
      </c>
      <c r="H102" s="438"/>
      <c r="I102" s="441" t="e">
        <f>HLOOKUP(I$99,'IB - B&amp;D&amp;H'!$E$25:$W$45,4)</f>
        <v>#NUM!</v>
      </c>
      <c r="J102" s="438"/>
      <c r="K102" s="441" t="e">
        <f>HLOOKUP(K$99,'IB - E&amp;PH'!$E$25:$W$45,4)</f>
        <v>#NUM!</v>
      </c>
      <c r="L102" s="438"/>
      <c r="M102" s="441" t="e">
        <f>HLOOKUP(M$99,'IB - E&amp;PH'!$E$25:$W$45,4)</f>
        <v>#NUM!</v>
      </c>
      <c r="N102" s="438"/>
      <c r="O102" s="441" t="e">
        <f>HLOOKUP(O$99,'IB - E&amp;PH'!$E$25:$W$45,4)</f>
        <v>#NUM!</v>
      </c>
      <c r="P102" s="520"/>
      <c r="Q102" s="520"/>
      <c r="R102" s="520"/>
      <c r="S102" s="520"/>
      <c r="T102" s="520"/>
      <c r="U102" s="520"/>
      <c r="V102" s="520"/>
      <c r="W102" s="520"/>
      <c r="X102" s="520"/>
    </row>
    <row r="103" spans="2:24" s="424" customFormat="1">
      <c r="B103" s="436"/>
      <c r="C103" s="438"/>
      <c r="D103" s="439"/>
      <c r="E103" s="441" t="e">
        <f>HLOOKUP(E$99,'IB - B&amp;D&amp;H'!$E$25:$W$45,5)</f>
        <v>#NUM!</v>
      </c>
      <c r="F103" s="438"/>
      <c r="G103" s="441" t="e">
        <f>HLOOKUP(G$99,'IB - B&amp;D&amp;H'!$E$25:$W$45,5)</f>
        <v>#NUM!</v>
      </c>
      <c r="H103" s="438"/>
      <c r="I103" s="441" t="e">
        <f>HLOOKUP(I$99,'IB - B&amp;D&amp;H'!$E$25:$W$45,5)</f>
        <v>#NUM!</v>
      </c>
      <c r="J103" s="438"/>
      <c r="K103" s="441" t="e">
        <f>HLOOKUP(K$99,'IB - E&amp;PH'!$E$25:$W$45,5)</f>
        <v>#NUM!</v>
      </c>
      <c r="L103" s="438"/>
      <c r="M103" s="441" t="e">
        <f>HLOOKUP(M$99,'IB - E&amp;PH'!$E$25:$W$45,5)</f>
        <v>#NUM!</v>
      </c>
      <c r="N103" s="438"/>
      <c r="O103" s="441" t="e">
        <f>HLOOKUP(O$99,'IB - E&amp;PH'!$E$25:$W$45,5)</f>
        <v>#NUM!</v>
      </c>
      <c r="P103" s="520"/>
      <c r="Q103" s="520"/>
      <c r="R103" s="520"/>
      <c r="S103" s="520"/>
      <c r="T103" s="520"/>
      <c r="U103" s="520"/>
      <c r="V103" s="520"/>
      <c r="W103" s="520"/>
      <c r="X103" s="520"/>
    </row>
    <row r="104" spans="2:24" s="424" customFormat="1">
      <c r="B104" s="436"/>
      <c r="C104" s="438"/>
      <c r="D104" s="439"/>
      <c r="E104" s="441" t="e">
        <f>HLOOKUP(E$99,'IB - B&amp;D&amp;H'!$E$25:$W$45,6)</f>
        <v>#NUM!</v>
      </c>
      <c r="F104" s="438"/>
      <c r="G104" s="441" t="e">
        <f>HLOOKUP(G$99,'IB - B&amp;D&amp;H'!$E$25:$W$45,6)</f>
        <v>#NUM!</v>
      </c>
      <c r="H104" s="438"/>
      <c r="I104" s="441" t="e">
        <f>HLOOKUP(I$99,'IB - B&amp;D&amp;H'!$E$25:$W$45,6)</f>
        <v>#NUM!</v>
      </c>
      <c r="J104" s="438"/>
      <c r="K104" s="441" t="e">
        <f>HLOOKUP(K$99,'IB - E&amp;PH'!$E$25:$W$45,6)</f>
        <v>#NUM!</v>
      </c>
      <c r="L104" s="438"/>
      <c r="M104" s="441" t="e">
        <f>HLOOKUP(M$99,'IB - E&amp;PH'!$E$25:$W$45,6)</f>
        <v>#NUM!</v>
      </c>
      <c r="N104" s="438"/>
      <c r="O104" s="441" t="e">
        <f>HLOOKUP(O$99,'IB - E&amp;PH'!$E$25:$W$45,6)</f>
        <v>#NUM!</v>
      </c>
      <c r="P104" s="520"/>
      <c r="Q104" s="520"/>
      <c r="R104" s="520"/>
      <c r="S104" s="520"/>
      <c r="T104" s="520"/>
      <c r="U104" s="520"/>
      <c r="V104" s="520"/>
      <c r="W104" s="520"/>
      <c r="X104" s="520"/>
    </row>
    <row r="105" spans="2:24" s="424" customFormat="1">
      <c r="B105" s="436"/>
      <c r="C105" s="438"/>
      <c r="D105" s="439"/>
      <c r="E105" s="441" t="e">
        <f>HLOOKUP(E$99,'IB - B&amp;D&amp;H'!$E$25:$W$45,7)</f>
        <v>#NUM!</v>
      </c>
      <c r="F105" s="438"/>
      <c r="G105" s="441" t="e">
        <f>HLOOKUP(G$99,'IB - B&amp;D&amp;H'!$E$25:$W$45,7)</f>
        <v>#NUM!</v>
      </c>
      <c r="H105" s="438"/>
      <c r="I105" s="441" t="e">
        <f>HLOOKUP(I$99,'IB - B&amp;D&amp;H'!$E$25:$W$45,7)</f>
        <v>#NUM!</v>
      </c>
      <c r="J105" s="438"/>
      <c r="K105" s="441" t="e">
        <f>HLOOKUP(K$99,'IB - E&amp;PH'!$E$25:$W$45,7)</f>
        <v>#NUM!</v>
      </c>
      <c r="L105" s="438"/>
      <c r="M105" s="441" t="e">
        <f>HLOOKUP(M$99,'IB - E&amp;PH'!$E$25:$W$45,7)</f>
        <v>#NUM!</v>
      </c>
      <c r="N105" s="438"/>
      <c r="O105" s="441" t="e">
        <f>HLOOKUP(O$99,'IB - E&amp;PH'!$E$25:$W$45,7)</f>
        <v>#NUM!</v>
      </c>
      <c r="P105" s="520"/>
      <c r="Q105" s="520"/>
      <c r="R105" s="520"/>
      <c r="S105" s="520"/>
      <c r="T105" s="520"/>
      <c r="U105" s="520"/>
      <c r="V105" s="520"/>
      <c r="W105" s="520"/>
      <c r="X105" s="520"/>
    </row>
    <row r="106" spans="2:24" s="424" customFormat="1">
      <c r="B106" s="436"/>
      <c r="C106" s="438"/>
      <c r="D106" s="439"/>
      <c r="E106" s="441" t="e">
        <f>HLOOKUP(E$99,'IB - B&amp;D&amp;H'!$E$25:$W$45,8)</f>
        <v>#NUM!</v>
      </c>
      <c r="F106" s="438"/>
      <c r="G106" s="441" t="e">
        <f>HLOOKUP(G$99,'IB - B&amp;D&amp;H'!$E$25:$W$45,8)</f>
        <v>#NUM!</v>
      </c>
      <c r="H106" s="438"/>
      <c r="I106" s="441" t="e">
        <f>HLOOKUP(I$99,'IB - B&amp;D&amp;H'!$E$25:$W$45,8)</f>
        <v>#NUM!</v>
      </c>
      <c r="J106" s="438"/>
      <c r="K106" s="441" t="e">
        <f>HLOOKUP(K$99,'IB - E&amp;PH'!$E$25:$W$45,8)</f>
        <v>#NUM!</v>
      </c>
      <c r="L106" s="438"/>
      <c r="M106" s="441" t="e">
        <f>HLOOKUP(M$99,'IB - E&amp;PH'!$E$25:$W$45,8)</f>
        <v>#NUM!</v>
      </c>
      <c r="N106" s="438"/>
      <c r="O106" s="441" t="e">
        <f>HLOOKUP(O$99,'IB - E&amp;PH'!$E$25:$W$45,8)</f>
        <v>#NUM!</v>
      </c>
      <c r="P106" s="520"/>
      <c r="Q106" s="520"/>
      <c r="R106" s="520"/>
      <c r="S106" s="520"/>
      <c r="T106" s="520"/>
      <c r="U106" s="520"/>
      <c r="V106" s="520"/>
      <c r="W106" s="520"/>
      <c r="X106" s="520"/>
    </row>
    <row r="107" spans="2:24" s="424" customFormat="1">
      <c r="B107" s="436"/>
      <c r="C107" s="438"/>
      <c r="D107" s="439"/>
      <c r="E107" s="441" t="e">
        <f>HLOOKUP(E$99,'IB - B&amp;D&amp;H'!$E$25:$W$45,9)</f>
        <v>#NUM!</v>
      </c>
      <c r="F107" s="438"/>
      <c r="G107" s="441" t="e">
        <f>HLOOKUP(G$99,'IB - B&amp;D&amp;H'!$E$25:$W$45,9)</f>
        <v>#NUM!</v>
      </c>
      <c r="H107" s="438"/>
      <c r="I107" s="441" t="e">
        <f>HLOOKUP(I$99,'IB - B&amp;D&amp;H'!$E$25:$W$45,9)</f>
        <v>#NUM!</v>
      </c>
      <c r="J107" s="438"/>
      <c r="K107" s="441" t="e">
        <f>HLOOKUP(K$99,'IB - E&amp;PH'!$E$25:$W$45,9)</f>
        <v>#NUM!</v>
      </c>
      <c r="L107" s="438"/>
      <c r="M107" s="441" t="e">
        <f>HLOOKUP(M$99,'IB - E&amp;PH'!$E$25:$W$45,9)</f>
        <v>#NUM!</v>
      </c>
      <c r="N107" s="438"/>
      <c r="O107" s="441" t="e">
        <f>HLOOKUP(O$99,'IB - E&amp;PH'!$E$25:$W$45,9)</f>
        <v>#NUM!</v>
      </c>
      <c r="P107" s="520"/>
      <c r="Q107" s="520"/>
      <c r="R107" s="520"/>
      <c r="S107" s="520"/>
      <c r="T107" s="520"/>
      <c r="U107" s="520"/>
      <c r="V107" s="520"/>
      <c r="W107" s="520"/>
      <c r="X107" s="520"/>
    </row>
    <row r="108" spans="2:24" s="424" customFormat="1">
      <c r="B108" s="436"/>
      <c r="C108" s="438"/>
      <c r="D108" s="439"/>
      <c r="E108" s="441" t="e">
        <f>HLOOKUP(E$99,'IB - B&amp;D&amp;H'!$E$25:$W$45,10)</f>
        <v>#NUM!</v>
      </c>
      <c r="F108" s="438"/>
      <c r="G108" s="441" t="e">
        <f>HLOOKUP(G$99,'IB - B&amp;D&amp;H'!$E$25:$W$45,10)</f>
        <v>#NUM!</v>
      </c>
      <c r="H108" s="438"/>
      <c r="I108" s="441" t="e">
        <f>HLOOKUP(I$99,'IB - B&amp;D&amp;H'!$E$25:$W$45,10)</f>
        <v>#NUM!</v>
      </c>
      <c r="J108" s="438"/>
      <c r="K108" s="441" t="e">
        <f>HLOOKUP(K$99,'IB - E&amp;PH'!$E$25:$W$45,10)</f>
        <v>#NUM!</v>
      </c>
      <c r="L108" s="438"/>
      <c r="M108" s="441" t="e">
        <f>HLOOKUP(M$99,'IB - E&amp;PH'!$E$25:$W$45,10)</f>
        <v>#NUM!</v>
      </c>
      <c r="N108" s="438"/>
      <c r="O108" s="441" t="e">
        <f>HLOOKUP(O$99,'IB - E&amp;PH'!$E$25:$W$45,10)</f>
        <v>#NUM!</v>
      </c>
      <c r="P108" s="520"/>
      <c r="Q108" s="520"/>
      <c r="R108" s="520"/>
      <c r="S108" s="520"/>
      <c r="T108" s="520"/>
      <c r="U108" s="520"/>
      <c r="V108" s="520"/>
      <c r="W108" s="520"/>
      <c r="X108" s="520"/>
    </row>
    <row r="109" spans="2:24" s="424" customFormat="1">
      <c r="B109" s="436"/>
      <c r="C109" s="438"/>
      <c r="D109" s="439"/>
      <c r="E109" s="441" t="e">
        <f>HLOOKUP(E$99,'IB - B&amp;D&amp;H'!$E$25:$W$45,11)</f>
        <v>#NUM!</v>
      </c>
      <c r="F109" s="438"/>
      <c r="G109" s="441" t="e">
        <f>HLOOKUP(G$99,'IB - B&amp;D&amp;H'!$E$25:$W$45,11)</f>
        <v>#NUM!</v>
      </c>
      <c r="H109" s="438"/>
      <c r="I109" s="441" t="e">
        <f>HLOOKUP(I$99,'IB - B&amp;D&amp;H'!$E$25:$W$45,11)</f>
        <v>#NUM!</v>
      </c>
      <c r="J109" s="438"/>
      <c r="K109" s="441" t="e">
        <f>HLOOKUP(K$99,'IB - E&amp;PH'!$E$25:$W$45,11)</f>
        <v>#NUM!</v>
      </c>
      <c r="L109" s="438"/>
      <c r="M109" s="441" t="e">
        <f>HLOOKUP(M$99,'IB - E&amp;PH'!$E$25:$W$45,11)</f>
        <v>#NUM!</v>
      </c>
      <c r="N109" s="438"/>
      <c r="O109" s="441" t="e">
        <f>HLOOKUP(O$99,'IB - E&amp;PH'!$E$25:$W$45,11)</f>
        <v>#NUM!</v>
      </c>
      <c r="P109" s="520"/>
      <c r="Q109" s="520"/>
      <c r="R109" s="520"/>
      <c r="S109" s="520"/>
      <c r="T109" s="520"/>
      <c r="U109" s="520"/>
      <c r="V109" s="520"/>
      <c r="W109" s="520"/>
      <c r="X109" s="520"/>
    </row>
    <row r="110" spans="2:24" s="424" customFormat="1">
      <c r="B110" s="436"/>
      <c r="C110" s="438"/>
      <c r="D110" s="439"/>
      <c r="E110" s="441" t="e">
        <f>HLOOKUP(E$99,'IB - B&amp;D&amp;H'!$E$25:$W$45,12)</f>
        <v>#NUM!</v>
      </c>
      <c r="F110" s="438"/>
      <c r="G110" s="441" t="e">
        <f>HLOOKUP(G$99,'IB - B&amp;D&amp;H'!$E$25:$W$45,12)</f>
        <v>#NUM!</v>
      </c>
      <c r="H110" s="438"/>
      <c r="I110" s="441" t="e">
        <f>HLOOKUP(I$99,'IB - B&amp;D&amp;H'!$E$25:$W$45,12)</f>
        <v>#NUM!</v>
      </c>
      <c r="J110" s="438"/>
      <c r="K110" s="441" t="e">
        <f>HLOOKUP(K$99,'IB - E&amp;PH'!$E$25:$W$45,12)</f>
        <v>#NUM!</v>
      </c>
      <c r="L110" s="438"/>
      <c r="M110" s="441" t="e">
        <f>HLOOKUP(M$99,'IB - E&amp;PH'!$E$25:$W$45,12)</f>
        <v>#NUM!</v>
      </c>
      <c r="N110" s="438"/>
      <c r="O110" s="441" t="e">
        <f>HLOOKUP(O$99,'IB - E&amp;PH'!$E$25:$W$45,12)</f>
        <v>#NUM!</v>
      </c>
      <c r="P110" s="520"/>
      <c r="Q110" s="520"/>
      <c r="R110" s="520"/>
      <c r="S110" s="520"/>
      <c r="T110" s="520"/>
      <c r="U110" s="520"/>
      <c r="V110" s="520"/>
      <c r="W110" s="520"/>
      <c r="X110" s="520"/>
    </row>
    <row r="111" spans="2:24" s="424" customFormat="1">
      <c r="B111" s="436"/>
      <c r="C111" s="438"/>
      <c r="D111" s="439"/>
      <c r="E111" s="441" t="e">
        <f>HLOOKUP(E$99,'IB - B&amp;D&amp;H'!$E$25:$W$45,13)</f>
        <v>#NUM!</v>
      </c>
      <c r="F111" s="438"/>
      <c r="G111" s="441" t="e">
        <f>HLOOKUP(G$99,'IB - B&amp;D&amp;H'!$E$25:$W$45,13)</f>
        <v>#NUM!</v>
      </c>
      <c r="H111" s="438"/>
      <c r="I111" s="441" t="e">
        <f>HLOOKUP(I$99,'IB - B&amp;D&amp;H'!$E$25:$W$45,13)</f>
        <v>#NUM!</v>
      </c>
      <c r="J111" s="438"/>
      <c r="K111" s="441" t="e">
        <f>HLOOKUP(K$99,'IB - E&amp;PH'!$E$25:$W$45,13)</f>
        <v>#NUM!</v>
      </c>
      <c r="L111" s="438"/>
      <c r="M111" s="441" t="e">
        <f>HLOOKUP(M$99,'IB - E&amp;PH'!$E$25:$W$45,13)</f>
        <v>#NUM!</v>
      </c>
      <c r="N111" s="438"/>
      <c r="O111" s="441" t="e">
        <f>HLOOKUP(O$99,'IB - E&amp;PH'!$E$25:$W$45,13)</f>
        <v>#NUM!</v>
      </c>
      <c r="P111" s="520"/>
      <c r="Q111" s="520"/>
      <c r="R111" s="520"/>
      <c r="S111" s="520"/>
      <c r="T111" s="520"/>
      <c r="U111" s="520"/>
      <c r="V111" s="520"/>
      <c r="W111" s="520"/>
      <c r="X111" s="520"/>
    </row>
    <row r="112" spans="2:24" s="424" customFormat="1">
      <c r="B112" s="436"/>
      <c r="C112" s="438"/>
      <c r="D112" s="439"/>
      <c r="E112" s="441" t="e">
        <f>HLOOKUP(E$99,'IB - B&amp;D&amp;H'!$E$25:$W$45,14)</f>
        <v>#NUM!</v>
      </c>
      <c r="F112" s="438"/>
      <c r="G112" s="441" t="e">
        <f>HLOOKUP(G$99,'IB - B&amp;D&amp;H'!$E$25:$W$45,14)</f>
        <v>#NUM!</v>
      </c>
      <c r="H112" s="438"/>
      <c r="I112" s="441" t="e">
        <f>HLOOKUP(I$99,'IB - B&amp;D&amp;H'!$E$25:$W$45,14)</f>
        <v>#NUM!</v>
      </c>
      <c r="J112" s="438"/>
      <c r="K112" s="441" t="e">
        <f>HLOOKUP(K$99,'IB - E&amp;PH'!$E$25:$W$45,14)</f>
        <v>#NUM!</v>
      </c>
      <c r="L112" s="438"/>
      <c r="M112" s="441" t="e">
        <f>HLOOKUP(M$99,'IB - E&amp;PH'!$E$25:$W$45,14)</f>
        <v>#NUM!</v>
      </c>
      <c r="N112" s="438"/>
      <c r="O112" s="441" t="e">
        <f>HLOOKUP(O$99,'IB - E&amp;PH'!$E$25:$W$45,14)</f>
        <v>#NUM!</v>
      </c>
      <c r="P112" s="520"/>
      <c r="Q112" s="520"/>
      <c r="R112" s="520"/>
      <c r="S112" s="520"/>
      <c r="T112" s="520"/>
      <c r="U112" s="520"/>
      <c r="V112" s="520"/>
      <c r="W112" s="520"/>
      <c r="X112" s="520"/>
    </row>
    <row r="113" spans="2:24" s="424" customFormat="1">
      <c r="B113" s="436"/>
      <c r="C113" s="438"/>
      <c r="D113" s="439"/>
      <c r="E113" s="441" t="e">
        <f>HLOOKUP(E$99,'IB - B&amp;D&amp;H'!$E$25:$W$45,15)</f>
        <v>#NUM!</v>
      </c>
      <c r="F113" s="438"/>
      <c r="G113" s="441" t="e">
        <f>HLOOKUP(G$99,'IB - B&amp;D&amp;H'!$E$25:$W$45,15)</f>
        <v>#NUM!</v>
      </c>
      <c r="H113" s="438"/>
      <c r="I113" s="441" t="e">
        <f>HLOOKUP(I$99,'IB - B&amp;D&amp;H'!$E$25:$W$45,15)</f>
        <v>#NUM!</v>
      </c>
      <c r="J113" s="438"/>
      <c r="K113" s="441" t="e">
        <f>HLOOKUP(K$99,'IB - E&amp;PH'!$E$25:$W$45,15)</f>
        <v>#NUM!</v>
      </c>
      <c r="L113" s="438"/>
      <c r="M113" s="441" t="e">
        <f>HLOOKUP(M$99,'IB - E&amp;PH'!$E$25:$W$45,15)</f>
        <v>#NUM!</v>
      </c>
      <c r="N113" s="438"/>
      <c r="O113" s="441" t="e">
        <f>HLOOKUP(O$99,'IB - E&amp;PH'!$E$25:$W$45,15)</f>
        <v>#NUM!</v>
      </c>
      <c r="P113" s="520"/>
      <c r="Q113" s="520"/>
      <c r="R113" s="520"/>
      <c r="S113" s="520"/>
      <c r="T113" s="520"/>
      <c r="U113" s="520"/>
      <c r="V113" s="520"/>
      <c r="W113" s="520"/>
      <c r="X113" s="520"/>
    </row>
    <row r="114" spans="2:24" s="424" customFormat="1">
      <c r="B114" s="436"/>
      <c r="C114" s="438"/>
      <c r="D114" s="439"/>
      <c r="E114" s="441" t="e">
        <f>HLOOKUP(E$99,'IB - B&amp;D&amp;H'!$E$25:$W$45,16)</f>
        <v>#NUM!</v>
      </c>
      <c r="F114" s="438"/>
      <c r="G114" s="441" t="e">
        <f>HLOOKUP(G$99,'IB - B&amp;D&amp;H'!$E$25:$W$45,16)</f>
        <v>#NUM!</v>
      </c>
      <c r="H114" s="438"/>
      <c r="I114" s="441" t="e">
        <f>HLOOKUP(I$99,'IB - B&amp;D&amp;H'!$E$25:$W$45,16)</f>
        <v>#NUM!</v>
      </c>
      <c r="J114" s="438"/>
      <c r="K114" s="441" t="e">
        <f>HLOOKUP(K$99,'IB - E&amp;PH'!$E$25:$W$45,16)</f>
        <v>#NUM!</v>
      </c>
      <c r="L114" s="438"/>
      <c r="M114" s="441" t="e">
        <f>HLOOKUP(M$99,'IB - E&amp;PH'!$E$25:$W$45,16)</f>
        <v>#NUM!</v>
      </c>
      <c r="N114" s="438"/>
      <c r="O114" s="441" t="e">
        <f>HLOOKUP(O$99,'IB - E&amp;PH'!$E$25:$W$45,16)</f>
        <v>#NUM!</v>
      </c>
      <c r="P114" s="520"/>
      <c r="Q114" s="520"/>
      <c r="R114" s="520"/>
      <c r="S114" s="520"/>
      <c r="T114" s="520"/>
      <c r="U114" s="520"/>
      <c r="V114" s="520"/>
      <c r="W114" s="520"/>
      <c r="X114" s="520"/>
    </row>
    <row r="115" spans="2:24" s="424" customFormat="1">
      <c r="B115" s="436"/>
      <c r="C115" s="438"/>
      <c r="D115" s="439"/>
      <c r="E115" s="441" t="e">
        <f>HLOOKUP(E$99,'IB - B&amp;D&amp;H'!$E$25:$W$45,17)</f>
        <v>#NUM!</v>
      </c>
      <c r="F115" s="438"/>
      <c r="G115" s="441" t="e">
        <f>HLOOKUP(G$99,'IB - B&amp;D&amp;H'!$E$25:$W$45,17)</f>
        <v>#NUM!</v>
      </c>
      <c r="H115" s="438"/>
      <c r="I115" s="441" t="e">
        <f>HLOOKUP(I$99,'IB - B&amp;D&amp;H'!$E$25:$W$45,17)</f>
        <v>#NUM!</v>
      </c>
      <c r="J115" s="438"/>
      <c r="K115" s="441" t="e">
        <f>HLOOKUP(K$99,'IB - E&amp;PH'!$E$25:$W$45,17)</f>
        <v>#NUM!</v>
      </c>
      <c r="L115" s="438"/>
      <c r="M115" s="441" t="e">
        <f>HLOOKUP(M$99,'IB - E&amp;PH'!$E$25:$W$45,17)</f>
        <v>#NUM!</v>
      </c>
      <c r="N115" s="438"/>
      <c r="O115" s="441" t="e">
        <f>HLOOKUP(O$99,'IB - E&amp;PH'!$E$25:$W$45,17)</f>
        <v>#NUM!</v>
      </c>
      <c r="P115" s="520"/>
      <c r="Q115" s="520"/>
      <c r="R115" s="520"/>
      <c r="S115" s="520"/>
      <c r="T115" s="520"/>
      <c r="U115" s="520"/>
      <c r="V115" s="520"/>
      <c r="W115" s="520"/>
      <c r="X115" s="520"/>
    </row>
    <row r="116" spans="2:24" s="424" customFormat="1">
      <c r="B116" s="436"/>
      <c r="C116" s="438"/>
      <c r="D116" s="439"/>
      <c r="E116" s="441" t="e">
        <f>HLOOKUP(E$99,'IB - B&amp;D&amp;H'!$E$25:$W$45,18)</f>
        <v>#NUM!</v>
      </c>
      <c r="F116" s="438"/>
      <c r="G116" s="441" t="e">
        <f>HLOOKUP(G$99,'IB - B&amp;D&amp;H'!$E$25:$W$45,18)</f>
        <v>#NUM!</v>
      </c>
      <c r="H116" s="438"/>
      <c r="I116" s="441" t="e">
        <f>HLOOKUP(I$99,'IB - B&amp;D&amp;H'!$E$25:$W$45,18)</f>
        <v>#NUM!</v>
      </c>
      <c r="J116" s="438"/>
      <c r="K116" s="441" t="e">
        <f>HLOOKUP(K$99,'IB - E&amp;PH'!$E$25:$W$45,18)</f>
        <v>#NUM!</v>
      </c>
      <c r="L116" s="438"/>
      <c r="M116" s="441" t="e">
        <f>HLOOKUP(M$99,'IB - E&amp;PH'!$E$25:$W$45,18)</f>
        <v>#NUM!</v>
      </c>
      <c r="N116" s="438"/>
      <c r="O116" s="441" t="e">
        <f>HLOOKUP(O$99,'IB - E&amp;PH'!$E$25:$W$45,18)</f>
        <v>#NUM!</v>
      </c>
      <c r="P116" s="520"/>
      <c r="Q116" s="520"/>
      <c r="R116" s="520"/>
      <c r="S116" s="520"/>
      <c r="T116" s="520"/>
      <c r="U116" s="520"/>
      <c r="V116" s="520"/>
      <c r="W116" s="520"/>
      <c r="X116" s="520"/>
    </row>
    <row r="117" spans="2:24" s="424" customFormat="1">
      <c r="B117" s="436"/>
      <c r="C117" s="438"/>
      <c r="D117" s="439"/>
      <c r="E117" s="441" t="e">
        <f>HLOOKUP(E$99,'IB - B&amp;D&amp;H'!$E$25:$W$45,19)</f>
        <v>#NUM!</v>
      </c>
      <c r="F117" s="438"/>
      <c r="G117" s="441" t="e">
        <f>HLOOKUP(G$99,'IB - B&amp;D&amp;H'!$E$25:$W$45,19)</f>
        <v>#NUM!</v>
      </c>
      <c r="H117" s="438"/>
      <c r="I117" s="441" t="e">
        <f>HLOOKUP(I$99,'IB - B&amp;D&amp;H'!$E$25:$W$45,19)</f>
        <v>#NUM!</v>
      </c>
      <c r="J117" s="438"/>
      <c r="K117" s="441" t="e">
        <f>HLOOKUP(K$99,'IB - E&amp;PH'!$E$25:$W$45,19)</f>
        <v>#NUM!</v>
      </c>
      <c r="L117" s="438"/>
      <c r="M117" s="441" t="e">
        <f>HLOOKUP(M$99,'IB - E&amp;PH'!$E$25:$W$45,19)</f>
        <v>#NUM!</v>
      </c>
      <c r="N117" s="438"/>
      <c r="O117" s="441" t="e">
        <f>HLOOKUP(O$99,'IB - E&amp;PH'!$E$25:$W$45,19)</f>
        <v>#NUM!</v>
      </c>
      <c r="P117" s="520"/>
      <c r="Q117" s="520"/>
      <c r="R117" s="520"/>
      <c r="S117" s="520"/>
      <c r="T117" s="520"/>
      <c r="U117" s="520"/>
      <c r="V117" s="520"/>
      <c r="W117" s="520"/>
      <c r="X117" s="520"/>
    </row>
    <row r="118" spans="2:24" s="424" customFormat="1">
      <c r="B118" s="436"/>
      <c r="C118" s="438"/>
      <c r="D118" s="439"/>
      <c r="E118" s="441" t="e">
        <f>HLOOKUP(E$99,'IB - B&amp;D&amp;H'!$E$25:$W$45,20)</f>
        <v>#NUM!</v>
      </c>
      <c r="F118" s="438"/>
      <c r="G118" s="441" t="e">
        <f>HLOOKUP(G$99,'IB - B&amp;D&amp;H'!$E$25:$W$45,20)</f>
        <v>#NUM!</v>
      </c>
      <c r="H118" s="438"/>
      <c r="I118" s="441" t="e">
        <f>HLOOKUP(I$99,'IB - B&amp;D&amp;H'!$E$25:$W$45,20)</f>
        <v>#NUM!</v>
      </c>
      <c r="J118" s="438"/>
      <c r="K118" s="441" t="e">
        <f>HLOOKUP(K$99,'IB - E&amp;PH'!$E$25:$W$45,20)</f>
        <v>#NUM!</v>
      </c>
      <c r="L118" s="438"/>
      <c r="M118" s="441" t="e">
        <f>HLOOKUP(M$99,'IB - E&amp;PH'!$E$25:$W$45,20)</f>
        <v>#NUM!</v>
      </c>
      <c r="N118" s="438"/>
      <c r="O118" s="441" t="e">
        <f>HLOOKUP(O$99,'IB - E&amp;PH'!$E$25:$W$45,20)</f>
        <v>#NUM!</v>
      </c>
      <c r="P118" s="520"/>
      <c r="Q118" s="520"/>
      <c r="R118" s="520"/>
      <c r="S118" s="520"/>
      <c r="T118" s="520"/>
      <c r="U118" s="520"/>
      <c r="V118" s="520"/>
      <c r="W118" s="520"/>
      <c r="X118" s="520"/>
    </row>
    <row r="119" spans="2:24" s="424" customFormat="1">
      <c r="B119" s="436"/>
      <c r="C119" s="438"/>
      <c r="D119" s="439"/>
      <c r="E119" s="441"/>
      <c r="F119" s="438"/>
      <c r="G119" s="438"/>
      <c r="H119" s="438"/>
      <c r="I119" s="438"/>
      <c r="J119" s="438"/>
      <c r="K119" s="438"/>
      <c r="L119" s="438"/>
      <c r="M119" s="438"/>
      <c r="N119" s="438"/>
      <c r="O119" s="441"/>
      <c r="P119" s="520"/>
      <c r="Q119" s="520"/>
      <c r="R119" s="520"/>
      <c r="S119" s="520"/>
      <c r="T119" s="520"/>
      <c r="U119" s="520"/>
      <c r="V119" s="520"/>
      <c r="W119" s="520"/>
      <c r="X119" s="520"/>
    </row>
    <row r="120" spans="2:24" s="424" customFormat="1">
      <c r="B120" s="436"/>
      <c r="C120" s="438"/>
      <c r="D120" s="439"/>
      <c r="E120" s="441"/>
      <c r="F120" s="438"/>
      <c r="G120" s="438"/>
      <c r="H120" s="438"/>
      <c r="I120" s="438"/>
      <c r="J120" s="438"/>
      <c r="K120" s="438"/>
      <c r="L120" s="438"/>
      <c r="M120" s="438"/>
      <c r="N120" s="438"/>
      <c r="O120" s="438"/>
      <c r="P120" s="520"/>
      <c r="Q120" s="520"/>
      <c r="R120" s="520"/>
      <c r="S120" s="520"/>
      <c r="T120" s="520"/>
      <c r="U120" s="520"/>
      <c r="V120" s="520"/>
      <c r="W120" s="520"/>
      <c r="X120" s="520"/>
    </row>
    <row r="121" spans="2:24" s="424" customFormat="1">
      <c r="B121" s="436"/>
      <c r="C121" s="438" t="s">
        <v>124</v>
      </c>
      <c r="D121" s="439"/>
      <c r="E121" s="441" t="e">
        <f>$E$12</f>
        <v>#NUM!</v>
      </c>
      <c r="F121" s="441"/>
      <c r="G121" s="441" t="e">
        <f>$G$12</f>
        <v>#NUM!</v>
      </c>
      <c r="H121" s="441"/>
      <c r="I121" s="441" t="e">
        <f>$I$12</f>
        <v>#NUM!</v>
      </c>
      <c r="J121" s="441"/>
      <c r="K121" s="441" t="e">
        <f>$K$12</f>
        <v>#NUM!</v>
      </c>
      <c r="L121" s="441"/>
      <c r="M121" s="441" t="e">
        <f>$M$12</f>
        <v>#NUM!</v>
      </c>
      <c r="N121" s="441"/>
      <c r="O121" s="441" t="e">
        <f>$O$12</f>
        <v>#NUM!</v>
      </c>
      <c r="P121" s="520"/>
      <c r="Q121" s="520"/>
      <c r="R121" s="520"/>
      <c r="S121" s="520"/>
      <c r="T121" s="520"/>
      <c r="U121" s="520"/>
      <c r="V121" s="520"/>
      <c r="W121" s="520"/>
      <c r="X121" s="520"/>
    </row>
    <row r="122" spans="2:24" s="424" customFormat="1">
      <c r="B122" s="436"/>
      <c r="C122" s="438"/>
      <c r="D122" s="439"/>
      <c r="E122" s="441" t="e">
        <f>HLOOKUP(E$99,'IB - B&amp;D&amp;H'!$E$95:$W$115,2)</f>
        <v>#NUM!</v>
      </c>
      <c r="F122" s="438"/>
      <c r="G122" s="441" t="e">
        <f>HLOOKUP(G$99,'IB - B&amp;D&amp;H'!$E$95:$W$115,2)</f>
        <v>#NUM!</v>
      </c>
      <c r="H122" s="438"/>
      <c r="I122" s="441" t="e">
        <f>HLOOKUP(I$99,'IB - B&amp;D&amp;H'!$E$95:$W$115,2)</f>
        <v>#NUM!</v>
      </c>
      <c r="J122" s="438"/>
      <c r="K122" s="441" t="e">
        <f>HLOOKUP(K$99,'IB - E&amp;PH'!$E$95:$W$115,2)</f>
        <v>#NUM!</v>
      </c>
      <c r="L122" s="438"/>
      <c r="M122" s="441" t="e">
        <f>HLOOKUP(M$99,'IB - E&amp;PH'!$E$95:$W$115,2)</f>
        <v>#NUM!</v>
      </c>
      <c r="N122" s="438"/>
      <c r="O122" s="441" t="e">
        <f>HLOOKUP(O$99,'IB - E&amp;PH'!$E$95:$W$115,2)</f>
        <v>#NUM!</v>
      </c>
      <c r="P122" s="520"/>
      <c r="Q122" s="520"/>
      <c r="R122" s="520"/>
      <c r="S122" s="520"/>
      <c r="T122" s="520"/>
      <c r="U122" s="520"/>
      <c r="V122" s="520"/>
      <c r="W122" s="520"/>
      <c r="X122" s="520"/>
    </row>
    <row r="123" spans="2:24" s="424" customFormat="1">
      <c r="B123" s="436"/>
      <c r="C123" s="438"/>
      <c r="D123" s="439"/>
      <c r="E123" s="441" t="e">
        <f>HLOOKUP(E$99,'IB - B&amp;D&amp;H'!$E$95:$W$115,3)</f>
        <v>#NUM!</v>
      </c>
      <c r="F123" s="438"/>
      <c r="G123" s="441" t="e">
        <f>HLOOKUP(G$99,'IB - B&amp;D&amp;H'!$E$95:$W$115,3)</f>
        <v>#NUM!</v>
      </c>
      <c r="H123" s="438"/>
      <c r="I123" s="441" t="e">
        <f>HLOOKUP(I$99,'IB - B&amp;D&amp;H'!$E$95:$W$115,3)</f>
        <v>#NUM!</v>
      </c>
      <c r="J123" s="438"/>
      <c r="K123" s="441" t="e">
        <f>HLOOKUP(K$99,'IB - E&amp;PH'!$E$95:$W$115,3)</f>
        <v>#NUM!</v>
      </c>
      <c r="L123" s="438"/>
      <c r="M123" s="441" t="e">
        <f>HLOOKUP(M$99,'IB - E&amp;PH'!$E$95:$W$115,3)</f>
        <v>#NUM!</v>
      </c>
      <c r="N123" s="438"/>
      <c r="O123" s="441" t="e">
        <f>HLOOKUP(O$99,'IB - E&amp;PH'!$E$95:$W$115,3)</f>
        <v>#NUM!</v>
      </c>
      <c r="P123" s="520"/>
      <c r="Q123" s="520"/>
      <c r="R123" s="520"/>
      <c r="S123" s="520"/>
      <c r="T123" s="520"/>
      <c r="U123" s="520"/>
      <c r="V123" s="520"/>
      <c r="W123" s="520"/>
      <c r="X123" s="520"/>
    </row>
    <row r="124" spans="2:24" s="424" customFormat="1">
      <c r="B124" s="436"/>
      <c r="C124" s="438"/>
      <c r="D124" s="439"/>
      <c r="E124" s="441" t="e">
        <f>HLOOKUP(E$99,'IB - B&amp;D&amp;H'!$E$95:$W$115,4)</f>
        <v>#NUM!</v>
      </c>
      <c r="F124" s="438"/>
      <c r="G124" s="441" t="e">
        <f>HLOOKUP(G$99,'IB - B&amp;D&amp;H'!$E$95:$W$115,4)</f>
        <v>#NUM!</v>
      </c>
      <c r="H124" s="438"/>
      <c r="I124" s="441" t="e">
        <f>HLOOKUP(I$99,'IB - B&amp;D&amp;H'!$E$95:$W$115,4)</f>
        <v>#NUM!</v>
      </c>
      <c r="J124" s="438"/>
      <c r="K124" s="441" t="e">
        <f>HLOOKUP(K$99,'IB - E&amp;PH'!$E$95:$W$115,4)</f>
        <v>#NUM!</v>
      </c>
      <c r="L124" s="438"/>
      <c r="M124" s="441" t="e">
        <f>HLOOKUP(M$99,'IB - E&amp;PH'!$E$95:$W$115,4)</f>
        <v>#NUM!</v>
      </c>
      <c r="N124" s="438"/>
      <c r="O124" s="441" t="e">
        <f>HLOOKUP(O$99,'IB - E&amp;PH'!$E$95:$W$115,4)</f>
        <v>#NUM!</v>
      </c>
      <c r="P124" s="520"/>
      <c r="Q124" s="520"/>
      <c r="R124" s="520"/>
      <c r="S124" s="520"/>
      <c r="T124" s="520"/>
      <c r="U124" s="520"/>
      <c r="V124" s="520"/>
      <c r="W124" s="520"/>
      <c r="X124" s="520"/>
    </row>
    <row r="125" spans="2:24" s="424" customFormat="1">
      <c r="B125" s="436"/>
      <c r="C125" s="438"/>
      <c r="D125" s="439"/>
      <c r="E125" s="441" t="e">
        <f>HLOOKUP(E$99,'IB - B&amp;D&amp;H'!$E$95:$W$115,5)</f>
        <v>#NUM!</v>
      </c>
      <c r="F125" s="438"/>
      <c r="G125" s="441" t="e">
        <f>HLOOKUP(G$99,'IB - B&amp;D&amp;H'!$E$95:$W$115,5)</f>
        <v>#NUM!</v>
      </c>
      <c r="H125" s="438"/>
      <c r="I125" s="441" t="e">
        <f>HLOOKUP(I$99,'IB - B&amp;D&amp;H'!$E$95:$W$115,5)</f>
        <v>#NUM!</v>
      </c>
      <c r="J125" s="438"/>
      <c r="K125" s="441" t="e">
        <f>HLOOKUP(K$99,'IB - E&amp;PH'!$E$95:$W$115,5)</f>
        <v>#NUM!</v>
      </c>
      <c r="L125" s="438"/>
      <c r="M125" s="441" t="e">
        <f>HLOOKUP(M$99,'IB - E&amp;PH'!$E$95:$W$115,5)</f>
        <v>#NUM!</v>
      </c>
      <c r="N125" s="438"/>
      <c r="O125" s="441" t="e">
        <f>HLOOKUP(O$99,'IB - E&amp;PH'!$E$95:$W$115,5)</f>
        <v>#NUM!</v>
      </c>
      <c r="P125" s="520"/>
      <c r="Q125" s="520"/>
      <c r="R125" s="520"/>
      <c r="S125" s="520"/>
      <c r="T125" s="520"/>
      <c r="U125" s="520"/>
      <c r="V125" s="520"/>
      <c r="W125" s="520"/>
      <c r="X125" s="520"/>
    </row>
    <row r="126" spans="2:24" s="424" customFormat="1">
      <c r="B126" s="436"/>
      <c r="C126" s="438"/>
      <c r="D126" s="439"/>
      <c r="E126" s="441" t="e">
        <f>HLOOKUP(E$99,'IB - B&amp;D&amp;H'!$E$95:$W$115,6)</f>
        <v>#NUM!</v>
      </c>
      <c r="F126" s="438"/>
      <c r="G126" s="441" t="e">
        <f>HLOOKUP(G$99,'IB - B&amp;D&amp;H'!$E$95:$W$115,6)</f>
        <v>#NUM!</v>
      </c>
      <c r="H126" s="438"/>
      <c r="I126" s="441" t="e">
        <f>HLOOKUP(I$99,'IB - B&amp;D&amp;H'!$E$95:$W$115,6)</f>
        <v>#NUM!</v>
      </c>
      <c r="J126" s="438"/>
      <c r="K126" s="441" t="e">
        <f>HLOOKUP(K$99,'IB - E&amp;PH'!$E$95:$W$115,6)</f>
        <v>#NUM!</v>
      </c>
      <c r="L126" s="438"/>
      <c r="M126" s="441" t="e">
        <f>HLOOKUP(M$99,'IB - E&amp;PH'!$E$95:$W$115,6)</f>
        <v>#NUM!</v>
      </c>
      <c r="N126" s="438"/>
      <c r="O126" s="441" t="e">
        <f>HLOOKUP(O$99,'IB - E&amp;PH'!$E$95:$W$115,6)</f>
        <v>#NUM!</v>
      </c>
      <c r="P126" s="520"/>
      <c r="Q126" s="520"/>
      <c r="R126" s="520"/>
      <c r="S126" s="520"/>
      <c r="T126" s="520"/>
      <c r="U126" s="520"/>
      <c r="V126" s="520"/>
      <c r="W126" s="520"/>
      <c r="X126" s="520"/>
    </row>
    <row r="127" spans="2:24" s="424" customFormat="1">
      <c r="B127" s="436"/>
      <c r="C127" s="438"/>
      <c r="D127" s="439"/>
      <c r="E127" s="441" t="e">
        <f>HLOOKUP(E$99,'IB - B&amp;D&amp;H'!$E$95:$W$115,7)</f>
        <v>#NUM!</v>
      </c>
      <c r="F127" s="438"/>
      <c r="G127" s="441" t="e">
        <f>HLOOKUP(G$99,'IB - B&amp;D&amp;H'!$E$95:$W$115,7)</f>
        <v>#NUM!</v>
      </c>
      <c r="H127" s="438"/>
      <c r="I127" s="441" t="e">
        <f>HLOOKUP(I$99,'IB - B&amp;D&amp;H'!$E$95:$W$115,7)</f>
        <v>#NUM!</v>
      </c>
      <c r="J127" s="438"/>
      <c r="K127" s="441" t="e">
        <f>HLOOKUP(K$99,'IB - E&amp;PH'!$E$95:$W$115,7)</f>
        <v>#NUM!</v>
      </c>
      <c r="L127" s="438"/>
      <c r="M127" s="441" t="e">
        <f>HLOOKUP(M$99,'IB - E&amp;PH'!$E$95:$W$115,7)</f>
        <v>#NUM!</v>
      </c>
      <c r="N127" s="438"/>
      <c r="O127" s="441" t="e">
        <f>HLOOKUP(O$99,'IB - E&amp;PH'!$E$95:$W$115,7)</f>
        <v>#NUM!</v>
      </c>
      <c r="P127" s="520"/>
      <c r="Q127" s="520"/>
      <c r="R127" s="520"/>
      <c r="S127" s="520"/>
      <c r="T127" s="520"/>
      <c r="U127" s="520"/>
      <c r="V127" s="520"/>
      <c r="W127" s="520"/>
      <c r="X127" s="520"/>
    </row>
    <row r="128" spans="2:24" s="424" customFormat="1">
      <c r="B128" s="436"/>
      <c r="C128" s="438"/>
      <c r="D128" s="439"/>
      <c r="E128" s="441" t="e">
        <f>HLOOKUP(E$99,'IB - B&amp;D&amp;H'!$E$95:$W$115,8)</f>
        <v>#NUM!</v>
      </c>
      <c r="F128" s="438"/>
      <c r="G128" s="441" t="e">
        <f>HLOOKUP(G$99,'IB - B&amp;D&amp;H'!$E$95:$W$115,8)</f>
        <v>#NUM!</v>
      </c>
      <c r="H128" s="438"/>
      <c r="I128" s="441" t="e">
        <f>HLOOKUP(I$99,'IB - B&amp;D&amp;H'!$E$95:$W$115,8)</f>
        <v>#NUM!</v>
      </c>
      <c r="J128" s="438"/>
      <c r="K128" s="441" t="e">
        <f>HLOOKUP(K$99,'IB - E&amp;PH'!$E$95:$W$115,8)</f>
        <v>#NUM!</v>
      </c>
      <c r="L128" s="438"/>
      <c r="M128" s="441" t="e">
        <f>HLOOKUP(M$99,'IB - E&amp;PH'!$E$95:$W$115,8)</f>
        <v>#NUM!</v>
      </c>
      <c r="N128" s="438"/>
      <c r="O128" s="441" t="e">
        <f>HLOOKUP(O$99,'IB - E&amp;PH'!$E$95:$W$115,8)</f>
        <v>#NUM!</v>
      </c>
      <c r="P128" s="520"/>
      <c r="Q128" s="520"/>
      <c r="R128" s="520"/>
      <c r="S128" s="520"/>
      <c r="T128" s="520"/>
      <c r="U128" s="520"/>
      <c r="V128" s="520"/>
      <c r="W128" s="520"/>
      <c r="X128" s="520"/>
    </row>
    <row r="129" spans="2:24" s="424" customFormat="1">
      <c r="B129" s="436"/>
      <c r="C129" s="438"/>
      <c r="D129" s="439"/>
      <c r="E129" s="441" t="e">
        <f>HLOOKUP(E$99,'IB - B&amp;D&amp;H'!$E$95:$W$115,9)</f>
        <v>#NUM!</v>
      </c>
      <c r="F129" s="438"/>
      <c r="G129" s="441" t="e">
        <f>HLOOKUP(G$99,'IB - B&amp;D&amp;H'!$E$95:$W$115,9)</f>
        <v>#NUM!</v>
      </c>
      <c r="H129" s="438"/>
      <c r="I129" s="441" t="e">
        <f>HLOOKUP(I$99,'IB - B&amp;D&amp;H'!$E$95:$W$115,9)</f>
        <v>#NUM!</v>
      </c>
      <c r="J129" s="438"/>
      <c r="K129" s="441" t="e">
        <f>HLOOKUP(K$99,'IB - E&amp;PH'!$E$95:$W$115,9)</f>
        <v>#NUM!</v>
      </c>
      <c r="L129" s="438"/>
      <c r="M129" s="441" t="e">
        <f>HLOOKUP(M$99,'IB - E&amp;PH'!$E$95:$W$115,9)</f>
        <v>#NUM!</v>
      </c>
      <c r="N129" s="438"/>
      <c r="O129" s="441" t="e">
        <f>HLOOKUP(O$99,'IB - E&amp;PH'!$E$95:$W$115,9)</f>
        <v>#NUM!</v>
      </c>
      <c r="P129" s="520"/>
      <c r="Q129" s="520"/>
      <c r="R129" s="520"/>
      <c r="S129" s="520"/>
      <c r="T129" s="520"/>
      <c r="U129" s="520"/>
      <c r="V129" s="520"/>
      <c r="W129" s="520"/>
      <c r="X129" s="520"/>
    </row>
    <row r="130" spans="2:24" s="424" customFormat="1">
      <c r="B130" s="436"/>
      <c r="C130" s="438"/>
      <c r="D130" s="439"/>
      <c r="E130" s="441" t="e">
        <f>HLOOKUP(E$99,'IB - B&amp;D&amp;H'!$E$95:$W$115,10)</f>
        <v>#NUM!</v>
      </c>
      <c r="F130" s="438"/>
      <c r="G130" s="441" t="e">
        <f>HLOOKUP(G$99,'IB - B&amp;D&amp;H'!$E$95:$W$115,10)</f>
        <v>#NUM!</v>
      </c>
      <c r="H130" s="438"/>
      <c r="I130" s="441" t="e">
        <f>HLOOKUP(I$99,'IB - B&amp;D&amp;H'!$E$95:$W$115,10)</f>
        <v>#NUM!</v>
      </c>
      <c r="J130" s="438"/>
      <c r="K130" s="441" t="e">
        <f>HLOOKUP(K$99,'IB - E&amp;PH'!$E$95:$W$115,10)</f>
        <v>#NUM!</v>
      </c>
      <c r="L130" s="438"/>
      <c r="M130" s="441" t="e">
        <f>HLOOKUP(M$99,'IB - E&amp;PH'!$E$95:$W$115,10)</f>
        <v>#NUM!</v>
      </c>
      <c r="N130" s="438"/>
      <c r="O130" s="441" t="e">
        <f>HLOOKUP(O$99,'IB - E&amp;PH'!$E$95:$W$115,10)</f>
        <v>#NUM!</v>
      </c>
      <c r="P130" s="520"/>
      <c r="Q130" s="520"/>
      <c r="R130" s="520"/>
      <c r="S130" s="520"/>
      <c r="T130" s="520"/>
      <c r="U130" s="520"/>
      <c r="V130" s="520"/>
      <c r="W130" s="520"/>
      <c r="X130" s="520"/>
    </row>
    <row r="131" spans="2:24" s="424" customFormat="1">
      <c r="B131" s="436"/>
      <c r="C131" s="438"/>
      <c r="D131" s="439"/>
      <c r="E131" s="441" t="e">
        <f>HLOOKUP(E$99,'IB - B&amp;D&amp;H'!$E$95:$W$115,11)</f>
        <v>#NUM!</v>
      </c>
      <c r="F131" s="438"/>
      <c r="G131" s="441" t="e">
        <f>HLOOKUP(G$99,'IB - B&amp;D&amp;H'!$E$95:$W$115,11)</f>
        <v>#NUM!</v>
      </c>
      <c r="H131" s="438"/>
      <c r="I131" s="441" t="e">
        <f>HLOOKUP(I$99,'IB - B&amp;D&amp;H'!$E$95:$W$115,11)</f>
        <v>#NUM!</v>
      </c>
      <c r="J131" s="438"/>
      <c r="K131" s="441" t="e">
        <f>HLOOKUP(K$99,'IB - E&amp;PH'!$E$95:$W$115,11)</f>
        <v>#NUM!</v>
      </c>
      <c r="L131" s="438"/>
      <c r="M131" s="441" t="e">
        <f>HLOOKUP(M$99,'IB - E&amp;PH'!$E$95:$W$115,11)</f>
        <v>#NUM!</v>
      </c>
      <c r="N131" s="438"/>
      <c r="O131" s="441" t="e">
        <f>HLOOKUP(O$99,'IB - E&amp;PH'!$E$95:$W$115,11)</f>
        <v>#NUM!</v>
      </c>
      <c r="P131" s="520"/>
      <c r="Q131" s="520"/>
      <c r="R131" s="520"/>
      <c r="S131" s="520"/>
      <c r="T131" s="520"/>
      <c r="U131" s="520"/>
      <c r="V131" s="520"/>
      <c r="W131" s="520"/>
      <c r="X131" s="520"/>
    </row>
    <row r="132" spans="2:24" s="424" customFormat="1">
      <c r="B132" s="436"/>
      <c r="C132" s="438"/>
      <c r="D132" s="439"/>
      <c r="E132" s="441" t="e">
        <f>HLOOKUP(E$99,'IB - B&amp;D&amp;H'!$E$95:$W$115,12)</f>
        <v>#NUM!</v>
      </c>
      <c r="F132" s="438"/>
      <c r="G132" s="441" t="e">
        <f>HLOOKUP(G$99,'IB - B&amp;D&amp;H'!$E$95:$W$115,12)</f>
        <v>#NUM!</v>
      </c>
      <c r="H132" s="438"/>
      <c r="I132" s="441" t="e">
        <f>HLOOKUP(I$99,'IB - B&amp;D&amp;H'!$E$95:$W$115,12)</f>
        <v>#NUM!</v>
      </c>
      <c r="J132" s="438"/>
      <c r="K132" s="441" t="e">
        <f>HLOOKUP(K$99,'IB - E&amp;PH'!$E$95:$W$115,12)</f>
        <v>#NUM!</v>
      </c>
      <c r="L132" s="438"/>
      <c r="M132" s="441" t="e">
        <f>HLOOKUP(M$99,'IB - E&amp;PH'!$E$95:$W$115,12)</f>
        <v>#NUM!</v>
      </c>
      <c r="N132" s="438"/>
      <c r="O132" s="441" t="e">
        <f>HLOOKUP(O$99,'IB - E&amp;PH'!$E$95:$W$115,12)</f>
        <v>#NUM!</v>
      </c>
      <c r="P132" s="520"/>
      <c r="Q132" s="520"/>
      <c r="R132" s="520"/>
      <c r="S132" s="520"/>
      <c r="T132" s="520"/>
      <c r="U132" s="520"/>
      <c r="V132" s="520"/>
      <c r="W132" s="520"/>
      <c r="X132" s="520"/>
    </row>
    <row r="133" spans="2:24" s="424" customFormat="1">
      <c r="B133" s="436"/>
      <c r="C133" s="438"/>
      <c r="D133" s="439"/>
      <c r="E133" s="441" t="e">
        <f>HLOOKUP(E$99,'IB - B&amp;D&amp;H'!$E$95:$W$115,13)</f>
        <v>#NUM!</v>
      </c>
      <c r="F133" s="438"/>
      <c r="G133" s="441" t="e">
        <f>HLOOKUP(G$99,'IB - B&amp;D&amp;H'!$E$95:$W$115,13)</f>
        <v>#NUM!</v>
      </c>
      <c r="H133" s="438"/>
      <c r="I133" s="441" t="e">
        <f>HLOOKUP(I$99,'IB - B&amp;D&amp;H'!$E$95:$W$115,13)</f>
        <v>#NUM!</v>
      </c>
      <c r="J133" s="438"/>
      <c r="K133" s="441" t="e">
        <f>HLOOKUP(K$99,'IB - E&amp;PH'!$E$95:$W$115,13)</f>
        <v>#NUM!</v>
      </c>
      <c r="L133" s="438"/>
      <c r="M133" s="441" t="e">
        <f>HLOOKUP(M$99,'IB - E&amp;PH'!$E$95:$W$115,13)</f>
        <v>#NUM!</v>
      </c>
      <c r="N133" s="438"/>
      <c r="O133" s="441" t="e">
        <f>HLOOKUP(O$99,'IB - E&amp;PH'!$E$95:$W$115,13)</f>
        <v>#NUM!</v>
      </c>
      <c r="P133" s="520"/>
      <c r="Q133" s="520"/>
      <c r="R133" s="520"/>
      <c r="S133" s="520"/>
      <c r="T133" s="520"/>
      <c r="U133" s="520"/>
      <c r="V133" s="520"/>
      <c r="W133" s="520"/>
      <c r="X133" s="520"/>
    </row>
    <row r="134" spans="2:24" s="424" customFormat="1">
      <c r="B134" s="436"/>
      <c r="C134" s="438"/>
      <c r="D134" s="439"/>
      <c r="E134" s="441" t="e">
        <f>HLOOKUP(E$99,'IB - B&amp;D&amp;H'!$E$95:$W$115,14)</f>
        <v>#NUM!</v>
      </c>
      <c r="F134" s="438"/>
      <c r="G134" s="441" t="e">
        <f>HLOOKUP(G$99,'IB - B&amp;D&amp;H'!$E$95:$W$115,14)</f>
        <v>#NUM!</v>
      </c>
      <c r="H134" s="438"/>
      <c r="I134" s="441" t="e">
        <f>HLOOKUP(I$99,'IB - B&amp;D&amp;H'!$E$95:$W$115,14)</f>
        <v>#NUM!</v>
      </c>
      <c r="J134" s="438"/>
      <c r="K134" s="441" t="e">
        <f>HLOOKUP(K$99,'IB - E&amp;PH'!$E$95:$W$115,14)</f>
        <v>#NUM!</v>
      </c>
      <c r="L134" s="438"/>
      <c r="M134" s="441" t="e">
        <f>HLOOKUP(M$99,'IB - E&amp;PH'!$E$95:$W$115,14)</f>
        <v>#NUM!</v>
      </c>
      <c r="N134" s="438"/>
      <c r="O134" s="441" t="e">
        <f>HLOOKUP(O$99,'IB - E&amp;PH'!$E$95:$W$115,14)</f>
        <v>#NUM!</v>
      </c>
      <c r="P134" s="520"/>
      <c r="Q134" s="520"/>
      <c r="R134" s="520"/>
      <c r="S134" s="520"/>
      <c r="T134" s="520"/>
      <c r="U134" s="520"/>
      <c r="V134" s="520"/>
      <c r="W134" s="520"/>
      <c r="X134" s="520"/>
    </row>
    <row r="135" spans="2:24" s="424" customFormat="1">
      <c r="B135" s="436"/>
      <c r="C135" s="438"/>
      <c r="D135" s="439"/>
      <c r="E135" s="441" t="e">
        <f>HLOOKUP(E$99,'IB - B&amp;D&amp;H'!$E$95:$W$115,15)</f>
        <v>#NUM!</v>
      </c>
      <c r="F135" s="438"/>
      <c r="G135" s="441" t="e">
        <f>HLOOKUP(G$99,'IB - B&amp;D&amp;H'!$E$95:$W$115,15)</f>
        <v>#NUM!</v>
      </c>
      <c r="H135" s="438"/>
      <c r="I135" s="441" t="e">
        <f>HLOOKUP(I$99,'IB - B&amp;D&amp;H'!$E$95:$W$115,15)</f>
        <v>#NUM!</v>
      </c>
      <c r="J135" s="438"/>
      <c r="K135" s="441" t="e">
        <f>HLOOKUP(K$99,'IB - E&amp;PH'!$E$95:$W$115,15)</f>
        <v>#NUM!</v>
      </c>
      <c r="L135" s="438"/>
      <c r="M135" s="441" t="e">
        <f>HLOOKUP(M$99,'IB - E&amp;PH'!$E$95:$W$115,15)</f>
        <v>#NUM!</v>
      </c>
      <c r="N135" s="438"/>
      <c r="O135" s="441" t="e">
        <f>HLOOKUP(O$99,'IB - E&amp;PH'!$E$95:$W$115,15)</f>
        <v>#NUM!</v>
      </c>
      <c r="P135" s="520"/>
      <c r="Q135" s="520"/>
      <c r="R135" s="520"/>
      <c r="S135" s="520"/>
      <c r="T135" s="520"/>
      <c r="U135" s="520"/>
      <c r="V135" s="520"/>
      <c r="W135" s="520"/>
      <c r="X135" s="520"/>
    </row>
    <row r="136" spans="2:24" s="424" customFormat="1">
      <c r="B136" s="436"/>
      <c r="C136" s="438"/>
      <c r="D136" s="439"/>
      <c r="E136" s="441" t="e">
        <f>HLOOKUP(E$99,'IB - B&amp;D&amp;H'!$E$95:$W$115,16)</f>
        <v>#NUM!</v>
      </c>
      <c r="F136" s="438"/>
      <c r="G136" s="441" t="e">
        <f>HLOOKUP(G$99,'IB - B&amp;D&amp;H'!$E$95:$W$115,16)</f>
        <v>#NUM!</v>
      </c>
      <c r="H136" s="438"/>
      <c r="I136" s="441" t="e">
        <f>HLOOKUP(I$99,'IB - B&amp;D&amp;H'!$E$95:$W$115,16)</f>
        <v>#NUM!</v>
      </c>
      <c r="J136" s="438"/>
      <c r="K136" s="441" t="e">
        <f>HLOOKUP(K$99,'IB - E&amp;PH'!$E$95:$W$115,16)</f>
        <v>#NUM!</v>
      </c>
      <c r="L136" s="438"/>
      <c r="M136" s="441" t="e">
        <f>HLOOKUP(M$99,'IB - E&amp;PH'!$E$95:$W$115,16)</f>
        <v>#NUM!</v>
      </c>
      <c r="N136" s="438"/>
      <c r="O136" s="441" t="e">
        <f>HLOOKUP(O$99,'IB - E&amp;PH'!$E$95:$W$115,16)</f>
        <v>#NUM!</v>
      </c>
      <c r="P136" s="520"/>
      <c r="Q136" s="520"/>
      <c r="R136" s="520"/>
      <c r="S136" s="520"/>
      <c r="T136" s="520"/>
      <c r="U136" s="520"/>
      <c r="V136" s="520"/>
      <c r="W136" s="520"/>
      <c r="X136" s="520"/>
    </row>
    <row r="137" spans="2:24" s="424" customFormat="1">
      <c r="B137" s="436"/>
      <c r="C137" s="438"/>
      <c r="D137" s="439"/>
      <c r="E137" s="441" t="e">
        <f>HLOOKUP(E$99,'IB - B&amp;D&amp;H'!$E$95:$W$115,17)</f>
        <v>#NUM!</v>
      </c>
      <c r="F137" s="438"/>
      <c r="G137" s="441" t="e">
        <f>HLOOKUP(G$99,'IB - B&amp;D&amp;H'!$E$95:$W$115,17)</f>
        <v>#NUM!</v>
      </c>
      <c r="H137" s="438"/>
      <c r="I137" s="441" t="e">
        <f>HLOOKUP(I$99,'IB - B&amp;D&amp;H'!$E$95:$W$115,17)</f>
        <v>#NUM!</v>
      </c>
      <c r="J137" s="438"/>
      <c r="K137" s="441" t="e">
        <f>HLOOKUP(K$99,'IB - E&amp;PH'!$E$95:$W$115,17)</f>
        <v>#NUM!</v>
      </c>
      <c r="L137" s="438"/>
      <c r="M137" s="441" t="e">
        <f>HLOOKUP(M$99,'IB - E&amp;PH'!$E$95:$W$115,17)</f>
        <v>#NUM!</v>
      </c>
      <c r="N137" s="438"/>
      <c r="O137" s="441" t="e">
        <f>HLOOKUP(O$99,'IB - E&amp;PH'!$E$95:$W$115,17)</f>
        <v>#NUM!</v>
      </c>
      <c r="P137" s="520"/>
      <c r="Q137" s="520"/>
      <c r="R137" s="520"/>
      <c r="S137" s="520"/>
      <c r="T137" s="520"/>
      <c r="U137" s="520"/>
      <c r="V137" s="520"/>
      <c r="W137" s="520"/>
      <c r="X137" s="520"/>
    </row>
    <row r="138" spans="2:24" s="424" customFormat="1">
      <c r="B138" s="436"/>
      <c r="C138" s="438"/>
      <c r="D138" s="439"/>
      <c r="E138" s="441" t="e">
        <f>HLOOKUP(E$99,'IB - B&amp;D&amp;H'!$E$95:$W$115,18)</f>
        <v>#NUM!</v>
      </c>
      <c r="F138" s="438"/>
      <c r="G138" s="441" t="e">
        <f>HLOOKUP(G$99,'IB - B&amp;D&amp;H'!$E$95:$W$115,18)</f>
        <v>#NUM!</v>
      </c>
      <c r="H138" s="438"/>
      <c r="I138" s="441" t="e">
        <f>HLOOKUP(I$99,'IB - B&amp;D&amp;H'!$E$95:$W$115,18)</f>
        <v>#NUM!</v>
      </c>
      <c r="J138" s="438"/>
      <c r="K138" s="441" t="e">
        <f>HLOOKUP(K$99,'IB - E&amp;PH'!$E$95:$W$115,18)</f>
        <v>#NUM!</v>
      </c>
      <c r="L138" s="438"/>
      <c r="M138" s="441" t="e">
        <f>HLOOKUP(M$99,'IB - E&amp;PH'!$E$95:$W$115,18)</f>
        <v>#NUM!</v>
      </c>
      <c r="N138" s="438"/>
      <c r="O138" s="441" t="e">
        <f>HLOOKUP(O$99,'IB - E&amp;PH'!$E$95:$W$115,18)</f>
        <v>#NUM!</v>
      </c>
      <c r="P138" s="520"/>
      <c r="Q138" s="520"/>
      <c r="R138" s="520"/>
      <c r="S138" s="520"/>
      <c r="T138" s="520"/>
      <c r="U138" s="520"/>
      <c r="V138" s="520"/>
      <c r="W138" s="520"/>
      <c r="X138" s="520"/>
    </row>
    <row r="139" spans="2:24" s="424" customFormat="1">
      <c r="B139" s="436"/>
      <c r="C139" s="438"/>
      <c r="D139" s="439"/>
      <c r="E139" s="441" t="e">
        <f>HLOOKUP(E$99,'IB - B&amp;D&amp;H'!$E$95:$W$115,19)</f>
        <v>#NUM!</v>
      </c>
      <c r="F139" s="438"/>
      <c r="G139" s="441" t="e">
        <f>HLOOKUP(G$99,'IB - B&amp;D&amp;H'!$E$95:$W$115,19)</f>
        <v>#NUM!</v>
      </c>
      <c r="H139" s="438"/>
      <c r="I139" s="441" t="e">
        <f>HLOOKUP(I$99,'IB - B&amp;D&amp;H'!$E$95:$W$115,19)</f>
        <v>#NUM!</v>
      </c>
      <c r="J139" s="438"/>
      <c r="K139" s="441" t="e">
        <f>HLOOKUP(K$99,'IB - E&amp;PH'!$E$95:$W$115,19)</f>
        <v>#NUM!</v>
      </c>
      <c r="L139" s="438"/>
      <c r="M139" s="441" t="e">
        <f>HLOOKUP(M$99,'IB - E&amp;PH'!$E$95:$W$115,19)</f>
        <v>#NUM!</v>
      </c>
      <c r="N139" s="438"/>
      <c r="O139" s="441" t="e">
        <f>HLOOKUP(O$99,'IB - E&amp;PH'!$E$95:$W$115,19)</f>
        <v>#NUM!</v>
      </c>
      <c r="P139" s="520"/>
      <c r="Q139" s="520"/>
      <c r="R139" s="520"/>
      <c r="S139" s="520"/>
      <c r="T139" s="520"/>
      <c r="U139" s="520"/>
      <c r="V139" s="520"/>
      <c r="W139" s="520"/>
      <c r="X139" s="520"/>
    </row>
    <row r="140" spans="2:24" s="424" customFormat="1">
      <c r="B140" s="436"/>
      <c r="C140" s="438"/>
      <c r="D140" s="439"/>
      <c r="E140" s="441" t="e">
        <f>HLOOKUP(E$99,'IB - B&amp;D&amp;H'!$E$95:$W$115,20)</f>
        <v>#NUM!</v>
      </c>
      <c r="F140" s="438"/>
      <c r="G140" s="441" t="e">
        <f>HLOOKUP(G$99,'IB - B&amp;D&amp;H'!$E$95:$W$115,20)</f>
        <v>#NUM!</v>
      </c>
      <c r="H140" s="438"/>
      <c r="I140" s="441" t="e">
        <f>HLOOKUP(I$99,'IB - B&amp;D&amp;H'!$E$95:$W$115,20)</f>
        <v>#NUM!</v>
      </c>
      <c r="J140" s="438"/>
      <c r="K140" s="441" t="e">
        <f>HLOOKUP(K$99,'IB - E&amp;PH'!$E$95:$W$115,20)</f>
        <v>#NUM!</v>
      </c>
      <c r="L140" s="438"/>
      <c r="M140" s="441" t="e">
        <f>HLOOKUP(M$99,'IB - E&amp;PH'!$E$95:$W$115,20)</f>
        <v>#NUM!</v>
      </c>
      <c r="N140" s="438"/>
      <c r="O140" s="441" t="e">
        <f>HLOOKUP(O$99,'IB - E&amp;PH'!$E$95:$W$115,20)</f>
        <v>#NUM!</v>
      </c>
      <c r="P140" s="520"/>
      <c r="Q140" s="520"/>
      <c r="R140" s="520"/>
      <c r="S140" s="520"/>
      <c r="T140" s="520"/>
      <c r="U140" s="520"/>
      <c r="V140" s="520"/>
      <c r="W140" s="520"/>
      <c r="X140" s="520"/>
    </row>
    <row r="141" spans="2:24" s="424" customFormat="1">
      <c r="B141" s="436"/>
      <c r="C141" s="520"/>
      <c r="D141" s="521"/>
      <c r="E141" s="523"/>
      <c r="F141" s="520"/>
      <c r="G141" s="520"/>
      <c r="H141" s="520"/>
      <c r="I141" s="520"/>
      <c r="J141" s="520"/>
      <c r="K141" s="520"/>
      <c r="L141" s="520"/>
      <c r="M141" s="520"/>
      <c r="N141" s="520"/>
      <c r="O141" s="520"/>
      <c r="P141" s="520"/>
      <c r="Q141" s="520"/>
      <c r="R141" s="520"/>
      <c r="S141" s="520"/>
      <c r="T141" s="520"/>
      <c r="U141" s="520"/>
      <c r="V141" s="520"/>
      <c r="W141" s="520"/>
      <c r="X141" s="520"/>
    </row>
    <row r="142" spans="2:24" s="424" customFormat="1">
      <c r="B142" s="436"/>
      <c r="C142" s="520"/>
      <c r="D142" s="521"/>
      <c r="E142" s="523"/>
      <c r="F142" s="520"/>
      <c r="G142" s="520"/>
      <c r="H142" s="520"/>
      <c r="I142" s="520"/>
      <c r="J142" s="520"/>
      <c r="K142" s="520"/>
      <c r="L142" s="520"/>
      <c r="M142" s="520"/>
      <c r="N142" s="520"/>
      <c r="O142" s="520"/>
      <c r="P142" s="520"/>
      <c r="Q142" s="520"/>
      <c r="R142" s="520"/>
      <c r="S142" s="520"/>
      <c r="T142" s="520"/>
      <c r="U142" s="520"/>
      <c r="V142" s="520"/>
      <c r="W142" s="520"/>
      <c r="X142" s="520"/>
    </row>
    <row r="143" spans="2:24" s="424" customFormat="1">
      <c r="B143" s="436"/>
      <c r="C143" s="520"/>
      <c r="D143" s="521"/>
      <c r="E143" s="523"/>
      <c r="F143" s="520"/>
      <c r="G143" s="520"/>
      <c r="H143" s="520"/>
      <c r="I143" s="520"/>
      <c r="J143" s="520"/>
      <c r="K143" s="520"/>
      <c r="L143" s="520"/>
      <c r="M143" s="520"/>
      <c r="N143" s="520"/>
      <c r="O143" s="520"/>
      <c r="P143" s="520"/>
      <c r="Q143" s="520"/>
      <c r="R143" s="520"/>
      <c r="S143" s="520"/>
      <c r="T143" s="520"/>
      <c r="U143" s="520"/>
      <c r="V143" s="520"/>
      <c r="W143" s="520"/>
      <c r="X143" s="520"/>
    </row>
    <row r="144" spans="2:24" s="424" customFormat="1">
      <c r="B144" s="436"/>
      <c r="C144" s="520"/>
      <c r="D144" s="521"/>
      <c r="E144" s="523"/>
      <c r="F144" s="520"/>
      <c r="G144" s="520"/>
      <c r="H144" s="520"/>
      <c r="I144" s="520"/>
      <c r="J144" s="520"/>
      <c r="K144" s="520"/>
      <c r="L144" s="520"/>
      <c r="M144" s="520"/>
      <c r="N144" s="520"/>
      <c r="O144" s="520"/>
      <c r="P144" s="520"/>
      <c r="Q144" s="520"/>
      <c r="R144" s="520"/>
      <c r="S144" s="520"/>
      <c r="T144" s="520"/>
      <c r="U144" s="520"/>
      <c r="V144" s="520"/>
      <c r="W144" s="520"/>
      <c r="X144" s="520"/>
    </row>
    <row r="145" spans="2:24" s="424" customFormat="1">
      <c r="B145" s="436"/>
      <c r="C145" s="520"/>
      <c r="D145" s="521"/>
      <c r="E145" s="523"/>
      <c r="F145" s="520"/>
      <c r="G145" s="520"/>
      <c r="H145" s="520"/>
      <c r="I145" s="520"/>
      <c r="J145" s="520"/>
      <c r="K145" s="520"/>
      <c r="L145" s="520"/>
      <c r="M145" s="520"/>
      <c r="N145" s="520"/>
      <c r="O145" s="520"/>
      <c r="P145" s="520"/>
      <c r="Q145" s="520"/>
      <c r="R145" s="520"/>
      <c r="S145" s="520"/>
      <c r="T145" s="520"/>
      <c r="U145" s="520"/>
      <c r="V145" s="520"/>
      <c r="W145" s="520"/>
      <c r="X145" s="520"/>
    </row>
    <row r="146" spans="2:24" s="424" customFormat="1">
      <c r="B146" s="436"/>
      <c r="C146" s="520"/>
      <c r="D146" s="521"/>
      <c r="E146" s="523"/>
      <c r="F146" s="520"/>
      <c r="G146" s="520"/>
      <c r="H146" s="520"/>
      <c r="I146" s="520"/>
      <c r="J146" s="520"/>
      <c r="K146" s="520"/>
      <c r="L146" s="520"/>
      <c r="M146" s="520"/>
      <c r="N146" s="520"/>
      <c r="O146" s="520"/>
      <c r="P146" s="520"/>
      <c r="Q146" s="520"/>
      <c r="R146" s="520"/>
      <c r="S146" s="520"/>
      <c r="T146" s="520"/>
      <c r="U146" s="520"/>
      <c r="V146" s="520"/>
      <c r="W146" s="520"/>
      <c r="X146" s="520"/>
    </row>
    <row r="147" spans="2:24" s="424" customFormat="1">
      <c r="B147" s="436"/>
      <c r="C147" s="520"/>
      <c r="D147" s="521"/>
      <c r="E147" s="523"/>
      <c r="F147" s="520"/>
      <c r="G147" s="520"/>
      <c r="H147" s="520"/>
      <c r="I147" s="520"/>
      <c r="J147" s="520"/>
      <c r="K147" s="520"/>
      <c r="L147" s="520"/>
      <c r="M147" s="520"/>
      <c r="N147" s="520"/>
      <c r="O147" s="520"/>
      <c r="P147" s="520"/>
      <c r="Q147" s="520"/>
      <c r="R147" s="520"/>
      <c r="S147" s="520"/>
      <c r="T147" s="520"/>
      <c r="U147" s="520"/>
      <c r="V147" s="520"/>
      <c r="W147" s="520"/>
      <c r="X147" s="520"/>
    </row>
    <row r="148" spans="2:24" s="424" customFormat="1">
      <c r="B148" s="436"/>
      <c r="C148" s="520"/>
      <c r="D148" s="521"/>
      <c r="E148" s="523"/>
      <c r="F148" s="520"/>
      <c r="G148" s="520"/>
      <c r="H148" s="520"/>
      <c r="I148" s="520"/>
      <c r="J148" s="520"/>
      <c r="K148" s="520"/>
      <c r="L148" s="520"/>
      <c r="M148" s="520"/>
      <c r="N148" s="520"/>
      <c r="O148" s="520"/>
      <c r="P148" s="520"/>
      <c r="Q148" s="520"/>
      <c r="R148" s="520"/>
      <c r="S148" s="520"/>
      <c r="T148" s="520"/>
      <c r="U148" s="520"/>
      <c r="V148" s="520"/>
      <c r="W148" s="520"/>
      <c r="X148" s="520"/>
    </row>
    <row r="149" spans="2:24" s="424" customFormat="1">
      <c r="B149" s="436"/>
      <c r="C149" s="520"/>
      <c r="D149" s="521"/>
      <c r="E149" s="523"/>
      <c r="F149" s="520"/>
      <c r="G149" s="520"/>
      <c r="H149" s="520"/>
      <c r="I149" s="520"/>
      <c r="J149" s="520"/>
      <c r="K149" s="520"/>
      <c r="L149" s="520"/>
      <c r="M149" s="520"/>
      <c r="N149" s="520"/>
      <c r="O149" s="520"/>
      <c r="P149" s="520"/>
      <c r="Q149" s="520"/>
      <c r="R149" s="520"/>
      <c r="S149" s="520"/>
      <c r="T149" s="520"/>
      <c r="U149" s="520"/>
      <c r="V149" s="520"/>
      <c r="W149" s="520"/>
      <c r="X149" s="520"/>
    </row>
    <row r="150" spans="2:24" s="424" customFormat="1">
      <c r="B150" s="436"/>
      <c r="C150" s="520"/>
      <c r="D150" s="521"/>
      <c r="E150" s="523"/>
      <c r="F150" s="520"/>
      <c r="G150" s="520"/>
      <c r="H150" s="520"/>
      <c r="I150" s="520"/>
      <c r="J150" s="520"/>
      <c r="K150" s="520"/>
      <c r="L150" s="520"/>
      <c r="M150" s="520"/>
      <c r="N150" s="520"/>
      <c r="O150" s="520"/>
      <c r="P150" s="520"/>
      <c r="Q150" s="520"/>
      <c r="R150" s="520"/>
      <c r="S150" s="520"/>
      <c r="T150" s="520"/>
      <c r="U150" s="520"/>
      <c r="V150" s="520"/>
      <c r="W150" s="520"/>
      <c r="X150" s="520"/>
    </row>
    <row r="151" spans="2:24" s="424" customFormat="1">
      <c r="B151" s="436"/>
      <c r="C151" s="520"/>
      <c r="D151" s="521"/>
      <c r="E151" s="520"/>
      <c r="F151" s="520"/>
      <c r="G151" s="520"/>
      <c r="H151" s="520"/>
      <c r="I151" s="520"/>
      <c r="J151" s="520"/>
      <c r="K151" s="520"/>
      <c r="L151" s="520"/>
      <c r="M151" s="520"/>
      <c r="N151" s="520"/>
      <c r="O151" s="520"/>
      <c r="P151" s="520"/>
      <c r="Q151" s="520"/>
      <c r="R151" s="520"/>
      <c r="S151" s="520"/>
      <c r="T151" s="520"/>
      <c r="U151" s="520"/>
      <c r="V151" s="520"/>
      <c r="W151" s="520"/>
      <c r="X151" s="520"/>
    </row>
    <row r="152" spans="2:24" s="424" customFormat="1">
      <c r="B152" s="436"/>
      <c r="C152" s="520"/>
      <c r="D152" s="521"/>
      <c r="E152" s="520"/>
      <c r="F152" s="520"/>
      <c r="G152" s="520"/>
      <c r="H152" s="520"/>
      <c r="I152" s="520"/>
      <c r="J152" s="520"/>
      <c r="K152" s="520"/>
      <c r="L152" s="520"/>
      <c r="M152" s="520"/>
      <c r="N152" s="520"/>
      <c r="O152" s="520"/>
      <c r="P152" s="520"/>
      <c r="Q152" s="520"/>
      <c r="R152" s="520"/>
      <c r="S152" s="520"/>
      <c r="T152" s="520"/>
      <c r="U152" s="520"/>
      <c r="V152" s="520"/>
      <c r="W152" s="520"/>
      <c r="X152" s="520"/>
    </row>
    <row r="153" spans="2:24" s="424" customFormat="1">
      <c r="B153" s="436"/>
      <c r="C153" s="520"/>
      <c r="D153" s="521"/>
      <c r="E153" s="520"/>
      <c r="F153" s="520"/>
      <c r="G153" s="520"/>
      <c r="H153" s="520"/>
      <c r="I153" s="520"/>
      <c r="J153" s="520"/>
      <c r="K153" s="520"/>
      <c r="L153" s="520"/>
      <c r="M153" s="520"/>
      <c r="N153" s="520"/>
      <c r="O153" s="520"/>
      <c r="P153" s="520"/>
      <c r="Q153" s="520"/>
      <c r="R153" s="520"/>
      <c r="S153" s="520"/>
      <c r="T153" s="520"/>
      <c r="U153" s="520"/>
      <c r="V153" s="520"/>
      <c r="W153" s="520"/>
      <c r="X153" s="520"/>
    </row>
    <row r="154" spans="2:24" s="424" customFormat="1">
      <c r="B154" s="436"/>
      <c r="C154" s="520"/>
      <c r="D154" s="521"/>
      <c r="E154" s="520"/>
      <c r="F154" s="520"/>
      <c r="G154" s="520"/>
      <c r="H154" s="520"/>
      <c r="I154" s="520"/>
      <c r="J154" s="520"/>
      <c r="K154" s="520"/>
      <c r="L154" s="520"/>
      <c r="M154" s="520"/>
      <c r="N154" s="520"/>
      <c r="O154" s="520"/>
      <c r="P154" s="520"/>
      <c r="Q154" s="520"/>
      <c r="R154" s="520"/>
      <c r="S154" s="520"/>
      <c r="T154" s="520"/>
      <c r="U154" s="520"/>
      <c r="V154" s="520"/>
      <c r="W154" s="520"/>
      <c r="X154" s="520"/>
    </row>
    <row r="155" spans="2:24" s="424" customFormat="1">
      <c r="B155" s="436"/>
      <c r="C155" s="520"/>
      <c r="D155" s="521"/>
      <c r="E155" s="520"/>
      <c r="F155" s="520"/>
      <c r="G155" s="520"/>
      <c r="H155" s="520"/>
      <c r="I155" s="520"/>
      <c r="J155" s="520"/>
      <c r="K155" s="520"/>
      <c r="L155" s="520"/>
      <c r="M155" s="520"/>
      <c r="N155" s="520"/>
      <c r="O155" s="520"/>
      <c r="P155" s="520"/>
      <c r="Q155" s="520"/>
      <c r="R155" s="520"/>
      <c r="S155" s="520"/>
      <c r="T155" s="520"/>
      <c r="U155" s="520"/>
      <c r="V155" s="520"/>
      <c r="W155" s="520"/>
      <c r="X155" s="520"/>
    </row>
    <row r="156" spans="2:24" s="424" customFormat="1">
      <c r="B156" s="436"/>
      <c r="C156" s="520"/>
      <c r="D156" s="521"/>
      <c r="E156" s="520"/>
      <c r="F156" s="520"/>
      <c r="G156" s="520"/>
      <c r="H156" s="520"/>
      <c r="I156" s="520"/>
      <c r="J156" s="520"/>
      <c r="K156" s="520"/>
      <c r="L156" s="520"/>
      <c r="M156" s="520"/>
      <c r="N156" s="520"/>
      <c r="O156" s="520"/>
      <c r="P156" s="520"/>
      <c r="Q156" s="520"/>
      <c r="R156" s="520"/>
      <c r="S156" s="520"/>
      <c r="T156" s="520"/>
      <c r="U156" s="520"/>
      <c r="V156" s="520"/>
      <c r="W156" s="520"/>
      <c r="X156" s="520"/>
    </row>
    <row r="157" spans="2:24" s="424" customFormat="1">
      <c r="B157" s="436"/>
      <c r="C157" s="520"/>
      <c r="D157" s="521"/>
      <c r="E157" s="520"/>
      <c r="F157" s="520"/>
      <c r="G157" s="520"/>
      <c r="H157" s="520"/>
      <c r="I157" s="520"/>
      <c r="J157" s="520"/>
      <c r="K157" s="520"/>
      <c r="L157" s="520"/>
      <c r="M157" s="520"/>
      <c r="N157" s="520"/>
      <c r="O157" s="520"/>
      <c r="P157" s="520"/>
      <c r="Q157" s="520"/>
      <c r="R157" s="520"/>
      <c r="S157" s="520"/>
      <c r="T157" s="520"/>
      <c r="U157" s="520"/>
      <c r="V157" s="520"/>
      <c r="W157" s="520"/>
      <c r="X157" s="520"/>
    </row>
    <row r="158" spans="2:24" s="424" customFormat="1">
      <c r="B158" s="436"/>
      <c r="C158" s="520"/>
      <c r="D158" s="521"/>
      <c r="E158" s="520"/>
      <c r="F158" s="520"/>
      <c r="G158" s="520"/>
      <c r="H158" s="520"/>
      <c r="I158" s="520"/>
      <c r="J158" s="520"/>
      <c r="K158" s="520"/>
      <c r="L158" s="520"/>
      <c r="M158" s="520"/>
      <c r="N158" s="520"/>
      <c r="O158" s="520"/>
      <c r="P158" s="520"/>
      <c r="Q158" s="520"/>
      <c r="R158" s="520"/>
      <c r="S158" s="520"/>
      <c r="T158" s="520"/>
      <c r="U158" s="520"/>
      <c r="V158" s="520"/>
      <c r="W158" s="520"/>
      <c r="X158" s="520"/>
    </row>
    <row r="159" spans="2:24" s="424" customFormat="1">
      <c r="B159" s="436"/>
      <c r="C159" s="520"/>
      <c r="D159" s="521"/>
      <c r="E159" s="520"/>
      <c r="F159" s="520"/>
      <c r="G159" s="520"/>
      <c r="H159" s="520"/>
      <c r="I159" s="520"/>
      <c r="J159" s="520"/>
      <c r="K159" s="520"/>
      <c r="L159" s="520"/>
      <c r="M159" s="520"/>
      <c r="N159" s="520"/>
      <c r="O159" s="520"/>
      <c r="P159" s="520"/>
      <c r="Q159" s="520"/>
      <c r="R159" s="520"/>
      <c r="S159" s="520"/>
      <c r="T159" s="520"/>
      <c r="U159" s="520"/>
      <c r="V159" s="520"/>
      <c r="W159" s="520"/>
      <c r="X159" s="520"/>
    </row>
    <row r="160" spans="2:24" s="424" customFormat="1">
      <c r="B160" s="436"/>
      <c r="C160" s="520"/>
      <c r="D160" s="521"/>
      <c r="E160" s="520"/>
      <c r="F160" s="520"/>
      <c r="G160" s="520"/>
      <c r="H160" s="520"/>
      <c r="I160" s="520"/>
      <c r="J160" s="520"/>
      <c r="K160" s="520"/>
      <c r="L160" s="520"/>
      <c r="M160" s="520"/>
      <c r="N160" s="520"/>
      <c r="O160" s="520"/>
      <c r="P160" s="520"/>
      <c r="Q160" s="520"/>
      <c r="R160" s="520"/>
      <c r="S160" s="520"/>
      <c r="T160" s="520"/>
      <c r="U160" s="520"/>
      <c r="V160" s="520"/>
      <c r="W160" s="520"/>
      <c r="X160" s="520"/>
    </row>
    <row r="161" spans="2:24" s="424" customFormat="1">
      <c r="B161" s="436"/>
      <c r="C161" s="520"/>
      <c r="D161" s="521"/>
      <c r="E161" s="520"/>
      <c r="F161" s="520"/>
      <c r="G161" s="520"/>
      <c r="H161" s="520"/>
      <c r="I161" s="520"/>
      <c r="J161" s="520"/>
      <c r="K161" s="520"/>
      <c r="L161" s="520"/>
      <c r="M161" s="520"/>
      <c r="N161" s="520"/>
      <c r="O161" s="520"/>
      <c r="P161" s="520"/>
      <c r="Q161" s="520"/>
      <c r="R161" s="520"/>
      <c r="S161" s="520"/>
      <c r="T161" s="520"/>
      <c r="U161" s="520"/>
      <c r="V161" s="520"/>
      <c r="W161" s="520"/>
      <c r="X161" s="520"/>
    </row>
    <row r="162" spans="2:24" s="424" customFormat="1">
      <c r="B162" s="436"/>
      <c r="C162" s="520"/>
      <c r="D162" s="521"/>
      <c r="E162" s="520"/>
      <c r="F162" s="520"/>
      <c r="G162" s="520"/>
      <c r="H162" s="520"/>
      <c r="I162" s="520"/>
      <c r="J162" s="520"/>
      <c r="K162" s="520"/>
      <c r="L162" s="520"/>
      <c r="M162" s="520"/>
      <c r="N162" s="520"/>
      <c r="O162" s="520"/>
      <c r="P162" s="520"/>
      <c r="Q162" s="520"/>
      <c r="R162" s="520"/>
      <c r="S162" s="520"/>
      <c r="T162" s="520"/>
      <c r="U162" s="520"/>
      <c r="V162" s="520"/>
      <c r="W162" s="520"/>
      <c r="X162" s="520"/>
    </row>
    <row r="163" spans="2:24" s="424" customFormat="1">
      <c r="B163" s="436"/>
      <c r="C163" s="520"/>
      <c r="D163" s="521"/>
      <c r="E163" s="520"/>
      <c r="F163" s="520"/>
      <c r="G163" s="520"/>
      <c r="H163" s="520"/>
      <c r="I163" s="520"/>
      <c r="J163" s="520"/>
      <c r="K163" s="520"/>
      <c r="L163" s="520"/>
      <c r="M163" s="520"/>
      <c r="N163" s="520"/>
      <c r="O163" s="520"/>
      <c r="P163" s="520"/>
      <c r="Q163" s="520"/>
      <c r="R163" s="520"/>
      <c r="S163" s="520"/>
      <c r="T163" s="520"/>
      <c r="U163" s="520"/>
      <c r="V163" s="520"/>
      <c r="W163" s="520"/>
      <c r="X163" s="520"/>
    </row>
    <row r="164" spans="2:24" s="424" customFormat="1">
      <c r="B164" s="436"/>
      <c r="C164" s="520"/>
      <c r="D164" s="521"/>
      <c r="E164" s="520"/>
      <c r="F164" s="520"/>
      <c r="G164" s="520"/>
      <c r="H164" s="520"/>
      <c r="I164" s="520"/>
      <c r="J164" s="520"/>
      <c r="K164" s="520"/>
      <c r="L164" s="520"/>
      <c r="M164" s="520"/>
      <c r="N164" s="520"/>
      <c r="O164" s="520"/>
      <c r="P164" s="520"/>
      <c r="Q164" s="520"/>
      <c r="R164" s="520"/>
      <c r="S164" s="520"/>
      <c r="T164" s="520"/>
      <c r="U164" s="520"/>
      <c r="V164" s="520"/>
      <c r="W164" s="520"/>
      <c r="X164" s="520"/>
    </row>
    <row r="165" spans="2:24" s="424" customFormat="1">
      <c r="B165" s="436"/>
      <c r="D165" s="437"/>
    </row>
    <row r="166" spans="2:24" s="424" customFormat="1">
      <c r="B166" s="436"/>
      <c r="D166" s="437"/>
    </row>
    <row r="167" spans="2:24" s="424" customFormat="1">
      <c r="B167" s="436"/>
      <c r="D167" s="437"/>
    </row>
    <row r="168" spans="2:24" s="424" customFormat="1">
      <c r="B168" s="436"/>
      <c r="D168" s="437"/>
    </row>
    <row r="169" spans="2:24" s="424" customFormat="1">
      <c r="B169" s="436"/>
      <c r="D169" s="437"/>
    </row>
    <row r="170" spans="2:24" s="424" customFormat="1">
      <c r="B170" s="436"/>
      <c r="D170" s="437"/>
    </row>
  </sheetData>
  <sheetProtection sheet="1" scenarios="1"/>
  <dataConsolidate/>
  <mergeCells count="2">
    <mergeCell ref="E8:I8"/>
    <mergeCell ref="K8:O8"/>
  </mergeCells>
  <phoneticPr fontId="45" type="noConversion"/>
  <dataValidations count="1">
    <dataValidation operator="greaterThanOrEqual" allowBlank="1" showInputMessage="1" showErrorMessage="1" error="Indtast et positivt tal" sqref="I12:I14 E12:E14 G12:G14 M12:M14 K12:K14 O12:O14" xr:uid="{641E20CE-7EAF-45D4-B52A-35EBE8B2CC31}"/>
  </dataValidations>
  <pageMargins left="0.25" right="0.25" top="0.75" bottom="0.75" header="0.3" footer="0.3"/>
  <pageSetup paperSize="9" scale="95" orientation="landscape" verticalDpi="300" r:id="rId1"/>
  <ignoredErrors>
    <ignoredError sqref="O125:O140 G126:G140 I126:I140 M126:M140 G21 I21 M21:M25 O21:O25 G23:G25 I23:I25 G27:G28 I27:I28 M27:M28 O27:O28 G30 I30 M30 O30 G99:G118 I99:I118 M99:M118 O99:O118" evalError="1"/>
    <ignoredError sqref="E12:E14 K12:K14" unlockedFormula="1"/>
    <ignoredError sqref="G12:G14 I12:I14 M12:M14 O12:O14" evalError="1"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4D3A0-24BF-40EA-AAC4-2D8EE9706BA3}">
  <sheetPr codeName="Sheet3">
    <tabColor rgb="FF92D050"/>
  </sheetPr>
  <dimension ref="A1"/>
  <sheetViews>
    <sheetView showGridLines="0" zoomScaleNormal="100" workbookViewId="0"/>
  </sheetViews>
  <sheetFormatPr defaultColWidth="11.42578125" defaultRowHeight="15"/>
  <sheetData/>
  <sheetProtection sheet="1" objects="1" scenarios="1" selectLockedCells="1" selectUnlockedCells="1"/>
  <pageMargins left="0.75" right="0.75" top="1" bottom="1" header="0.5" footer="0.5"/>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D88B0-CBF0-4185-A8B6-936BED97A3A2}">
  <sheetPr>
    <tabColor theme="4"/>
  </sheetPr>
  <dimension ref="A1:T129"/>
  <sheetViews>
    <sheetView showGridLines="0" showRowColHeaders="0" zoomScaleNormal="100" workbookViewId="0"/>
  </sheetViews>
  <sheetFormatPr defaultColWidth="0" defaultRowHeight="12.75" zeroHeight="1"/>
  <cols>
    <col min="1" max="2" width="8.85546875" style="233" customWidth="1"/>
    <col min="3" max="3" width="38.42578125" style="233" customWidth="1"/>
    <col min="4" max="4" width="21.28515625" style="233" customWidth="1"/>
    <col min="5" max="5" width="31.42578125" style="233" customWidth="1"/>
    <col min="6" max="6" width="27.7109375" style="233" customWidth="1"/>
    <col min="7" max="7" width="34.42578125" style="233" customWidth="1"/>
    <col min="8" max="8" width="29.140625" style="233" customWidth="1"/>
    <col min="9" max="9" width="29" style="233" customWidth="1"/>
    <col min="10" max="10" width="20.42578125" style="233" customWidth="1"/>
    <col min="11" max="11" width="23.85546875" style="233" customWidth="1"/>
    <col min="12" max="12" width="20.42578125" style="233" customWidth="1"/>
    <col min="13" max="13" width="36.85546875" style="233" customWidth="1"/>
    <col min="14" max="14" width="29" style="233" customWidth="1"/>
    <col min="15" max="15" width="30.42578125" style="233" customWidth="1"/>
    <col min="16" max="16" width="27" style="233" customWidth="1"/>
    <col min="17" max="17" width="27.42578125" style="233" customWidth="1"/>
    <col min="18" max="18" width="38.42578125" style="233" customWidth="1"/>
    <col min="19" max="19" width="17.42578125" style="233" customWidth="1"/>
    <col min="20" max="20" width="8.85546875" style="233" customWidth="1"/>
    <col min="21" max="16384" width="8.85546875" style="233" hidden="1"/>
  </cols>
  <sheetData>
    <row r="1" spans="1:19" ht="38.25">
      <c r="E1" s="244" t="s">
        <v>232</v>
      </c>
      <c r="F1" s="526">
        <v>0.502</v>
      </c>
      <c r="G1" s="233" t="s">
        <v>212</v>
      </c>
      <c r="J1" s="249" t="s">
        <v>78</v>
      </c>
      <c r="K1" s="249"/>
      <c r="L1" s="249"/>
      <c r="M1" s="249"/>
      <c r="P1" s="233" t="s">
        <v>51</v>
      </c>
      <c r="S1" s="233" t="s">
        <v>53</v>
      </c>
    </row>
    <row r="2" spans="1:19">
      <c r="A2" s="445" t="s">
        <v>107</v>
      </c>
      <c r="C2" s="445" t="s">
        <v>154</v>
      </c>
      <c r="D2" s="445" t="s">
        <v>155</v>
      </c>
      <c r="E2" s="250" t="s">
        <v>54</v>
      </c>
      <c r="J2" s="233" t="s">
        <v>79</v>
      </c>
      <c r="P2" s="233" t="s">
        <v>37</v>
      </c>
      <c r="S2" s="233">
        <v>100</v>
      </c>
    </row>
    <row r="3" spans="1:19">
      <c r="A3" s="445" t="s">
        <v>108</v>
      </c>
      <c r="C3" s="445" t="s">
        <v>156</v>
      </c>
      <c r="D3" s="445" t="s">
        <v>157</v>
      </c>
      <c r="P3" s="233" t="s">
        <v>41</v>
      </c>
      <c r="S3" s="233" t="b">
        <f>SUM($P18:$R18)&lt;=Fremskrivninger!$S$2</f>
        <v>0</v>
      </c>
    </row>
    <row r="4" spans="1:19">
      <c r="C4" s="445" t="s">
        <v>158</v>
      </c>
      <c r="D4" s="445" t="s">
        <v>158</v>
      </c>
    </row>
    <row r="5" spans="1:19">
      <c r="A5" s="551" t="s">
        <v>55</v>
      </c>
      <c r="B5" s="551"/>
      <c r="C5" s="551"/>
      <c r="D5" s="551"/>
      <c r="E5" s="551"/>
      <c r="F5" s="551"/>
      <c r="G5" s="551"/>
      <c r="H5" s="551"/>
      <c r="I5" s="551"/>
      <c r="J5" s="551"/>
      <c r="K5" s="551"/>
      <c r="L5" s="551"/>
      <c r="M5" s="551"/>
      <c r="N5" s="551"/>
      <c r="O5" s="551"/>
      <c r="P5" s="551"/>
      <c r="Q5" s="551"/>
      <c r="R5" s="551"/>
      <c r="S5" s="551"/>
    </row>
    <row r="6" spans="1:19">
      <c r="A6" s="251"/>
      <c r="B6" s="552" t="s">
        <v>56</v>
      </c>
      <c r="C6" s="552"/>
      <c r="D6" s="552"/>
      <c r="E6" s="552"/>
      <c r="F6" s="552"/>
      <c r="G6" s="552"/>
      <c r="H6" s="552"/>
      <c r="I6" s="552"/>
      <c r="J6" s="552"/>
      <c r="K6" s="553" t="s">
        <v>57</v>
      </c>
      <c r="L6" s="553"/>
      <c r="M6" s="553"/>
      <c r="N6" s="553"/>
      <c r="O6" s="553"/>
      <c r="P6" s="554" t="s">
        <v>58</v>
      </c>
      <c r="Q6" s="554"/>
      <c r="R6" s="554"/>
      <c r="S6" s="554"/>
    </row>
    <row r="7" spans="1:19" ht="15.75" customHeight="1">
      <c r="A7" s="251" t="s">
        <v>50</v>
      </c>
      <c r="B7" s="233" t="s">
        <v>59</v>
      </c>
      <c r="C7" s="233" t="s">
        <v>76</v>
      </c>
      <c r="D7" s="233" t="s">
        <v>60</v>
      </c>
      <c r="E7" s="232" t="s">
        <v>61</v>
      </c>
      <c r="F7" s="230" t="s">
        <v>62</v>
      </c>
      <c r="G7" s="230" t="s">
        <v>63</v>
      </c>
      <c r="H7" s="230" t="s">
        <v>64</v>
      </c>
      <c r="I7" s="230" t="s">
        <v>65</v>
      </c>
      <c r="J7" s="231" t="s">
        <v>66</v>
      </c>
      <c r="K7" s="252" t="s">
        <v>0</v>
      </c>
      <c r="L7" s="252" t="s">
        <v>67</v>
      </c>
      <c r="M7" s="252" t="s">
        <v>68</v>
      </c>
      <c r="N7" s="252" t="s">
        <v>69</v>
      </c>
      <c r="O7" s="252" t="s">
        <v>70</v>
      </c>
      <c r="P7" s="253" t="s">
        <v>0</v>
      </c>
      <c r="Q7" s="253" t="s">
        <v>71</v>
      </c>
      <c r="R7" s="253" t="s">
        <v>68</v>
      </c>
      <c r="S7" s="253" t="s">
        <v>69</v>
      </c>
    </row>
    <row r="8" spans="1:19" ht="15.75" customHeight="1">
      <c r="A8" s="251">
        <v>2020</v>
      </c>
      <c r="B8" s="233">
        <v>0</v>
      </c>
      <c r="C8" s="233" t="s">
        <v>72</v>
      </c>
      <c r="D8" s="233" t="s">
        <v>72</v>
      </c>
      <c r="E8" s="236" t="s">
        <v>72</v>
      </c>
      <c r="F8" s="236" t="s">
        <v>72</v>
      </c>
      <c r="G8" s="236" t="s">
        <v>72</v>
      </c>
      <c r="H8" s="236" t="s">
        <v>72</v>
      </c>
      <c r="I8" s="236" t="s">
        <v>72</v>
      </c>
      <c r="J8" s="236" t="s">
        <v>72</v>
      </c>
      <c r="K8" s="252"/>
      <c r="L8" s="252"/>
      <c r="M8" s="252"/>
      <c r="N8" s="252"/>
      <c r="O8" s="252"/>
      <c r="P8" s="253"/>
      <c r="Q8" s="253"/>
      <c r="R8" s="253"/>
      <c r="S8" s="253"/>
    </row>
    <row r="9" spans="1:19">
      <c r="A9" s="251">
        <v>2021</v>
      </c>
      <c r="B9" s="233">
        <v>1</v>
      </c>
      <c r="C9" s="254">
        <f>F1+E9</f>
        <v>1.851</v>
      </c>
      <c r="D9" s="255" t="str">
        <f>IF('El og plugin hybrid'!$E$67="nej",'El og plugin hybrid'!$E$70,"")</f>
        <v/>
      </c>
      <c r="E9" s="234">
        <f t="shared" ref="E9:E38" si="0">SUM(F9:J9)</f>
        <v>1.349</v>
      </c>
      <c r="F9" s="237">
        <v>0.89200000000000002</v>
      </c>
      <c r="G9" s="237">
        <v>6.2E-2</v>
      </c>
      <c r="H9" s="233">
        <v>0.29799999999999999</v>
      </c>
      <c r="I9" s="233">
        <v>5.2999999999999999E-2</v>
      </c>
      <c r="J9" s="235">
        <v>4.3999999999999997E-2</v>
      </c>
      <c r="K9" s="252">
        <f t="shared" ref="K9:K38" si="1">B9</f>
        <v>1</v>
      </c>
      <c r="L9" s="252">
        <v>8.8999999999999996E-2</v>
      </c>
      <c r="M9" s="252">
        <v>0</v>
      </c>
      <c r="N9" s="252">
        <v>0</v>
      </c>
      <c r="O9" s="256" t="e">
        <f>IF(#REF!="ja",#REF!,#REF!)</f>
        <v>#REF!</v>
      </c>
      <c r="P9" s="253">
        <f t="shared" ref="P9:P38" si="2">K9</f>
        <v>1</v>
      </c>
      <c r="Q9" s="257">
        <v>4855.6000000000004</v>
      </c>
      <c r="R9" s="253">
        <v>0</v>
      </c>
      <c r="S9" s="253">
        <v>0</v>
      </c>
    </row>
    <row r="10" spans="1:19">
      <c r="A10" s="251">
        <v>2022</v>
      </c>
      <c r="B10" s="233">
        <v>2</v>
      </c>
      <c r="C10" s="254">
        <f>((C9-E9)*(1+'El og plugin hybrid'!$E$69)+E9)</f>
        <v>1.8593834</v>
      </c>
      <c r="D10" s="525" t="e">
        <f>((D9-E10)*(1+'El og plugin hybrid'!$E$71)+Fremskrivninger!E10)</f>
        <v>#VALUE!</v>
      </c>
      <c r="E10" s="234">
        <f t="shared" si="0"/>
        <v>1.2869999999999999</v>
      </c>
      <c r="F10" s="237">
        <v>0.89200000000000002</v>
      </c>
      <c r="G10" s="237">
        <v>0</v>
      </c>
      <c r="H10" s="233">
        <v>0.29799999999999999</v>
      </c>
      <c r="I10" s="233">
        <v>5.2999999999999999E-2</v>
      </c>
      <c r="J10" s="235">
        <v>4.3999999999999997E-2</v>
      </c>
      <c r="K10" s="252">
        <f t="shared" si="1"/>
        <v>2</v>
      </c>
      <c r="L10" s="252">
        <v>7.0000000000000007E-2</v>
      </c>
      <c r="M10" s="258">
        <f t="shared" ref="M10:M38" si="3">(L10-$L$9)/$L$9</f>
        <v>-0.21348314606741561</v>
      </c>
      <c r="N10" s="258">
        <f>AVERAGE($M$9:M10)</f>
        <v>-0.10674157303370781</v>
      </c>
      <c r="O10" s="256" t="e">
        <f>IF(#REF!="ja",#REF!,#REF!)</f>
        <v>#REF!</v>
      </c>
      <c r="P10" s="253">
        <f t="shared" si="2"/>
        <v>2</v>
      </c>
      <c r="Q10" s="257">
        <f t="shared" ref="Q10:Q17" si="4">$Q$9+(224/15*P10)</f>
        <v>4885.4666666666672</v>
      </c>
      <c r="R10" s="259">
        <f t="shared" ref="R10:R38" si="5">(Q10-$Q$9)/$Q$9</f>
        <v>6.1509734464673341E-3</v>
      </c>
      <c r="S10" s="260">
        <f>AVERAGE($R$9:R10)</f>
        <v>3.0754867232336671E-3</v>
      </c>
    </row>
    <row r="11" spans="1:19">
      <c r="A11" s="251">
        <v>2023</v>
      </c>
      <c r="B11" s="233">
        <v>3</v>
      </c>
      <c r="C11" s="254">
        <f>((C10-E10)*(1+'El og plugin hybrid'!$E$69)+E10)</f>
        <v>1.86894220278</v>
      </c>
      <c r="D11" s="525" t="e">
        <f>((D10-E11)*(1+'El og plugin hybrid'!$E$71)+Fremskrivninger!E11)</f>
        <v>#VALUE!</v>
      </c>
      <c r="E11" s="234">
        <f t="shared" si="0"/>
        <v>1.2869999999999999</v>
      </c>
      <c r="F11" s="237">
        <v>0.89200000000000002</v>
      </c>
      <c r="G11" s="237">
        <v>0</v>
      </c>
      <c r="H11" s="233">
        <v>0.29799999999999999</v>
      </c>
      <c r="I11" s="233">
        <v>5.2999999999999999E-2</v>
      </c>
      <c r="J11" s="235">
        <v>4.3999999999999997E-2</v>
      </c>
      <c r="K11" s="252">
        <f t="shared" si="1"/>
        <v>3</v>
      </c>
      <c r="L11" s="252">
        <v>5.8000000000000003E-2</v>
      </c>
      <c r="M11" s="258">
        <f t="shared" si="3"/>
        <v>-0.348314606741573</v>
      </c>
      <c r="N11" s="258">
        <f>AVERAGE($M$9:M11)</f>
        <v>-0.18726591760299618</v>
      </c>
      <c r="O11" s="256" t="e">
        <f>IF(#REF!="ja",#REF!,#REF!)</f>
        <v>#REF!</v>
      </c>
      <c r="P11" s="253">
        <f t="shared" si="2"/>
        <v>3</v>
      </c>
      <c r="Q11" s="257">
        <f t="shared" si="4"/>
        <v>4900.4000000000005</v>
      </c>
      <c r="R11" s="259">
        <f t="shared" si="5"/>
        <v>9.2264601697010003E-3</v>
      </c>
      <c r="S11" s="260">
        <f>AVERAGE($R$9:R11)</f>
        <v>5.1258112053894451E-3</v>
      </c>
    </row>
    <row r="12" spans="1:19">
      <c r="A12" s="251">
        <v>2024</v>
      </c>
      <c r="B12" s="233">
        <v>4</v>
      </c>
      <c r="C12" s="254">
        <f>((C11-E11)*(1+'El og plugin hybrid'!$E$69)+E11)</f>
        <v>1.8786606375664259</v>
      </c>
      <c r="D12" s="525" t="e">
        <f>((D11-E12)*(1+'El og plugin hybrid'!$E$71)+Fremskrivninger!E12)</f>
        <v>#VALUE!</v>
      </c>
      <c r="E12" s="234">
        <f t="shared" si="0"/>
        <v>1.2869999999999999</v>
      </c>
      <c r="F12" s="237">
        <v>0.89200000000000002</v>
      </c>
      <c r="G12" s="237">
        <v>0</v>
      </c>
      <c r="H12" s="233">
        <v>0.29799999999999999</v>
      </c>
      <c r="I12" s="233">
        <v>5.2999999999999999E-2</v>
      </c>
      <c r="J12" s="235">
        <v>4.3999999999999997E-2</v>
      </c>
      <c r="K12" s="252">
        <f t="shared" si="1"/>
        <v>4</v>
      </c>
      <c r="L12" s="252">
        <v>5.3999999999999999E-2</v>
      </c>
      <c r="M12" s="258">
        <f t="shared" si="3"/>
        <v>-0.3932584269662921</v>
      </c>
      <c r="N12" s="258">
        <f>AVERAGE($M$9:M12)</f>
        <v>-0.23876404494382017</v>
      </c>
      <c r="O12" s="256" t="e">
        <f>IF(#REF!="ja",#REF!,#REF!)</f>
        <v>#REF!</v>
      </c>
      <c r="P12" s="253">
        <f t="shared" si="2"/>
        <v>4</v>
      </c>
      <c r="Q12" s="257">
        <f t="shared" si="4"/>
        <v>4915.3333333333339</v>
      </c>
      <c r="R12" s="259">
        <f t="shared" si="5"/>
        <v>1.2301946892934668E-2</v>
      </c>
      <c r="S12" s="260">
        <f>AVERAGE($R$9:R12)</f>
        <v>6.9198451272757507E-3</v>
      </c>
    </row>
    <row r="13" spans="1:19">
      <c r="A13" s="251">
        <v>2025</v>
      </c>
      <c r="B13" s="233">
        <v>5</v>
      </c>
      <c r="C13" s="254">
        <f>((C12-E12)*(1+'El og plugin hybrid'!$E$69)+E12)</f>
        <v>1.888541370213785</v>
      </c>
      <c r="D13" s="525" t="e">
        <f>((D12-E13)*(1+'El og plugin hybrid'!$E$71)+Fremskrivninger!E13)</f>
        <v>#VALUE!</v>
      </c>
      <c r="E13" s="234">
        <f t="shared" si="0"/>
        <v>1.2869999999999999</v>
      </c>
      <c r="F13" s="237">
        <v>0.89200000000000002</v>
      </c>
      <c r="G13" s="237">
        <v>0</v>
      </c>
      <c r="H13" s="233">
        <v>0.29799999999999999</v>
      </c>
      <c r="I13" s="233">
        <v>5.2999999999999999E-2</v>
      </c>
      <c r="J13" s="235">
        <v>4.3999999999999997E-2</v>
      </c>
      <c r="K13" s="252">
        <f t="shared" si="1"/>
        <v>5</v>
      </c>
      <c r="L13" s="252">
        <v>0.05</v>
      </c>
      <c r="M13" s="258">
        <f t="shared" si="3"/>
        <v>-0.4382022471910112</v>
      </c>
      <c r="N13" s="258">
        <f>AVERAGE($M$9:M13)</f>
        <v>-0.27865168539325841</v>
      </c>
      <c r="O13" s="256" t="e">
        <f>IF(#REF!="ja",#REF!,#REF!)</f>
        <v>#REF!</v>
      </c>
      <c r="P13" s="253">
        <f t="shared" si="2"/>
        <v>5</v>
      </c>
      <c r="Q13" s="257">
        <f t="shared" si="4"/>
        <v>4930.2666666666673</v>
      </c>
      <c r="R13" s="259">
        <f t="shared" si="5"/>
        <v>1.5377433616168334E-2</v>
      </c>
      <c r="S13" s="260">
        <f>AVERAGE($R$9:R13)</f>
        <v>8.6113628250542671E-3</v>
      </c>
    </row>
    <row r="14" spans="1:19">
      <c r="A14" s="251">
        <v>2026</v>
      </c>
      <c r="B14" s="233">
        <v>6</v>
      </c>
      <c r="C14" s="254">
        <f>((C13-E13)*(1+'El og plugin hybrid'!$E$69)+E13)</f>
        <v>1.8985871110963553</v>
      </c>
      <c r="D14" s="525" t="e">
        <f>((D13-E14)*(1+'El og plugin hybrid'!$E$71)+Fremskrivninger!E14)</f>
        <v>#VALUE!</v>
      </c>
      <c r="E14" s="234">
        <f t="shared" si="0"/>
        <v>1.2869999999999999</v>
      </c>
      <c r="F14" s="237">
        <v>0.89200000000000002</v>
      </c>
      <c r="G14" s="237">
        <v>0</v>
      </c>
      <c r="H14" s="233">
        <v>0.29799999999999999</v>
      </c>
      <c r="I14" s="233">
        <v>5.2999999999999999E-2</v>
      </c>
      <c r="J14" s="235">
        <v>4.3999999999999997E-2</v>
      </c>
      <c r="K14" s="252">
        <f t="shared" si="1"/>
        <v>6</v>
      </c>
      <c r="L14" s="252">
        <v>4.2000000000000003E-2</v>
      </c>
      <c r="M14" s="258">
        <f t="shared" si="3"/>
        <v>-0.5280898876404494</v>
      </c>
      <c r="N14" s="258">
        <f>AVERAGE($M$9:M14)</f>
        <v>-0.32022471910112354</v>
      </c>
      <c r="O14" s="256" t="e">
        <f>IF(#REF!="ja",#REF!,#REF!)</f>
        <v>#REF!</v>
      </c>
      <c r="P14" s="253">
        <f t="shared" si="2"/>
        <v>6</v>
      </c>
      <c r="Q14" s="257">
        <f t="shared" si="4"/>
        <v>4945.2000000000007</v>
      </c>
      <c r="R14" s="259">
        <f t="shared" si="5"/>
        <v>1.8452920339402001E-2</v>
      </c>
      <c r="S14" s="260">
        <f>AVERAGE($R$9:R14)</f>
        <v>1.025162241077889E-2</v>
      </c>
    </row>
    <row r="15" spans="1:19">
      <c r="A15" s="251">
        <v>2027</v>
      </c>
      <c r="B15" s="233">
        <v>7</v>
      </c>
      <c r="C15" s="254">
        <f>((C14-E14)*(1+'El og plugin hybrid'!$E$69)+E14)</f>
        <v>1.9088006158516644</v>
      </c>
      <c r="D15" s="525" t="e">
        <f>((D14-E15)*(1+'El og plugin hybrid'!$E$71)+Fremskrivninger!E15)</f>
        <v>#VALUE!</v>
      </c>
      <c r="E15" s="234">
        <f t="shared" si="0"/>
        <v>1.2869999999999999</v>
      </c>
      <c r="F15" s="237">
        <v>0.89200000000000002</v>
      </c>
      <c r="G15" s="237">
        <v>0</v>
      </c>
      <c r="H15" s="233">
        <v>0.29799999999999999</v>
      </c>
      <c r="I15" s="233">
        <v>5.2999999999999999E-2</v>
      </c>
      <c r="J15" s="235">
        <v>4.3999999999999997E-2</v>
      </c>
      <c r="K15" s="252">
        <f t="shared" si="1"/>
        <v>7</v>
      </c>
      <c r="L15" s="252">
        <v>3.6999999999999998E-2</v>
      </c>
      <c r="M15" s="258">
        <f t="shared" si="3"/>
        <v>-0.5842696629213483</v>
      </c>
      <c r="N15" s="258">
        <f>AVERAGE($M$9:M15)</f>
        <v>-0.35794542536115564</v>
      </c>
      <c r="O15" s="256" t="e">
        <f>IF(#REF!="ja",#REF!,#REF!)</f>
        <v>#REF!</v>
      </c>
      <c r="P15" s="253">
        <f t="shared" si="2"/>
        <v>7</v>
      </c>
      <c r="Q15" s="257">
        <f t="shared" si="4"/>
        <v>4960.1333333333341</v>
      </c>
      <c r="R15" s="259">
        <f t="shared" si="5"/>
        <v>2.1528407062635667E-2</v>
      </c>
      <c r="S15" s="260">
        <f>AVERAGE($R$9:R15)</f>
        <v>1.186259164675843E-2</v>
      </c>
    </row>
    <row r="16" spans="1:19">
      <c r="A16" s="251">
        <v>2028</v>
      </c>
      <c r="B16" s="233">
        <v>8</v>
      </c>
      <c r="C16" s="254">
        <f>((C15-E15)*(1+'El og plugin hybrid'!$E$69)+E15)</f>
        <v>1.9191846861363873</v>
      </c>
      <c r="D16" s="525" t="e">
        <f>((D15-E16)*(1+'El og plugin hybrid'!$E$71)+Fremskrivninger!E16)</f>
        <v>#VALUE!</v>
      </c>
      <c r="E16" s="234">
        <f t="shared" si="0"/>
        <v>1.2869999999999999</v>
      </c>
      <c r="F16" s="237">
        <v>0.89200000000000002</v>
      </c>
      <c r="G16" s="237">
        <v>0</v>
      </c>
      <c r="H16" s="233">
        <v>0.29799999999999999</v>
      </c>
      <c r="I16" s="233">
        <v>5.2999999999999999E-2</v>
      </c>
      <c r="J16" s="235">
        <v>4.3999999999999997E-2</v>
      </c>
      <c r="K16" s="252">
        <f t="shared" si="1"/>
        <v>8</v>
      </c>
      <c r="L16" s="252">
        <v>3.2000000000000001E-2</v>
      </c>
      <c r="M16" s="258">
        <f t="shared" si="3"/>
        <v>-0.6404494382022472</v>
      </c>
      <c r="N16" s="258">
        <f>AVERAGE($M$9:M16)</f>
        <v>-0.3932584269662921</v>
      </c>
      <c r="O16" s="256" t="e">
        <f>IF(#REF!="ja",#REF!,#REF!)</f>
        <v>#REF!</v>
      </c>
      <c r="P16" s="253">
        <f t="shared" si="2"/>
        <v>8</v>
      </c>
      <c r="Q16" s="257">
        <f t="shared" si="4"/>
        <v>4975.0666666666666</v>
      </c>
      <c r="R16" s="259">
        <f t="shared" si="5"/>
        <v>2.4603893785869149E-2</v>
      </c>
      <c r="S16" s="260">
        <f>AVERAGE($R$9:R16)</f>
        <v>1.345525441414727E-2</v>
      </c>
    </row>
    <row r="17" spans="1:19">
      <c r="A17" s="251">
        <v>2029</v>
      </c>
      <c r="B17" s="233">
        <v>9</v>
      </c>
      <c r="C17" s="254">
        <f>((C16-E16)*(1+'El og plugin hybrid'!$E$69)+E16)</f>
        <v>1.929742170394865</v>
      </c>
      <c r="D17" s="525" t="e">
        <f>((D16-E17)*(1+'El og plugin hybrid'!$E$71)+Fremskrivninger!E17)</f>
        <v>#VALUE!</v>
      </c>
      <c r="E17" s="234">
        <f t="shared" si="0"/>
        <v>1.2869999999999999</v>
      </c>
      <c r="F17" s="237">
        <v>0.89200000000000002</v>
      </c>
      <c r="G17" s="237">
        <v>0</v>
      </c>
      <c r="H17" s="233">
        <v>0.29799999999999999</v>
      </c>
      <c r="I17" s="233">
        <v>5.2999999999999999E-2</v>
      </c>
      <c r="J17" s="235">
        <v>4.3999999999999997E-2</v>
      </c>
      <c r="K17" s="252">
        <f t="shared" si="1"/>
        <v>9</v>
      </c>
      <c r="L17" s="252">
        <v>1.2999999999999999E-2</v>
      </c>
      <c r="M17" s="258">
        <f t="shared" si="3"/>
        <v>-0.8539325842696629</v>
      </c>
      <c r="N17" s="258">
        <f>AVERAGE($M$9:M17)</f>
        <v>-0.44444444444444442</v>
      </c>
      <c r="O17" s="256" t="e">
        <f>IF(#REF!="ja",#REF!,#REF!)</f>
        <v>#REF!</v>
      </c>
      <c r="P17" s="253">
        <f t="shared" si="2"/>
        <v>9</v>
      </c>
      <c r="Q17" s="257">
        <f t="shared" si="4"/>
        <v>4990</v>
      </c>
      <c r="R17" s="259">
        <f t="shared" si="5"/>
        <v>2.7679380509102815E-2</v>
      </c>
      <c r="S17" s="260">
        <f>AVERAGE($R$9:R17)</f>
        <v>1.5035712869142329E-2</v>
      </c>
    </row>
    <row r="18" spans="1:19">
      <c r="A18" s="251">
        <v>2030</v>
      </c>
      <c r="B18" s="233">
        <v>10</v>
      </c>
      <c r="C18" s="254">
        <f>((C17-E17)*(1+'El og plugin hybrid'!$E$69)+E17)</f>
        <v>1.9404759646404592</v>
      </c>
      <c r="D18" s="525" t="e">
        <f>((D17-E18)*(1+'El og plugin hybrid'!$E$71)+Fremskrivninger!E18)</f>
        <v>#VALUE!</v>
      </c>
      <c r="E18" s="234">
        <f t="shared" si="0"/>
        <v>1.2869999999999999</v>
      </c>
      <c r="F18" s="237">
        <v>0.89200000000000002</v>
      </c>
      <c r="G18" s="237">
        <v>0</v>
      </c>
      <c r="H18" s="233">
        <v>0.29799999999999999</v>
      </c>
      <c r="I18" s="233">
        <v>5.2999999999999999E-2</v>
      </c>
      <c r="J18" s="235">
        <v>4.3999999999999997E-2</v>
      </c>
      <c r="K18" s="252">
        <f t="shared" si="1"/>
        <v>10</v>
      </c>
      <c r="L18" s="252">
        <v>1.2E-2</v>
      </c>
      <c r="M18" s="258">
        <f t="shared" si="3"/>
        <v>-0.8651685393258427</v>
      </c>
      <c r="N18" s="258">
        <f>AVERAGE($M$9:M18)</f>
        <v>-0.48651685393258426</v>
      </c>
      <c r="O18" s="256" t="e">
        <f>IF(#REF!="ja",#REF!,#REF!)</f>
        <v>#REF!</v>
      </c>
      <c r="P18" s="253">
        <f t="shared" si="2"/>
        <v>10</v>
      </c>
      <c r="Q18" s="257">
        <v>4990</v>
      </c>
      <c r="R18" s="259">
        <f t="shared" si="5"/>
        <v>2.7679380509102815E-2</v>
      </c>
      <c r="S18" s="260">
        <f>AVERAGE($R$9:R18)</f>
        <v>1.6300079633138377E-2</v>
      </c>
    </row>
    <row r="19" spans="1:19">
      <c r="A19" s="251">
        <v>2031</v>
      </c>
      <c r="B19" s="233">
        <v>11</v>
      </c>
      <c r="C19" s="254">
        <f>((C18-E18)*(1+'El og plugin hybrid'!$E$69)+E18)</f>
        <v>1.9513890132499547</v>
      </c>
      <c r="D19" s="525" t="e">
        <f>((D18-E19)*(1+'El og plugin hybrid'!$E$71)+Fremskrivninger!E19)</f>
        <v>#VALUE!</v>
      </c>
      <c r="E19" s="234">
        <f t="shared" si="0"/>
        <v>1.2869999999999999</v>
      </c>
      <c r="F19" s="237">
        <v>0.89200000000000002</v>
      </c>
      <c r="G19" s="237">
        <v>0</v>
      </c>
      <c r="H19" s="233">
        <v>0.29799999999999999</v>
      </c>
      <c r="I19" s="233">
        <v>5.2999999999999999E-2</v>
      </c>
      <c r="J19" s="235">
        <v>4.3999999999999997E-2</v>
      </c>
      <c r="K19" s="252">
        <f t="shared" si="1"/>
        <v>11</v>
      </c>
      <c r="L19" s="252">
        <v>1.2E-2</v>
      </c>
      <c r="M19" s="258">
        <f t="shared" si="3"/>
        <v>-0.8651685393258427</v>
      </c>
      <c r="N19" s="258">
        <f>AVERAGE($M$9:M19)</f>
        <v>-0.52093973442288044</v>
      </c>
      <c r="O19" s="256" t="e">
        <f>IF(#REF!="ja",#REF!,#REF!)</f>
        <v>#REF!</v>
      </c>
      <c r="P19" s="253">
        <f t="shared" si="2"/>
        <v>11</v>
      </c>
      <c r="Q19" s="257">
        <f t="shared" ref="Q19:Q37" si="6">$Q$18+(447/21*(P19-12))</f>
        <v>4968.7142857142853</v>
      </c>
      <c r="R19" s="259">
        <f t="shared" si="5"/>
        <v>2.3295635084085376E-2</v>
      </c>
      <c r="S19" s="260">
        <f>AVERAGE($R$9:R19)</f>
        <v>1.6936039219588108E-2</v>
      </c>
    </row>
    <row r="20" spans="1:19">
      <c r="A20" s="251">
        <v>2032</v>
      </c>
      <c r="B20" s="233">
        <v>12</v>
      </c>
      <c r="C20" s="254">
        <f>((C19-E19)*(1+'El og plugin hybrid'!$E$69)+E19)</f>
        <v>1.962484309771229</v>
      </c>
      <c r="D20" s="525" t="e">
        <f>((D19-E20)*(1+'El og plugin hybrid'!$E$71)+Fremskrivninger!E20)</f>
        <v>#VALUE!</v>
      </c>
      <c r="E20" s="234">
        <f t="shared" si="0"/>
        <v>1.2869999999999999</v>
      </c>
      <c r="F20" s="237">
        <v>0.89200000000000002</v>
      </c>
      <c r="G20" s="237">
        <v>0</v>
      </c>
      <c r="H20" s="233">
        <v>0.29799999999999999</v>
      </c>
      <c r="I20" s="233">
        <v>5.2999999999999999E-2</v>
      </c>
      <c r="J20" s="235">
        <v>4.3999999999999997E-2</v>
      </c>
      <c r="K20" s="252">
        <f t="shared" si="1"/>
        <v>12</v>
      </c>
      <c r="L20" s="252">
        <v>1.2E-2</v>
      </c>
      <c r="M20" s="258">
        <f t="shared" si="3"/>
        <v>-0.8651685393258427</v>
      </c>
      <c r="N20" s="258">
        <f>AVERAGE($M$9:M20)</f>
        <v>-0.54962546816479396</v>
      </c>
      <c r="O20" s="256" t="e">
        <f>IF(#REF!="ja",#REF!,#REF!)</f>
        <v>#REF!</v>
      </c>
      <c r="P20" s="253">
        <f t="shared" si="2"/>
        <v>12</v>
      </c>
      <c r="Q20" s="257">
        <f t="shared" si="6"/>
        <v>4990</v>
      </c>
      <c r="R20" s="259">
        <f t="shared" si="5"/>
        <v>2.7679380509102815E-2</v>
      </c>
      <c r="S20" s="260">
        <f>AVERAGE($R$9:R20)</f>
        <v>1.7831317660380999E-2</v>
      </c>
    </row>
    <row r="21" spans="1:19">
      <c r="A21" s="251">
        <v>2033</v>
      </c>
      <c r="B21" s="233">
        <v>13</v>
      </c>
      <c r="C21" s="254">
        <f>((C20-E20)*(1+'El og plugin hybrid'!$E$69)+E20)</f>
        <v>1.9737648977444084</v>
      </c>
      <c r="D21" s="525" t="e">
        <f>((D20-E21)*(1+'El og plugin hybrid'!$E$71)+Fremskrivninger!E21)</f>
        <v>#VALUE!</v>
      </c>
      <c r="E21" s="234">
        <f t="shared" si="0"/>
        <v>1.2869999999999999</v>
      </c>
      <c r="F21" s="237">
        <v>0.89200000000000002</v>
      </c>
      <c r="G21" s="237">
        <v>0</v>
      </c>
      <c r="H21" s="233">
        <v>0.29799999999999999</v>
      </c>
      <c r="I21" s="233">
        <v>5.2999999999999999E-2</v>
      </c>
      <c r="J21" s="235">
        <v>4.3999999999999997E-2</v>
      </c>
      <c r="K21" s="252">
        <f t="shared" si="1"/>
        <v>13</v>
      </c>
      <c r="L21" s="252">
        <v>1.2E-2</v>
      </c>
      <c r="M21" s="258">
        <f t="shared" si="3"/>
        <v>-0.8651685393258427</v>
      </c>
      <c r="N21" s="258">
        <f>AVERAGE($M$9:M21)</f>
        <v>-0.57389801210025915</v>
      </c>
      <c r="O21" s="256" t="e">
        <f>IF(#REF!="ja",#REF!,#REF!)</f>
        <v>#REF!</v>
      </c>
      <c r="P21" s="253">
        <f t="shared" si="2"/>
        <v>13</v>
      </c>
      <c r="Q21" s="257">
        <f t="shared" si="6"/>
        <v>5011.2857142857147</v>
      </c>
      <c r="R21" s="259">
        <f t="shared" si="5"/>
        <v>3.2063125934120251E-2</v>
      </c>
      <c r="S21" s="260">
        <f>AVERAGE($R$9:R21)</f>
        <v>1.8926072142976327E-2</v>
      </c>
    </row>
    <row r="22" spans="1:19">
      <c r="A22" s="251">
        <v>2034</v>
      </c>
      <c r="B22" s="233">
        <v>14</v>
      </c>
      <c r="C22" s="254">
        <f>((C21-E21)*(1+'El og plugin hybrid'!$E$69)+E21)</f>
        <v>1.9852338715367401</v>
      </c>
      <c r="D22" s="525" t="e">
        <f>((D21-E22)*(1+'El og plugin hybrid'!$E$71)+Fremskrivninger!E22)</f>
        <v>#VALUE!</v>
      </c>
      <c r="E22" s="234">
        <f t="shared" si="0"/>
        <v>1.2869999999999999</v>
      </c>
      <c r="F22" s="237">
        <v>0.89200000000000002</v>
      </c>
      <c r="G22" s="237">
        <v>0</v>
      </c>
      <c r="H22" s="233">
        <v>0.29799999999999999</v>
      </c>
      <c r="I22" s="233">
        <v>5.2999999999999999E-2</v>
      </c>
      <c r="J22" s="235">
        <v>4.3999999999999997E-2</v>
      </c>
      <c r="K22" s="252">
        <f t="shared" si="1"/>
        <v>14</v>
      </c>
      <c r="L22" s="252">
        <v>1.2E-2</v>
      </c>
      <c r="M22" s="258">
        <f t="shared" si="3"/>
        <v>-0.8651685393258427</v>
      </c>
      <c r="N22" s="258">
        <f>AVERAGE($M$9:M22)</f>
        <v>-0.5947030497592295</v>
      </c>
      <c r="O22" s="256" t="e">
        <f>IF(#REF!="ja",#REF!,#REF!)</f>
        <v>#REF!</v>
      </c>
      <c r="P22" s="253">
        <f t="shared" si="2"/>
        <v>14</v>
      </c>
      <c r="Q22" s="257">
        <f t="shared" si="6"/>
        <v>5032.5714285714284</v>
      </c>
      <c r="R22" s="259">
        <f t="shared" si="5"/>
        <v>3.6446871359137503E-2</v>
      </c>
      <c r="S22" s="260">
        <f>AVERAGE($R$9:R22)</f>
        <v>2.0177557801273553E-2</v>
      </c>
    </row>
    <row r="23" spans="1:19">
      <c r="A23" s="251">
        <v>2035</v>
      </c>
      <c r="B23" s="233">
        <v>15</v>
      </c>
      <c r="C23" s="254">
        <f>((C22-E22)*(1+'El og plugin hybrid'!$E$69)+E22)</f>
        <v>1.9968943771914036</v>
      </c>
      <c r="D23" s="525" t="e">
        <f>((D22-E23)*(1+'El og plugin hybrid'!$E$71)+Fremskrivninger!E23)</f>
        <v>#VALUE!</v>
      </c>
      <c r="E23" s="234">
        <f t="shared" si="0"/>
        <v>1.2869999999999999</v>
      </c>
      <c r="F23" s="237">
        <v>0.89200000000000002</v>
      </c>
      <c r="G23" s="237">
        <v>0</v>
      </c>
      <c r="H23" s="233">
        <v>0.29799999999999999</v>
      </c>
      <c r="I23" s="233">
        <v>5.2999999999999999E-2</v>
      </c>
      <c r="J23" s="235">
        <v>4.3999999999999997E-2</v>
      </c>
      <c r="K23" s="252">
        <f t="shared" si="1"/>
        <v>15</v>
      </c>
      <c r="L23" s="252">
        <v>1.2E-2</v>
      </c>
      <c r="M23" s="258">
        <f t="shared" si="3"/>
        <v>-0.8651685393258427</v>
      </c>
      <c r="N23" s="258">
        <f>AVERAGE($M$9:M23)</f>
        <v>-0.61273408239700378</v>
      </c>
      <c r="O23" s="256" t="e">
        <f>IF(#REF!="ja",#REF!,#REF!)</f>
        <v>#REF!</v>
      </c>
      <c r="P23" s="253">
        <f t="shared" si="2"/>
        <v>15</v>
      </c>
      <c r="Q23" s="257">
        <f t="shared" si="6"/>
        <v>5053.8571428571431</v>
      </c>
      <c r="R23" s="259">
        <f t="shared" si="5"/>
        <v>4.0830616784154943E-2</v>
      </c>
      <c r="S23" s="260">
        <f>AVERAGE($R$9:R23)</f>
        <v>2.1554428400132313E-2</v>
      </c>
    </row>
    <row r="24" spans="1:19">
      <c r="A24" s="251">
        <v>2036</v>
      </c>
      <c r="B24" s="233">
        <v>16</v>
      </c>
      <c r="C24" s="254">
        <f>((C23-E23)*(1+'El og plugin hybrid'!$E$69)+E23)</f>
        <v>2.0087496132905001</v>
      </c>
      <c r="D24" s="525" t="e">
        <f>((D23-E24)*(1+'El og plugin hybrid'!$E$71)+Fremskrivninger!E24)</f>
        <v>#VALUE!</v>
      </c>
      <c r="E24" s="234">
        <f t="shared" si="0"/>
        <v>1.2869999999999999</v>
      </c>
      <c r="F24" s="237">
        <v>0.89200000000000002</v>
      </c>
      <c r="G24" s="237">
        <v>0</v>
      </c>
      <c r="H24" s="233">
        <v>0.29799999999999999</v>
      </c>
      <c r="I24" s="233">
        <v>5.2999999999999999E-2</v>
      </c>
      <c r="J24" s="235">
        <v>4.3999999999999997E-2</v>
      </c>
      <c r="K24" s="252">
        <f t="shared" si="1"/>
        <v>16</v>
      </c>
      <c r="L24" s="252">
        <v>1.2E-2</v>
      </c>
      <c r="M24" s="258">
        <f t="shared" si="3"/>
        <v>-0.8651685393258427</v>
      </c>
      <c r="N24" s="258">
        <f>AVERAGE($M$9:M24)</f>
        <v>-0.6285112359550562</v>
      </c>
      <c r="O24" s="256" t="e">
        <f>IF(#REF!="ja",#REF!,#REF!)</f>
        <v>#REF!</v>
      </c>
      <c r="P24" s="253">
        <f t="shared" si="2"/>
        <v>16</v>
      </c>
      <c r="Q24" s="257">
        <f t="shared" si="6"/>
        <v>5075.1428571428569</v>
      </c>
      <c r="R24" s="259">
        <f t="shared" si="5"/>
        <v>4.5214362209172194E-2</v>
      </c>
      <c r="S24" s="260">
        <f>AVERAGE($R$9:R24)</f>
        <v>2.3033174263197304E-2</v>
      </c>
    </row>
    <row r="25" spans="1:19">
      <c r="A25" s="251">
        <v>2037</v>
      </c>
      <c r="B25" s="233">
        <v>17</v>
      </c>
      <c r="C25" s="254">
        <f>((C24-E24)*(1+'El og plugin hybrid'!$E$69)+E24)</f>
        <v>2.0208028318324516</v>
      </c>
      <c r="D25" s="525" t="e">
        <f>((D24-E25)*(1+'El og plugin hybrid'!$E$71)+Fremskrivninger!E25)</f>
        <v>#VALUE!</v>
      </c>
      <c r="E25" s="234">
        <f t="shared" si="0"/>
        <v>1.2869999999999999</v>
      </c>
      <c r="F25" s="237">
        <v>0.89200000000000002</v>
      </c>
      <c r="G25" s="237">
        <v>0</v>
      </c>
      <c r="H25" s="233">
        <v>0.29799999999999999</v>
      </c>
      <c r="I25" s="233">
        <v>5.2999999999999999E-2</v>
      </c>
      <c r="J25" s="235">
        <v>4.3999999999999997E-2</v>
      </c>
      <c r="K25" s="252">
        <f t="shared" si="1"/>
        <v>17</v>
      </c>
      <c r="L25" s="252">
        <v>1.2E-2</v>
      </c>
      <c r="M25" s="258">
        <f t="shared" si="3"/>
        <v>-0.8651685393258427</v>
      </c>
      <c r="N25" s="258">
        <f>AVERAGE($M$9:M25)</f>
        <v>-0.64243225380039659</v>
      </c>
      <c r="O25" s="256" t="e">
        <f>IF(#REF!="ja",#REF!,#REF!)</f>
        <v>#REF!</v>
      </c>
      <c r="P25" s="253">
        <f t="shared" si="2"/>
        <v>17</v>
      </c>
      <c r="Q25" s="257">
        <f t="shared" si="6"/>
        <v>5096.4285714285716</v>
      </c>
      <c r="R25" s="259">
        <f t="shared" si="5"/>
        <v>4.9598107634189634E-2</v>
      </c>
      <c r="S25" s="260">
        <f>AVERAGE($R$9:R25)</f>
        <v>2.4595817402667444E-2</v>
      </c>
    </row>
    <row r="26" spans="1:19">
      <c r="A26" s="251">
        <v>2038</v>
      </c>
      <c r="B26" s="233">
        <v>18</v>
      </c>
      <c r="C26" s="254">
        <f>((C25-E25)*(1+'El og plugin hybrid'!$E$69)+E25)</f>
        <v>2.0330573391240536</v>
      </c>
      <c r="D26" s="525" t="e">
        <f>((D25-E26)*(1+'El og plugin hybrid'!$E$71)+Fremskrivninger!E26)</f>
        <v>#VALUE!</v>
      </c>
      <c r="E26" s="234">
        <f t="shared" si="0"/>
        <v>1.2869999999999999</v>
      </c>
      <c r="F26" s="237">
        <v>0.89200000000000002</v>
      </c>
      <c r="G26" s="237">
        <v>0</v>
      </c>
      <c r="H26" s="233">
        <v>0.29799999999999999</v>
      </c>
      <c r="I26" s="233">
        <v>5.2999999999999999E-2</v>
      </c>
      <c r="J26" s="235">
        <v>4.3999999999999997E-2</v>
      </c>
      <c r="K26" s="252">
        <f t="shared" si="1"/>
        <v>18</v>
      </c>
      <c r="L26" s="252">
        <v>1.2E-2</v>
      </c>
      <c r="M26" s="258">
        <f t="shared" si="3"/>
        <v>-0.8651685393258427</v>
      </c>
      <c r="N26" s="258">
        <f>AVERAGE($M$9:M26)</f>
        <v>-0.65480649188514362</v>
      </c>
      <c r="O26" s="256" t="e">
        <f>IF(#REF!="ja",#REF!,#REF!)</f>
        <v>#REF!</v>
      </c>
      <c r="P26" s="253">
        <f t="shared" si="2"/>
        <v>18</v>
      </c>
      <c r="Q26" s="257">
        <f t="shared" si="6"/>
        <v>5117.7142857142853</v>
      </c>
      <c r="R26" s="259">
        <f t="shared" si="5"/>
        <v>5.3981853059206886E-2</v>
      </c>
      <c r="S26" s="260">
        <f>AVERAGE($R$9:R26)</f>
        <v>2.6228374939141857E-2</v>
      </c>
    </row>
    <row r="27" spans="1:19">
      <c r="A27" s="251">
        <v>2039</v>
      </c>
      <c r="B27" s="233">
        <v>19</v>
      </c>
      <c r="C27" s="254">
        <f>((C26-E26)*(1+'El og plugin hybrid'!$E$69)+E26)</f>
        <v>2.0455164966874255</v>
      </c>
      <c r="D27" s="525" t="e">
        <f>((D26-E27)*(1+'El og plugin hybrid'!$E$71)+Fremskrivninger!E27)</f>
        <v>#VALUE!</v>
      </c>
      <c r="E27" s="234">
        <f t="shared" si="0"/>
        <v>1.2869999999999999</v>
      </c>
      <c r="F27" s="237">
        <v>0.89200000000000002</v>
      </c>
      <c r="G27" s="237">
        <v>0</v>
      </c>
      <c r="H27" s="233">
        <v>0.29799999999999999</v>
      </c>
      <c r="I27" s="233">
        <v>5.2999999999999999E-2</v>
      </c>
      <c r="J27" s="235">
        <v>4.3999999999999997E-2</v>
      </c>
      <c r="K27" s="252">
        <f t="shared" si="1"/>
        <v>19</v>
      </c>
      <c r="L27" s="252">
        <v>1.2E-2</v>
      </c>
      <c r="M27" s="258">
        <f t="shared" si="3"/>
        <v>-0.8651685393258427</v>
      </c>
      <c r="N27" s="258">
        <f>AVERAGE($M$9:M27)</f>
        <v>-0.66587817859254894</v>
      </c>
      <c r="O27" s="256" t="e">
        <f>IF(#REF!="ja",#REF!,#REF!)</f>
        <v>#REF!</v>
      </c>
      <c r="P27" s="253">
        <f t="shared" si="2"/>
        <v>19</v>
      </c>
      <c r="Q27" s="257">
        <f t="shared" si="6"/>
        <v>5139</v>
      </c>
      <c r="R27" s="259">
        <f t="shared" si="5"/>
        <v>5.8365598484224318E-2</v>
      </c>
      <c r="S27" s="260">
        <f>AVERAGE($R$9:R27)</f>
        <v>2.7919807757304089E-2</v>
      </c>
    </row>
    <row r="28" spans="1:19">
      <c r="A28" s="251">
        <v>2040</v>
      </c>
      <c r="B28" s="233">
        <v>20</v>
      </c>
      <c r="C28" s="254">
        <f>((C27-E27)*(1+'El og plugin hybrid'!$E$69)+E27)</f>
        <v>2.0581837221821053</v>
      </c>
      <c r="D28" s="525" t="e">
        <f>((D27-E28)*(1+'El og plugin hybrid'!$E$71)+Fremskrivninger!E28)</f>
        <v>#VALUE!</v>
      </c>
      <c r="E28" s="234">
        <f t="shared" si="0"/>
        <v>1.2869999999999999</v>
      </c>
      <c r="F28" s="237">
        <v>0.89200000000000002</v>
      </c>
      <c r="G28" s="237">
        <v>0</v>
      </c>
      <c r="H28" s="233">
        <v>0.29799999999999999</v>
      </c>
      <c r="I28" s="233">
        <v>5.2999999999999999E-2</v>
      </c>
      <c r="J28" s="235">
        <v>4.3999999999999997E-2</v>
      </c>
      <c r="K28" s="252">
        <f t="shared" si="1"/>
        <v>20</v>
      </c>
      <c r="L28" s="252">
        <v>1.2E-2</v>
      </c>
      <c r="M28" s="258">
        <f t="shared" si="3"/>
        <v>-0.8651685393258427</v>
      </c>
      <c r="N28" s="258">
        <f>AVERAGE($M$9:M28)</f>
        <v>-0.67584269662921359</v>
      </c>
      <c r="O28" s="256" t="e">
        <f>IF(#REF!="ja",#REF!,#REF!)</f>
        <v>#REF!</v>
      </c>
      <c r="P28" s="253">
        <f t="shared" si="2"/>
        <v>20</v>
      </c>
      <c r="Q28" s="257">
        <f t="shared" si="6"/>
        <v>5160.2857142857147</v>
      </c>
      <c r="R28" s="259">
        <f t="shared" si="5"/>
        <v>6.2749343909241764E-2</v>
      </c>
      <c r="S28" s="260">
        <f>AVERAGE($R$9:R28)</f>
        <v>2.9661284564900976E-2</v>
      </c>
    </row>
    <row r="29" spans="1:19">
      <c r="A29" s="251">
        <v>2041</v>
      </c>
      <c r="B29" s="233">
        <v>21</v>
      </c>
      <c r="C29" s="254">
        <f>((C28-E28)*(1+'El og plugin hybrid'!$E$69)+E28)</f>
        <v>2.0710624903425465</v>
      </c>
      <c r="D29" s="525" t="e">
        <f>((D28-E29)*(1+'El og plugin hybrid'!$E$71)+Fremskrivninger!E29)</f>
        <v>#VALUE!</v>
      </c>
      <c r="E29" s="234">
        <f t="shared" si="0"/>
        <v>1.2869999999999999</v>
      </c>
      <c r="F29" s="237">
        <v>0.89200000000000002</v>
      </c>
      <c r="G29" s="237">
        <v>0</v>
      </c>
      <c r="H29" s="233">
        <v>0.29799999999999999</v>
      </c>
      <c r="I29" s="233">
        <v>5.2999999999999999E-2</v>
      </c>
      <c r="J29" s="235">
        <v>4.3999999999999997E-2</v>
      </c>
      <c r="K29" s="252">
        <f t="shared" si="1"/>
        <v>21</v>
      </c>
      <c r="L29" s="252">
        <v>1.2E-2</v>
      </c>
      <c r="M29" s="258">
        <f t="shared" si="3"/>
        <v>-0.8651685393258427</v>
      </c>
      <c r="N29" s="258">
        <f>AVERAGE($M$9:M29)</f>
        <v>-0.68485821294810079</v>
      </c>
      <c r="O29" s="256" t="e">
        <f>IF(#REF!="ja",#REF!,#REF!)</f>
        <v>#REF!</v>
      </c>
      <c r="P29" s="253">
        <f t="shared" si="2"/>
        <v>21</v>
      </c>
      <c r="Q29" s="257">
        <f t="shared" si="6"/>
        <v>5181.5714285714284</v>
      </c>
      <c r="R29" s="259">
        <f t="shared" si="5"/>
        <v>6.7133089334259016E-2</v>
      </c>
      <c r="S29" s="260">
        <f>AVERAGE($R$9:R29)</f>
        <v>3.1445656220584692E-2</v>
      </c>
    </row>
    <row r="30" spans="1:19">
      <c r="A30" s="251">
        <v>2042</v>
      </c>
      <c r="B30" s="233">
        <v>22</v>
      </c>
      <c r="C30" s="254">
        <f>((C29-E29)*(1+'El og plugin hybrid'!$E$69)+E29)</f>
        <v>2.0841563339312668</v>
      </c>
      <c r="D30" s="525" t="e">
        <f>((D29-E30)*(1+'El og plugin hybrid'!$E$71)+Fremskrivninger!E30)</f>
        <v>#VALUE!</v>
      </c>
      <c r="E30" s="234">
        <f t="shared" si="0"/>
        <v>1.2869999999999999</v>
      </c>
      <c r="F30" s="237">
        <v>0.89200000000000002</v>
      </c>
      <c r="G30" s="237">
        <v>0</v>
      </c>
      <c r="H30" s="233">
        <v>0.29799999999999999</v>
      </c>
      <c r="I30" s="233">
        <v>5.2999999999999999E-2</v>
      </c>
      <c r="J30" s="235">
        <v>4.3999999999999997E-2</v>
      </c>
      <c r="K30" s="252">
        <f t="shared" si="1"/>
        <v>22</v>
      </c>
      <c r="L30" s="252">
        <v>1.2E-2</v>
      </c>
      <c r="M30" s="258">
        <f t="shared" si="3"/>
        <v>-0.8651685393258427</v>
      </c>
      <c r="N30" s="258">
        <f>AVERAGE($M$9:M30)</f>
        <v>-0.69305413687436179</v>
      </c>
      <c r="O30" s="256" t="e">
        <f>IF(#REF!="ja",#REF!,#REF!)</f>
        <v>#REF!</v>
      </c>
      <c r="P30" s="253">
        <f t="shared" si="2"/>
        <v>22</v>
      </c>
      <c r="Q30" s="257">
        <f t="shared" si="6"/>
        <v>5202.8571428571431</v>
      </c>
      <c r="R30" s="259">
        <f t="shared" si="5"/>
        <v>7.1516834759276449E-2</v>
      </c>
      <c r="S30" s="260">
        <f>AVERAGE($R$9:R30)</f>
        <v>3.3267073426888859E-2</v>
      </c>
    </row>
    <row r="31" spans="1:19">
      <c r="A31" s="251">
        <v>2043</v>
      </c>
      <c r="B31" s="233">
        <v>23</v>
      </c>
      <c r="C31" s="254">
        <f>((C30-E30)*(1+'El og plugin hybrid'!$E$69)+E30)</f>
        <v>2.0974688447079188</v>
      </c>
      <c r="D31" s="525" t="e">
        <f>((D30-E31)*(1+'El og plugin hybrid'!$E$71)+Fremskrivninger!E31)</f>
        <v>#VALUE!</v>
      </c>
      <c r="E31" s="234">
        <f t="shared" si="0"/>
        <v>1.2869999999999999</v>
      </c>
      <c r="F31" s="237">
        <v>0.89200000000000002</v>
      </c>
      <c r="G31" s="237">
        <v>0</v>
      </c>
      <c r="H31" s="233">
        <v>0.29799999999999999</v>
      </c>
      <c r="I31" s="233">
        <v>5.2999999999999999E-2</v>
      </c>
      <c r="J31" s="235">
        <v>4.3999999999999997E-2</v>
      </c>
      <c r="K31" s="252">
        <f t="shared" si="1"/>
        <v>23</v>
      </c>
      <c r="L31" s="252">
        <v>1.2E-2</v>
      </c>
      <c r="M31" s="258">
        <f t="shared" si="3"/>
        <v>-0.8651685393258427</v>
      </c>
      <c r="N31" s="258">
        <f>AVERAGE($M$9:M31)</f>
        <v>-0.70053737176355657</v>
      </c>
      <c r="O31" s="256" t="e">
        <f>IF(#REF!="ja",#REF!,#REF!)</f>
        <v>#REF!</v>
      </c>
      <c r="P31" s="253">
        <f t="shared" si="2"/>
        <v>23</v>
      </c>
      <c r="Q31" s="257">
        <f t="shared" si="6"/>
        <v>5224.1428571428569</v>
      </c>
      <c r="R31" s="259">
        <f t="shared" si="5"/>
        <v>7.5900580184293701E-2</v>
      </c>
      <c r="S31" s="260">
        <f>AVERAGE($R$9:R31)</f>
        <v>3.512070415547168E-2</v>
      </c>
    </row>
    <row r="32" spans="1:19">
      <c r="A32" s="251">
        <v>2044</v>
      </c>
      <c r="B32" s="233">
        <v>24</v>
      </c>
      <c r="C32" s="254">
        <f>((C31-E31)*(1+'El og plugin hybrid'!$E$69)+E31)</f>
        <v>2.1110036744145413</v>
      </c>
      <c r="D32" s="525" t="e">
        <f>((D31-E32)*(1+'El og plugin hybrid'!$E$71)+Fremskrivninger!E32)</f>
        <v>#VALUE!</v>
      </c>
      <c r="E32" s="234">
        <f t="shared" si="0"/>
        <v>1.2869999999999999</v>
      </c>
      <c r="F32" s="237">
        <v>0.89200000000000002</v>
      </c>
      <c r="G32" s="237">
        <v>0</v>
      </c>
      <c r="H32" s="233">
        <v>0.29799999999999999</v>
      </c>
      <c r="I32" s="233">
        <v>5.2999999999999999E-2</v>
      </c>
      <c r="J32" s="235">
        <v>4.3999999999999997E-2</v>
      </c>
      <c r="K32" s="252">
        <f t="shared" si="1"/>
        <v>24</v>
      </c>
      <c r="L32" s="252">
        <v>1.2E-2</v>
      </c>
      <c r="M32" s="258">
        <f t="shared" si="3"/>
        <v>-0.8651685393258427</v>
      </c>
      <c r="N32" s="258">
        <f>AVERAGE($M$9:M32)</f>
        <v>-0.70739700374531855</v>
      </c>
      <c r="O32" s="256" t="e">
        <f>IF(#REF!="ja",#REF!,#REF!)</f>
        <v>#REF!</v>
      </c>
      <c r="P32" s="253">
        <f t="shared" si="2"/>
        <v>24</v>
      </c>
      <c r="Q32" s="257">
        <f t="shared" si="6"/>
        <v>5245.4285714285716</v>
      </c>
      <c r="R32" s="259">
        <f t="shared" si="5"/>
        <v>8.0284325609311133E-2</v>
      </c>
      <c r="S32" s="260">
        <f>AVERAGE($R$9:R32)</f>
        <v>3.7002521716048321E-2</v>
      </c>
    </row>
    <row r="33" spans="1:20">
      <c r="A33" s="251">
        <v>2045</v>
      </c>
      <c r="B33" s="233">
        <v>25</v>
      </c>
      <c r="C33" s="254">
        <f>((C32-E32)*(1+'El og plugin hybrid'!$E$69)+E32)</f>
        <v>2.1247645357772642</v>
      </c>
      <c r="D33" s="525" t="e">
        <f>((D32-E33)*(1+'El og plugin hybrid'!$E$71)+Fremskrivninger!E33)</f>
        <v>#VALUE!</v>
      </c>
      <c r="E33" s="234">
        <f t="shared" si="0"/>
        <v>1.2869999999999999</v>
      </c>
      <c r="F33" s="237">
        <v>0.89200000000000002</v>
      </c>
      <c r="G33" s="237">
        <v>0</v>
      </c>
      <c r="H33" s="233">
        <v>0.29799999999999999</v>
      </c>
      <c r="I33" s="233">
        <v>5.2999999999999999E-2</v>
      </c>
      <c r="J33" s="235">
        <v>4.3999999999999997E-2</v>
      </c>
      <c r="K33" s="252">
        <f t="shared" si="1"/>
        <v>25</v>
      </c>
      <c r="L33" s="252">
        <v>1.2E-2</v>
      </c>
      <c r="M33" s="258">
        <f t="shared" si="3"/>
        <v>-0.8651685393258427</v>
      </c>
      <c r="N33" s="258">
        <f>AVERAGE($M$9:M33)</f>
        <v>-0.71370786516853957</v>
      </c>
      <c r="O33" s="256" t="e">
        <f>IF(#REF!="ja",#REF!,#REF!)</f>
        <v>#REF!</v>
      </c>
      <c r="P33" s="253">
        <f t="shared" si="2"/>
        <v>25</v>
      </c>
      <c r="Q33" s="257">
        <f t="shared" si="6"/>
        <v>5266.7142857142853</v>
      </c>
      <c r="R33" s="259">
        <f t="shared" si="5"/>
        <v>8.4668071034328385E-2</v>
      </c>
      <c r="S33" s="260">
        <f>AVERAGE($R$9:R33)</f>
        <v>3.890914368877952E-2</v>
      </c>
    </row>
    <row r="34" spans="1:20">
      <c r="A34" s="251">
        <v>2046</v>
      </c>
      <c r="B34" s="233">
        <v>26</v>
      </c>
      <c r="C34" s="254">
        <f>((C33-E33)*(1+'El og plugin hybrid'!$E$69)+E33)</f>
        <v>2.1387552035247444</v>
      </c>
      <c r="D34" s="525" t="e">
        <f>((D33-E34)*(1+'El og plugin hybrid'!$E$71)+Fremskrivninger!E34)</f>
        <v>#VALUE!</v>
      </c>
      <c r="E34" s="234">
        <f t="shared" si="0"/>
        <v>1.2869999999999999</v>
      </c>
      <c r="F34" s="237">
        <v>0.89200000000000002</v>
      </c>
      <c r="G34" s="237">
        <v>0</v>
      </c>
      <c r="H34" s="233">
        <v>0.29799999999999999</v>
      </c>
      <c r="I34" s="233">
        <v>5.2999999999999999E-2</v>
      </c>
      <c r="J34" s="235">
        <v>4.3999999999999997E-2</v>
      </c>
      <c r="K34" s="252">
        <f t="shared" si="1"/>
        <v>26</v>
      </c>
      <c r="L34" s="252">
        <v>1.2E-2</v>
      </c>
      <c r="M34" s="258">
        <f t="shared" si="3"/>
        <v>-0.8651685393258427</v>
      </c>
      <c r="N34" s="258">
        <f>AVERAGE($M$9:M34)</f>
        <v>-0.71953327571305126</v>
      </c>
      <c r="O34" s="256" t="e">
        <f>IF(#REF!="ja",#REF!,#REF!)</f>
        <v>#REF!</v>
      </c>
      <c r="P34" s="253">
        <f t="shared" si="2"/>
        <v>26</v>
      </c>
      <c r="Q34" s="257">
        <f t="shared" si="6"/>
        <v>5288</v>
      </c>
      <c r="R34" s="259">
        <f t="shared" si="5"/>
        <v>8.9051816459345831E-2</v>
      </c>
      <c r="S34" s="260">
        <f>AVERAGE($R$9:R34)</f>
        <v>4.083770802610899E-2</v>
      </c>
    </row>
    <row r="35" spans="1:20">
      <c r="A35" s="251">
        <v>2047</v>
      </c>
      <c r="B35" s="233">
        <v>27</v>
      </c>
      <c r="C35" s="254">
        <f>((C34-E34)*(1+'El og plugin hybrid'!$E$69)+E34)</f>
        <v>2.1529795154236075</v>
      </c>
      <c r="D35" s="525" t="e">
        <f>((D34-E35)*(1+'El og plugin hybrid'!$E$71)+Fremskrivninger!E35)</f>
        <v>#VALUE!</v>
      </c>
      <c r="E35" s="234">
        <f t="shared" si="0"/>
        <v>1.2869999999999999</v>
      </c>
      <c r="F35" s="237">
        <v>0.89200000000000002</v>
      </c>
      <c r="G35" s="237">
        <v>0</v>
      </c>
      <c r="H35" s="233">
        <v>0.29799999999999999</v>
      </c>
      <c r="I35" s="233">
        <v>5.2999999999999999E-2</v>
      </c>
      <c r="J35" s="235">
        <v>4.3999999999999997E-2</v>
      </c>
      <c r="K35" s="252">
        <f t="shared" si="1"/>
        <v>27</v>
      </c>
      <c r="L35" s="252">
        <v>1.2E-2</v>
      </c>
      <c r="M35" s="258">
        <f t="shared" si="3"/>
        <v>-0.8651685393258427</v>
      </c>
      <c r="N35" s="258">
        <f>AVERAGE($M$9:M35)</f>
        <v>-0.7249271743653769</v>
      </c>
      <c r="O35" s="256" t="e">
        <f>IF(#REF!="ja",#REF!,#REF!)</f>
        <v>#REF!</v>
      </c>
      <c r="P35" s="253">
        <f t="shared" si="2"/>
        <v>27</v>
      </c>
      <c r="Q35" s="257">
        <f t="shared" si="6"/>
        <v>5309.2857142857147</v>
      </c>
      <c r="R35" s="259">
        <f t="shared" si="5"/>
        <v>9.3435561884363263E-2</v>
      </c>
      <c r="S35" s="260">
        <f>AVERAGE($R$9:R35)</f>
        <v>4.2785776687525819E-2</v>
      </c>
    </row>
    <row r="36" spans="1:20">
      <c r="A36" s="251">
        <v>2048</v>
      </c>
      <c r="B36" s="233">
        <v>28</v>
      </c>
      <c r="C36" s="254">
        <f>((C35-E35)*(1+'El og plugin hybrid'!$E$69)+E35)</f>
        <v>2.1674413733311817</v>
      </c>
      <c r="D36" s="525" t="e">
        <f>((D35-E36)*(1+'El og plugin hybrid'!$E$71)+Fremskrivninger!E36)</f>
        <v>#VALUE!</v>
      </c>
      <c r="E36" s="234">
        <f t="shared" si="0"/>
        <v>1.2869999999999999</v>
      </c>
      <c r="F36" s="237">
        <v>0.89200000000000002</v>
      </c>
      <c r="G36" s="237">
        <v>0</v>
      </c>
      <c r="H36" s="233">
        <v>0.29799999999999999</v>
      </c>
      <c r="I36" s="233">
        <v>5.2999999999999999E-2</v>
      </c>
      <c r="J36" s="235">
        <v>4.3999999999999997E-2</v>
      </c>
      <c r="K36" s="252">
        <f t="shared" si="1"/>
        <v>28</v>
      </c>
      <c r="L36" s="252">
        <v>1.2E-2</v>
      </c>
      <c r="M36" s="258">
        <f t="shared" si="3"/>
        <v>-0.8651685393258427</v>
      </c>
      <c r="N36" s="258">
        <f>AVERAGE($M$9:M36)</f>
        <v>-0.72993579454253632</v>
      </c>
      <c r="O36" s="256" t="e">
        <f>IF(#REF!="ja",#REF!,#REF!)</f>
        <v>#REF!</v>
      </c>
      <c r="P36" s="253">
        <f t="shared" si="2"/>
        <v>28</v>
      </c>
      <c r="Q36" s="257">
        <f t="shared" si="6"/>
        <v>5330.5714285714284</v>
      </c>
      <c r="R36" s="259">
        <f t="shared" si="5"/>
        <v>9.7819307309380515E-2</v>
      </c>
      <c r="S36" s="260">
        <f>AVERAGE($R$9:R36)</f>
        <v>4.4751259924020625E-2</v>
      </c>
    </row>
    <row r="37" spans="1:20">
      <c r="A37" s="251">
        <v>2049</v>
      </c>
      <c r="B37" s="233">
        <v>29</v>
      </c>
      <c r="C37" s="254">
        <f>((C36-E36)*(1+'El og plugin hybrid'!$E$69)+E36)</f>
        <v>2.1821447442658126</v>
      </c>
      <c r="D37" s="525" t="e">
        <f>((D36-E37)*(1+'El og plugin hybrid'!$E$71)+Fremskrivninger!E37)</f>
        <v>#VALUE!</v>
      </c>
      <c r="E37" s="234">
        <f t="shared" si="0"/>
        <v>1.2869999999999999</v>
      </c>
      <c r="F37" s="237">
        <v>0.89200000000000002</v>
      </c>
      <c r="G37" s="237">
        <v>0</v>
      </c>
      <c r="H37" s="233">
        <v>0.29799999999999999</v>
      </c>
      <c r="I37" s="233">
        <v>5.2999999999999999E-2</v>
      </c>
      <c r="J37" s="235">
        <v>4.3999999999999997E-2</v>
      </c>
      <c r="K37" s="252">
        <f t="shared" si="1"/>
        <v>29</v>
      </c>
      <c r="L37" s="252">
        <v>1.2E-2</v>
      </c>
      <c r="M37" s="258">
        <f t="shared" si="3"/>
        <v>-0.8651685393258427</v>
      </c>
      <c r="N37" s="258">
        <f>AVERAGE($M$9:M37)</f>
        <v>-0.73459899263851247</v>
      </c>
      <c r="O37" s="256" t="e">
        <f>IF(#REF!="ja",#REF!,#REF!)</f>
        <v>#REF!</v>
      </c>
      <c r="P37" s="253">
        <f t="shared" si="2"/>
        <v>29</v>
      </c>
      <c r="Q37" s="257">
        <f t="shared" si="6"/>
        <v>5351.8571428571431</v>
      </c>
      <c r="R37" s="259">
        <f t="shared" si="5"/>
        <v>0.10220305273439796</v>
      </c>
      <c r="S37" s="260">
        <f>AVERAGE($R$9:R37)</f>
        <v>4.6732356227826739E-2</v>
      </c>
    </row>
    <row r="38" spans="1:20">
      <c r="A38" s="251">
        <v>2050</v>
      </c>
      <c r="B38" s="233">
        <v>30</v>
      </c>
      <c r="C38" s="254">
        <f>((C37-E37)*(1+'El og plugin hybrid'!$E$69)+E37)</f>
        <v>2.1970936614950514</v>
      </c>
      <c r="D38" s="525" t="e">
        <f>((D37-E38)*(1+'El og plugin hybrid'!$E$71)+Fremskrivninger!E38)</f>
        <v>#VALUE!</v>
      </c>
      <c r="E38" s="239">
        <f t="shared" si="0"/>
        <v>1.2869999999999999</v>
      </c>
      <c r="F38" s="241">
        <v>0.89200000000000002</v>
      </c>
      <c r="G38" s="241">
        <v>0</v>
      </c>
      <c r="H38" s="238">
        <v>0.29799999999999999</v>
      </c>
      <c r="I38" s="238">
        <v>5.2999999999999999E-2</v>
      </c>
      <c r="J38" s="240">
        <v>4.3999999999999997E-2</v>
      </c>
      <c r="K38" s="252">
        <f t="shared" si="1"/>
        <v>30</v>
      </c>
      <c r="L38" s="252">
        <v>1.2E-2</v>
      </c>
      <c r="M38" s="258">
        <f t="shared" si="3"/>
        <v>-0.8651685393258427</v>
      </c>
      <c r="N38" s="258">
        <f>AVERAGE($M$9:M38)</f>
        <v>-0.73895131086142352</v>
      </c>
      <c r="O38" s="256" t="e">
        <f>IF(#REF!="ja",#REF!,#REF!)</f>
        <v>#REF!</v>
      </c>
      <c r="P38" s="253">
        <f t="shared" si="2"/>
        <v>30</v>
      </c>
      <c r="Q38" s="257">
        <v>5440</v>
      </c>
      <c r="R38" s="259">
        <f t="shared" si="5"/>
        <v>0.12035587774940266</v>
      </c>
      <c r="S38" s="260">
        <f>AVERAGE($R$9:R38)</f>
        <v>4.9186473611879271E-2</v>
      </c>
    </row>
    <row r="39" spans="1:20">
      <c r="A39" s="251"/>
      <c r="B39" s="251"/>
      <c r="C39" s="251"/>
      <c r="D39" s="251"/>
      <c r="E39" s="251"/>
      <c r="F39" s="251"/>
      <c r="G39" s="251"/>
      <c r="H39" s="251"/>
      <c r="I39" s="251"/>
      <c r="J39" s="251"/>
      <c r="K39" s="251"/>
      <c r="L39" s="251"/>
      <c r="M39" s="251"/>
      <c r="N39" s="251"/>
      <c r="O39" s="251"/>
      <c r="P39" s="251"/>
      <c r="Q39" s="251"/>
      <c r="R39" s="251"/>
      <c r="S39" s="251"/>
      <c r="T39" s="251"/>
    </row>
    <row r="40" spans="1:20" ht="12.75" customHeight="1">
      <c r="A40" s="251"/>
      <c r="B40" s="470"/>
      <c r="C40" s="559" t="s">
        <v>171</v>
      </c>
      <c r="D40" s="559"/>
      <c r="E40" s="559"/>
      <c r="F40" s="559"/>
      <c r="G40" s="559"/>
      <c r="H40" s="559"/>
      <c r="I40" s="559"/>
      <c r="J40" s="560"/>
      <c r="K40" s="557"/>
      <c r="L40" s="566" t="s">
        <v>172</v>
      </c>
      <c r="M40" s="566"/>
      <c r="N40" s="566"/>
      <c r="O40" s="566"/>
      <c r="P40" s="566"/>
      <c r="Q40" s="566"/>
      <c r="R40" s="566"/>
      <c r="S40" s="567"/>
      <c r="T40" s="251"/>
    </row>
    <row r="41" spans="1:20" ht="12.75" customHeight="1">
      <c r="A41" s="251"/>
      <c r="B41" s="236"/>
      <c r="C41" s="561"/>
      <c r="D41" s="561"/>
      <c r="E41" s="561"/>
      <c r="F41" s="561"/>
      <c r="G41" s="561"/>
      <c r="H41" s="561"/>
      <c r="I41" s="561"/>
      <c r="J41" s="562"/>
      <c r="K41" s="558"/>
      <c r="L41" s="568"/>
      <c r="M41" s="568"/>
      <c r="N41" s="568"/>
      <c r="O41" s="568"/>
      <c r="P41" s="568"/>
      <c r="Q41" s="568"/>
      <c r="R41" s="568"/>
      <c r="S41" s="569"/>
    </row>
    <row r="42" spans="1:20" ht="15">
      <c r="A42" s="251"/>
      <c r="B42" s="236"/>
      <c r="C42" s="276" t="s">
        <v>214</v>
      </c>
      <c r="D42" s="527">
        <f>'ENS udvikling i brændstofspris'!E7</f>
        <v>4.0768000000000004</v>
      </c>
      <c r="E42" s="276" t="s">
        <v>165</v>
      </c>
      <c r="F42" s="471" t="s">
        <v>160</v>
      </c>
      <c r="G42" s="276"/>
      <c r="H42" s="276"/>
      <c r="I42" s="276"/>
      <c r="J42" s="235"/>
      <c r="K42" s="236"/>
      <c r="L42" s="276" t="s">
        <v>214</v>
      </c>
      <c r="M42" s="527">
        <f>'ENS udvikling i brændstofspris'!E7</f>
        <v>4.0768000000000004</v>
      </c>
      <c r="N42" s="276" t="s">
        <v>165</v>
      </c>
      <c r="O42" s="471" t="s">
        <v>160</v>
      </c>
      <c r="P42" s="276"/>
      <c r="Q42" s="276"/>
      <c r="R42" s="276"/>
      <c r="S42" s="235"/>
    </row>
    <row r="43" spans="1:20">
      <c r="A43" s="251"/>
      <c r="B43" s="236"/>
      <c r="C43" s="276"/>
      <c r="D43" s="276"/>
      <c r="E43" s="276"/>
      <c r="F43" s="276"/>
      <c r="G43" s="276"/>
      <c r="H43" s="276"/>
      <c r="I43" s="276"/>
      <c r="J43" s="235"/>
      <c r="K43" s="236"/>
      <c r="L43" s="276"/>
      <c r="M43" s="276"/>
      <c r="N43" s="276"/>
      <c r="O43" s="276"/>
      <c r="P43" s="276"/>
      <c r="Q43" s="276"/>
      <c r="R43" s="276"/>
      <c r="S43" s="235"/>
    </row>
    <row r="44" spans="1:20">
      <c r="A44" s="251"/>
      <c r="B44" s="236"/>
      <c r="C44" s="555" t="s">
        <v>177</v>
      </c>
      <c r="D44" s="555"/>
      <c r="E44" s="555"/>
      <c r="F44" s="555"/>
      <c r="G44" s="555"/>
      <c r="H44" s="555"/>
      <c r="I44" s="555"/>
      <c r="J44" s="556"/>
      <c r="K44" s="236"/>
      <c r="L44" s="555" t="s">
        <v>177</v>
      </c>
      <c r="M44" s="555"/>
      <c r="N44" s="555"/>
      <c r="O44" s="555"/>
      <c r="P44" s="555"/>
      <c r="Q44" s="555"/>
      <c r="R44" s="555"/>
      <c r="S44" s="556"/>
    </row>
    <row r="45" spans="1:20">
      <c r="A45" s="251"/>
      <c r="B45" s="563" t="s">
        <v>161</v>
      </c>
      <c r="C45" s="555"/>
      <c r="D45" s="555"/>
      <c r="E45" s="555"/>
      <c r="F45" s="555"/>
      <c r="G45" s="555"/>
      <c r="H45" s="564" t="s">
        <v>173</v>
      </c>
      <c r="I45" s="564"/>
      <c r="J45" s="565"/>
      <c r="K45" s="570" t="s">
        <v>161</v>
      </c>
      <c r="L45" s="571"/>
      <c r="M45" s="571"/>
      <c r="N45" s="571"/>
      <c r="O45" s="571"/>
      <c r="P45" s="571"/>
      <c r="Q45" s="564" t="s">
        <v>173</v>
      </c>
      <c r="R45" s="564"/>
      <c r="S45" s="565"/>
    </row>
    <row r="46" spans="1:20">
      <c r="A46" s="251" t="s">
        <v>50</v>
      </c>
      <c r="B46" s="236" t="s">
        <v>59</v>
      </c>
      <c r="C46" s="276" t="s">
        <v>168</v>
      </c>
      <c r="D46" s="276" t="s">
        <v>167</v>
      </c>
      <c r="E46" s="232" t="s">
        <v>166</v>
      </c>
      <c r="F46" s="230" t="s">
        <v>169</v>
      </c>
      <c r="G46" s="231" t="s">
        <v>170</v>
      </c>
      <c r="H46" s="486" t="s">
        <v>176</v>
      </c>
      <c r="I46" s="486"/>
      <c r="J46" s="487"/>
      <c r="K46" s="236" t="s">
        <v>59</v>
      </c>
      <c r="L46" s="276" t="s">
        <v>168</v>
      </c>
      <c r="M46" s="276" t="s">
        <v>167</v>
      </c>
      <c r="N46" s="236" t="s">
        <v>166</v>
      </c>
      <c r="O46" s="276" t="s">
        <v>169</v>
      </c>
      <c r="P46" s="235" t="s">
        <v>170</v>
      </c>
      <c r="Q46" s="480" t="s">
        <v>176</v>
      </c>
      <c r="R46" s="480"/>
      <c r="S46" s="481"/>
    </row>
    <row r="47" spans="1:20">
      <c r="A47" s="251">
        <v>2020</v>
      </c>
      <c r="B47" s="236">
        <v>0</v>
      </c>
      <c r="C47" s="276" t="s">
        <v>72</v>
      </c>
      <c r="D47" s="276" t="s">
        <v>72</v>
      </c>
      <c r="E47" s="236" t="s">
        <v>72</v>
      </c>
      <c r="F47" s="236"/>
      <c r="G47" s="315"/>
      <c r="H47" s="480"/>
      <c r="I47" s="482"/>
      <c r="J47" s="483"/>
      <c r="K47" s="236">
        <v>0</v>
      </c>
      <c r="L47" s="276" t="s">
        <v>72</v>
      </c>
      <c r="M47" s="276" t="s">
        <v>72</v>
      </c>
      <c r="N47" s="236" t="s">
        <v>72</v>
      </c>
      <c r="O47" s="236"/>
      <c r="P47" s="315"/>
      <c r="Q47" s="482"/>
      <c r="R47" s="482"/>
      <c r="S47" s="483"/>
    </row>
    <row r="48" spans="1:20">
      <c r="A48" s="251">
        <v>2021</v>
      </c>
      <c r="B48" s="236">
        <v>1</v>
      </c>
      <c r="C48" s="237">
        <f>D42+E48</f>
        <v>8.7367999999999988</v>
      </c>
      <c r="D48" s="472" t="str">
        <f>IF('Benzin - diesel - hybrid'!$E$51="nej",'Benzin - diesel - hybrid'!$E$54,"")</f>
        <v/>
      </c>
      <c r="E48" s="234">
        <f>SUM(F48:G48)</f>
        <v>4.6599999999999993</v>
      </c>
      <c r="F48" s="237">
        <v>0.39</v>
      </c>
      <c r="G48" s="468">
        <v>4.2699999999999996</v>
      </c>
      <c r="H48" s="480">
        <v>2.52</v>
      </c>
      <c r="I48" s="480"/>
      <c r="J48" s="481"/>
      <c r="K48" s="236">
        <v>1</v>
      </c>
      <c r="L48" s="237">
        <f>M42+N48</f>
        <v>8.7367999999999988</v>
      </c>
      <c r="M48" s="472" t="str">
        <f>IF('El og plugin hybrid'!E73="nej",'El og plugin hybrid'!E76,"")</f>
        <v/>
      </c>
      <c r="N48" s="234">
        <f>SUM(O48:P48)</f>
        <v>4.6599999999999993</v>
      </c>
      <c r="O48" s="237">
        <v>0.39</v>
      </c>
      <c r="P48" s="468">
        <v>4.2699999999999996</v>
      </c>
      <c r="Q48" s="480">
        <v>2.52</v>
      </c>
      <c r="R48" s="480"/>
      <c r="S48" s="481"/>
    </row>
    <row r="49" spans="1:19">
      <c r="A49" s="251">
        <v>2022</v>
      </c>
      <c r="B49" s="236">
        <v>2</v>
      </c>
      <c r="C49" s="237">
        <f>((C48-E48)*(1+'Benzin - diesel - hybrid'!$E$53)+E48)</f>
        <v>8.7934675200000001</v>
      </c>
      <c r="D49" s="479" t="e">
        <f>((D48-E49)*(1+'Benzin - diesel - hybrid'!$E$55))+E49</f>
        <v>#VALUE!</v>
      </c>
      <c r="E49" s="234">
        <f t="shared" ref="E49:E77" si="7">SUM(F49:G49)</f>
        <v>4.6599999999999993</v>
      </c>
      <c r="F49" s="237">
        <v>0.39</v>
      </c>
      <c r="G49" s="468">
        <v>4.2699999999999996</v>
      </c>
      <c r="H49" s="480">
        <v>2.52</v>
      </c>
      <c r="I49" s="480"/>
      <c r="J49" s="481"/>
      <c r="K49" s="236">
        <v>2</v>
      </c>
      <c r="L49" s="237">
        <f>((L48-N48)*(1+0.0139)+N48)</f>
        <v>8.7934675200000001</v>
      </c>
      <c r="M49" s="479" t="e">
        <f>((M48-N49)*(1+'El og plugin hybrid'!E$77))+N49</f>
        <v>#VALUE!</v>
      </c>
      <c r="N49" s="234">
        <f t="shared" ref="N49:N77" si="8">SUM(O49:P49)</f>
        <v>4.6599999999999993</v>
      </c>
      <c r="O49" s="237">
        <v>0.39</v>
      </c>
      <c r="P49" s="468">
        <v>4.2699999999999996</v>
      </c>
      <c r="Q49" s="480">
        <v>2.52</v>
      </c>
      <c r="R49" s="480"/>
      <c r="S49" s="481"/>
    </row>
    <row r="50" spans="1:19">
      <c r="A50" s="251">
        <v>2023</v>
      </c>
      <c r="B50" s="236">
        <v>3</v>
      </c>
      <c r="C50" s="237">
        <f>((C49-E49)*(1+'Benzin - diesel - hybrid'!$E$53)+E49)</f>
        <v>8.8509227185280004</v>
      </c>
      <c r="D50" s="479" t="e">
        <f>((D49-E50)*(1+'Benzin - diesel - hybrid'!$E$55))+E50</f>
        <v>#VALUE!</v>
      </c>
      <c r="E50" s="234">
        <f t="shared" si="7"/>
        <v>4.6599999999999993</v>
      </c>
      <c r="F50" s="237">
        <v>0.39</v>
      </c>
      <c r="G50" s="468">
        <v>4.2699999999999996</v>
      </c>
      <c r="H50" s="480">
        <v>2.52</v>
      </c>
      <c r="I50" s="480"/>
      <c r="J50" s="481"/>
      <c r="K50" s="236">
        <v>3</v>
      </c>
      <c r="L50" s="237">
        <f t="shared" ref="L50:L77" si="9">((L49-N49)*(1+0.0139)+N49)</f>
        <v>8.8509227185280004</v>
      </c>
      <c r="M50" s="479" t="e">
        <f>((M49-N50)*(1+'El og plugin hybrid'!E$77))+N50</f>
        <v>#VALUE!</v>
      </c>
      <c r="N50" s="234">
        <f t="shared" si="8"/>
        <v>4.6599999999999993</v>
      </c>
      <c r="O50" s="237">
        <v>0.39</v>
      </c>
      <c r="P50" s="468">
        <v>4.2699999999999996</v>
      </c>
      <c r="Q50" s="480">
        <v>2.52</v>
      </c>
      <c r="R50" s="480"/>
      <c r="S50" s="481"/>
    </row>
    <row r="51" spans="1:19">
      <c r="A51" s="251">
        <v>2024</v>
      </c>
      <c r="B51" s="236">
        <v>4</v>
      </c>
      <c r="C51" s="237">
        <f>((C50-E50)*(1+'Benzin - diesel - hybrid'!$E$53)+E50)</f>
        <v>8.9091765443155388</v>
      </c>
      <c r="D51" s="479" t="e">
        <f>((D50-E51)*(1+'Benzin - diesel - hybrid'!$E$55))+E51</f>
        <v>#VALUE!</v>
      </c>
      <c r="E51" s="234">
        <f t="shared" si="7"/>
        <v>4.6599999999999993</v>
      </c>
      <c r="F51" s="237">
        <v>0.39</v>
      </c>
      <c r="G51" s="468">
        <v>4.2699999999999996</v>
      </c>
      <c r="H51" s="480">
        <v>2.52</v>
      </c>
      <c r="I51" s="480"/>
      <c r="J51" s="481"/>
      <c r="K51" s="236">
        <v>4</v>
      </c>
      <c r="L51" s="237">
        <f t="shared" si="9"/>
        <v>8.9091765443155388</v>
      </c>
      <c r="M51" s="479" t="e">
        <f>((M50-N51)*(1+'El og plugin hybrid'!E$77))+N51</f>
        <v>#VALUE!</v>
      </c>
      <c r="N51" s="234">
        <f t="shared" si="8"/>
        <v>4.6599999999999993</v>
      </c>
      <c r="O51" s="237">
        <v>0.39</v>
      </c>
      <c r="P51" s="468">
        <v>4.2699999999999996</v>
      </c>
      <c r="Q51" s="480">
        <v>2.52</v>
      </c>
      <c r="R51" s="480"/>
      <c r="S51" s="481"/>
    </row>
    <row r="52" spans="1:19">
      <c r="A52" s="251">
        <v>2025</v>
      </c>
      <c r="B52" s="236">
        <v>5</v>
      </c>
      <c r="C52" s="237">
        <f>((C51-E51)*(1+'Benzin - diesel - hybrid'!$E$53)+E51)</f>
        <v>8.9682400982815249</v>
      </c>
      <c r="D52" s="479" t="e">
        <f>((D51-E52)*(1+'Benzin - diesel - hybrid'!$E$55))+E52</f>
        <v>#VALUE!</v>
      </c>
      <c r="E52" s="234">
        <f t="shared" si="7"/>
        <v>4.6599999999999993</v>
      </c>
      <c r="F52" s="237">
        <v>0.39</v>
      </c>
      <c r="G52" s="468">
        <v>4.2699999999999996</v>
      </c>
      <c r="H52" s="480">
        <v>2.52</v>
      </c>
      <c r="I52" s="480"/>
      <c r="J52" s="481"/>
      <c r="K52" s="236">
        <v>5</v>
      </c>
      <c r="L52" s="237">
        <f t="shared" si="9"/>
        <v>8.9682400982815249</v>
      </c>
      <c r="M52" s="479" t="e">
        <f>((M51-N52)*(1+'El og plugin hybrid'!E$77))+N52</f>
        <v>#VALUE!</v>
      </c>
      <c r="N52" s="234">
        <f t="shared" si="8"/>
        <v>4.6599999999999993</v>
      </c>
      <c r="O52" s="237">
        <v>0.39</v>
      </c>
      <c r="P52" s="468">
        <v>4.2699999999999996</v>
      </c>
      <c r="Q52" s="480">
        <v>2.52</v>
      </c>
      <c r="R52" s="480"/>
      <c r="S52" s="481"/>
    </row>
    <row r="53" spans="1:19">
      <c r="A53" s="251">
        <v>2026</v>
      </c>
      <c r="B53" s="236">
        <v>6</v>
      </c>
      <c r="C53" s="237">
        <f>((C52-E52)*(1+'Benzin - diesel - hybrid'!$E$53)+E52)</f>
        <v>9.0281246356476395</v>
      </c>
      <c r="D53" s="479" t="e">
        <f>((D52-E53)*(1+'Benzin - diesel - hybrid'!$E$55))+E53</f>
        <v>#VALUE!</v>
      </c>
      <c r="E53" s="234">
        <f t="shared" si="7"/>
        <v>4.6599999999999993</v>
      </c>
      <c r="F53" s="237">
        <v>0.39</v>
      </c>
      <c r="G53" s="468">
        <v>4.2699999999999996</v>
      </c>
      <c r="H53" s="480">
        <v>2.52</v>
      </c>
      <c r="I53" s="480"/>
      <c r="J53" s="481"/>
      <c r="K53" s="236">
        <v>6</v>
      </c>
      <c r="L53" s="237">
        <f t="shared" si="9"/>
        <v>9.0281246356476395</v>
      </c>
      <c r="M53" s="479" t="e">
        <f>((M52-N53)*(1+'El og plugin hybrid'!E$77))+N53</f>
        <v>#VALUE!</v>
      </c>
      <c r="N53" s="234">
        <f t="shared" si="8"/>
        <v>4.6599999999999993</v>
      </c>
      <c r="O53" s="237">
        <v>0.39</v>
      </c>
      <c r="P53" s="468">
        <v>4.2699999999999996</v>
      </c>
      <c r="Q53" s="480">
        <v>2.52</v>
      </c>
      <c r="R53" s="480"/>
      <c r="S53" s="481"/>
    </row>
    <row r="54" spans="1:19">
      <c r="A54" s="251">
        <v>2027</v>
      </c>
      <c r="B54" s="236">
        <v>7</v>
      </c>
      <c r="C54" s="237">
        <f>((C53-E53)*(1+'Benzin - diesel - hybrid'!$E$53)+E53)</f>
        <v>9.0888415680831418</v>
      </c>
      <c r="D54" s="479" t="e">
        <f>((D53-E54)*(1+'Benzin - diesel - hybrid'!$E$55))+E54</f>
        <v>#VALUE!</v>
      </c>
      <c r="E54" s="234">
        <f t="shared" si="7"/>
        <v>4.6599999999999993</v>
      </c>
      <c r="F54" s="237">
        <v>0.39</v>
      </c>
      <c r="G54" s="468">
        <v>4.2699999999999996</v>
      </c>
      <c r="H54" s="480">
        <v>2.52</v>
      </c>
      <c r="I54" s="480"/>
      <c r="J54" s="481"/>
      <c r="K54" s="236">
        <v>7</v>
      </c>
      <c r="L54" s="237">
        <f t="shared" si="9"/>
        <v>9.0888415680831418</v>
      </c>
      <c r="M54" s="479" t="e">
        <f>((M53-N54)*(1+'El og plugin hybrid'!E$77))+N54</f>
        <v>#VALUE!</v>
      </c>
      <c r="N54" s="234">
        <f t="shared" si="8"/>
        <v>4.6599999999999993</v>
      </c>
      <c r="O54" s="237">
        <v>0.39</v>
      </c>
      <c r="P54" s="468">
        <v>4.2699999999999996</v>
      </c>
      <c r="Q54" s="480">
        <v>2.52</v>
      </c>
      <c r="R54" s="480"/>
      <c r="S54" s="481"/>
    </row>
    <row r="55" spans="1:19">
      <c r="A55" s="251">
        <v>2028</v>
      </c>
      <c r="B55" s="236">
        <v>8</v>
      </c>
      <c r="C55" s="237">
        <f>((C54-E54)*(1+'Benzin - diesel - hybrid'!$E$53)+E54)</f>
        <v>9.1504024658794982</v>
      </c>
      <c r="D55" s="479" t="e">
        <f>((D54-E55)*(1+'Benzin - diesel - hybrid'!$E$55))+E55</f>
        <v>#VALUE!</v>
      </c>
      <c r="E55" s="234">
        <f t="shared" si="7"/>
        <v>4.6599999999999993</v>
      </c>
      <c r="F55" s="237">
        <v>0.39</v>
      </c>
      <c r="G55" s="468">
        <v>4.2699999999999996</v>
      </c>
      <c r="H55" s="480">
        <v>2.52</v>
      </c>
      <c r="I55" s="480"/>
      <c r="J55" s="481"/>
      <c r="K55" s="236">
        <v>8</v>
      </c>
      <c r="L55" s="237">
        <f t="shared" si="9"/>
        <v>9.1504024658794982</v>
      </c>
      <c r="M55" s="479" t="e">
        <f>((M54-N55)*(1+'El og plugin hybrid'!E$77))+N55</f>
        <v>#VALUE!</v>
      </c>
      <c r="N55" s="234">
        <f t="shared" si="8"/>
        <v>4.6599999999999993</v>
      </c>
      <c r="O55" s="237">
        <v>0.39</v>
      </c>
      <c r="P55" s="468">
        <v>4.2699999999999996</v>
      </c>
      <c r="Q55" s="480">
        <v>2.52</v>
      </c>
      <c r="R55" s="480"/>
      <c r="S55" s="481"/>
    </row>
    <row r="56" spans="1:19">
      <c r="A56" s="251">
        <v>2029</v>
      </c>
      <c r="B56" s="236">
        <v>9</v>
      </c>
      <c r="C56" s="237">
        <f>((C55-E55)*(1+'Benzin - diesel - hybrid'!$E$53)+E55)</f>
        <v>9.2128190601552227</v>
      </c>
      <c r="D56" s="479" t="e">
        <f>((D55-E56)*(1+'Benzin - diesel - hybrid'!$E$55))+E56</f>
        <v>#VALUE!</v>
      </c>
      <c r="E56" s="234">
        <f t="shared" si="7"/>
        <v>4.6599999999999993</v>
      </c>
      <c r="F56" s="237">
        <v>0.39</v>
      </c>
      <c r="G56" s="468">
        <v>4.2699999999999996</v>
      </c>
      <c r="H56" s="480">
        <v>2.52</v>
      </c>
      <c r="I56" s="480"/>
      <c r="J56" s="481"/>
      <c r="K56" s="236">
        <v>9</v>
      </c>
      <c r="L56" s="237">
        <f t="shared" si="9"/>
        <v>9.2128190601552227</v>
      </c>
      <c r="M56" s="479" t="e">
        <f>((M55-N56)*(1+'El og plugin hybrid'!E$77))+N56</f>
        <v>#VALUE!</v>
      </c>
      <c r="N56" s="234">
        <f t="shared" si="8"/>
        <v>4.6599999999999993</v>
      </c>
      <c r="O56" s="237">
        <v>0.39</v>
      </c>
      <c r="P56" s="468">
        <v>4.2699999999999996</v>
      </c>
      <c r="Q56" s="480">
        <v>2.52</v>
      </c>
      <c r="R56" s="480"/>
      <c r="S56" s="481"/>
    </row>
    <row r="57" spans="1:19">
      <c r="A57" s="251">
        <v>2030</v>
      </c>
      <c r="B57" s="236">
        <v>10</v>
      </c>
      <c r="C57" s="237">
        <f>((C56-E56)*(1+'Benzin - diesel - hybrid'!$E$53)+E56)</f>
        <v>9.276103245091381</v>
      </c>
      <c r="D57" s="479" t="e">
        <f>((D56-E57)*(1+'Benzin - diesel - hybrid'!$E$55))+E57</f>
        <v>#VALUE!</v>
      </c>
      <c r="E57" s="234">
        <f t="shared" si="7"/>
        <v>4.6599999999999993</v>
      </c>
      <c r="F57" s="237">
        <v>0.39</v>
      </c>
      <c r="G57" s="468">
        <v>4.2699999999999996</v>
      </c>
      <c r="H57" s="480">
        <v>2.52</v>
      </c>
      <c r="I57" s="480"/>
      <c r="J57" s="481"/>
      <c r="K57" s="236">
        <v>10</v>
      </c>
      <c r="L57" s="237">
        <f t="shared" si="9"/>
        <v>9.276103245091381</v>
      </c>
      <c r="M57" s="479" t="e">
        <f>((M56-N57)*(1+'El og plugin hybrid'!E$77))+N57</f>
        <v>#VALUE!</v>
      </c>
      <c r="N57" s="234">
        <f t="shared" si="8"/>
        <v>4.6599999999999993</v>
      </c>
      <c r="O57" s="237">
        <v>0.39</v>
      </c>
      <c r="P57" s="468">
        <v>4.2699999999999996</v>
      </c>
      <c r="Q57" s="480">
        <v>2.52</v>
      </c>
      <c r="R57" s="480"/>
      <c r="S57" s="481"/>
    </row>
    <row r="58" spans="1:19">
      <c r="A58" s="251">
        <v>2031</v>
      </c>
      <c r="B58" s="236">
        <v>11</v>
      </c>
      <c r="C58" s="237">
        <f>((C57-E57)*(1+'Benzin - diesel - hybrid'!$E$53)+E57)</f>
        <v>9.3402670801981511</v>
      </c>
      <c r="D58" s="479" t="e">
        <f>((D57-E58)*(1+'Benzin - diesel - hybrid'!$E$55))+E58</f>
        <v>#VALUE!</v>
      </c>
      <c r="E58" s="234">
        <f t="shared" si="7"/>
        <v>4.6599999999999993</v>
      </c>
      <c r="F58" s="237">
        <v>0.39</v>
      </c>
      <c r="G58" s="468">
        <v>4.2699999999999996</v>
      </c>
      <c r="H58" s="480">
        <v>2.52</v>
      </c>
      <c r="I58" s="480"/>
      <c r="J58" s="481"/>
      <c r="K58" s="236">
        <v>11</v>
      </c>
      <c r="L58" s="237">
        <f t="shared" si="9"/>
        <v>9.3402670801981511</v>
      </c>
      <c r="M58" s="479" t="e">
        <f>((M57-N58)*(1+'El og plugin hybrid'!E$77))+N58</f>
        <v>#VALUE!</v>
      </c>
      <c r="N58" s="234">
        <f t="shared" si="8"/>
        <v>4.6599999999999993</v>
      </c>
      <c r="O58" s="237">
        <v>0.39</v>
      </c>
      <c r="P58" s="468">
        <v>4.2699999999999996</v>
      </c>
      <c r="Q58" s="480">
        <v>2.52</v>
      </c>
      <c r="R58" s="480"/>
      <c r="S58" s="481"/>
    </row>
    <row r="59" spans="1:19">
      <c r="A59" s="251">
        <v>2032</v>
      </c>
      <c r="B59" s="236">
        <v>12</v>
      </c>
      <c r="C59" s="237">
        <f>((C58-E58)*(1+'Benzin - diesel - hybrid'!$E$53)+E58)</f>
        <v>9.4053227926129068</v>
      </c>
      <c r="D59" s="479" t="e">
        <f>((D58-E59)*(1+'Benzin - diesel - hybrid'!$E$55))+E59</f>
        <v>#VALUE!</v>
      </c>
      <c r="E59" s="234">
        <f t="shared" si="7"/>
        <v>4.6599999999999993</v>
      </c>
      <c r="F59" s="237">
        <v>0.39</v>
      </c>
      <c r="G59" s="468">
        <v>4.2699999999999996</v>
      </c>
      <c r="H59" s="480">
        <v>2.52</v>
      </c>
      <c r="I59" s="480"/>
      <c r="J59" s="481"/>
      <c r="K59" s="236">
        <v>12</v>
      </c>
      <c r="L59" s="237">
        <f t="shared" si="9"/>
        <v>9.4053227926129068</v>
      </c>
      <c r="M59" s="479" t="e">
        <f>((M58-N59)*(1+'El og plugin hybrid'!E$77))+N59</f>
        <v>#VALUE!</v>
      </c>
      <c r="N59" s="234">
        <f t="shared" si="8"/>
        <v>4.6599999999999993</v>
      </c>
      <c r="O59" s="237">
        <v>0.39</v>
      </c>
      <c r="P59" s="468">
        <v>4.2699999999999996</v>
      </c>
      <c r="Q59" s="480">
        <v>2.52</v>
      </c>
      <c r="R59" s="480"/>
      <c r="S59" s="481"/>
    </row>
    <row r="60" spans="1:19">
      <c r="A60" s="251">
        <v>2033</v>
      </c>
      <c r="B60" s="236">
        <v>13</v>
      </c>
      <c r="C60" s="237">
        <f>((C59-E59)*(1+'Benzin - diesel - hybrid'!$E$53)+E59)</f>
        <v>9.4712827794302257</v>
      </c>
      <c r="D60" s="479" t="e">
        <f>((D59-E60)*(1+'Benzin - diesel - hybrid'!$E$55))+E60</f>
        <v>#VALUE!</v>
      </c>
      <c r="E60" s="234">
        <f t="shared" si="7"/>
        <v>4.6599999999999993</v>
      </c>
      <c r="F60" s="237">
        <v>0.39</v>
      </c>
      <c r="G60" s="468">
        <v>4.2699999999999996</v>
      </c>
      <c r="H60" s="480">
        <v>2.52</v>
      </c>
      <c r="I60" s="480"/>
      <c r="J60" s="481"/>
      <c r="K60" s="236">
        <v>13</v>
      </c>
      <c r="L60" s="237">
        <f t="shared" si="9"/>
        <v>9.4712827794302257</v>
      </c>
      <c r="M60" s="479" t="e">
        <f>((M59-N60)*(1+'El og plugin hybrid'!E$77))+N60</f>
        <v>#VALUE!</v>
      </c>
      <c r="N60" s="234">
        <f t="shared" si="8"/>
        <v>4.6599999999999993</v>
      </c>
      <c r="O60" s="237">
        <v>0.39</v>
      </c>
      <c r="P60" s="468">
        <v>4.2699999999999996</v>
      </c>
      <c r="Q60" s="480">
        <v>2.52</v>
      </c>
      <c r="R60" s="480"/>
      <c r="S60" s="481"/>
    </row>
    <row r="61" spans="1:19">
      <c r="A61" s="251">
        <v>2034</v>
      </c>
      <c r="B61" s="236">
        <v>14</v>
      </c>
      <c r="C61" s="237">
        <f>((C60-E60)*(1+'Benzin - diesel - hybrid'!$E$53)+E60)</f>
        <v>9.5381596100643051</v>
      </c>
      <c r="D61" s="479" t="e">
        <f>((D60-E61)*(1+'Benzin - diesel - hybrid'!$E$55))+E61</f>
        <v>#VALUE!</v>
      </c>
      <c r="E61" s="234">
        <f t="shared" si="7"/>
        <v>4.6599999999999993</v>
      </c>
      <c r="F61" s="237">
        <v>0.39</v>
      </c>
      <c r="G61" s="468">
        <v>4.2699999999999996</v>
      </c>
      <c r="H61" s="480">
        <v>2.52</v>
      </c>
      <c r="I61" s="480"/>
      <c r="J61" s="481"/>
      <c r="K61" s="236">
        <v>14</v>
      </c>
      <c r="L61" s="237">
        <f t="shared" si="9"/>
        <v>9.5381596100643051</v>
      </c>
      <c r="M61" s="479" t="e">
        <f>((M60-N61)*(1+'El og plugin hybrid'!E$77))+N61</f>
        <v>#VALUE!</v>
      </c>
      <c r="N61" s="234">
        <f t="shared" si="8"/>
        <v>4.6599999999999993</v>
      </c>
      <c r="O61" s="237">
        <v>0.39</v>
      </c>
      <c r="P61" s="468">
        <v>4.2699999999999996</v>
      </c>
      <c r="Q61" s="480">
        <v>2.52</v>
      </c>
      <c r="R61" s="480"/>
      <c r="S61" s="481"/>
    </row>
    <row r="62" spans="1:19">
      <c r="A62" s="251">
        <v>2035</v>
      </c>
      <c r="B62" s="236">
        <v>15</v>
      </c>
      <c r="C62" s="237">
        <f>((C61-E61)*(1+'Benzin - diesel - hybrid'!$E$53)+E61)</f>
        <v>9.6059660286442003</v>
      </c>
      <c r="D62" s="479" t="e">
        <f>((D61-E62)*(1+'Benzin - diesel - hybrid'!$E$55))+E62</f>
        <v>#VALUE!</v>
      </c>
      <c r="E62" s="234">
        <f t="shared" si="7"/>
        <v>4.6599999999999993</v>
      </c>
      <c r="F62" s="237">
        <v>0.39</v>
      </c>
      <c r="G62" s="468">
        <v>4.2699999999999996</v>
      </c>
      <c r="H62" s="480">
        <v>2.52</v>
      </c>
      <c r="I62" s="480"/>
      <c r="J62" s="481"/>
      <c r="K62" s="236">
        <v>15</v>
      </c>
      <c r="L62" s="237">
        <f t="shared" si="9"/>
        <v>9.6059660286442003</v>
      </c>
      <c r="M62" s="479" t="e">
        <f>((M61-N62)*(1+'El og plugin hybrid'!E$77))+N62</f>
        <v>#VALUE!</v>
      </c>
      <c r="N62" s="234">
        <f t="shared" si="8"/>
        <v>4.6599999999999993</v>
      </c>
      <c r="O62" s="237">
        <v>0.39</v>
      </c>
      <c r="P62" s="468">
        <v>4.2699999999999996</v>
      </c>
      <c r="Q62" s="480">
        <v>2.52</v>
      </c>
      <c r="R62" s="480"/>
      <c r="S62" s="481"/>
    </row>
    <row r="63" spans="1:19">
      <c r="A63" s="251">
        <v>2036</v>
      </c>
      <c r="B63" s="236">
        <v>16</v>
      </c>
      <c r="C63" s="237">
        <f>((C62-E62)*(1+'Benzin - diesel - hybrid'!$E$53)+E62)</f>
        <v>9.6747149564423545</v>
      </c>
      <c r="D63" s="479" t="e">
        <f>((D62-E63)*(1+'Benzin - diesel - hybrid'!$E$55))+E63</f>
        <v>#VALUE!</v>
      </c>
      <c r="E63" s="234">
        <f t="shared" si="7"/>
        <v>4.6599999999999993</v>
      </c>
      <c r="F63" s="237">
        <v>0.39</v>
      </c>
      <c r="G63" s="468">
        <v>4.2699999999999996</v>
      </c>
      <c r="H63" s="480">
        <v>2.52</v>
      </c>
      <c r="I63" s="480"/>
      <c r="J63" s="481"/>
      <c r="K63" s="236">
        <v>16</v>
      </c>
      <c r="L63" s="237">
        <f t="shared" si="9"/>
        <v>9.6747149564423545</v>
      </c>
      <c r="M63" s="479" t="e">
        <f>((M62-N63)*(1+'El og plugin hybrid'!E$77))+N63</f>
        <v>#VALUE!</v>
      </c>
      <c r="N63" s="234">
        <f t="shared" si="8"/>
        <v>4.6599999999999993</v>
      </c>
      <c r="O63" s="237">
        <v>0.39</v>
      </c>
      <c r="P63" s="468">
        <v>4.2699999999999996</v>
      </c>
      <c r="Q63" s="480">
        <v>2.52</v>
      </c>
      <c r="R63" s="480"/>
      <c r="S63" s="481"/>
    </row>
    <row r="64" spans="1:19">
      <c r="A64" s="251">
        <v>2037</v>
      </c>
      <c r="B64" s="236">
        <v>17</v>
      </c>
      <c r="C64" s="237">
        <f>((C63-E63)*(1+'Benzin - diesel - hybrid'!$E$53)+E63)</f>
        <v>9.7444194943369027</v>
      </c>
      <c r="D64" s="479" t="e">
        <f>((D63-E64)*(1+'Benzin - diesel - hybrid'!$E$55))+E64</f>
        <v>#VALUE!</v>
      </c>
      <c r="E64" s="234">
        <f t="shared" si="7"/>
        <v>4.6599999999999993</v>
      </c>
      <c r="F64" s="237">
        <v>0.39</v>
      </c>
      <c r="G64" s="468">
        <v>4.2699999999999996</v>
      </c>
      <c r="H64" s="480">
        <v>2.52</v>
      </c>
      <c r="I64" s="480"/>
      <c r="J64" s="481"/>
      <c r="K64" s="236">
        <v>17</v>
      </c>
      <c r="L64" s="237">
        <f t="shared" si="9"/>
        <v>9.7444194943369027</v>
      </c>
      <c r="M64" s="479" t="e">
        <f>((M63-N64)*(1+'El og plugin hybrid'!E$77))+N64</f>
        <v>#VALUE!</v>
      </c>
      <c r="N64" s="234">
        <f t="shared" si="8"/>
        <v>4.6599999999999993</v>
      </c>
      <c r="O64" s="237">
        <v>0.39</v>
      </c>
      <c r="P64" s="468">
        <v>4.2699999999999996</v>
      </c>
      <c r="Q64" s="480">
        <v>2.52</v>
      </c>
      <c r="R64" s="480"/>
      <c r="S64" s="481"/>
    </row>
    <row r="65" spans="1:19">
      <c r="A65" s="251">
        <v>2038</v>
      </c>
      <c r="B65" s="236">
        <v>18</v>
      </c>
      <c r="C65" s="237">
        <f>((C64-E64)*(1+'Benzin - diesel - hybrid'!$E$53)+E64)</f>
        <v>9.8150929253081856</v>
      </c>
      <c r="D65" s="479" t="e">
        <f>((D64-E65)*(1+'Benzin - diesel - hybrid'!$E$55))+E65</f>
        <v>#VALUE!</v>
      </c>
      <c r="E65" s="234">
        <f t="shared" si="7"/>
        <v>4.6599999999999993</v>
      </c>
      <c r="F65" s="237">
        <v>0.39</v>
      </c>
      <c r="G65" s="468">
        <v>4.2699999999999996</v>
      </c>
      <c r="H65" s="480">
        <v>2.52</v>
      </c>
      <c r="I65" s="480"/>
      <c r="J65" s="481"/>
      <c r="K65" s="236">
        <v>18</v>
      </c>
      <c r="L65" s="237">
        <f t="shared" si="9"/>
        <v>9.8150929253081856</v>
      </c>
      <c r="M65" s="479" t="e">
        <f>((M64-N65)*(1+'El og plugin hybrid'!E$77))+N65</f>
        <v>#VALUE!</v>
      </c>
      <c r="N65" s="234">
        <f t="shared" si="8"/>
        <v>4.6599999999999993</v>
      </c>
      <c r="O65" s="237">
        <v>0.39</v>
      </c>
      <c r="P65" s="468">
        <v>4.2699999999999996</v>
      </c>
      <c r="Q65" s="480">
        <v>2.52</v>
      </c>
      <c r="R65" s="480"/>
      <c r="S65" s="481"/>
    </row>
    <row r="66" spans="1:19">
      <c r="A66" s="251">
        <v>2039</v>
      </c>
      <c r="B66" s="236">
        <v>19</v>
      </c>
      <c r="C66" s="237">
        <f>((C65-E65)*(1+'Benzin - diesel - hybrid'!$E$53)+E65)</f>
        <v>9.8867487169699686</v>
      </c>
      <c r="D66" s="479" t="e">
        <f>((D65-E66)*(1+'Benzin - diesel - hybrid'!$E$55))+E66</f>
        <v>#VALUE!</v>
      </c>
      <c r="E66" s="234">
        <f t="shared" si="7"/>
        <v>4.6599999999999993</v>
      </c>
      <c r="F66" s="237">
        <v>0.39</v>
      </c>
      <c r="G66" s="468">
        <v>4.2699999999999996</v>
      </c>
      <c r="H66" s="480">
        <v>2.52</v>
      </c>
      <c r="I66" s="480"/>
      <c r="J66" s="481"/>
      <c r="K66" s="236">
        <v>19</v>
      </c>
      <c r="L66" s="237">
        <f t="shared" si="9"/>
        <v>9.8867487169699686</v>
      </c>
      <c r="M66" s="479" t="e">
        <f>((M65-N66)*(1+'El og plugin hybrid'!E$77))+N66</f>
        <v>#VALUE!</v>
      </c>
      <c r="N66" s="234">
        <f t="shared" si="8"/>
        <v>4.6599999999999993</v>
      </c>
      <c r="O66" s="237">
        <v>0.39</v>
      </c>
      <c r="P66" s="468">
        <v>4.2699999999999996</v>
      </c>
      <c r="Q66" s="480">
        <v>2.52</v>
      </c>
      <c r="R66" s="480"/>
      <c r="S66" s="481"/>
    </row>
    <row r="67" spans="1:19">
      <c r="A67" s="251">
        <v>2040</v>
      </c>
      <c r="B67" s="236">
        <v>20</v>
      </c>
      <c r="C67" s="237">
        <f>((C66-E66)*(1+'Benzin - diesel - hybrid'!$E$53)+E66)</f>
        <v>9.9594005241358516</v>
      </c>
      <c r="D67" s="479" t="e">
        <f>((D66-E67)*(1+'Benzin - diesel - hybrid'!$E$55))+E67</f>
        <v>#VALUE!</v>
      </c>
      <c r="E67" s="234">
        <f t="shared" si="7"/>
        <v>4.6599999999999993</v>
      </c>
      <c r="F67" s="237">
        <v>0.39</v>
      </c>
      <c r="G67" s="468">
        <v>4.2699999999999996</v>
      </c>
      <c r="H67" s="480">
        <v>2.52</v>
      </c>
      <c r="I67" s="480"/>
      <c r="J67" s="481"/>
      <c r="K67" s="236">
        <v>20</v>
      </c>
      <c r="L67" s="237">
        <f t="shared" si="9"/>
        <v>9.9594005241358516</v>
      </c>
      <c r="M67" s="479" t="e">
        <f>((M66-N67)*(1+'El og plugin hybrid'!E$77))+N67</f>
        <v>#VALUE!</v>
      </c>
      <c r="N67" s="234">
        <f t="shared" si="8"/>
        <v>4.6599999999999993</v>
      </c>
      <c r="O67" s="237">
        <v>0.39</v>
      </c>
      <c r="P67" s="468">
        <v>4.2699999999999996</v>
      </c>
      <c r="Q67" s="480">
        <v>2.52</v>
      </c>
      <c r="R67" s="480"/>
      <c r="S67" s="481"/>
    </row>
    <row r="68" spans="1:19">
      <c r="A68" s="251">
        <v>2041</v>
      </c>
      <c r="B68" s="236">
        <v>21</v>
      </c>
      <c r="C68" s="237">
        <f>((C67-E67)*(1+'Benzin - diesel - hybrid'!$E$53)+E67)</f>
        <v>10.03306219142134</v>
      </c>
      <c r="D68" s="479" t="e">
        <f>((D67-E68)*(1+'Benzin - diesel - hybrid'!$E$55))+E68</f>
        <v>#VALUE!</v>
      </c>
      <c r="E68" s="234">
        <f t="shared" si="7"/>
        <v>4.6599999999999993</v>
      </c>
      <c r="F68" s="237">
        <v>0.39</v>
      </c>
      <c r="G68" s="468">
        <v>4.2699999999999996</v>
      </c>
      <c r="H68" s="480">
        <v>2.52</v>
      </c>
      <c r="I68" s="480"/>
      <c r="J68" s="481"/>
      <c r="K68" s="236">
        <v>21</v>
      </c>
      <c r="L68" s="237">
        <f t="shared" si="9"/>
        <v>10.03306219142134</v>
      </c>
      <c r="M68" s="479" t="e">
        <f>((M67-N68)*(1+'El og plugin hybrid'!E$77))+N68</f>
        <v>#VALUE!</v>
      </c>
      <c r="N68" s="234">
        <f t="shared" si="8"/>
        <v>4.6599999999999993</v>
      </c>
      <c r="O68" s="237">
        <v>0.39</v>
      </c>
      <c r="P68" s="468">
        <v>4.2699999999999996</v>
      </c>
      <c r="Q68" s="480">
        <v>2.52</v>
      </c>
      <c r="R68" s="480"/>
      <c r="S68" s="481"/>
    </row>
    <row r="69" spans="1:19">
      <c r="A69" s="251">
        <v>2042</v>
      </c>
      <c r="B69" s="236">
        <v>22</v>
      </c>
      <c r="C69" s="237">
        <f>((C68-E68)*(1+'Benzin - diesel - hybrid'!$E$53)+E68)</f>
        <v>10.107747755882098</v>
      </c>
      <c r="D69" s="479" t="e">
        <f>((D68-E69)*(1+'Benzin - diesel - hybrid'!$E$55))+E69</f>
        <v>#VALUE!</v>
      </c>
      <c r="E69" s="234">
        <f t="shared" si="7"/>
        <v>4.6599999999999993</v>
      </c>
      <c r="F69" s="237">
        <v>0.39</v>
      </c>
      <c r="G69" s="468">
        <v>4.2699999999999996</v>
      </c>
      <c r="H69" s="480">
        <v>2.52</v>
      </c>
      <c r="I69" s="480"/>
      <c r="J69" s="481"/>
      <c r="K69" s="236">
        <v>22</v>
      </c>
      <c r="L69" s="237">
        <f t="shared" si="9"/>
        <v>10.107747755882098</v>
      </c>
      <c r="M69" s="479" t="e">
        <f>((M68-N69)*(1+'El og plugin hybrid'!E$77))+N69</f>
        <v>#VALUE!</v>
      </c>
      <c r="N69" s="234">
        <f t="shared" si="8"/>
        <v>4.6599999999999993</v>
      </c>
      <c r="O69" s="237">
        <v>0.39</v>
      </c>
      <c r="P69" s="468">
        <v>4.2699999999999996</v>
      </c>
      <c r="Q69" s="480">
        <v>2.52</v>
      </c>
      <c r="R69" s="480"/>
      <c r="S69" s="481"/>
    </row>
    <row r="70" spans="1:19">
      <c r="A70" s="251">
        <v>2043</v>
      </c>
      <c r="B70" s="236">
        <v>23</v>
      </c>
      <c r="C70" s="237">
        <f>((C69-E69)*(1+'Benzin - diesel - hybrid'!$E$53)+E69)</f>
        <v>10.183471449688859</v>
      </c>
      <c r="D70" s="479" t="e">
        <f>((D69-E70)*(1+'Benzin - diesel - hybrid'!$E$55))+E70</f>
        <v>#VALUE!</v>
      </c>
      <c r="E70" s="234">
        <f t="shared" si="7"/>
        <v>4.6599999999999993</v>
      </c>
      <c r="F70" s="237">
        <v>0.39</v>
      </c>
      <c r="G70" s="468">
        <v>4.2699999999999996</v>
      </c>
      <c r="H70" s="480">
        <v>2.52</v>
      </c>
      <c r="I70" s="480"/>
      <c r="J70" s="481"/>
      <c r="K70" s="236">
        <v>23</v>
      </c>
      <c r="L70" s="237">
        <f t="shared" si="9"/>
        <v>10.183471449688859</v>
      </c>
      <c r="M70" s="479" t="e">
        <f>((M69-N70)*(1+'El og plugin hybrid'!E$77))+N70</f>
        <v>#VALUE!</v>
      </c>
      <c r="N70" s="234">
        <f t="shared" si="8"/>
        <v>4.6599999999999993</v>
      </c>
      <c r="O70" s="237">
        <v>0.39</v>
      </c>
      <c r="P70" s="468">
        <v>4.2699999999999996</v>
      </c>
      <c r="Q70" s="480">
        <v>2.52</v>
      </c>
      <c r="R70" s="480"/>
      <c r="S70" s="481"/>
    </row>
    <row r="71" spans="1:19">
      <c r="A71" s="251">
        <v>2044</v>
      </c>
      <c r="B71" s="236">
        <v>24</v>
      </c>
      <c r="C71" s="237">
        <f>((C70-E70)*(1+'Benzin - diesel - hybrid'!$E$53)+E70)</f>
        <v>10.260247702839536</v>
      </c>
      <c r="D71" s="479" t="e">
        <f>((D70-E71)*(1+'Benzin - diesel - hybrid'!$E$55))+E71</f>
        <v>#VALUE!</v>
      </c>
      <c r="E71" s="234">
        <f t="shared" si="7"/>
        <v>4.6599999999999993</v>
      </c>
      <c r="F71" s="237">
        <v>0.39</v>
      </c>
      <c r="G71" s="468">
        <v>4.2699999999999996</v>
      </c>
      <c r="H71" s="480">
        <v>2.52</v>
      </c>
      <c r="I71" s="480"/>
      <c r="J71" s="481"/>
      <c r="K71" s="236">
        <v>24</v>
      </c>
      <c r="L71" s="237">
        <f t="shared" si="9"/>
        <v>10.260247702839536</v>
      </c>
      <c r="M71" s="479" t="e">
        <f>((M70-N71)*(1+'El og plugin hybrid'!E$77))+N71</f>
        <v>#VALUE!</v>
      </c>
      <c r="N71" s="234">
        <f t="shared" si="8"/>
        <v>4.6599999999999993</v>
      </c>
      <c r="O71" s="237">
        <v>0.39</v>
      </c>
      <c r="P71" s="468">
        <v>4.2699999999999996</v>
      </c>
      <c r="Q71" s="480">
        <v>2.52</v>
      </c>
      <c r="R71" s="480"/>
      <c r="S71" s="481"/>
    </row>
    <row r="72" spans="1:19">
      <c r="A72" s="251">
        <v>2045</v>
      </c>
      <c r="B72" s="236">
        <v>25</v>
      </c>
      <c r="C72" s="237">
        <f>((C71-E71)*(1+'Benzin - diesel - hybrid'!$E$53)+E71)</f>
        <v>10.338091145909004</v>
      </c>
      <c r="D72" s="479" t="e">
        <f>((D71-E72)*(1+'Benzin - diesel - hybrid'!$E$55))+E72</f>
        <v>#VALUE!</v>
      </c>
      <c r="E72" s="234">
        <f t="shared" si="7"/>
        <v>4.6599999999999993</v>
      </c>
      <c r="F72" s="237">
        <v>0.39</v>
      </c>
      <c r="G72" s="468">
        <v>4.2699999999999996</v>
      </c>
      <c r="H72" s="480">
        <v>2.52</v>
      </c>
      <c r="I72" s="480"/>
      <c r="J72" s="481"/>
      <c r="K72" s="236">
        <v>25</v>
      </c>
      <c r="L72" s="237">
        <f t="shared" si="9"/>
        <v>10.338091145909004</v>
      </c>
      <c r="M72" s="479" t="e">
        <f>((M71-N72)*(1+'El og plugin hybrid'!E$77))+N72</f>
        <v>#VALUE!</v>
      </c>
      <c r="N72" s="234">
        <f t="shared" si="8"/>
        <v>4.6599999999999993</v>
      </c>
      <c r="O72" s="237">
        <v>0.39</v>
      </c>
      <c r="P72" s="468">
        <v>4.2699999999999996</v>
      </c>
      <c r="Q72" s="480">
        <v>2.52</v>
      </c>
      <c r="R72" s="480"/>
      <c r="S72" s="481"/>
    </row>
    <row r="73" spans="1:19">
      <c r="A73" s="251">
        <v>2046</v>
      </c>
      <c r="B73" s="236">
        <v>26</v>
      </c>
      <c r="C73" s="237">
        <f>((C72-E72)*(1+'Benzin - diesel - hybrid'!$E$53)+E72)</f>
        <v>10.41701661283714</v>
      </c>
      <c r="D73" s="479" t="e">
        <f>((D72-E73)*(1+'Benzin - diesel - hybrid'!$E$55))+E73</f>
        <v>#VALUE!</v>
      </c>
      <c r="E73" s="234">
        <f t="shared" si="7"/>
        <v>4.6599999999999993</v>
      </c>
      <c r="F73" s="237">
        <v>0.39</v>
      </c>
      <c r="G73" s="468">
        <v>4.2699999999999996</v>
      </c>
      <c r="H73" s="480">
        <v>2.52</v>
      </c>
      <c r="I73" s="480"/>
      <c r="J73" s="481"/>
      <c r="K73" s="236">
        <v>26</v>
      </c>
      <c r="L73" s="237">
        <f t="shared" si="9"/>
        <v>10.41701661283714</v>
      </c>
      <c r="M73" s="479" t="e">
        <f>((M72-N73)*(1+'El og plugin hybrid'!E$77))+N73</f>
        <v>#VALUE!</v>
      </c>
      <c r="N73" s="234">
        <f t="shared" si="8"/>
        <v>4.6599999999999993</v>
      </c>
      <c r="O73" s="237">
        <v>0.39</v>
      </c>
      <c r="P73" s="468">
        <v>4.2699999999999996</v>
      </c>
      <c r="Q73" s="480">
        <v>2.52</v>
      </c>
      <c r="R73" s="480"/>
      <c r="S73" s="481"/>
    </row>
    <row r="74" spans="1:19">
      <c r="A74" s="251">
        <v>2047</v>
      </c>
      <c r="B74" s="236">
        <v>27</v>
      </c>
      <c r="C74" s="237">
        <f>((C73-E73)*(1+'Benzin - diesel - hybrid'!$E$53)+E73)</f>
        <v>10.497039143755575</v>
      </c>
      <c r="D74" s="479" t="e">
        <f>((D73-E74)*(1+'Benzin - diesel - hybrid'!$E$55))+E74</f>
        <v>#VALUE!</v>
      </c>
      <c r="E74" s="234">
        <f t="shared" si="7"/>
        <v>4.6599999999999993</v>
      </c>
      <c r="F74" s="237">
        <v>0.39</v>
      </c>
      <c r="G74" s="468">
        <v>4.2699999999999996</v>
      </c>
      <c r="H74" s="480">
        <v>2.52</v>
      </c>
      <c r="I74" s="480"/>
      <c r="J74" s="481"/>
      <c r="K74" s="236">
        <v>27</v>
      </c>
      <c r="L74" s="237">
        <f t="shared" si="9"/>
        <v>10.497039143755575</v>
      </c>
      <c r="M74" s="479" t="e">
        <f>((M73-N74)*(1+'El og plugin hybrid'!E$77))+N74</f>
        <v>#VALUE!</v>
      </c>
      <c r="N74" s="234">
        <f t="shared" si="8"/>
        <v>4.6599999999999993</v>
      </c>
      <c r="O74" s="237">
        <v>0.39</v>
      </c>
      <c r="P74" s="468">
        <v>4.2699999999999996</v>
      </c>
      <c r="Q74" s="480">
        <v>2.52</v>
      </c>
      <c r="R74" s="480"/>
      <c r="S74" s="481"/>
    </row>
    <row r="75" spans="1:19">
      <c r="A75" s="251">
        <v>2048</v>
      </c>
      <c r="B75" s="236">
        <v>28</v>
      </c>
      <c r="C75" s="237">
        <f>((C74-E74)*(1+'Benzin - diesel - hybrid'!$E$53)+E74)</f>
        <v>10.578173987853777</v>
      </c>
      <c r="D75" s="479" t="e">
        <f>((D74-E75)*(1+'Benzin - diesel - hybrid'!$E$55))+E75</f>
        <v>#VALUE!</v>
      </c>
      <c r="E75" s="234">
        <f t="shared" si="7"/>
        <v>4.6599999999999993</v>
      </c>
      <c r="F75" s="237">
        <v>0.39</v>
      </c>
      <c r="G75" s="468">
        <v>4.2699999999999996</v>
      </c>
      <c r="H75" s="480">
        <v>2.52</v>
      </c>
      <c r="I75" s="480"/>
      <c r="J75" s="481"/>
      <c r="K75" s="236">
        <v>28</v>
      </c>
      <c r="L75" s="237">
        <f t="shared" si="9"/>
        <v>10.578173987853777</v>
      </c>
      <c r="M75" s="479" t="e">
        <f>((M74-N75)*(1+'El og plugin hybrid'!E$77))+N75</f>
        <v>#VALUE!</v>
      </c>
      <c r="N75" s="234">
        <f t="shared" si="8"/>
        <v>4.6599999999999993</v>
      </c>
      <c r="O75" s="237">
        <v>0.39</v>
      </c>
      <c r="P75" s="468">
        <v>4.2699999999999996</v>
      </c>
      <c r="Q75" s="480">
        <v>2.52</v>
      </c>
      <c r="R75" s="480"/>
      <c r="S75" s="481"/>
    </row>
    <row r="76" spans="1:19">
      <c r="A76" s="251">
        <v>2049</v>
      </c>
      <c r="B76" s="236">
        <v>29</v>
      </c>
      <c r="C76" s="237">
        <f>((C75-E75)*(1+'Benzin - diesel - hybrid'!$E$53)+E75)</f>
        <v>10.660436606284945</v>
      </c>
      <c r="D76" s="479" t="e">
        <f>((D75-E76)*(1+'Benzin - diesel - hybrid'!$E$55))+E76</f>
        <v>#VALUE!</v>
      </c>
      <c r="E76" s="234">
        <f t="shared" si="7"/>
        <v>4.6599999999999993</v>
      </c>
      <c r="F76" s="237">
        <v>0.39</v>
      </c>
      <c r="G76" s="468">
        <v>4.2699999999999996</v>
      </c>
      <c r="H76" s="480">
        <v>2.52</v>
      </c>
      <c r="I76" s="480"/>
      <c r="J76" s="481"/>
      <c r="K76" s="236">
        <v>29</v>
      </c>
      <c r="L76" s="237">
        <f t="shared" si="9"/>
        <v>10.660436606284945</v>
      </c>
      <c r="M76" s="479" t="e">
        <f>((M75-N76)*(1+'El og plugin hybrid'!E$77))+N76</f>
        <v>#VALUE!</v>
      </c>
      <c r="N76" s="234">
        <f t="shared" si="8"/>
        <v>4.6599999999999993</v>
      </c>
      <c r="O76" s="237">
        <v>0.39</v>
      </c>
      <c r="P76" s="468">
        <v>4.2699999999999996</v>
      </c>
      <c r="Q76" s="480">
        <v>2.52</v>
      </c>
      <c r="R76" s="480"/>
      <c r="S76" s="481"/>
    </row>
    <row r="77" spans="1:19">
      <c r="A77" s="251">
        <v>2050</v>
      </c>
      <c r="B77" s="236">
        <v>30</v>
      </c>
      <c r="C77" s="237">
        <f>((C76-E76)*(1+'Benzin - diesel - hybrid'!$E$53)+E76)</f>
        <v>10.743842675112305</v>
      </c>
      <c r="D77" s="479" t="e">
        <f>((D76-E77)*(1+'Benzin - diesel - hybrid'!$E$55))+E77</f>
        <v>#VALUE!</v>
      </c>
      <c r="E77" s="234">
        <f t="shared" si="7"/>
        <v>4.6599999999999993</v>
      </c>
      <c r="F77" s="241">
        <v>0.39</v>
      </c>
      <c r="G77" s="469">
        <v>4.2699999999999996</v>
      </c>
      <c r="H77" s="480">
        <v>2.52</v>
      </c>
      <c r="I77" s="484"/>
      <c r="J77" s="485"/>
      <c r="K77" s="236">
        <v>30</v>
      </c>
      <c r="L77" s="237">
        <f t="shared" si="9"/>
        <v>10.743842675112305</v>
      </c>
      <c r="M77" s="479" t="e">
        <f>((M76-N77)*(1+'El og plugin hybrid'!E$77))+N77</f>
        <v>#VALUE!</v>
      </c>
      <c r="N77" s="234">
        <f t="shared" si="8"/>
        <v>4.6599999999999993</v>
      </c>
      <c r="O77" s="241">
        <v>0.39</v>
      </c>
      <c r="P77" s="469">
        <v>4.2699999999999996</v>
      </c>
      <c r="Q77" s="480">
        <v>2.52</v>
      </c>
      <c r="R77" s="484"/>
      <c r="S77" s="485"/>
    </row>
    <row r="78" spans="1:19">
      <c r="A78" s="251"/>
      <c r="B78" s="236"/>
      <c r="C78" s="237"/>
      <c r="D78" s="472"/>
      <c r="E78" s="239"/>
      <c r="F78" s="241"/>
      <c r="G78" s="241"/>
      <c r="H78" s="238"/>
      <c r="I78" s="238"/>
      <c r="J78" s="240"/>
      <c r="K78" s="236"/>
      <c r="L78" s="237"/>
      <c r="M78" s="472"/>
      <c r="N78" s="239"/>
      <c r="O78" s="241"/>
      <c r="P78" s="241"/>
      <c r="Q78" s="238"/>
      <c r="R78" s="238"/>
      <c r="S78" s="240"/>
    </row>
    <row r="79" spans="1:19">
      <c r="B79" s="473"/>
      <c r="C79" s="474"/>
      <c r="D79" s="472"/>
      <c r="E79" s="276"/>
      <c r="F79" s="276"/>
      <c r="G79" s="276"/>
      <c r="H79" s="276"/>
      <c r="I79" s="276"/>
      <c r="J79" s="235"/>
      <c r="K79" s="473"/>
      <c r="L79" s="474"/>
      <c r="M79" s="472"/>
      <c r="N79" s="276"/>
      <c r="O79" s="276"/>
      <c r="P79" s="276"/>
      <c r="Q79" s="276"/>
      <c r="R79" s="276"/>
      <c r="S79" s="235"/>
    </row>
    <row r="80" spans="1:19">
      <c r="B80" s="236"/>
      <c r="C80" s="276" t="s">
        <v>159</v>
      </c>
      <c r="D80" s="276"/>
      <c r="E80" s="276"/>
      <c r="F80" s="276"/>
      <c r="G80" s="276"/>
      <c r="H80" s="276"/>
      <c r="I80" s="276"/>
      <c r="J80" s="235"/>
      <c r="K80" s="236"/>
      <c r="L80" s="276" t="s">
        <v>159</v>
      </c>
      <c r="M80" s="276"/>
      <c r="N80" s="276"/>
      <c r="O80" s="276"/>
      <c r="P80" s="276"/>
      <c r="Q80" s="276"/>
      <c r="R80" s="276"/>
      <c r="S80" s="235"/>
    </row>
    <row r="81" spans="1:19">
      <c r="B81" s="236"/>
      <c r="C81" s="276"/>
      <c r="D81" s="276"/>
      <c r="E81" s="276"/>
      <c r="F81" s="276"/>
      <c r="G81" s="276"/>
      <c r="H81" s="276"/>
      <c r="I81" s="276"/>
      <c r="J81" s="235"/>
      <c r="K81" s="236"/>
      <c r="L81" s="276"/>
      <c r="M81" s="276"/>
      <c r="N81" s="276"/>
      <c r="O81" s="276"/>
      <c r="P81" s="276"/>
      <c r="Q81" s="276"/>
      <c r="R81" s="276"/>
      <c r="S81" s="235"/>
    </row>
    <row r="82" spans="1:19">
      <c r="B82" s="236"/>
      <c r="C82" s="276" t="s">
        <v>107</v>
      </c>
      <c r="D82" s="276" t="s">
        <v>160</v>
      </c>
      <c r="E82" s="276"/>
      <c r="F82" s="276"/>
      <c r="G82" s="276"/>
      <c r="H82" s="276"/>
      <c r="I82" s="276"/>
      <c r="J82" s="235"/>
      <c r="K82" s="236"/>
      <c r="L82" s="276" t="s">
        <v>107</v>
      </c>
      <c r="M82" s="276" t="s">
        <v>160</v>
      </c>
      <c r="N82" s="276"/>
      <c r="O82" s="276"/>
      <c r="P82" s="276"/>
      <c r="Q82" s="276"/>
      <c r="R82" s="276"/>
      <c r="S82" s="235"/>
    </row>
    <row r="83" spans="1:19">
      <c r="B83" s="236"/>
      <c r="C83" s="276"/>
      <c r="D83" s="276"/>
      <c r="E83" s="276"/>
      <c r="F83" s="276"/>
      <c r="G83" s="276"/>
      <c r="H83" s="276"/>
      <c r="I83" s="276"/>
      <c r="J83" s="235"/>
      <c r="K83" s="236"/>
      <c r="L83" s="276"/>
      <c r="M83" s="276"/>
      <c r="N83" s="276"/>
      <c r="O83" s="276"/>
      <c r="P83" s="276"/>
      <c r="Q83" s="276"/>
      <c r="R83" s="276"/>
      <c r="S83" s="235"/>
    </row>
    <row r="84" spans="1:19">
      <c r="A84" s="251"/>
      <c r="B84" s="475"/>
      <c r="C84" s="476"/>
      <c r="D84" s="476"/>
      <c r="E84" s="476"/>
      <c r="F84" s="476"/>
      <c r="G84" s="476"/>
      <c r="H84" s="476"/>
      <c r="I84" s="476"/>
      <c r="J84" s="477"/>
      <c r="K84" s="475"/>
      <c r="L84" s="476"/>
      <c r="M84" s="476"/>
      <c r="N84" s="476"/>
      <c r="O84" s="476"/>
      <c r="P84" s="476"/>
      <c r="Q84" s="476"/>
      <c r="R84" s="476"/>
      <c r="S84" s="477"/>
    </row>
    <row r="85" spans="1:19">
      <c r="A85" s="251"/>
      <c r="B85" s="236"/>
      <c r="C85" s="276"/>
      <c r="D85" s="276"/>
      <c r="E85" s="276"/>
      <c r="F85" s="276"/>
      <c r="G85" s="276"/>
      <c r="H85" s="276"/>
      <c r="I85" s="276"/>
      <c r="J85" s="235"/>
      <c r="K85" s="236"/>
      <c r="L85" s="276"/>
      <c r="M85" s="276"/>
      <c r="N85" s="276"/>
      <c r="O85" s="276"/>
      <c r="P85" s="276"/>
      <c r="Q85" s="276"/>
      <c r="R85" s="276"/>
      <c r="S85" s="235"/>
    </row>
    <row r="86" spans="1:19">
      <c r="A86" s="251"/>
      <c r="B86" s="236"/>
      <c r="C86" s="276" t="s">
        <v>213</v>
      </c>
      <c r="D86" s="527">
        <f>'ENS udvikling i brændstofspris'!F7</f>
        <v>4.3883999999999999</v>
      </c>
      <c r="E86" s="276"/>
      <c r="F86" s="276"/>
      <c r="G86" s="276"/>
      <c r="H86" s="276"/>
      <c r="I86" s="276"/>
      <c r="J86" s="235"/>
      <c r="K86" s="236"/>
      <c r="L86" s="276" t="s">
        <v>213</v>
      </c>
      <c r="M86" s="527">
        <f>'ENS udvikling i brændstofspris'!F7</f>
        <v>4.3883999999999999</v>
      </c>
      <c r="N86" s="276" t="s">
        <v>165</v>
      </c>
      <c r="O86" s="276" t="s">
        <v>163</v>
      </c>
      <c r="P86" s="276"/>
      <c r="Q86" s="276"/>
      <c r="R86" s="276"/>
      <c r="S86" s="235"/>
    </row>
    <row r="87" spans="1:19">
      <c r="A87" s="251"/>
      <c r="B87" s="236"/>
      <c r="C87" s="276"/>
      <c r="D87" s="276"/>
      <c r="E87" s="276"/>
      <c r="F87" s="276"/>
      <c r="G87" s="276"/>
      <c r="H87" s="276"/>
      <c r="I87" s="276"/>
      <c r="J87" s="235"/>
      <c r="K87" s="236"/>
      <c r="L87" s="276"/>
      <c r="M87" s="276"/>
      <c r="N87" s="276"/>
      <c r="O87" s="276"/>
      <c r="P87" s="276"/>
      <c r="Q87" s="276"/>
      <c r="R87" s="276"/>
      <c r="S87" s="235"/>
    </row>
    <row r="88" spans="1:19">
      <c r="A88" s="251"/>
      <c r="B88" s="236"/>
      <c r="C88" s="555" t="s">
        <v>164</v>
      </c>
      <c r="D88" s="555"/>
      <c r="E88" s="555"/>
      <c r="F88" s="555"/>
      <c r="G88" s="555"/>
      <c r="H88" s="555"/>
      <c r="I88" s="555"/>
      <c r="J88" s="556"/>
      <c r="K88" s="236"/>
      <c r="L88" s="555" t="s">
        <v>164</v>
      </c>
      <c r="M88" s="555"/>
      <c r="N88" s="555"/>
      <c r="O88" s="555"/>
      <c r="P88" s="555"/>
      <c r="Q88" s="555"/>
      <c r="R88" s="555"/>
      <c r="S88" s="556"/>
    </row>
    <row r="89" spans="1:19">
      <c r="A89" s="251"/>
      <c r="B89" s="563" t="s">
        <v>162</v>
      </c>
      <c r="C89" s="555"/>
      <c r="D89" s="555"/>
      <c r="E89" s="555"/>
      <c r="F89" s="555"/>
      <c r="G89" s="555"/>
      <c r="H89" s="564" t="s">
        <v>173</v>
      </c>
      <c r="I89" s="564"/>
      <c r="J89" s="565"/>
      <c r="K89" s="563" t="s">
        <v>162</v>
      </c>
      <c r="L89" s="555"/>
      <c r="M89" s="555"/>
      <c r="N89" s="555"/>
      <c r="O89" s="555"/>
      <c r="P89" s="555"/>
      <c r="Q89" s="564" t="s">
        <v>173</v>
      </c>
      <c r="R89" s="564"/>
      <c r="S89" s="565"/>
    </row>
    <row r="90" spans="1:19">
      <c r="A90" s="251" t="s">
        <v>50</v>
      </c>
      <c r="B90" s="236" t="s">
        <v>59</v>
      </c>
      <c r="C90" s="276" t="s">
        <v>168</v>
      </c>
      <c r="D90" s="276" t="s">
        <v>167</v>
      </c>
      <c r="E90" s="232" t="s">
        <v>166</v>
      </c>
      <c r="F90" s="230" t="s">
        <v>169</v>
      </c>
      <c r="G90" s="230" t="s">
        <v>170</v>
      </c>
      <c r="H90" s="486" t="s">
        <v>176</v>
      </c>
      <c r="I90" s="486"/>
      <c r="J90" s="487"/>
      <c r="K90" s="236" t="s">
        <v>59</v>
      </c>
      <c r="L90" s="276" t="s">
        <v>168</v>
      </c>
      <c r="M90" s="276" t="s">
        <v>167</v>
      </c>
      <c r="N90" s="232" t="s">
        <v>166</v>
      </c>
      <c r="O90" s="230" t="s">
        <v>169</v>
      </c>
      <c r="P90" s="230" t="s">
        <v>170</v>
      </c>
      <c r="Q90" s="486" t="s">
        <v>176</v>
      </c>
      <c r="R90" s="486"/>
      <c r="S90" s="487"/>
    </row>
    <row r="91" spans="1:19">
      <c r="A91" s="251">
        <v>2020</v>
      </c>
      <c r="B91" s="236">
        <v>0</v>
      </c>
      <c r="C91" s="276" t="s">
        <v>72</v>
      </c>
      <c r="D91" s="276" t="s">
        <v>72</v>
      </c>
      <c r="E91" s="236" t="s">
        <v>72</v>
      </c>
      <c r="F91" s="236"/>
      <c r="G91" s="236"/>
      <c r="H91" s="482"/>
      <c r="I91" s="482"/>
      <c r="J91" s="483"/>
      <c r="K91" s="236">
        <v>0</v>
      </c>
      <c r="L91" s="276" t="s">
        <v>72</v>
      </c>
      <c r="M91" s="276" t="s">
        <v>72</v>
      </c>
      <c r="N91" s="236" t="s">
        <v>72</v>
      </c>
      <c r="O91" s="236"/>
      <c r="P91" s="236"/>
      <c r="Q91" s="482"/>
      <c r="R91" s="482"/>
      <c r="S91" s="483"/>
    </row>
    <row r="92" spans="1:19">
      <c r="A92" s="251">
        <v>2021</v>
      </c>
      <c r="B92" s="236">
        <v>1</v>
      </c>
      <c r="C92" s="237">
        <f>D86+E92</f>
        <v>7.6283999999999992</v>
      </c>
      <c r="D92" s="472" t="str">
        <f>IF('Benzin - diesel - hybrid'!$E$57="nej",'Benzin - diesel - hybrid'!$E$60,"")</f>
        <v/>
      </c>
      <c r="E92" s="234">
        <f>SUM(F92:G92)</f>
        <v>3.2399999999999998</v>
      </c>
      <c r="F92" s="237">
        <v>0.44</v>
      </c>
      <c r="G92" s="237">
        <v>2.8</v>
      </c>
      <c r="H92" s="480">
        <v>2.98</v>
      </c>
      <c r="I92" s="480"/>
      <c r="J92" s="481"/>
      <c r="K92" s="236">
        <v>1</v>
      </c>
      <c r="L92" s="237">
        <f>M86+N92</f>
        <v>7.6283999999999992</v>
      </c>
      <c r="M92" s="472" t="str">
        <f>IF('El og plugin hybrid'!E$79="nej",'El og plugin hybrid'!E$82,"")</f>
        <v/>
      </c>
      <c r="N92" s="234">
        <f>SUM(O92:P92)</f>
        <v>3.2399999999999998</v>
      </c>
      <c r="O92" s="237">
        <v>0.44</v>
      </c>
      <c r="P92" s="237">
        <v>2.8</v>
      </c>
      <c r="Q92" s="480">
        <v>2.98</v>
      </c>
      <c r="R92" s="480"/>
      <c r="S92" s="481"/>
    </row>
    <row r="93" spans="1:19">
      <c r="A93" s="251">
        <v>2022</v>
      </c>
      <c r="B93" s="236">
        <v>2</v>
      </c>
      <c r="C93" s="237">
        <f>((C92-E92)*(1+'Benzin - diesel - hybrid'!$E$59)+E92)</f>
        <v>7.6920317999999988</v>
      </c>
      <c r="D93" s="479" t="e">
        <f>((D92-E93)*(1+'Benzin - diesel - hybrid'!$E$61))+Fremskrivninger!E93</f>
        <v>#VALUE!</v>
      </c>
      <c r="E93" s="234">
        <f t="shared" ref="E93:E121" si="10">SUM(F93:G93)</f>
        <v>3.2399999999999998</v>
      </c>
      <c r="F93" s="237">
        <v>0.44</v>
      </c>
      <c r="G93" s="237">
        <v>2.8</v>
      </c>
      <c r="H93" s="480">
        <v>2.98</v>
      </c>
      <c r="I93" s="480"/>
      <c r="J93" s="481"/>
      <c r="K93" s="236">
        <v>2</v>
      </c>
      <c r="L93" s="237">
        <f>((L92-N92)*(1+0.0145)+N92)</f>
        <v>7.6920317999999988</v>
      </c>
      <c r="M93" s="479" t="e">
        <f>((M92-N93)*(1+'El og plugin hybrid'!E$83))+N93</f>
        <v>#VALUE!</v>
      </c>
      <c r="N93" s="234">
        <f t="shared" ref="N93:N121" si="11">SUM(O93:P93)</f>
        <v>3.2399999999999998</v>
      </c>
      <c r="O93" s="237">
        <v>0.44</v>
      </c>
      <c r="P93" s="237">
        <v>2.8</v>
      </c>
      <c r="Q93" s="480">
        <v>2.98</v>
      </c>
      <c r="R93" s="480"/>
      <c r="S93" s="481"/>
    </row>
    <row r="94" spans="1:19">
      <c r="A94" s="251">
        <v>2023</v>
      </c>
      <c r="B94" s="236">
        <v>3</v>
      </c>
      <c r="C94" s="237">
        <f>((C93-E93)*(1+'Benzin - diesel - hybrid'!$E$59)+E93)</f>
        <v>7.7565862610999989</v>
      </c>
      <c r="D94" s="479" t="e">
        <f>((D93-E94)*(1+'Benzin - diesel - hybrid'!$E$61))+Fremskrivninger!E94</f>
        <v>#VALUE!</v>
      </c>
      <c r="E94" s="234">
        <f t="shared" si="10"/>
        <v>3.2399999999999998</v>
      </c>
      <c r="F94" s="237">
        <v>0.44</v>
      </c>
      <c r="G94" s="237">
        <v>2.8</v>
      </c>
      <c r="H94" s="480">
        <v>2.98</v>
      </c>
      <c r="I94" s="480"/>
      <c r="J94" s="481"/>
      <c r="K94" s="236">
        <v>3</v>
      </c>
      <c r="L94" s="237">
        <f t="shared" ref="L94:L121" si="12">((L93-N93)*(1+0.0145)+N93)</f>
        <v>7.7565862610999989</v>
      </c>
      <c r="M94" s="479" t="e">
        <f>((M93-N94)*(1+'El og plugin hybrid'!E$83))+N94</f>
        <v>#VALUE!</v>
      </c>
      <c r="N94" s="234">
        <f t="shared" si="11"/>
        <v>3.2399999999999998</v>
      </c>
      <c r="O94" s="237">
        <v>0.44</v>
      </c>
      <c r="P94" s="237">
        <v>2.8</v>
      </c>
      <c r="Q94" s="480">
        <v>2.98</v>
      </c>
      <c r="R94" s="480"/>
      <c r="S94" s="481"/>
    </row>
    <row r="95" spans="1:19">
      <c r="A95" s="251">
        <v>2024</v>
      </c>
      <c r="B95" s="236">
        <v>4</v>
      </c>
      <c r="C95" s="237">
        <f>((C94-E94)*(1+'Benzin - diesel - hybrid'!$E$59)+E94)</f>
        <v>7.822076761885949</v>
      </c>
      <c r="D95" s="479" t="e">
        <f>((D94-E95)*(1+'Benzin - diesel - hybrid'!$E$61))+Fremskrivninger!E95</f>
        <v>#VALUE!</v>
      </c>
      <c r="E95" s="234">
        <f t="shared" si="10"/>
        <v>3.2399999999999998</v>
      </c>
      <c r="F95" s="237">
        <v>0.44</v>
      </c>
      <c r="G95" s="237">
        <v>2.8</v>
      </c>
      <c r="H95" s="480">
        <v>2.98</v>
      </c>
      <c r="I95" s="480"/>
      <c r="J95" s="481"/>
      <c r="K95" s="236">
        <v>4</v>
      </c>
      <c r="L95" s="237">
        <f t="shared" si="12"/>
        <v>7.822076761885949</v>
      </c>
      <c r="M95" s="479" t="e">
        <f>((M94-N95)*(1+'El og plugin hybrid'!E$83))+N95</f>
        <v>#VALUE!</v>
      </c>
      <c r="N95" s="234">
        <f t="shared" si="11"/>
        <v>3.2399999999999998</v>
      </c>
      <c r="O95" s="237">
        <v>0.44</v>
      </c>
      <c r="P95" s="237">
        <v>2.8</v>
      </c>
      <c r="Q95" s="480">
        <v>2.98</v>
      </c>
      <c r="R95" s="480"/>
      <c r="S95" s="481"/>
    </row>
    <row r="96" spans="1:19">
      <c r="A96" s="251">
        <v>2025</v>
      </c>
      <c r="B96" s="236">
        <v>5</v>
      </c>
      <c r="C96" s="237">
        <f>((C95-E95)*(1+'Benzin - diesel - hybrid'!$E$59)+E95)</f>
        <v>7.8885168749332948</v>
      </c>
      <c r="D96" s="479" t="e">
        <f>((D95-E96)*(1+'Benzin - diesel - hybrid'!$E$61))+Fremskrivninger!E96</f>
        <v>#VALUE!</v>
      </c>
      <c r="E96" s="234">
        <f t="shared" si="10"/>
        <v>3.2399999999999998</v>
      </c>
      <c r="F96" s="237">
        <v>0.44</v>
      </c>
      <c r="G96" s="237">
        <v>2.8</v>
      </c>
      <c r="H96" s="480">
        <v>2.98</v>
      </c>
      <c r="I96" s="480"/>
      <c r="J96" s="481"/>
      <c r="K96" s="236">
        <v>5</v>
      </c>
      <c r="L96" s="237">
        <f t="shared" si="12"/>
        <v>7.8885168749332948</v>
      </c>
      <c r="M96" s="479" t="e">
        <f>((M95-N96)*(1+'El og plugin hybrid'!E$83))+N96</f>
        <v>#VALUE!</v>
      </c>
      <c r="N96" s="234">
        <f t="shared" si="11"/>
        <v>3.2399999999999998</v>
      </c>
      <c r="O96" s="237">
        <v>0.44</v>
      </c>
      <c r="P96" s="237">
        <v>2.8</v>
      </c>
      <c r="Q96" s="480">
        <v>2.98</v>
      </c>
      <c r="R96" s="480"/>
      <c r="S96" s="481"/>
    </row>
    <row r="97" spans="1:19">
      <c r="A97" s="251">
        <v>2026</v>
      </c>
      <c r="B97" s="236">
        <v>6</v>
      </c>
      <c r="C97" s="237">
        <f>((C96-E96)*(1+'Benzin - diesel - hybrid'!$E$59)+E96)</f>
        <v>7.9559203696198271</v>
      </c>
      <c r="D97" s="479" t="e">
        <f>((D96-E97)*(1+'Benzin - diesel - hybrid'!$E$61))+Fremskrivninger!E97</f>
        <v>#VALUE!</v>
      </c>
      <c r="E97" s="234">
        <f t="shared" si="10"/>
        <v>3.2399999999999998</v>
      </c>
      <c r="F97" s="237">
        <v>0.44</v>
      </c>
      <c r="G97" s="237">
        <v>2.8</v>
      </c>
      <c r="H97" s="480">
        <v>2.98</v>
      </c>
      <c r="I97" s="480"/>
      <c r="J97" s="481"/>
      <c r="K97" s="236">
        <v>6</v>
      </c>
      <c r="L97" s="237">
        <f t="shared" si="12"/>
        <v>7.9559203696198271</v>
      </c>
      <c r="M97" s="479" t="e">
        <f>((M96-N97)*(1+'El og plugin hybrid'!E$83))+N97</f>
        <v>#VALUE!</v>
      </c>
      <c r="N97" s="234">
        <f t="shared" si="11"/>
        <v>3.2399999999999998</v>
      </c>
      <c r="O97" s="237">
        <v>0.44</v>
      </c>
      <c r="P97" s="237">
        <v>2.8</v>
      </c>
      <c r="Q97" s="480">
        <v>2.98</v>
      </c>
      <c r="R97" s="480"/>
      <c r="S97" s="481"/>
    </row>
    <row r="98" spans="1:19">
      <c r="A98" s="251">
        <v>2027</v>
      </c>
      <c r="B98" s="236">
        <v>7</v>
      </c>
      <c r="C98" s="237">
        <f>((C97-E97)*(1+'Benzin - diesel - hybrid'!$E$59)+E97)</f>
        <v>8.0243012149793138</v>
      </c>
      <c r="D98" s="479" t="e">
        <f>((D97-E98)*(1+'Benzin - diesel - hybrid'!$E$61))+Fremskrivninger!E98</f>
        <v>#VALUE!</v>
      </c>
      <c r="E98" s="234">
        <f t="shared" si="10"/>
        <v>3.2399999999999998</v>
      </c>
      <c r="F98" s="237">
        <v>0.44</v>
      </c>
      <c r="G98" s="237">
        <v>2.8</v>
      </c>
      <c r="H98" s="480">
        <v>2.98</v>
      </c>
      <c r="I98" s="480"/>
      <c r="J98" s="481"/>
      <c r="K98" s="236">
        <v>7</v>
      </c>
      <c r="L98" s="237">
        <f t="shared" si="12"/>
        <v>8.0243012149793138</v>
      </c>
      <c r="M98" s="479" t="e">
        <f>((M97-N98)*(1+'El og plugin hybrid'!E$83))+N98</f>
        <v>#VALUE!</v>
      </c>
      <c r="N98" s="234">
        <f t="shared" si="11"/>
        <v>3.2399999999999998</v>
      </c>
      <c r="O98" s="237">
        <v>0.44</v>
      </c>
      <c r="P98" s="237">
        <v>2.8</v>
      </c>
      <c r="Q98" s="480">
        <v>2.98</v>
      </c>
      <c r="R98" s="480"/>
      <c r="S98" s="481"/>
    </row>
    <row r="99" spans="1:19">
      <c r="A99" s="251">
        <v>2028</v>
      </c>
      <c r="B99" s="236">
        <v>8</v>
      </c>
      <c r="C99" s="237">
        <f>((C98-E98)*(1+'Benzin - diesel - hybrid'!$E$59)+E98)</f>
        <v>8.093673582596514</v>
      </c>
      <c r="D99" s="479" t="e">
        <f>((D98-E99)*(1+'Benzin - diesel - hybrid'!$E$61))+Fremskrivninger!E99</f>
        <v>#VALUE!</v>
      </c>
      <c r="E99" s="234">
        <f t="shared" si="10"/>
        <v>3.2399999999999998</v>
      </c>
      <c r="F99" s="237">
        <v>0.44</v>
      </c>
      <c r="G99" s="237">
        <v>2.8</v>
      </c>
      <c r="H99" s="480">
        <v>2.98</v>
      </c>
      <c r="I99" s="480"/>
      <c r="J99" s="481"/>
      <c r="K99" s="236">
        <v>8</v>
      </c>
      <c r="L99" s="237">
        <f t="shared" si="12"/>
        <v>8.093673582596514</v>
      </c>
      <c r="M99" s="479" t="e">
        <f>((M98-N99)*(1+'El og plugin hybrid'!E$83))+N99</f>
        <v>#VALUE!</v>
      </c>
      <c r="N99" s="234">
        <f t="shared" si="11"/>
        <v>3.2399999999999998</v>
      </c>
      <c r="O99" s="237">
        <v>0.44</v>
      </c>
      <c r="P99" s="237">
        <v>2.8</v>
      </c>
      <c r="Q99" s="480">
        <v>2.98</v>
      </c>
      <c r="R99" s="480"/>
      <c r="S99" s="481"/>
    </row>
    <row r="100" spans="1:19">
      <c r="A100" s="251">
        <v>2029</v>
      </c>
      <c r="B100" s="236">
        <v>9</v>
      </c>
      <c r="C100" s="237">
        <f>((C99-E99)*(1+'Benzin - diesel - hybrid'!$E$59)+E99)</f>
        <v>8.1640518495441636</v>
      </c>
      <c r="D100" s="479" t="e">
        <f>((D99-E100)*(1+'Benzin - diesel - hybrid'!$E$61))+Fremskrivninger!E100</f>
        <v>#VALUE!</v>
      </c>
      <c r="E100" s="234">
        <f t="shared" si="10"/>
        <v>3.2399999999999998</v>
      </c>
      <c r="F100" s="237">
        <v>0.44</v>
      </c>
      <c r="G100" s="237">
        <v>2.8</v>
      </c>
      <c r="H100" s="480">
        <v>2.98</v>
      </c>
      <c r="I100" s="480"/>
      <c r="J100" s="481"/>
      <c r="K100" s="236">
        <v>9</v>
      </c>
      <c r="L100" s="237">
        <f t="shared" si="12"/>
        <v>8.1640518495441636</v>
      </c>
      <c r="M100" s="479" t="e">
        <f>((M99-N100)*(1+'El og plugin hybrid'!E$83))+N100</f>
        <v>#VALUE!</v>
      </c>
      <c r="N100" s="234">
        <f t="shared" si="11"/>
        <v>3.2399999999999998</v>
      </c>
      <c r="O100" s="237">
        <v>0.44</v>
      </c>
      <c r="P100" s="237">
        <v>2.8</v>
      </c>
      <c r="Q100" s="480">
        <v>2.98</v>
      </c>
      <c r="R100" s="480"/>
      <c r="S100" s="481"/>
    </row>
    <row r="101" spans="1:19">
      <c r="A101" s="251">
        <v>2030</v>
      </c>
      <c r="B101" s="236">
        <v>10</v>
      </c>
      <c r="C101" s="237">
        <f>((C100-E100)*(1+'Benzin - diesel - hybrid'!$E$59)+E100)</f>
        <v>8.2354506013625528</v>
      </c>
      <c r="D101" s="479" t="e">
        <f>((D100-E101)*(1+'Benzin - diesel - hybrid'!$E$61))+Fremskrivninger!E101</f>
        <v>#VALUE!</v>
      </c>
      <c r="E101" s="234">
        <f t="shared" si="10"/>
        <v>3.2399999999999998</v>
      </c>
      <c r="F101" s="237">
        <v>0.44</v>
      </c>
      <c r="G101" s="237">
        <v>2.8</v>
      </c>
      <c r="H101" s="480">
        <v>2.98</v>
      </c>
      <c r="I101" s="480"/>
      <c r="J101" s="481"/>
      <c r="K101" s="236">
        <v>10</v>
      </c>
      <c r="L101" s="237">
        <f t="shared" si="12"/>
        <v>8.2354506013625528</v>
      </c>
      <c r="M101" s="479" t="e">
        <f>((M100-N101)*(1+'El og plugin hybrid'!E$83))+N101</f>
        <v>#VALUE!</v>
      </c>
      <c r="N101" s="234">
        <f t="shared" si="11"/>
        <v>3.2399999999999998</v>
      </c>
      <c r="O101" s="237">
        <v>0.44</v>
      </c>
      <c r="P101" s="237">
        <v>2.8</v>
      </c>
      <c r="Q101" s="480">
        <v>2.98</v>
      </c>
      <c r="R101" s="480"/>
      <c r="S101" s="481"/>
    </row>
    <row r="102" spans="1:19">
      <c r="A102" s="251">
        <v>2031</v>
      </c>
      <c r="B102" s="236">
        <v>11</v>
      </c>
      <c r="C102" s="237">
        <f>((C101-E101)*(1+'Benzin - diesel - hybrid'!$E$59)+E101)</f>
        <v>8.3078846350823099</v>
      </c>
      <c r="D102" s="479" t="e">
        <f>((D101-E102)*(1+'Benzin - diesel - hybrid'!$E$61))+Fremskrivninger!E102</f>
        <v>#VALUE!</v>
      </c>
      <c r="E102" s="234">
        <f t="shared" si="10"/>
        <v>3.2399999999999998</v>
      </c>
      <c r="F102" s="237">
        <v>0.44</v>
      </c>
      <c r="G102" s="237">
        <v>2.8</v>
      </c>
      <c r="H102" s="480">
        <v>2.98</v>
      </c>
      <c r="I102" s="480"/>
      <c r="J102" s="481"/>
      <c r="K102" s="236">
        <v>11</v>
      </c>
      <c r="L102" s="237">
        <f t="shared" si="12"/>
        <v>8.3078846350823099</v>
      </c>
      <c r="M102" s="479" t="e">
        <f>((M101-N102)*(1+'El og plugin hybrid'!E$83))+N102</f>
        <v>#VALUE!</v>
      </c>
      <c r="N102" s="234">
        <f t="shared" si="11"/>
        <v>3.2399999999999998</v>
      </c>
      <c r="O102" s="237">
        <v>0.44</v>
      </c>
      <c r="P102" s="237">
        <v>2.8</v>
      </c>
      <c r="Q102" s="480">
        <v>2.98</v>
      </c>
      <c r="R102" s="480"/>
      <c r="S102" s="481"/>
    </row>
    <row r="103" spans="1:19">
      <c r="A103" s="251">
        <v>2032</v>
      </c>
      <c r="B103" s="236">
        <v>12</v>
      </c>
      <c r="C103" s="237">
        <f>((C102-E102)*(1+'Benzin - diesel - hybrid'!$E$59)+E102)</f>
        <v>8.3813689622910026</v>
      </c>
      <c r="D103" s="479" t="e">
        <f>((D102-E103)*(1+'Benzin - diesel - hybrid'!$E$61))+Fremskrivninger!E103</f>
        <v>#VALUE!</v>
      </c>
      <c r="E103" s="234">
        <f t="shared" si="10"/>
        <v>3.2399999999999998</v>
      </c>
      <c r="F103" s="237">
        <v>0.44</v>
      </c>
      <c r="G103" s="237">
        <v>2.8</v>
      </c>
      <c r="H103" s="480">
        <v>2.98</v>
      </c>
      <c r="I103" s="480"/>
      <c r="J103" s="481"/>
      <c r="K103" s="236">
        <v>12</v>
      </c>
      <c r="L103" s="237">
        <f t="shared" si="12"/>
        <v>8.3813689622910026</v>
      </c>
      <c r="M103" s="479" t="e">
        <f>((M102-N103)*(1+'El og plugin hybrid'!E$83))+N103</f>
        <v>#VALUE!</v>
      </c>
      <c r="N103" s="234">
        <f t="shared" si="11"/>
        <v>3.2399999999999998</v>
      </c>
      <c r="O103" s="237">
        <v>0.44</v>
      </c>
      <c r="P103" s="237">
        <v>2.8</v>
      </c>
      <c r="Q103" s="480">
        <v>2.98</v>
      </c>
      <c r="R103" s="480"/>
      <c r="S103" s="481"/>
    </row>
    <row r="104" spans="1:19">
      <c r="A104" s="251">
        <v>2033</v>
      </c>
      <c r="B104" s="236">
        <v>13</v>
      </c>
      <c r="C104" s="237">
        <f>((C103-E103)*(1+'Benzin - diesel - hybrid'!$E$59)+E103)</f>
        <v>8.4559188122442208</v>
      </c>
      <c r="D104" s="479" t="e">
        <f>((D103-E104)*(1+'Benzin - diesel - hybrid'!$E$61))+Fremskrivninger!E104</f>
        <v>#VALUE!</v>
      </c>
      <c r="E104" s="234">
        <f t="shared" si="10"/>
        <v>3.2399999999999998</v>
      </c>
      <c r="F104" s="237">
        <v>0.44</v>
      </c>
      <c r="G104" s="237">
        <v>2.8</v>
      </c>
      <c r="H104" s="480">
        <v>2.98</v>
      </c>
      <c r="I104" s="480"/>
      <c r="J104" s="481"/>
      <c r="K104" s="236">
        <v>13</v>
      </c>
      <c r="L104" s="237">
        <f t="shared" si="12"/>
        <v>8.4559188122442208</v>
      </c>
      <c r="M104" s="479" t="e">
        <f>((M103-N104)*(1+'El og plugin hybrid'!E$83))+N104</f>
        <v>#VALUE!</v>
      </c>
      <c r="N104" s="234">
        <f t="shared" si="11"/>
        <v>3.2399999999999998</v>
      </c>
      <c r="O104" s="237">
        <v>0.44</v>
      </c>
      <c r="P104" s="237">
        <v>2.8</v>
      </c>
      <c r="Q104" s="480">
        <v>2.98</v>
      </c>
      <c r="R104" s="480"/>
      <c r="S104" s="481"/>
    </row>
    <row r="105" spans="1:19">
      <c r="A105" s="251">
        <v>2034</v>
      </c>
      <c r="B105" s="236">
        <v>14</v>
      </c>
      <c r="C105" s="237">
        <f>((C104-E104)*(1+'Benzin - diesel - hybrid'!$E$59)+E104)</f>
        <v>8.5315496350217614</v>
      </c>
      <c r="D105" s="479" t="e">
        <f>((D104-E105)*(1+'Benzin - diesel - hybrid'!$E$61))+Fremskrivninger!E105</f>
        <v>#VALUE!</v>
      </c>
      <c r="E105" s="234">
        <f t="shared" si="10"/>
        <v>3.2399999999999998</v>
      </c>
      <c r="F105" s="237">
        <v>0.44</v>
      </c>
      <c r="G105" s="237">
        <v>2.8</v>
      </c>
      <c r="H105" s="480">
        <v>2.98</v>
      </c>
      <c r="I105" s="480"/>
      <c r="J105" s="481"/>
      <c r="K105" s="236">
        <v>14</v>
      </c>
      <c r="L105" s="237">
        <f t="shared" si="12"/>
        <v>8.5315496350217614</v>
      </c>
      <c r="M105" s="479" t="e">
        <f>((M104-N105)*(1+'El og plugin hybrid'!E$83))+N105</f>
        <v>#VALUE!</v>
      </c>
      <c r="N105" s="234">
        <f t="shared" si="11"/>
        <v>3.2399999999999998</v>
      </c>
      <c r="O105" s="237">
        <v>0.44</v>
      </c>
      <c r="P105" s="237">
        <v>2.8</v>
      </c>
      <c r="Q105" s="480">
        <v>2.98</v>
      </c>
      <c r="R105" s="480"/>
      <c r="S105" s="481"/>
    </row>
    <row r="106" spans="1:19">
      <c r="A106" s="251">
        <v>2035</v>
      </c>
      <c r="B106" s="236">
        <v>15</v>
      </c>
      <c r="C106" s="237">
        <f>((C105-E105)*(1+'Benzin - diesel - hybrid'!$E$59)+E105)</f>
        <v>8.6082771047295772</v>
      </c>
      <c r="D106" s="479" t="e">
        <f>((D105-E106)*(1+'Benzin - diesel - hybrid'!$E$61))+Fremskrivninger!E106</f>
        <v>#VALUE!</v>
      </c>
      <c r="E106" s="234">
        <f t="shared" si="10"/>
        <v>3.2399999999999998</v>
      </c>
      <c r="F106" s="237">
        <v>0.44</v>
      </c>
      <c r="G106" s="237">
        <v>2.8</v>
      </c>
      <c r="H106" s="480">
        <v>2.98</v>
      </c>
      <c r="I106" s="480"/>
      <c r="J106" s="481"/>
      <c r="K106" s="236">
        <v>15</v>
      </c>
      <c r="L106" s="237">
        <f t="shared" si="12"/>
        <v>8.6082771047295772</v>
      </c>
      <c r="M106" s="479" t="e">
        <f>((M105-N106)*(1+'El og plugin hybrid'!E$83))+N106</f>
        <v>#VALUE!</v>
      </c>
      <c r="N106" s="234">
        <f t="shared" si="11"/>
        <v>3.2399999999999998</v>
      </c>
      <c r="O106" s="237">
        <v>0.44</v>
      </c>
      <c r="P106" s="237">
        <v>2.8</v>
      </c>
      <c r="Q106" s="480">
        <v>2.98</v>
      </c>
      <c r="R106" s="480"/>
      <c r="S106" s="481"/>
    </row>
    <row r="107" spans="1:19">
      <c r="A107" s="251">
        <v>2036</v>
      </c>
      <c r="B107" s="236">
        <v>16</v>
      </c>
      <c r="C107" s="237">
        <f>((C106-E106)*(1+'Benzin - diesel - hybrid'!$E$59)+E106)</f>
        <v>8.6861171227481559</v>
      </c>
      <c r="D107" s="479" t="e">
        <f>((D106-E107)*(1+'Benzin - diesel - hybrid'!$E$61))+Fremskrivninger!E107</f>
        <v>#VALUE!</v>
      </c>
      <c r="E107" s="234">
        <f t="shared" si="10"/>
        <v>3.2399999999999998</v>
      </c>
      <c r="F107" s="237">
        <v>0.44</v>
      </c>
      <c r="G107" s="237">
        <v>2.8</v>
      </c>
      <c r="H107" s="480">
        <v>2.98</v>
      </c>
      <c r="I107" s="480"/>
      <c r="J107" s="481"/>
      <c r="K107" s="236">
        <v>16</v>
      </c>
      <c r="L107" s="237">
        <f t="shared" si="12"/>
        <v>8.6861171227481559</v>
      </c>
      <c r="M107" s="479" t="e">
        <f>((M106-N107)*(1+'El og plugin hybrid'!E$83))+N107</f>
        <v>#VALUE!</v>
      </c>
      <c r="N107" s="234">
        <f t="shared" si="11"/>
        <v>3.2399999999999998</v>
      </c>
      <c r="O107" s="237">
        <v>0.44</v>
      </c>
      <c r="P107" s="237">
        <v>2.8</v>
      </c>
      <c r="Q107" s="480">
        <v>2.98</v>
      </c>
      <c r="R107" s="480"/>
      <c r="S107" s="481"/>
    </row>
    <row r="108" spans="1:19">
      <c r="A108" s="251">
        <v>2037</v>
      </c>
      <c r="B108" s="236">
        <v>17</v>
      </c>
      <c r="C108" s="237">
        <f>((C107-E107)*(1+'Benzin - diesel - hybrid'!$E$59)+E107)</f>
        <v>8.7650858210280038</v>
      </c>
      <c r="D108" s="479" t="e">
        <f>((D107-E108)*(1+'Benzin - diesel - hybrid'!$E$61))+Fremskrivninger!E108</f>
        <v>#VALUE!</v>
      </c>
      <c r="E108" s="234">
        <f t="shared" si="10"/>
        <v>3.2399999999999998</v>
      </c>
      <c r="F108" s="237">
        <v>0.44</v>
      </c>
      <c r="G108" s="237">
        <v>2.8</v>
      </c>
      <c r="H108" s="480">
        <v>2.98</v>
      </c>
      <c r="I108" s="480"/>
      <c r="J108" s="481"/>
      <c r="K108" s="236">
        <v>17</v>
      </c>
      <c r="L108" s="237">
        <f t="shared" si="12"/>
        <v>8.7650858210280038</v>
      </c>
      <c r="M108" s="479" t="e">
        <f>((M107-N108)*(1+'El og plugin hybrid'!E$83))+N108</f>
        <v>#VALUE!</v>
      </c>
      <c r="N108" s="234">
        <f t="shared" si="11"/>
        <v>3.2399999999999998</v>
      </c>
      <c r="O108" s="237">
        <v>0.44</v>
      </c>
      <c r="P108" s="237">
        <v>2.8</v>
      </c>
      <c r="Q108" s="480">
        <v>2.98</v>
      </c>
      <c r="R108" s="480"/>
      <c r="S108" s="481"/>
    </row>
    <row r="109" spans="1:19">
      <c r="A109" s="251">
        <v>2038</v>
      </c>
      <c r="B109" s="236">
        <v>18</v>
      </c>
      <c r="C109" s="237">
        <f>((C108-E108)*(1+'Benzin - diesel - hybrid'!$E$59)+E108)</f>
        <v>8.8451995654329085</v>
      </c>
      <c r="D109" s="479" t="e">
        <f>((D108-E109)*(1+'Benzin - diesel - hybrid'!$E$61))+Fremskrivninger!E109</f>
        <v>#VALUE!</v>
      </c>
      <c r="E109" s="234">
        <f t="shared" si="10"/>
        <v>3.2399999999999998</v>
      </c>
      <c r="F109" s="237">
        <v>0.44</v>
      </c>
      <c r="G109" s="237">
        <v>2.8</v>
      </c>
      <c r="H109" s="480">
        <v>2.98</v>
      </c>
      <c r="I109" s="480"/>
      <c r="J109" s="481"/>
      <c r="K109" s="236">
        <v>18</v>
      </c>
      <c r="L109" s="237">
        <f t="shared" si="12"/>
        <v>8.8451995654329085</v>
      </c>
      <c r="M109" s="479" t="e">
        <f>((M108-N109)*(1+'El og plugin hybrid'!E$83))+N109</f>
        <v>#VALUE!</v>
      </c>
      <c r="N109" s="234">
        <f t="shared" si="11"/>
        <v>3.2399999999999998</v>
      </c>
      <c r="O109" s="237">
        <v>0.44</v>
      </c>
      <c r="P109" s="237">
        <v>2.8</v>
      </c>
      <c r="Q109" s="480">
        <v>2.98</v>
      </c>
      <c r="R109" s="480"/>
      <c r="S109" s="481"/>
    </row>
    <row r="110" spans="1:19">
      <c r="A110" s="251">
        <v>2039</v>
      </c>
      <c r="B110" s="236">
        <v>19</v>
      </c>
      <c r="C110" s="237">
        <f>((C109-E109)*(1+'Benzin - diesel - hybrid'!$E$59)+E109)</f>
        <v>8.926474959131685</v>
      </c>
      <c r="D110" s="479" t="e">
        <f>((D109-E110)*(1+'Benzin - diesel - hybrid'!$E$61))+Fremskrivninger!E110</f>
        <v>#VALUE!</v>
      </c>
      <c r="E110" s="234">
        <f t="shared" si="10"/>
        <v>3.2399999999999998</v>
      </c>
      <c r="F110" s="237">
        <v>0.44</v>
      </c>
      <c r="G110" s="237">
        <v>2.8</v>
      </c>
      <c r="H110" s="480">
        <v>2.98</v>
      </c>
      <c r="I110" s="480"/>
      <c r="J110" s="481"/>
      <c r="K110" s="236">
        <v>19</v>
      </c>
      <c r="L110" s="237">
        <f t="shared" si="12"/>
        <v>8.926474959131685</v>
      </c>
      <c r="M110" s="479" t="e">
        <f>((M109-N110)*(1+'El og plugin hybrid'!E$83))+N110</f>
        <v>#VALUE!</v>
      </c>
      <c r="N110" s="234">
        <f t="shared" si="11"/>
        <v>3.2399999999999998</v>
      </c>
      <c r="O110" s="237">
        <v>0.44</v>
      </c>
      <c r="P110" s="237">
        <v>2.8</v>
      </c>
      <c r="Q110" s="480">
        <v>2.98</v>
      </c>
      <c r="R110" s="480"/>
      <c r="S110" s="481"/>
    </row>
    <row r="111" spans="1:19">
      <c r="A111" s="251">
        <v>2040</v>
      </c>
      <c r="B111" s="236">
        <v>20</v>
      </c>
      <c r="C111" s="237">
        <f>((C110-E110)*(1+'Benzin - diesel - hybrid'!$E$59)+E110)</f>
        <v>9.0089288460390939</v>
      </c>
      <c r="D111" s="479" t="e">
        <f>((D110-E111)*(1+'Benzin - diesel - hybrid'!$E$61))+Fremskrivninger!E111</f>
        <v>#VALUE!</v>
      </c>
      <c r="E111" s="234">
        <f t="shared" si="10"/>
        <v>3.2399999999999998</v>
      </c>
      <c r="F111" s="237">
        <v>0.44</v>
      </c>
      <c r="G111" s="237">
        <v>2.8</v>
      </c>
      <c r="H111" s="480">
        <v>2.98</v>
      </c>
      <c r="I111" s="480"/>
      <c r="J111" s="481"/>
      <c r="K111" s="236">
        <v>20</v>
      </c>
      <c r="L111" s="237">
        <f t="shared" si="12"/>
        <v>9.0089288460390939</v>
      </c>
      <c r="M111" s="479" t="e">
        <f>((M110-N111)*(1+'El og plugin hybrid'!E$83))+N111</f>
        <v>#VALUE!</v>
      </c>
      <c r="N111" s="234">
        <f t="shared" si="11"/>
        <v>3.2399999999999998</v>
      </c>
      <c r="O111" s="237">
        <v>0.44</v>
      </c>
      <c r="P111" s="237">
        <v>2.8</v>
      </c>
      <c r="Q111" s="480">
        <v>2.98</v>
      </c>
      <c r="R111" s="480"/>
      <c r="S111" s="481"/>
    </row>
    <row r="112" spans="1:19">
      <c r="A112" s="251">
        <v>2041</v>
      </c>
      <c r="B112" s="236">
        <v>21</v>
      </c>
      <c r="C112" s="237">
        <f>((C111-E111)*(1+'Benzin - diesel - hybrid'!$E$59)+E111)</f>
        <v>9.0925783143066603</v>
      </c>
      <c r="D112" s="479" t="e">
        <f>((D111-E112)*(1+'Benzin - diesel - hybrid'!$E$61))+Fremskrivninger!E112</f>
        <v>#VALUE!</v>
      </c>
      <c r="E112" s="234">
        <f t="shared" si="10"/>
        <v>3.2399999999999998</v>
      </c>
      <c r="F112" s="237">
        <v>0.44</v>
      </c>
      <c r="G112" s="237">
        <v>2.8</v>
      </c>
      <c r="H112" s="480">
        <v>2.98</v>
      </c>
      <c r="I112" s="480"/>
      <c r="J112" s="481"/>
      <c r="K112" s="236">
        <v>21</v>
      </c>
      <c r="L112" s="237">
        <f t="shared" si="12"/>
        <v>9.0925783143066603</v>
      </c>
      <c r="M112" s="479" t="e">
        <f>((M111-N112)*(1+'El og plugin hybrid'!E$83))+N112</f>
        <v>#VALUE!</v>
      </c>
      <c r="N112" s="234">
        <f t="shared" si="11"/>
        <v>3.2399999999999998</v>
      </c>
      <c r="O112" s="237">
        <v>0.44</v>
      </c>
      <c r="P112" s="237">
        <v>2.8</v>
      </c>
      <c r="Q112" s="480">
        <v>2.98</v>
      </c>
      <c r="R112" s="480"/>
      <c r="S112" s="481"/>
    </row>
    <row r="113" spans="1:19">
      <c r="A113" s="251">
        <v>2042</v>
      </c>
      <c r="B113" s="236">
        <v>22</v>
      </c>
      <c r="C113" s="237">
        <f>((C112-E112)*(1+'Benzin - diesel - hybrid'!$E$59)+E112)</f>
        <v>9.1774406998641069</v>
      </c>
      <c r="D113" s="479" t="e">
        <f>((D112-E113)*(1+'Benzin - diesel - hybrid'!$E$61))+Fremskrivninger!E113</f>
        <v>#VALUE!</v>
      </c>
      <c r="E113" s="234">
        <f t="shared" si="10"/>
        <v>3.2399999999999998</v>
      </c>
      <c r="F113" s="237">
        <v>0.44</v>
      </c>
      <c r="G113" s="237">
        <v>2.8</v>
      </c>
      <c r="H113" s="480">
        <v>2.98</v>
      </c>
      <c r="I113" s="480"/>
      <c r="J113" s="481"/>
      <c r="K113" s="236">
        <v>22</v>
      </c>
      <c r="L113" s="237">
        <f t="shared" si="12"/>
        <v>9.1774406998641069</v>
      </c>
      <c r="M113" s="479" t="e">
        <f>((M112-N113)*(1+'El og plugin hybrid'!E$83))+N113</f>
        <v>#VALUE!</v>
      </c>
      <c r="N113" s="234">
        <f t="shared" si="11"/>
        <v>3.2399999999999998</v>
      </c>
      <c r="O113" s="237">
        <v>0.44</v>
      </c>
      <c r="P113" s="237">
        <v>2.8</v>
      </c>
      <c r="Q113" s="480">
        <v>2.98</v>
      </c>
      <c r="R113" s="480"/>
      <c r="S113" s="481"/>
    </row>
    <row r="114" spans="1:19">
      <c r="A114" s="251">
        <v>2043</v>
      </c>
      <c r="B114" s="236">
        <v>23</v>
      </c>
      <c r="C114" s="237">
        <f>((C113-E113)*(1+'Benzin - diesel - hybrid'!$E$59)+E113)</f>
        <v>9.2635335900121358</v>
      </c>
      <c r="D114" s="479" t="e">
        <f>((D113-E114)*(1+'Benzin - diesel - hybrid'!$E$61))+Fremskrivninger!E114</f>
        <v>#VALUE!</v>
      </c>
      <c r="E114" s="234">
        <f t="shared" si="10"/>
        <v>3.2399999999999998</v>
      </c>
      <c r="F114" s="237">
        <v>0.44</v>
      </c>
      <c r="G114" s="237">
        <v>2.8</v>
      </c>
      <c r="H114" s="480">
        <v>2.98</v>
      </c>
      <c r="I114" s="480"/>
      <c r="J114" s="481"/>
      <c r="K114" s="236">
        <v>23</v>
      </c>
      <c r="L114" s="237">
        <f t="shared" si="12"/>
        <v>9.2635335900121358</v>
      </c>
      <c r="M114" s="479" t="e">
        <f>((M113-N114)*(1+'El og plugin hybrid'!E$83))+N114</f>
        <v>#VALUE!</v>
      </c>
      <c r="N114" s="234">
        <f t="shared" si="11"/>
        <v>3.2399999999999998</v>
      </c>
      <c r="O114" s="237">
        <v>0.44</v>
      </c>
      <c r="P114" s="237">
        <v>2.8</v>
      </c>
      <c r="Q114" s="480">
        <v>2.98</v>
      </c>
      <c r="R114" s="480"/>
      <c r="S114" s="481"/>
    </row>
    <row r="115" spans="1:19">
      <c r="A115" s="251">
        <v>2044</v>
      </c>
      <c r="B115" s="236">
        <v>24</v>
      </c>
      <c r="C115" s="237">
        <f>((C114-E114)*(1+'Benzin - diesel - hybrid'!$E$59)+E114)</f>
        <v>9.3508748270673117</v>
      </c>
      <c r="D115" s="479" t="e">
        <f>((D114-E115)*(1+'Benzin - diesel - hybrid'!$E$61))+Fremskrivninger!E115</f>
        <v>#VALUE!</v>
      </c>
      <c r="E115" s="234">
        <f t="shared" si="10"/>
        <v>3.2399999999999998</v>
      </c>
      <c r="F115" s="237">
        <v>0.44</v>
      </c>
      <c r="G115" s="237">
        <v>2.8</v>
      </c>
      <c r="H115" s="480">
        <v>2.98</v>
      </c>
      <c r="I115" s="480"/>
      <c r="J115" s="481"/>
      <c r="K115" s="236">
        <v>24</v>
      </c>
      <c r="L115" s="237">
        <f t="shared" si="12"/>
        <v>9.3508748270673117</v>
      </c>
      <c r="M115" s="479" t="e">
        <f>((M114-N115)*(1+'El og plugin hybrid'!E$83))+N115</f>
        <v>#VALUE!</v>
      </c>
      <c r="N115" s="234">
        <f t="shared" si="11"/>
        <v>3.2399999999999998</v>
      </c>
      <c r="O115" s="237">
        <v>0.44</v>
      </c>
      <c r="P115" s="237">
        <v>2.8</v>
      </c>
      <c r="Q115" s="480">
        <v>2.98</v>
      </c>
      <c r="R115" s="480"/>
      <c r="S115" s="481"/>
    </row>
    <row r="116" spans="1:19">
      <c r="A116" s="251">
        <v>2045</v>
      </c>
      <c r="B116" s="236">
        <v>25</v>
      </c>
      <c r="C116" s="237">
        <f>((C115-E115)*(1+'Benzin - diesel - hybrid'!$E$59)+E115)</f>
        <v>9.4394825120597865</v>
      </c>
      <c r="D116" s="479" t="e">
        <f>((D115-E116)*(1+'Benzin - diesel - hybrid'!$E$61))+Fremskrivninger!E116</f>
        <v>#VALUE!</v>
      </c>
      <c r="E116" s="234">
        <f t="shared" si="10"/>
        <v>3.2399999999999998</v>
      </c>
      <c r="F116" s="237">
        <v>0.44</v>
      </c>
      <c r="G116" s="237">
        <v>2.8</v>
      </c>
      <c r="H116" s="480">
        <v>2.98</v>
      </c>
      <c r="I116" s="480"/>
      <c r="J116" s="481"/>
      <c r="K116" s="236">
        <v>25</v>
      </c>
      <c r="L116" s="237">
        <f t="shared" si="12"/>
        <v>9.4394825120597865</v>
      </c>
      <c r="M116" s="479" t="e">
        <f>((M115-N116)*(1+'El og plugin hybrid'!E$83))+N116</f>
        <v>#VALUE!</v>
      </c>
      <c r="N116" s="234">
        <f t="shared" si="11"/>
        <v>3.2399999999999998</v>
      </c>
      <c r="O116" s="237">
        <v>0.44</v>
      </c>
      <c r="P116" s="237">
        <v>2.8</v>
      </c>
      <c r="Q116" s="480">
        <v>2.98</v>
      </c>
      <c r="R116" s="480"/>
      <c r="S116" s="481"/>
    </row>
    <row r="117" spans="1:19">
      <c r="A117" s="251">
        <v>2046</v>
      </c>
      <c r="B117" s="236">
        <v>26</v>
      </c>
      <c r="C117" s="237">
        <f>((C116-E116)*(1+'Benzin - diesel - hybrid'!$E$59)+E116)</f>
        <v>9.5293750084846529</v>
      </c>
      <c r="D117" s="479" t="e">
        <f>((D116-E117)*(1+'Benzin - diesel - hybrid'!$E$61))+Fremskrivninger!E117</f>
        <v>#VALUE!</v>
      </c>
      <c r="E117" s="234">
        <f t="shared" si="10"/>
        <v>3.2399999999999998</v>
      </c>
      <c r="F117" s="237">
        <v>0.44</v>
      </c>
      <c r="G117" s="237">
        <v>2.8</v>
      </c>
      <c r="H117" s="480">
        <v>2.98</v>
      </c>
      <c r="I117" s="480"/>
      <c r="J117" s="481"/>
      <c r="K117" s="236">
        <v>26</v>
      </c>
      <c r="L117" s="237">
        <f t="shared" si="12"/>
        <v>9.5293750084846529</v>
      </c>
      <c r="M117" s="479" t="e">
        <f>((M116-N117)*(1+'El og plugin hybrid'!E$83))+N117</f>
        <v>#VALUE!</v>
      </c>
      <c r="N117" s="234">
        <f t="shared" si="11"/>
        <v>3.2399999999999998</v>
      </c>
      <c r="O117" s="237">
        <v>0.44</v>
      </c>
      <c r="P117" s="237">
        <v>2.8</v>
      </c>
      <c r="Q117" s="480">
        <v>2.98</v>
      </c>
      <c r="R117" s="480"/>
      <c r="S117" s="481"/>
    </row>
    <row r="118" spans="1:19">
      <c r="A118" s="251">
        <v>2047</v>
      </c>
      <c r="B118" s="236">
        <v>27</v>
      </c>
      <c r="C118" s="237">
        <f>((C117-E117)*(1+'Benzin - diesel - hybrid'!$E$59)+E117)</f>
        <v>9.62057094610768</v>
      </c>
      <c r="D118" s="479" t="e">
        <f>((D117-E118)*(1+'Benzin - diesel - hybrid'!$E$61))+Fremskrivninger!E118</f>
        <v>#VALUE!</v>
      </c>
      <c r="E118" s="234">
        <f t="shared" si="10"/>
        <v>3.2399999999999998</v>
      </c>
      <c r="F118" s="237">
        <v>0.44</v>
      </c>
      <c r="G118" s="237">
        <v>2.8</v>
      </c>
      <c r="H118" s="480">
        <v>2.98</v>
      </c>
      <c r="I118" s="480"/>
      <c r="J118" s="481"/>
      <c r="K118" s="236">
        <v>27</v>
      </c>
      <c r="L118" s="237">
        <f t="shared" si="12"/>
        <v>9.62057094610768</v>
      </c>
      <c r="M118" s="479" t="e">
        <f>((M117-N118)*(1+'El og plugin hybrid'!E$83))+N118</f>
        <v>#VALUE!</v>
      </c>
      <c r="N118" s="234">
        <f t="shared" si="11"/>
        <v>3.2399999999999998</v>
      </c>
      <c r="O118" s="237">
        <v>0.44</v>
      </c>
      <c r="P118" s="237">
        <v>2.8</v>
      </c>
      <c r="Q118" s="480">
        <v>2.98</v>
      </c>
      <c r="R118" s="480"/>
      <c r="S118" s="481"/>
    </row>
    <row r="119" spans="1:19">
      <c r="A119" s="251">
        <v>2048</v>
      </c>
      <c r="B119" s="236">
        <v>28</v>
      </c>
      <c r="C119" s="237">
        <f>((C118-E118)*(1+'Benzin - diesel - hybrid'!$E$59)+E118)</f>
        <v>9.7130892248262413</v>
      </c>
      <c r="D119" s="479" t="e">
        <f>((D118-E119)*(1+'Benzin - diesel - hybrid'!$E$61))+Fremskrivninger!E119</f>
        <v>#VALUE!</v>
      </c>
      <c r="E119" s="234">
        <f t="shared" si="10"/>
        <v>3.2399999999999998</v>
      </c>
      <c r="F119" s="237">
        <v>0.44</v>
      </c>
      <c r="G119" s="237">
        <v>2.8</v>
      </c>
      <c r="H119" s="480">
        <v>2.98</v>
      </c>
      <c r="I119" s="480"/>
      <c r="J119" s="481"/>
      <c r="K119" s="236">
        <v>28</v>
      </c>
      <c r="L119" s="237">
        <f t="shared" si="12"/>
        <v>9.7130892248262413</v>
      </c>
      <c r="M119" s="479" t="e">
        <f>((M118-N119)*(1+'El og plugin hybrid'!E$83))+N119</f>
        <v>#VALUE!</v>
      </c>
      <c r="N119" s="234">
        <f t="shared" si="11"/>
        <v>3.2399999999999998</v>
      </c>
      <c r="O119" s="237">
        <v>0.44</v>
      </c>
      <c r="P119" s="237">
        <v>2.8</v>
      </c>
      <c r="Q119" s="480">
        <v>2.98</v>
      </c>
      <c r="R119" s="480"/>
      <c r="S119" s="481"/>
    </row>
    <row r="120" spans="1:19">
      <c r="A120" s="251">
        <v>2049</v>
      </c>
      <c r="B120" s="236">
        <v>29</v>
      </c>
      <c r="C120" s="237">
        <f>((C119-E119)*(1+'Benzin - diesel - hybrid'!$E$59)+E119)</f>
        <v>9.8069490185862218</v>
      </c>
      <c r="D120" s="479" t="e">
        <f>((D119-E120)*(1+'Benzin - diesel - hybrid'!$E$61))+Fremskrivninger!E120</f>
        <v>#VALUE!</v>
      </c>
      <c r="E120" s="234">
        <f t="shared" si="10"/>
        <v>3.2399999999999998</v>
      </c>
      <c r="F120" s="237">
        <v>0.44</v>
      </c>
      <c r="G120" s="237">
        <v>2.8</v>
      </c>
      <c r="H120" s="480">
        <v>2.98</v>
      </c>
      <c r="I120" s="480"/>
      <c r="J120" s="481"/>
      <c r="K120" s="236">
        <v>29</v>
      </c>
      <c r="L120" s="237">
        <f t="shared" si="12"/>
        <v>9.8069490185862218</v>
      </c>
      <c r="M120" s="479" t="e">
        <f>((M119-N120)*(1+'El og plugin hybrid'!E$83))+N120</f>
        <v>#VALUE!</v>
      </c>
      <c r="N120" s="234">
        <f t="shared" si="11"/>
        <v>3.2399999999999998</v>
      </c>
      <c r="O120" s="237">
        <v>0.44</v>
      </c>
      <c r="P120" s="237">
        <v>2.8</v>
      </c>
      <c r="Q120" s="480">
        <v>2.98</v>
      </c>
      <c r="R120" s="480"/>
      <c r="S120" s="481"/>
    </row>
    <row r="121" spans="1:19">
      <c r="A121" s="251">
        <v>2050</v>
      </c>
      <c r="B121" s="236">
        <v>30</v>
      </c>
      <c r="C121" s="237">
        <f>((C120-E120)*(1+'Benzin - diesel - hybrid'!$E$59)+E120)</f>
        <v>9.902169779355722</v>
      </c>
      <c r="D121" s="479" t="e">
        <f>((D120-E121)*(1+'Benzin - diesel - hybrid'!$E$61))+Fremskrivninger!E121</f>
        <v>#VALUE!</v>
      </c>
      <c r="E121" s="234">
        <f t="shared" si="10"/>
        <v>3.2399999999999998</v>
      </c>
      <c r="F121" s="237">
        <v>0.44</v>
      </c>
      <c r="G121" s="237">
        <v>2.8</v>
      </c>
      <c r="H121" s="480">
        <v>2.98</v>
      </c>
      <c r="I121" s="484"/>
      <c r="J121" s="485"/>
      <c r="K121" s="236">
        <v>30</v>
      </c>
      <c r="L121" s="237">
        <f t="shared" si="12"/>
        <v>9.902169779355722</v>
      </c>
      <c r="M121" s="479" t="e">
        <f>((M120-N121)*(1+'El og plugin hybrid'!E$83))+N121</f>
        <v>#VALUE!</v>
      </c>
      <c r="N121" s="234">
        <f t="shared" si="11"/>
        <v>3.2399999999999998</v>
      </c>
      <c r="O121" s="237">
        <v>0.44</v>
      </c>
      <c r="P121" s="237">
        <v>2.8</v>
      </c>
      <c r="Q121" s="480">
        <v>2.98</v>
      </c>
      <c r="R121" s="484"/>
      <c r="S121" s="485"/>
    </row>
    <row r="122" spans="1:19">
      <c r="A122" s="251"/>
      <c r="B122" s="236"/>
      <c r="C122" s="237"/>
      <c r="D122" s="472"/>
      <c r="E122" s="239"/>
      <c r="F122" s="241"/>
      <c r="G122" s="241"/>
      <c r="H122" s="238"/>
      <c r="I122" s="238"/>
      <c r="J122" s="240"/>
      <c r="K122" s="236"/>
      <c r="L122" s="237"/>
      <c r="M122" s="472"/>
      <c r="N122" s="239"/>
      <c r="O122" s="241"/>
      <c r="P122" s="241"/>
      <c r="Q122" s="238"/>
      <c r="R122" s="238"/>
      <c r="S122" s="240"/>
    </row>
    <row r="123" spans="1:19">
      <c r="B123" s="473"/>
      <c r="C123" s="474"/>
      <c r="D123" s="472"/>
      <c r="E123" s="276"/>
      <c r="F123" s="276"/>
      <c r="G123" s="276"/>
      <c r="H123" s="276"/>
      <c r="I123" s="276"/>
      <c r="J123" s="235"/>
      <c r="K123" s="473"/>
      <c r="L123" s="474"/>
      <c r="M123" s="472"/>
      <c r="N123" s="276"/>
      <c r="O123" s="276"/>
      <c r="P123" s="276"/>
      <c r="Q123" s="276"/>
      <c r="R123" s="276"/>
      <c r="S123" s="235"/>
    </row>
    <row r="124" spans="1:19">
      <c r="B124" s="236"/>
      <c r="C124" s="276" t="s">
        <v>159</v>
      </c>
      <c r="D124" s="276"/>
      <c r="E124" s="276"/>
      <c r="F124" s="276"/>
      <c r="G124" s="276"/>
      <c r="H124" s="276"/>
      <c r="I124" s="276"/>
      <c r="J124" s="235"/>
      <c r="K124" s="236"/>
      <c r="L124" s="276" t="s">
        <v>159</v>
      </c>
      <c r="M124" s="276"/>
      <c r="N124" s="276"/>
      <c r="O124" s="276"/>
      <c r="P124" s="276"/>
      <c r="Q124" s="276"/>
      <c r="R124" s="276"/>
      <c r="S124" s="235"/>
    </row>
    <row r="125" spans="1:19">
      <c r="B125" s="236"/>
      <c r="C125" s="276"/>
      <c r="D125" s="276"/>
      <c r="E125" s="276"/>
      <c r="F125" s="276"/>
      <c r="G125" s="276"/>
      <c r="H125" s="276"/>
      <c r="I125" s="276"/>
      <c r="J125" s="235"/>
      <c r="K125" s="236"/>
      <c r="L125" s="276"/>
      <c r="M125" s="276"/>
      <c r="N125" s="276"/>
      <c r="O125" s="276"/>
      <c r="P125" s="276"/>
      <c r="Q125" s="276"/>
      <c r="R125" s="276"/>
      <c r="S125" s="235"/>
    </row>
    <row r="126" spans="1:19">
      <c r="B126" s="478"/>
      <c r="C126" s="238" t="s">
        <v>108</v>
      </c>
      <c r="D126" s="238" t="s">
        <v>163</v>
      </c>
      <c r="E126" s="238"/>
      <c r="F126" s="238"/>
      <c r="G126" s="238"/>
      <c r="H126" s="238"/>
      <c r="I126" s="238"/>
      <c r="J126" s="240"/>
      <c r="K126" s="478"/>
      <c r="L126" s="238" t="s">
        <v>108</v>
      </c>
      <c r="M126" s="238" t="s">
        <v>163</v>
      </c>
      <c r="N126" s="238"/>
      <c r="O126" s="238"/>
      <c r="P126" s="238"/>
      <c r="Q126" s="238"/>
      <c r="R126" s="238"/>
      <c r="S126" s="240"/>
    </row>
    <row r="127" spans="1:19"/>
    <row r="128" spans="1:19"/>
    <row r="129"/>
  </sheetData>
  <sheetProtection sheet="1" objects="1" scenarios="1"/>
  <protectedRanges>
    <protectedRange sqref="F1 D42 M42 M86 D86" name="Tilpas produktpriserne"/>
  </protectedRanges>
  <mergeCells count="19">
    <mergeCell ref="L88:S88"/>
    <mergeCell ref="B89:G89"/>
    <mergeCell ref="H89:J89"/>
    <mergeCell ref="Q89:S89"/>
    <mergeCell ref="K89:P89"/>
    <mergeCell ref="C88:J88"/>
    <mergeCell ref="B45:G45"/>
    <mergeCell ref="H45:J45"/>
    <mergeCell ref="L40:S41"/>
    <mergeCell ref="L44:S44"/>
    <mergeCell ref="K45:P45"/>
    <mergeCell ref="Q45:S45"/>
    <mergeCell ref="A5:S5"/>
    <mergeCell ref="B6:J6"/>
    <mergeCell ref="K6:O6"/>
    <mergeCell ref="P6:S6"/>
    <mergeCell ref="C44:J44"/>
    <mergeCell ref="K40:K41"/>
    <mergeCell ref="C40:J41"/>
  </mergeCells>
  <hyperlinks>
    <hyperlink ref="E2" r:id="rId1" xr:uid="{F6546594-FD1B-4230-852B-C9A08CD80C14}"/>
    <hyperlink ref="F42" r:id="rId2" xr:uid="{4170F301-CC9C-4DD5-8446-9480175912EC}"/>
    <hyperlink ref="O42" r:id="rId3" xr:uid="{4922D3E4-8A08-42D6-B4F1-7A66F190BBDB}"/>
  </hyperlinks>
  <pageMargins left="0.7" right="0.7" top="0.75" bottom="0.75" header="0.3" footer="0.3"/>
  <pageSetup paperSize="9"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0E6E-A1AD-48C0-9D2A-C171C83DDC0D}">
  <sheetPr codeName="Ark13">
    <tabColor theme="4"/>
  </sheetPr>
  <dimension ref="A1:L49"/>
  <sheetViews>
    <sheetView showGridLines="0" zoomScaleNormal="100" workbookViewId="0">
      <selection activeCell="O20" sqref="O20"/>
    </sheetView>
  </sheetViews>
  <sheetFormatPr defaultColWidth="13.28515625" defaultRowHeight="15"/>
  <cols>
    <col min="1" max="1" width="13.28515625" style="330"/>
    <col min="2" max="2" width="15.85546875" style="322" customWidth="1"/>
    <col min="3" max="4" width="14.7109375" style="322" customWidth="1"/>
    <col min="5" max="16384" width="13.28515625" style="322"/>
  </cols>
  <sheetData>
    <row r="1" spans="1:12" s="319" customFormat="1" ht="19.5">
      <c r="A1" s="318" t="s">
        <v>90</v>
      </c>
    </row>
    <row r="2" spans="1:12" s="319" customFormat="1" ht="19.5">
      <c r="A2" s="318" t="s">
        <v>91</v>
      </c>
    </row>
    <row r="4" spans="1:12" ht="36">
      <c r="A4" s="320" t="s">
        <v>92</v>
      </c>
      <c r="B4" s="321" t="s">
        <v>93</v>
      </c>
      <c r="C4" s="321" t="s">
        <v>94</v>
      </c>
      <c r="D4" s="321" t="s">
        <v>95</v>
      </c>
    </row>
    <row r="5" spans="1:12">
      <c r="A5" s="323">
        <v>2019</v>
      </c>
      <c r="B5" s="324">
        <v>350</v>
      </c>
      <c r="C5" s="324">
        <v>491.04027223076099</v>
      </c>
      <c r="D5" s="324">
        <v>675.27079961678908</v>
      </c>
      <c r="E5" s="325"/>
      <c r="K5" s="326"/>
      <c r="L5" s="326"/>
    </row>
    <row r="6" spans="1:12">
      <c r="A6" s="323">
        <v>2020</v>
      </c>
      <c r="B6" s="324">
        <v>370</v>
      </c>
      <c r="C6" s="324">
        <v>512.26056969585852</v>
      </c>
      <c r="D6" s="324">
        <v>696.49109708188655</v>
      </c>
      <c r="E6" s="325">
        <f>((C6/$C$5)^(1/(A6-$A$5)))-1</f>
        <v>4.3214983913020477E-2</v>
      </c>
      <c r="F6" s="327">
        <f>AVERAGE($E$6:E6)</f>
        <v>4.3214983913020477E-2</v>
      </c>
      <c r="K6" s="326"/>
      <c r="L6" s="326"/>
    </row>
    <row r="7" spans="1:12">
      <c r="A7" s="323">
        <v>2021</v>
      </c>
      <c r="B7" s="324">
        <v>360</v>
      </c>
      <c r="C7" s="324">
        <v>501.63687146843711</v>
      </c>
      <c r="D7" s="324">
        <v>685.86739885446525</v>
      </c>
      <c r="E7" s="325">
        <f>((C7/$C$5)^(1/(A7-$A$5)))-1</f>
        <v>1.0732357504783074E-2</v>
      </c>
      <c r="F7" s="327">
        <f>AVERAGE($E$6:E7)</f>
        <v>2.6973670708901776E-2</v>
      </c>
      <c r="K7" s="326"/>
      <c r="L7" s="326"/>
    </row>
    <row r="8" spans="1:12">
      <c r="A8" s="323">
        <v>2022</v>
      </c>
      <c r="B8" s="324">
        <v>360</v>
      </c>
      <c r="C8" s="324">
        <v>501.62868763702522</v>
      </c>
      <c r="D8" s="324">
        <v>685.85921502305325</v>
      </c>
      <c r="E8" s="325">
        <f t="shared" ref="E8:E26" si="0">((C8/$C$5)^(1/(A8-$A$5)))-1</f>
        <v>7.1366905495475752E-3</v>
      </c>
      <c r="F8" s="327">
        <f>AVERAGE($E$6:E8)</f>
        <v>2.0361343989117042E-2</v>
      </c>
      <c r="K8" s="326"/>
      <c r="L8" s="326"/>
    </row>
    <row r="9" spans="1:12">
      <c r="A9" s="323">
        <v>2023</v>
      </c>
      <c r="B9" s="324">
        <v>380</v>
      </c>
      <c r="C9" s="324">
        <v>522.85155531929979</v>
      </c>
      <c r="D9" s="324">
        <v>707.08208270532782</v>
      </c>
      <c r="E9" s="325">
        <f t="shared" si="0"/>
        <v>1.5816640953520311E-2</v>
      </c>
      <c r="F9" s="327">
        <f>AVERAGE($E$6:E9)</f>
        <v>1.9225168230217859E-2</v>
      </c>
      <c r="K9" s="326"/>
      <c r="L9" s="326"/>
    </row>
    <row r="10" spans="1:12">
      <c r="A10" s="323">
        <v>2024</v>
      </c>
      <c r="B10" s="324">
        <v>390</v>
      </c>
      <c r="C10" s="324">
        <v>533.46187389034321</v>
      </c>
      <c r="D10" s="324">
        <v>717.69240127637124</v>
      </c>
      <c r="E10" s="328">
        <f t="shared" si="0"/>
        <v>1.6710373911233534E-2</v>
      </c>
      <c r="F10" s="327">
        <f>AVERAGE($E$6:E10)</f>
        <v>1.8722209366420994E-2</v>
      </c>
      <c r="K10" s="326"/>
      <c r="L10" s="326"/>
    </row>
    <row r="11" spans="1:12">
      <c r="A11" s="323">
        <v>2025</v>
      </c>
      <c r="B11" s="324">
        <v>400</v>
      </c>
      <c r="C11" s="324">
        <v>544.07395991253111</v>
      </c>
      <c r="D11" s="324">
        <v>728.30448729855914</v>
      </c>
      <c r="E11" s="325">
        <f t="shared" si="0"/>
        <v>1.7240098928582581E-2</v>
      </c>
      <c r="F11" s="327">
        <f>AVERAGE($E$6:E11)</f>
        <v>1.8475190960114591E-2</v>
      </c>
      <c r="K11" s="326"/>
      <c r="L11" s="326"/>
    </row>
    <row r="12" spans="1:12">
      <c r="A12" s="323">
        <v>2026</v>
      </c>
      <c r="B12" s="324">
        <v>390</v>
      </c>
      <c r="C12" s="324">
        <v>533.47661210050194</v>
      </c>
      <c r="D12" s="324">
        <v>717.70713948652997</v>
      </c>
      <c r="E12" s="325">
        <f t="shared" si="0"/>
        <v>1.1911683699938669E-2</v>
      </c>
      <c r="F12" s="327">
        <f>AVERAGE($E$6:E12)</f>
        <v>1.7537547065803745E-2</v>
      </c>
      <c r="K12" s="326"/>
      <c r="L12" s="326"/>
    </row>
    <row r="13" spans="1:12">
      <c r="A13" s="323">
        <v>2027</v>
      </c>
      <c r="B13" s="324">
        <v>390</v>
      </c>
      <c r="C13" s="324">
        <v>533.4912983062361</v>
      </c>
      <c r="D13" s="324">
        <v>717.72182569226413</v>
      </c>
      <c r="E13" s="325">
        <f t="shared" si="0"/>
        <v>1.0418475121897863E-2</v>
      </c>
      <c r="F13" s="327">
        <f>AVERAGE($E$6:E13)</f>
        <v>1.6647663072815511E-2</v>
      </c>
      <c r="K13" s="326"/>
      <c r="L13" s="326"/>
    </row>
    <row r="14" spans="1:12">
      <c r="A14" s="323">
        <v>2028</v>
      </c>
      <c r="B14" s="324">
        <v>390</v>
      </c>
      <c r="C14" s="324">
        <v>533.50800983662907</v>
      </c>
      <c r="D14" s="324">
        <v>717.7385372226571</v>
      </c>
      <c r="E14" s="325">
        <f t="shared" si="0"/>
        <v>9.2590398204261959E-3</v>
      </c>
      <c r="F14" s="327">
        <f>AVERAGE($E$6:E14)</f>
        <v>1.5826704933661142E-2</v>
      </c>
      <c r="K14" s="326"/>
      <c r="L14" s="326"/>
    </row>
    <row r="15" spans="1:12">
      <c r="A15" s="323">
        <v>2029</v>
      </c>
      <c r="B15" s="324">
        <v>380</v>
      </c>
      <c r="C15" s="324">
        <v>522.90800951562835</v>
      </c>
      <c r="D15" s="324">
        <v>707.13853690165638</v>
      </c>
      <c r="E15" s="325">
        <f t="shared" si="0"/>
        <v>6.3077519338963217E-3</v>
      </c>
      <c r="F15" s="327">
        <f>AVERAGE($E$6:E15)</f>
        <v>1.487480963368466E-2</v>
      </c>
      <c r="K15" s="326"/>
      <c r="L15" s="326"/>
    </row>
    <row r="16" spans="1:12">
      <c r="A16" s="323">
        <v>2030</v>
      </c>
      <c r="B16" s="324">
        <v>380</v>
      </c>
      <c r="C16" s="324">
        <v>522.92238996038088</v>
      </c>
      <c r="D16" s="324">
        <v>707.15291734640891</v>
      </c>
      <c r="E16" s="325">
        <f t="shared" si="0"/>
        <v>5.7351939606606894E-3</v>
      </c>
      <c r="F16" s="327">
        <f>AVERAGE($E$6:E16)</f>
        <v>1.4043935481591573E-2</v>
      </c>
      <c r="K16" s="326"/>
      <c r="L16" s="326"/>
    </row>
    <row r="17" spans="1:12">
      <c r="A17" s="323">
        <v>2031</v>
      </c>
      <c r="B17" s="324">
        <v>380</v>
      </c>
      <c r="C17" s="324">
        <v>522.92238996038088</v>
      </c>
      <c r="D17" s="324">
        <v>707.15291734640891</v>
      </c>
      <c r="E17" s="325">
        <f t="shared" si="0"/>
        <v>5.2560074158845005E-3</v>
      </c>
      <c r="F17" s="327">
        <f>AVERAGE($E$6:E17)</f>
        <v>1.3311608142782649E-2</v>
      </c>
      <c r="K17" s="326"/>
      <c r="L17" s="326"/>
    </row>
    <row r="18" spans="1:12">
      <c r="A18" s="323">
        <v>2032</v>
      </c>
      <c r="B18" s="324">
        <v>380</v>
      </c>
      <c r="C18" s="324">
        <v>522.92238996038088</v>
      </c>
      <c r="D18" s="324">
        <v>707.15291734640891</v>
      </c>
      <c r="E18" s="325">
        <f t="shared" si="0"/>
        <v>4.8507202075911415E-3</v>
      </c>
      <c r="F18" s="327">
        <f>AVERAGE($E$6:E18)</f>
        <v>1.266077060930638E-2</v>
      </c>
      <c r="K18" s="326"/>
      <c r="L18" s="326"/>
    </row>
    <row r="19" spans="1:12">
      <c r="A19" s="323">
        <v>2033</v>
      </c>
      <c r="B19" s="324">
        <v>370</v>
      </c>
      <c r="C19" s="324">
        <v>512.30667870772697</v>
      </c>
      <c r="D19" s="324">
        <v>696.537206093755</v>
      </c>
      <c r="E19" s="325">
        <f t="shared" si="0"/>
        <v>3.0329674744697943E-3</v>
      </c>
      <c r="F19" s="327">
        <f>AVERAGE($E$6:E19)</f>
        <v>1.1973070385389481E-2</v>
      </c>
      <c r="K19" s="326"/>
      <c r="L19" s="326"/>
    </row>
    <row r="20" spans="1:12">
      <c r="A20" s="323">
        <v>2034</v>
      </c>
      <c r="B20" s="324">
        <v>380</v>
      </c>
      <c r="C20" s="324">
        <v>522.92238996038088</v>
      </c>
      <c r="D20" s="324">
        <v>707.15291734640891</v>
      </c>
      <c r="E20" s="325">
        <f t="shared" si="0"/>
        <v>4.2026005166180269E-3</v>
      </c>
      <c r="F20" s="327">
        <f>AVERAGE($E$6:E20)</f>
        <v>1.1455039060804717E-2</v>
      </c>
      <c r="K20" s="326"/>
      <c r="L20" s="326"/>
    </row>
    <row r="21" spans="1:12">
      <c r="A21" s="323">
        <v>2035</v>
      </c>
      <c r="B21" s="324">
        <v>370</v>
      </c>
      <c r="C21" s="324">
        <v>512.30667870772697</v>
      </c>
      <c r="D21" s="324">
        <v>696.537206093755</v>
      </c>
      <c r="E21" s="325">
        <f t="shared" si="0"/>
        <v>2.6533440470177805E-3</v>
      </c>
      <c r="F21" s="327">
        <f>AVERAGE($E$6:E21)</f>
        <v>1.0904933122443033E-2</v>
      </c>
      <c r="K21" s="326"/>
      <c r="L21" s="326"/>
    </row>
    <row r="22" spans="1:12">
      <c r="A22" s="323">
        <v>2036</v>
      </c>
      <c r="B22" s="324">
        <v>380</v>
      </c>
      <c r="C22" s="324">
        <v>522.92238996038088</v>
      </c>
      <c r="D22" s="324">
        <v>707.15291734640891</v>
      </c>
      <c r="E22" s="325">
        <f t="shared" si="0"/>
        <v>3.7072616534301606E-3</v>
      </c>
      <c r="F22" s="327">
        <f>AVERAGE($E$6:E22)</f>
        <v>1.0481540683089334E-2</v>
      </c>
      <c r="K22" s="326"/>
      <c r="L22" s="326"/>
    </row>
    <row r="23" spans="1:12">
      <c r="A23" s="323">
        <v>2037</v>
      </c>
      <c r="B23" s="324">
        <v>380</v>
      </c>
      <c r="C23" s="324">
        <v>522.92238996038088</v>
      </c>
      <c r="D23" s="324">
        <v>707.15291734640891</v>
      </c>
      <c r="E23" s="325">
        <f t="shared" si="0"/>
        <v>3.5009425797452032E-3</v>
      </c>
      <c r="F23" s="327">
        <f>AVERAGE($E$6:E23)</f>
        <v>1.0093729677347995E-2</v>
      </c>
      <c r="K23" s="326"/>
      <c r="L23" s="326"/>
    </row>
    <row r="24" spans="1:12">
      <c r="A24" s="323">
        <v>2038</v>
      </c>
      <c r="B24" s="324">
        <v>380</v>
      </c>
      <c r="C24" s="324">
        <v>522.92238996038088</v>
      </c>
      <c r="D24" s="324">
        <v>707.15291734640891</v>
      </c>
      <c r="E24" s="325">
        <f t="shared" si="0"/>
        <v>3.3163772524753554E-3</v>
      </c>
      <c r="F24" s="327">
        <f>AVERAGE($E$6:E24)</f>
        <v>9.7370269181441711E-3</v>
      </c>
      <c r="K24" s="326"/>
      <c r="L24" s="326"/>
    </row>
    <row r="25" spans="1:12">
      <c r="A25" s="323">
        <v>2039</v>
      </c>
      <c r="B25" s="324">
        <v>380</v>
      </c>
      <c r="C25" s="324">
        <v>522.92238996038088</v>
      </c>
      <c r="D25" s="324">
        <v>707.15291734640891</v>
      </c>
      <c r="E25" s="325">
        <f t="shared" si="0"/>
        <v>3.1502974815287299E-3</v>
      </c>
      <c r="F25" s="327">
        <f>AVERAGE($E$6:E25)</f>
        <v>9.4076904463133992E-3</v>
      </c>
    </row>
    <row r="26" spans="1:12">
      <c r="A26" s="323">
        <v>2040</v>
      </c>
      <c r="B26" s="324">
        <v>380</v>
      </c>
      <c r="C26" s="324">
        <v>522.92238996038088</v>
      </c>
      <c r="D26" s="324">
        <v>707.15291734640891</v>
      </c>
      <c r="E26" s="325">
        <f t="shared" si="0"/>
        <v>3.0000585204139618E-3</v>
      </c>
      <c r="F26" s="327">
        <f>AVERAGE($E$6:E26)</f>
        <v>9.1025651165086638E-3</v>
      </c>
    </row>
    <row r="27" spans="1:12">
      <c r="A27" s="329" t="s">
        <v>96</v>
      </c>
    </row>
    <row r="28" spans="1:12">
      <c r="A28" s="329" t="s">
        <v>97</v>
      </c>
    </row>
    <row r="29" spans="1:12">
      <c r="A29" s="329" t="s">
        <v>98</v>
      </c>
    </row>
    <row r="30" spans="1:12">
      <c r="A30"/>
      <c r="B30"/>
      <c r="C30"/>
      <c r="D30"/>
    </row>
    <row r="31" spans="1:12">
      <c r="A31"/>
      <c r="B31"/>
      <c r="C31"/>
      <c r="D31"/>
    </row>
    <row r="32" spans="1:12">
      <c r="A32"/>
      <c r="B32"/>
      <c r="C32"/>
      <c r="D32"/>
    </row>
    <row r="33" spans="1:4">
      <c r="A33"/>
      <c r="B33"/>
      <c r="C33"/>
      <c r="D33"/>
    </row>
    <row r="34" spans="1:4">
      <c r="A34"/>
      <c r="B34"/>
      <c r="C34"/>
      <c r="D34"/>
    </row>
    <row r="35" spans="1:4">
      <c r="A35"/>
      <c r="B35"/>
      <c r="C35"/>
      <c r="D35"/>
    </row>
    <row r="36" spans="1:4">
      <c r="A36"/>
      <c r="B36"/>
      <c r="C36"/>
      <c r="D36"/>
    </row>
    <row r="37" spans="1:4">
      <c r="A37"/>
      <c r="B37"/>
      <c r="C37"/>
      <c r="D37"/>
    </row>
    <row r="38" spans="1:4">
      <c r="A38"/>
      <c r="B38"/>
      <c r="C38"/>
      <c r="D38"/>
    </row>
    <row r="39" spans="1:4">
      <c r="A39"/>
      <c r="B39"/>
      <c r="C39"/>
      <c r="D39"/>
    </row>
    <row r="40" spans="1:4">
      <c r="A40"/>
      <c r="B40"/>
      <c r="C40"/>
      <c r="D40"/>
    </row>
    <row r="41" spans="1:4">
      <c r="A41"/>
      <c r="B41"/>
      <c r="C41"/>
      <c r="D41"/>
    </row>
    <row r="42" spans="1:4">
      <c r="A42"/>
      <c r="B42"/>
      <c r="C42"/>
      <c r="D42"/>
    </row>
    <row r="43" spans="1:4">
      <c r="A43"/>
      <c r="B43"/>
      <c r="C43"/>
      <c r="D43"/>
    </row>
    <row r="44" spans="1:4">
      <c r="A44"/>
      <c r="B44"/>
      <c r="C44"/>
      <c r="D44"/>
    </row>
    <row r="45" spans="1:4">
      <c r="A45"/>
      <c r="B45"/>
      <c r="C45"/>
      <c r="D45"/>
    </row>
    <row r="46" spans="1:4">
      <c r="A46"/>
      <c r="B46"/>
      <c r="C46"/>
      <c r="D46"/>
    </row>
    <row r="47" spans="1:4">
      <c r="A47"/>
      <c r="B47"/>
      <c r="C47"/>
      <c r="D47"/>
    </row>
    <row r="48" spans="1:4">
      <c r="A48"/>
      <c r="B48"/>
      <c r="C48"/>
      <c r="D48"/>
    </row>
    <row r="49" spans="1:4">
      <c r="A49"/>
      <c r="B49"/>
      <c r="C49"/>
      <c r="D49"/>
    </row>
  </sheetData>
  <sheetProtection sheet="1" objects="1" scenarios="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5F03C-EC11-4055-92AB-2C948AF751BB}">
  <sheetPr codeName="Ark14">
    <tabColor theme="4"/>
  </sheetPr>
  <dimension ref="A1:P46"/>
  <sheetViews>
    <sheetView showGridLines="0" zoomScaleNormal="100" workbookViewId="0">
      <selection activeCell="K29" sqref="K29"/>
    </sheetView>
  </sheetViews>
  <sheetFormatPr defaultColWidth="13.28515625" defaultRowHeight="15"/>
  <cols>
    <col min="1" max="1" width="13.28515625" style="330"/>
    <col min="2" max="2" width="15.85546875" style="322" customWidth="1"/>
    <col min="3" max="6" width="14.7109375" style="322" customWidth="1"/>
    <col min="7" max="16384" width="13.28515625" style="322"/>
  </cols>
  <sheetData>
    <row r="1" spans="1:16" s="319" customFormat="1" ht="19.5">
      <c r="A1" s="318" t="s">
        <v>99</v>
      </c>
    </row>
    <row r="2" spans="1:16" s="319" customFormat="1" ht="19.5">
      <c r="A2" s="318" t="s">
        <v>100</v>
      </c>
    </row>
    <row r="3" spans="1:16" ht="15.75" thickBot="1"/>
    <row r="4" spans="1:16" ht="48">
      <c r="A4" s="320" t="s">
        <v>101</v>
      </c>
      <c r="B4" s="321" t="s">
        <v>102</v>
      </c>
      <c r="C4" s="321" t="s">
        <v>103</v>
      </c>
      <c r="D4" s="331" t="s">
        <v>104</v>
      </c>
      <c r="E4" s="332" t="s">
        <v>105</v>
      </c>
      <c r="F4" s="333" t="s">
        <v>106</v>
      </c>
      <c r="G4" s="322" t="s">
        <v>107</v>
      </c>
      <c r="H4" s="322" t="s">
        <v>107</v>
      </c>
      <c r="I4" s="322" t="s">
        <v>108</v>
      </c>
      <c r="J4" s="322" t="s">
        <v>108</v>
      </c>
    </row>
    <row r="5" spans="1:16">
      <c r="A5" s="323">
        <v>2019</v>
      </c>
      <c r="B5" s="334">
        <v>73.900000000000006</v>
      </c>
      <c r="C5" s="334">
        <v>123.6</v>
      </c>
      <c r="D5" s="335">
        <v>118.1</v>
      </c>
      <c r="E5" s="336">
        <f>+C5*$C$34</f>
        <v>3.9552</v>
      </c>
      <c r="F5" s="337">
        <f>+D5*$C$35</f>
        <v>4.2515999999999998</v>
      </c>
      <c r="G5" s="325"/>
      <c r="O5" s="326"/>
      <c r="P5" s="326"/>
    </row>
    <row r="6" spans="1:16">
      <c r="A6" s="323">
        <v>2020</v>
      </c>
      <c r="B6" s="334">
        <v>75.900000000000006</v>
      </c>
      <c r="C6" s="334">
        <v>125.7</v>
      </c>
      <c r="D6" s="335">
        <v>120.1</v>
      </c>
      <c r="E6" s="336">
        <f t="shared" ref="E6:E26" si="0">+C6*$C$34</f>
        <v>4.0224000000000002</v>
      </c>
      <c r="F6" s="337">
        <f t="shared" ref="F6:F26" si="1">+D6*$C$35</f>
        <v>4.3235999999999999</v>
      </c>
      <c r="G6" s="325">
        <f>((C6/$C$5)^(1/(A6-$A$5)))-1</f>
        <v>1.6990291262136026E-2</v>
      </c>
      <c r="H6" s="327">
        <f>AVERAGE($G$6:G6)</f>
        <v>1.6990291262136026E-2</v>
      </c>
      <c r="I6" s="325">
        <f>((D6/$D$5)^(1/(A6-$A$5)))-1</f>
        <v>1.693480101608813E-2</v>
      </c>
      <c r="J6" s="327">
        <f>AVERAGE($I$6:I6)</f>
        <v>1.693480101608813E-2</v>
      </c>
      <c r="O6" s="326"/>
      <c r="P6" s="326"/>
    </row>
    <row r="7" spans="1:16">
      <c r="A7" s="323">
        <v>2021</v>
      </c>
      <c r="B7" s="334">
        <v>77.7</v>
      </c>
      <c r="C7" s="334">
        <v>127.4</v>
      </c>
      <c r="D7" s="335">
        <v>121.9</v>
      </c>
      <c r="E7" s="336">
        <f t="shared" si="0"/>
        <v>4.0768000000000004</v>
      </c>
      <c r="F7" s="337">
        <f t="shared" si="1"/>
        <v>4.3883999999999999</v>
      </c>
      <c r="G7" s="325">
        <f>((C7/$C$5)^(1/(A7-$A$5)))-1</f>
        <v>1.5255798589488112E-2</v>
      </c>
      <c r="H7" s="327">
        <f>AVERAGE($G$6:G7)</f>
        <v>1.6123044925812069E-2</v>
      </c>
      <c r="I7" s="325">
        <f t="shared" ref="I7:I26" si="2">((D7/$D$5)^(1/(A7-$A$5)))-1</f>
        <v>1.5960689165957609E-2</v>
      </c>
      <c r="J7" s="327">
        <f>AVERAGE($I$6:I7)</f>
        <v>1.644774509102287E-2</v>
      </c>
      <c r="O7" s="326"/>
      <c r="P7" s="326"/>
    </row>
    <row r="8" spans="1:16">
      <c r="A8" s="323">
        <v>2022</v>
      </c>
      <c r="B8" s="334">
        <v>79.3</v>
      </c>
      <c r="C8" s="334">
        <v>129</v>
      </c>
      <c r="D8" s="335">
        <v>123.5</v>
      </c>
      <c r="E8" s="336">
        <f t="shared" si="0"/>
        <v>4.1280000000000001</v>
      </c>
      <c r="F8" s="337">
        <f t="shared" si="1"/>
        <v>4.4459999999999997</v>
      </c>
      <c r="G8" s="325">
        <f t="shared" ref="G8:G26" si="3">((C8/$C$5)^(1/(A8-$A$5)))-1</f>
        <v>1.4356025102198133E-2</v>
      </c>
      <c r="H8" s="327">
        <f>AVERAGE($G$6:G8)</f>
        <v>1.5534038317940757E-2</v>
      </c>
      <c r="I8" s="325">
        <f t="shared" si="2"/>
        <v>1.5014749878575984E-2</v>
      </c>
      <c r="J8" s="327">
        <f>AVERAGE($I$6:I8)</f>
        <v>1.597008002020724E-2</v>
      </c>
      <c r="O8" s="326"/>
      <c r="P8" s="326"/>
    </row>
    <row r="9" spans="1:16">
      <c r="A9" s="323">
        <v>2023</v>
      </c>
      <c r="B9" s="334">
        <v>81</v>
      </c>
      <c r="C9" s="334">
        <v>130.80000000000001</v>
      </c>
      <c r="D9" s="335">
        <v>125.2</v>
      </c>
      <c r="E9" s="336">
        <f t="shared" si="0"/>
        <v>4.1856000000000009</v>
      </c>
      <c r="F9" s="337">
        <f t="shared" si="1"/>
        <v>4.5072000000000001</v>
      </c>
      <c r="G9" s="325">
        <f t="shared" si="3"/>
        <v>1.4255375940340098E-2</v>
      </c>
      <c r="H9" s="327">
        <f>AVERAGE($G$6:G9)</f>
        <v>1.5214372723540592E-2</v>
      </c>
      <c r="I9" s="325">
        <f t="shared" si="2"/>
        <v>1.470221363415769E-2</v>
      </c>
      <c r="J9" s="327">
        <f>AVERAGE($I$6:I9)</f>
        <v>1.5653113423694853E-2</v>
      </c>
      <c r="O9" s="326"/>
      <c r="P9" s="326"/>
    </row>
    <row r="10" spans="1:16">
      <c r="A10" s="323">
        <v>2024</v>
      </c>
      <c r="B10" s="334">
        <v>82.7</v>
      </c>
      <c r="C10" s="334">
        <v>132.4</v>
      </c>
      <c r="D10" s="335">
        <v>126.9</v>
      </c>
      <c r="E10" s="336">
        <f t="shared" si="0"/>
        <v>4.2368000000000006</v>
      </c>
      <c r="F10" s="337">
        <f t="shared" si="1"/>
        <v>4.5683999999999996</v>
      </c>
      <c r="G10" s="328">
        <f t="shared" si="3"/>
        <v>1.3850460757952376E-2</v>
      </c>
      <c r="H10" s="327">
        <f>AVERAGE($G$6:G10)</f>
        <v>1.4941590330422949E-2</v>
      </c>
      <c r="I10" s="328">
        <f t="shared" si="2"/>
        <v>1.4477326198338414E-2</v>
      </c>
      <c r="J10" s="327">
        <f>AVERAGE($I$6:I10)</f>
        <v>1.5417955978623565E-2</v>
      </c>
      <c r="O10" s="326"/>
      <c r="P10" s="326"/>
    </row>
    <row r="11" spans="1:16">
      <c r="A11" s="323">
        <v>2025</v>
      </c>
      <c r="B11" s="334">
        <v>84.1</v>
      </c>
      <c r="C11" s="334">
        <v>133.80000000000001</v>
      </c>
      <c r="D11" s="335">
        <v>128.19999999999999</v>
      </c>
      <c r="E11" s="336">
        <f t="shared" si="0"/>
        <v>4.2816000000000001</v>
      </c>
      <c r="F11" s="337">
        <f t="shared" si="1"/>
        <v>4.6151999999999989</v>
      </c>
      <c r="G11" s="325">
        <f t="shared" si="3"/>
        <v>1.3303650223536412E-2</v>
      </c>
      <c r="H11" s="327">
        <f>AVERAGE($G$6:G11)</f>
        <v>1.4668600312608526E-2</v>
      </c>
      <c r="I11" s="325">
        <f t="shared" si="2"/>
        <v>1.3770589910605313E-2</v>
      </c>
      <c r="J11" s="327">
        <f>AVERAGE($I$6:I11)</f>
        <v>1.5143394967287191E-2</v>
      </c>
      <c r="O11" s="326"/>
      <c r="P11" s="326"/>
    </row>
    <row r="12" spans="1:16">
      <c r="A12" s="323">
        <v>2026</v>
      </c>
      <c r="B12" s="334">
        <v>86.7</v>
      </c>
      <c r="C12" s="334">
        <v>136.4</v>
      </c>
      <c r="D12" s="335">
        <v>130.9</v>
      </c>
      <c r="E12" s="336">
        <f t="shared" si="0"/>
        <v>4.3648000000000007</v>
      </c>
      <c r="F12" s="337">
        <f t="shared" si="1"/>
        <v>4.7123999999999997</v>
      </c>
      <c r="G12" s="325">
        <f t="shared" si="3"/>
        <v>1.4176866323344806E-2</v>
      </c>
      <c r="H12" s="327">
        <f>AVERAGE($G$6:G12)</f>
        <v>1.4598352599856566E-2</v>
      </c>
      <c r="I12" s="325">
        <f t="shared" si="2"/>
        <v>1.4808859026894661E-2</v>
      </c>
      <c r="J12" s="327">
        <f>AVERAGE($I$6:I12)</f>
        <v>1.5095604118659687E-2</v>
      </c>
      <c r="O12" s="326"/>
      <c r="P12" s="326"/>
    </row>
    <row r="13" spans="1:16">
      <c r="A13" s="323">
        <v>2027</v>
      </c>
      <c r="B13" s="334">
        <v>88.2</v>
      </c>
      <c r="C13" s="334">
        <v>137.9</v>
      </c>
      <c r="D13" s="335">
        <v>132.4</v>
      </c>
      <c r="E13" s="336">
        <f t="shared" si="0"/>
        <v>4.4127999999999998</v>
      </c>
      <c r="F13" s="337">
        <f t="shared" si="1"/>
        <v>4.7664</v>
      </c>
      <c r="G13" s="325">
        <f t="shared" si="3"/>
        <v>1.3778845170805631E-2</v>
      </c>
      <c r="H13" s="327">
        <f>AVERAGE($G$6:G13)</f>
        <v>1.4495914171225199E-2</v>
      </c>
      <c r="I13" s="325">
        <f t="shared" si="2"/>
        <v>1.4389536859433782E-2</v>
      </c>
      <c r="J13" s="327">
        <f>AVERAGE($I$6:I13)</f>
        <v>1.5007345711256448E-2</v>
      </c>
      <c r="O13" s="326"/>
      <c r="P13" s="326"/>
    </row>
    <row r="14" spans="1:16">
      <c r="A14" s="323">
        <v>2028</v>
      </c>
      <c r="B14" s="334">
        <v>89.6</v>
      </c>
      <c r="C14" s="334">
        <v>139.30000000000001</v>
      </c>
      <c r="D14" s="335">
        <v>133.80000000000001</v>
      </c>
      <c r="E14" s="336">
        <f t="shared" si="0"/>
        <v>4.4576000000000002</v>
      </c>
      <c r="F14" s="337">
        <f t="shared" si="1"/>
        <v>4.8167999999999997</v>
      </c>
      <c r="G14" s="325">
        <f t="shared" si="3"/>
        <v>1.337525186093913E-2</v>
      </c>
      <c r="H14" s="327">
        <f>AVERAGE($G$6:G14)</f>
        <v>1.437139613674897E-2</v>
      </c>
      <c r="I14" s="325">
        <f t="shared" si="2"/>
        <v>1.3964879926149809E-2</v>
      </c>
      <c r="J14" s="327">
        <f>AVERAGE($I$6:I14)</f>
        <v>1.4891516179577933E-2</v>
      </c>
      <c r="O14" s="326"/>
      <c r="P14" s="326"/>
    </row>
    <row r="15" spans="1:16">
      <c r="A15" s="323">
        <v>2029</v>
      </c>
      <c r="B15" s="334">
        <v>90.9</v>
      </c>
      <c r="C15" s="334">
        <v>140.69999999999999</v>
      </c>
      <c r="D15" s="335">
        <v>135.1</v>
      </c>
      <c r="E15" s="336">
        <f t="shared" si="0"/>
        <v>4.5023999999999997</v>
      </c>
      <c r="F15" s="337">
        <f t="shared" si="1"/>
        <v>4.863599999999999</v>
      </c>
      <c r="G15" s="325">
        <f t="shared" si="3"/>
        <v>1.3042259840952974E-2</v>
      </c>
      <c r="H15" s="327">
        <f>AVERAGE($G$6:G15)</f>
        <v>1.4238482507169369E-2</v>
      </c>
      <c r="I15" s="325">
        <f t="shared" si="2"/>
        <v>1.3539188005064373E-2</v>
      </c>
      <c r="J15" s="327">
        <f>AVERAGE($I$6:I15)</f>
        <v>1.4756283362126577E-2</v>
      </c>
      <c r="O15" s="326"/>
      <c r="P15" s="326"/>
    </row>
    <row r="16" spans="1:16">
      <c r="A16" s="323">
        <v>2030</v>
      </c>
      <c r="B16" s="334">
        <v>92.1</v>
      </c>
      <c r="C16" s="334">
        <v>141.9</v>
      </c>
      <c r="D16" s="335">
        <v>136.30000000000001</v>
      </c>
      <c r="E16" s="336">
        <f t="shared" si="0"/>
        <v>4.5407999999999999</v>
      </c>
      <c r="F16" s="337">
        <f t="shared" si="1"/>
        <v>4.9067999999999996</v>
      </c>
      <c r="G16" s="325">
        <f t="shared" si="3"/>
        <v>1.2631110592491446E-2</v>
      </c>
      <c r="H16" s="327">
        <f>AVERAGE($G$6:G16)</f>
        <v>1.4092357787653194E-2</v>
      </c>
      <c r="I16" s="325">
        <f t="shared" si="2"/>
        <v>1.3114948644548985E-2</v>
      </c>
      <c r="J16" s="327">
        <f>AVERAGE($I$6:I16)</f>
        <v>1.4607071115074068E-2</v>
      </c>
      <c r="O16" s="326"/>
      <c r="P16" s="326"/>
    </row>
    <row r="17" spans="1:16">
      <c r="A17" s="323">
        <v>2031</v>
      </c>
      <c r="B17" s="334">
        <v>93.7</v>
      </c>
      <c r="C17" s="334">
        <v>143.4</v>
      </c>
      <c r="D17" s="335">
        <v>137.9</v>
      </c>
      <c r="E17" s="336">
        <f t="shared" si="0"/>
        <v>4.5888</v>
      </c>
      <c r="F17" s="337">
        <f t="shared" si="1"/>
        <v>4.9643999999999995</v>
      </c>
      <c r="G17" s="325">
        <f t="shared" si="3"/>
        <v>1.2459259773720754E-2</v>
      </c>
      <c r="H17" s="327">
        <f>AVERAGE($G$6:G17)</f>
        <v>1.3956266286492158E-2</v>
      </c>
      <c r="I17" s="325">
        <f t="shared" si="2"/>
        <v>1.3000199088065267E-2</v>
      </c>
      <c r="J17" s="327">
        <f>AVERAGE($I$6:I17)</f>
        <v>1.4473165112823335E-2</v>
      </c>
      <c r="O17" s="326"/>
      <c r="P17" s="326"/>
    </row>
    <row r="18" spans="1:16">
      <c r="A18" s="323">
        <v>2032</v>
      </c>
      <c r="B18" s="334">
        <v>95.6</v>
      </c>
      <c r="C18" s="334">
        <v>145.30000000000001</v>
      </c>
      <c r="D18" s="335">
        <v>139.69999999999999</v>
      </c>
      <c r="E18" s="336">
        <f t="shared" si="0"/>
        <v>4.6496000000000004</v>
      </c>
      <c r="F18" s="337">
        <f t="shared" si="1"/>
        <v>5.0291999999999994</v>
      </c>
      <c r="G18" s="325">
        <f t="shared" si="3"/>
        <v>1.2520037228344716E-2</v>
      </c>
      <c r="H18" s="327">
        <f>AVERAGE($G$6:G18)</f>
        <v>1.3845787128173125E-2</v>
      </c>
      <c r="I18" s="325">
        <f t="shared" si="2"/>
        <v>1.3004255746187576E-2</v>
      </c>
      <c r="J18" s="327">
        <f>AVERAGE($I$6:I18)</f>
        <v>1.4360172084620584E-2</v>
      </c>
      <c r="O18" s="326"/>
      <c r="P18" s="326"/>
    </row>
    <row r="19" spans="1:16">
      <c r="A19" s="323">
        <v>2033</v>
      </c>
      <c r="B19" s="334">
        <v>97.3</v>
      </c>
      <c r="C19" s="334">
        <v>147.1</v>
      </c>
      <c r="D19" s="335">
        <v>141.5</v>
      </c>
      <c r="E19" s="336">
        <f t="shared" si="0"/>
        <v>4.7072000000000003</v>
      </c>
      <c r="F19" s="337">
        <f t="shared" si="1"/>
        <v>5.0939999999999994</v>
      </c>
      <c r="G19" s="325">
        <f t="shared" si="3"/>
        <v>1.2510617029703797E-2</v>
      </c>
      <c r="H19" s="327">
        <f>AVERAGE($G$6:G19)</f>
        <v>1.3750417835425315E-2</v>
      </c>
      <c r="I19" s="325">
        <f t="shared" si="2"/>
        <v>1.2995719371205361E-2</v>
      </c>
      <c r="J19" s="327">
        <f>AVERAGE($I$6:I19)</f>
        <v>1.4262711176519496E-2</v>
      </c>
      <c r="O19" s="326"/>
      <c r="P19" s="326"/>
    </row>
    <row r="20" spans="1:16">
      <c r="A20" s="323">
        <v>2034</v>
      </c>
      <c r="B20" s="334">
        <v>99</v>
      </c>
      <c r="C20" s="334">
        <v>148.69999999999999</v>
      </c>
      <c r="D20" s="335">
        <v>143.19999999999999</v>
      </c>
      <c r="E20" s="336">
        <f t="shared" si="0"/>
        <v>4.7584</v>
      </c>
      <c r="F20" s="337">
        <f t="shared" si="1"/>
        <v>5.1551999999999989</v>
      </c>
      <c r="G20" s="325">
        <f t="shared" si="3"/>
        <v>1.2401624100809583E-2</v>
      </c>
      <c r="H20" s="327">
        <f>AVERAGE($G$6:G20)</f>
        <v>1.36604982531176E-2</v>
      </c>
      <c r="I20" s="325">
        <f t="shared" si="2"/>
        <v>1.2930250755056383E-2</v>
      </c>
      <c r="J20" s="327">
        <f>AVERAGE($I$6:I20)</f>
        <v>1.417388048175529E-2</v>
      </c>
      <c r="O20" s="326"/>
      <c r="P20" s="326"/>
    </row>
    <row r="21" spans="1:16">
      <c r="A21" s="323">
        <v>2035</v>
      </c>
      <c r="B21" s="334">
        <v>100.6</v>
      </c>
      <c r="C21" s="334">
        <v>150.30000000000001</v>
      </c>
      <c r="D21" s="335">
        <v>144.80000000000001</v>
      </c>
      <c r="E21" s="336">
        <f t="shared" si="0"/>
        <v>4.8096000000000005</v>
      </c>
      <c r="F21" s="337">
        <f t="shared" si="1"/>
        <v>5.2127999999999997</v>
      </c>
      <c r="G21" s="325">
        <f t="shared" si="3"/>
        <v>1.2298939475484216E-2</v>
      </c>
      <c r="H21" s="327">
        <f>AVERAGE($G$6:G21)</f>
        <v>1.3575400829515513E-2</v>
      </c>
      <c r="I21" s="325">
        <f t="shared" si="2"/>
        <v>1.2820344711908627E-2</v>
      </c>
      <c r="J21" s="327">
        <f>AVERAGE($I$6:I21)</f>
        <v>1.4089284496139873E-2</v>
      </c>
      <c r="O21" s="326"/>
      <c r="P21" s="326"/>
    </row>
    <row r="22" spans="1:16">
      <c r="A22" s="323">
        <v>2036</v>
      </c>
      <c r="B22" s="334">
        <v>102.1</v>
      </c>
      <c r="C22" s="334">
        <v>151.80000000000001</v>
      </c>
      <c r="D22" s="335">
        <v>146.30000000000001</v>
      </c>
      <c r="E22" s="336">
        <f t="shared" si="0"/>
        <v>4.8576000000000006</v>
      </c>
      <c r="F22" s="337">
        <f t="shared" si="1"/>
        <v>5.2667999999999999</v>
      </c>
      <c r="G22" s="325">
        <f t="shared" si="3"/>
        <v>1.2162386356991295E-2</v>
      </c>
      <c r="H22" s="327">
        <f>AVERAGE($G$6:G22)</f>
        <v>1.3492282331131736E-2</v>
      </c>
      <c r="I22" s="325">
        <f t="shared" si="2"/>
        <v>1.2675400729742492E-2</v>
      </c>
      <c r="J22" s="327">
        <f>AVERAGE($I$6:I22)</f>
        <v>1.400611486282238E-2</v>
      </c>
      <c r="O22" s="326"/>
      <c r="P22" s="326"/>
    </row>
    <row r="23" spans="1:16">
      <c r="A23" s="323">
        <v>2037</v>
      </c>
      <c r="B23" s="334">
        <v>103.5</v>
      </c>
      <c r="C23" s="334">
        <v>153.30000000000001</v>
      </c>
      <c r="D23" s="335">
        <v>147.69999999999999</v>
      </c>
      <c r="E23" s="336">
        <f t="shared" si="0"/>
        <v>4.9056000000000006</v>
      </c>
      <c r="F23" s="337">
        <f t="shared" si="1"/>
        <v>5.3171999999999988</v>
      </c>
      <c r="G23" s="325">
        <f t="shared" si="3"/>
        <v>1.2035531116097342E-2</v>
      </c>
      <c r="H23" s="327">
        <f>AVERAGE($G$6:G23)</f>
        <v>1.341135170807427E-2</v>
      </c>
      <c r="I23" s="325">
        <f t="shared" si="2"/>
        <v>1.2502593486070968E-2</v>
      </c>
      <c r="J23" s="327">
        <f>AVERAGE($I$6:I23)</f>
        <v>1.3922585897447302E-2</v>
      </c>
      <c r="O23" s="326"/>
      <c r="P23" s="326"/>
    </row>
    <row r="24" spans="1:16">
      <c r="A24" s="323">
        <v>2038</v>
      </c>
      <c r="B24" s="334">
        <v>104.9</v>
      </c>
      <c r="C24" s="334">
        <v>154.6</v>
      </c>
      <c r="D24" s="335">
        <v>149.1</v>
      </c>
      <c r="E24" s="336">
        <f t="shared" si="0"/>
        <v>4.9471999999999996</v>
      </c>
      <c r="F24" s="337">
        <f t="shared" si="1"/>
        <v>5.3675999999999995</v>
      </c>
      <c r="G24" s="325">
        <f t="shared" si="3"/>
        <v>1.1848091277497641E-2</v>
      </c>
      <c r="H24" s="327">
        <f>AVERAGE($G$6:G24)</f>
        <v>1.3329074843307078E-2</v>
      </c>
      <c r="I24" s="325">
        <f t="shared" si="2"/>
        <v>1.2343214183948126E-2</v>
      </c>
      <c r="J24" s="327">
        <f>AVERAGE($I$6:I24)</f>
        <v>1.3839461070421029E-2</v>
      </c>
      <c r="O24" s="326"/>
      <c r="P24" s="326"/>
    </row>
    <row r="25" spans="1:16">
      <c r="A25" s="323">
        <v>2039</v>
      </c>
      <c r="B25" s="334">
        <v>106.1</v>
      </c>
      <c r="C25" s="334">
        <v>155.9</v>
      </c>
      <c r="D25" s="335">
        <v>150.30000000000001</v>
      </c>
      <c r="E25" s="336">
        <f t="shared" si="0"/>
        <v>4.9888000000000003</v>
      </c>
      <c r="F25" s="337">
        <f t="shared" si="1"/>
        <v>5.4108000000000001</v>
      </c>
      <c r="G25" s="325">
        <f t="shared" si="3"/>
        <v>1.1675848300254366E-2</v>
      </c>
      <c r="H25" s="327">
        <f>AVERAGE($G$6:G25)</f>
        <v>1.3246413516154442E-2</v>
      </c>
      <c r="I25" s="325">
        <f t="shared" si="2"/>
        <v>1.2128034004737165E-2</v>
      </c>
      <c r="J25" s="327">
        <f>AVERAGE($I$6:I25)</f>
        <v>1.3753889717136836E-2</v>
      </c>
    </row>
    <row r="26" spans="1:16" ht="15.75" thickBot="1">
      <c r="A26" s="323">
        <v>2040</v>
      </c>
      <c r="B26" s="334">
        <v>107.3</v>
      </c>
      <c r="C26" s="334">
        <v>157</v>
      </c>
      <c r="D26" s="335">
        <v>151.5</v>
      </c>
      <c r="E26" s="338">
        <f t="shared" si="0"/>
        <v>5.024</v>
      </c>
      <c r="F26" s="339">
        <f t="shared" si="1"/>
        <v>5.4539999999999997</v>
      </c>
      <c r="G26" s="325">
        <f t="shared" si="3"/>
        <v>1.1455366388732902E-2</v>
      </c>
      <c r="H26" s="327">
        <f>AVERAGE($G$6:G26)</f>
        <v>1.3161125557705797E-2</v>
      </c>
      <c r="I26" s="325">
        <f t="shared" si="2"/>
        <v>1.1930314805916442E-2</v>
      </c>
      <c r="J26" s="327">
        <f>AVERAGE($I$6:I26)</f>
        <v>1.3667052816602531E-2</v>
      </c>
    </row>
    <row r="27" spans="1:16">
      <c r="A27" s="329"/>
    </row>
    <row r="28" spans="1:16">
      <c r="A28"/>
      <c r="B28"/>
      <c r="C28"/>
      <c r="D28"/>
      <c r="E28"/>
      <c r="F28"/>
    </row>
    <row r="29" spans="1:16" ht="19.5">
      <c r="A29" s="340" t="s">
        <v>109</v>
      </c>
      <c r="B29" s="340"/>
      <c r="C29" s="340"/>
      <c r="D29" s="340"/>
      <c r="E29" s="340"/>
      <c r="F29" s="340"/>
      <c r="G29" s="340"/>
      <c r="H29" s="340"/>
      <c r="I29" s="340"/>
      <c r="J29" s="341"/>
      <c r="K29" s="341"/>
      <c r="L29" s="341"/>
      <c r="M29" s="341"/>
    </row>
    <row r="30" spans="1:16" ht="19.5">
      <c r="A30" s="340" t="s">
        <v>110</v>
      </c>
      <c r="B30" s="340"/>
      <c r="C30" s="340"/>
      <c r="D30" s="340"/>
      <c r="E30" s="340"/>
      <c r="F30" s="340"/>
      <c r="G30" s="340"/>
      <c r="H30" s="340"/>
      <c r="I30" s="340"/>
      <c r="J30" s="341"/>
      <c r="K30" s="341"/>
      <c r="L30" s="341"/>
      <c r="M30" s="341"/>
    </row>
    <row r="31" spans="1:16">
      <c r="A31"/>
      <c r="B31"/>
      <c r="C31"/>
      <c r="D31"/>
      <c r="E31"/>
      <c r="F31"/>
    </row>
    <row r="32" spans="1:16">
      <c r="A32" s="342" t="s">
        <v>111</v>
      </c>
      <c r="B32"/>
      <c r="C32"/>
      <c r="D32"/>
      <c r="E32"/>
      <c r="F32"/>
    </row>
    <row r="33" spans="1:6">
      <c r="A33" s="343"/>
      <c r="B33" s="344" t="s">
        <v>112</v>
      </c>
      <c r="C33" s="344" t="s">
        <v>113</v>
      </c>
      <c r="D33"/>
      <c r="E33"/>
      <c r="F33"/>
    </row>
    <row r="34" spans="1:6">
      <c r="A34" s="343" t="s">
        <v>107</v>
      </c>
      <c r="B34" s="345">
        <v>32</v>
      </c>
      <c r="C34" s="345">
        <f>+B34/1000</f>
        <v>3.2000000000000001E-2</v>
      </c>
      <c r="D34"/>
      <c r="E34"/>
      <c r="F34"/>
    </row>
    <row r="35" spans="1:6">
      <c r="A35" s="343" t="s">
        <v>108</v>
      </c>
      <c r="B35" s="345">
        <v>36</v>
      </c>
      <c r="C35" s="345">
        <f>+B35/1000</f>
        <v>3.5999999999999997E-2</v>
      </c>
      <c r="D35"/>
      <c r="E35"/>
      <c r="F35"/>
    </row>
    <row r="36" spans="1:6">
      <c r="A36"/>
      <c r="B36"/>
      <c r="C36"/>
      <c r="D36"/>
      <c r="E36"/>
      <c r="F36"/>
    </row>
    <row r="37" spans="1:6">
      <c r="A37"/>
      <c r="B37"/>
      <c r="C37"/>
      <c r="D37"/>
      <c r="E37"/>
      <c r="F37"/>
    </row>
    <row r="38" spans="1:6">
      <c r="A38"/>
      <c r="B38"/>
      <c r="C38"/>
      <c r="D38"/>
      <c r="E38"/>
      <c r="F38"/>
    </row>
    <row r="39" spans="1:6">
      <c r="A39"/>
      <c r="B39"/>
      <c r="C39"/>
      <c r="D39"/>
      <c r="E39"/>
      <c r="F39"/>
    </row>
    <row r="40" spans="1:6">
      <c r="A40"/>
      <c r="B40"/>
      <c r="C40"/>
      <c r="D40"/>
      <c r="E40"/>
      <c r="F40"/>
    </row>
    <row r="41" spans="1:6">
      <c r="A41"/>
      <c r="B41"/>
      <c r="C41"/>
      <c r="D41"/>
      <c r="E41"/>
      <c r="F41"/>
    </row>
    <row r="42" spans="1:6">
      <c r="A42"/>
      <c r="B42"/>
      <c r="C42"/>
      <c r="D42"/>
      <c r="E42"/>
      <c r="F42"/>
    </row>
    <row r="43" spans="1:6">
      <c r="A43"/>
      <c r="B43"/>
      <c r="C43"/>
      <c r="D43"/>
      <c r="E43"/>
      <c r="F43"/>
    </row>
    <row r="44" spans="1:6">
      <c r="A44"/>
      <c r="B44"/>
      <c r="C44"/>
      <c r="D44"/>
      <c r="E44"/>
      <c r="F44"/>
    </row>
    <row r="45" spans="1:6">
      <c r="A45"/>
      <c r="B45"/>
      <c r="C45"/>
      <c r="D45"/>
      <c r="E45"/>
      <c r="F45"/>
    </row>
    <row r="46" spans="1:6">
      <c r="A46"/>
      <c r="B46"/>
      <c r="C46"/>
      <c r="D46"/>
      <c r="E46"/>
      <c r="F46"/>
    </row>
  </sheetData>
  <sheetProtection sheet="1" objects="1" scenarios="1"/>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6780F1154B26E42818FF63B6238849B" ma:contentTypeVersion="11" ma:contentTypeDescription="Create a new document." ma:contentTypeScope="" ma:versionID="b70796ecefd0f848841b3723affedebe">
  <xsd:schema xmlns:xsd="http://www.w3.org/2001/XMLSchema" xmlns:xs="http://www.w3.org/2001/XMLSchema" xmlns:p="http://schemas.microsoft.com/office/2006/metadata/properties" xmlns:ns2="12cdf330-f786-4630-b51f-6fa1d5c62ea5" xmlns:ns3="b89a2bef-930d-4c99-ab94-74f4b2325bbc" targetNamespace="http://schemas.microsoft.com/office/2006/metadata/properties" ma:root="true" ma:fieldsID="0a126ce99d47c68b9fa46fe4d64c3caa" ns2:_="" ns3:_="">
    <xsd:import namespace="12cdf330-f786-4630-b51f-6fa1d5c62ea5"/>
    <xsd:import namespace="b89a2bef-930d-4c99-ab94-74f4b2325bb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cdf330-f786-4630-b51f-6fa1d5c62e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89a2bef-930d-4c99-ab94-74f4b2325bbc"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AD9E40A-93F3-4694-8CEC-7922C5EDE603}">
  <ds:schemaRefs>
    <ds:schemaRef ds:uri="http://schemas.microsoft.com/sharepoint/v3/contenttype/forms"/>
  </ds:schemaRefs>
</ds:datastoreItem>
</file>

<file path=customXml/itemProps2.xml><?xml version="1.0" encoding="utf-8"?>
<ds:datastoreItem xmlns:ds="http://schemas.openxmlformats.org/officeDocument/2006/customXml" ds:itemID="{8675D23C-1B8A-47F5-B7BB-BCFEE29E53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2cdf330-f786-4630-b51f-6fa1d5c62ea5"/>
    <ds:schemaRef ds:uri="b89a2bef-930d-4c99-ab94-74f4b2325b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F58051-F958-4245-9906-D8B76992F1DA}">
  <ds:schemaRefs>
    <ds:schemaRef ds:uri="http://www.w3.org/XML/1998/namespace"/>
    <ds:schemaRef ds:uri="http://schemas.openxmlformats.org/package/2006/metadata/core-properties"/>
    <ds:schemaRef ds:uri="http://purl.org/dc/terms/"/>
    <ds:schemaRef ds:uri="http://schemas.microsoft.com/office/2006/metadata/properties"/>
    <ds:schemaRef ds:uri="http://purl.org/dc/dcmitype/"/>
    <ds:schemaRef ds:uri="http://schemas.microsoft.com/office/2006/documentManagement/types"/>
    <ds:schemaRef ds:uri="12cdf330-f786-4630-b51f-6fa1d5c62ea5"/>
    <ds:schemaRef ds:uri="http://purl.org/dc/elements/1.1/"/>
    <ds:schemaRef ds:uri="http://schemas.microsoft.com/office/infopath/2007/PartnerControls"/>
    <ds:schemaRef ds:uri="b89a2bef-930d-4c99-ab94-74f4b2325bb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Introduktion</vt:lpstr>
      <vt:lpstr>Benzin - diesel - hybrid</vt:lpstr>
      <vt:lpstr>IB - B&amp;D&amp;H</vt:lpstr>
      <vt:lpstr>El og plugin hybrid</vt:lpstr>
      <vt:lpstr>IB - E&amp;PH</vt:lpstr>
      <vt:lpstr>Sammenligning på tværs</vt:lpstr>
      <vt:lpstr>Beregningsmetode</vt:lpstr>
      <vt:lpstr>Fremskrivninger</vt:lpstr>
      <vt:lpstr>ENS udvikling i elpris</vt:lpstr>
      <vt:lpstr>ENS udvikling i brændstofspris</vt:lpstr>
      <vt:lpstr>'Sammenligning på tværs'!Print_Area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2021-02-16T16:45:23Z</dcterms:created>
  <dcterms:modified xsi:type="dcterms:W3CDTF">2021-12-03T12:27:41Z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0x01010096780F1154B26E42818FF63B6238849B</vt:lpwstr>
  </property>
</Properties>
</file>